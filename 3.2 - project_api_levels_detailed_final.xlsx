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20" windowWidth="24435" windowHeight="11775" activeTab="3"/>
  </bookViews>
  <sheets>
    <sheet name="Sheet1" sheetId="2" r:id="rId1"/>
    <sheet name="Sheet5" sheetId="6" r:id="rId2"/>
    <sheet name="Sheet6" sheetId="7" r:id="rId3"/>
    <sheet name="project_api_levels_detailed" sheetId="1" r:id="rId4"/>
    <sheet name="282 Projects" sheetId="5" r:id="rId5"/>
  </sheets>
  <definedNames>
    <definedName name="_xlnm._FilterDatabase" localSheetId="3" hidden="1">project_api_levels_detailed!$A$1:$E$208</definedName>
  </definedNames>
  <calcPr calcId="125725"/>
  <pivotCaches>
    <pivotCache cacheId="0" r:id="rId6"/>
    <pivotCache cacheId="11" r:id="rId7"/>
  </pivotCaches>
</workbook>
</file>

<file path=xl/calcChain.xml><?xml version="1.0" encoding="utf-8"?>
<calcChain xmlns="http://schemas.openxmlformats.org/spreadsheetml/2006/main">
  <c r="E2" i="6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3" i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"/>
</calcChain>
</file>

<file path=xl/sharedStrings.xml><?xml version="1.0" encoding="utf-8"?>
<sst xmlns="http://schemas.openxmlformats.org/spreadsheetml/2006/main" count="1356" uniqueCount="316">
  <si>
    <t>project</t>
  </si>
  <si>
    <t>api_level</t>
  </si>
  <si>
    <t>source</t>
  </si>
  <si>
    <t>yml_count</t>
  </si>
  <si>
    <t>ez-recipes-android</t>
  </si>
  <si>
    <t>matrix</t>
  </si>
  <si>
    <t>android</t>
  </si>
  <si>
    <t>RLAD</t>
  </si>
  <si>
    <t>hardcoded</t>
  </si>
  <si>
    <t>compose-challenges</t>
  </si>
  <si>
    <t>secure-storage-android</t>
  </si>
  <si>
    <t>ExpenseManager</t>
  </si>
  <si>
    <t>Palette-Compose</t>
  </si>
  <si>
    <t>FastShopping</t>
  </si>
  <si>
    <t>RickAndMorty</t>
  </si>
  <si>
    <t>CoffeeDrinksWithJetpackCompose</t>
  </si>
  <si>
    <t>and-bible</t>
  </si>
  <si>
    <t>trekarta</t>
  </si>
  <si>
    <t>Anki-Android</t>
  </si>
  <si>
    <t>AntennaPod</t>
  </si>
  <si>
    <t>EasyRecipe</t>
  </si>
  <si>
    <t>weather-forecast-ID</t>
  </si>
  <si>
    <t>Aegis</t>
  </si>
  <si>
    <t>mobile</t>
  </si>
  <si>
    <t>icsx5</t>
  </si>
  <si>
    <t>learn-braille</t>
  </si>
  <si>
    <t>sdp-project</t>
  </si>
  <si>
    <t>Bookworm</t>
  </si>
  <si>
    <t>Bark</t>
  </si>
  <si>
    <t>curriculumvitae</t>
  </si>
  <si>
    <t>connectbot</t>
  </si>
  <si>
    <t>atom-tasks</t>
  </si>
  <si>
    <t>MetadataRemover</t>
  </si>
  <si>
    <t>Marvel</t>
  </si>
  <si>
    <t>droid-feed</t>
  </si>
  <si>
    <t>any</t>
  </si>
  <si>
    <t>conference-app-2021</t>
  </si>
  <si>
    <t>jetpuppy</t>
  </si>
  <si>
    <t>euphony-hub-collector</t>
  </si>
  <si>
    <t>EventFahrplan</t>
  </si>
  <si>
    <t>aTox</t>
  </si>
  <si>
    <t>shachi</t>
  </si>
  <si>
    <t>Todo-compose</t>
  </si>
  <si>
    <t>Omni-Notes</t>
  </si>
  <si>
    <t>marvel-app</t>
  </si>
  <si>
    <t>mobile-app</t>
  </si>
  <si>
    <t>Transportr</t>
  </si>
  <si>
    <t>OneHotMinute-Compose</t>
  </si>
  <si>
    <t>Zoo-Compose</t>
  </si>
  <si>
    <t>android-dev-challenge-compose-countdown-timer</t>
  </si>
  <si>
    <t>KotlinAndroidBase</t>
  </si>
  <si>
    <t>MoonShot</t>
  </si>
  <si>
    <t>hash-checker</t>
  </si>
  <si>
    <t>android-kDrive</t>
  </si>
  <si>
    <t>android-kMail</t>
  </si>
  <si>
    <t>15Puzzle</t>
  </si>
  <si>
    <t>NewsApp-Retrofit</t>
  </si>
  <si>
    <t>kiwix-android</t>
  </si>
  <si>
    <t>android-starter-2022</t>
  </si>
  <si>
    <t>cat-adoption-app</t>
  </si>
  <si>
    <t>my-soothe</t>
  </si>
  <si>
    <t>we-trade</t>
  </si>
  <si>
    <t>compose-kotlin-repositories</t>
  </si>
  <si>
    <t>Smilodon</t>
  </si>
  <si>
    <t>cht-android</t>
  </si>
  <si>
    <t>greenpass-android</t>
  </si>
  <si>
    <t>virtual_traveller_flutter</t>
  </si>
  <si>
    <t>bluelineconsole</t>
  </si>
  <si>
    <t>onebusaway-android</t>
  </si>
  <si>
    <t>probe-android</t>
  </si>
  <si>
    <t>OpenDocument</t>
  </si>
  <si>
    <t>myweatherforecast</t>
  </si>
  <si>
    <t>puppy-adoption-app</t>
  </si>
  <si>
    <t>weather-app-compose</t>
  </si>
  <si>
    <t>peercoin_flutter</t>
  </si>
  <si>
    <t>persian-calendar</t>
  </si>
  <si>
    <t>notes</t>
  </si>
  <si>
    <t>Astro</t>
  </si>
  <si>
    <t>hilt-sandbox</t>
  </si>
  <si>
    <t>datepickertimeline</t>
  </si>
  <si>
    <t>android-navigation-with-compose</t>
  </si>
  <si>
    <t>mmdb</t>
  </si>
  <si>
    <t>Android-SimpleTimeTracker</t>
  </si>
  <si>
    <t>release-probe</t>
  </si>
  <si>
    <t>Easer</t>
  </si>
  <si>
    <t>adopt-me-compose</t>
  </si>
  <si>
    <t>CrossPlatformVstHost</t>
  </si>
  <si>
    <t>compose-timer</t>
  </si>
  <si>
    <t>Cofi</t>
  </si>
  <si>
    <t>Compose-Scrobbler</t>
  </si>
  <si>
    <t>android-dev-challenge-compose-week1</t>
  </si>
  <si>
    <t>NY-Times-Popular-Articles</t>
  </si>
  <si>
    <t>stardroid</t>
  </si>
  <si>
    <t>NotePad</t>
  </si>
  <si>
    <t>otl-app</t>
  </si>
  <si>
    <t>DagashiApp</t>
  </si>
  <si>
    <t>arduino-usb-terminal</t>
  </si>
  <si>
    <t>swisscovid-app-android</t>
  </si>
  <si>
    <t>tasks</t>
  </si>
  <si>
    <t>AmazeFileManager</t>
  </si>
  <si>
    <t>NewPipe</t>
  </si>
  <si>
    <t>jtxBoard</t>
  </si>
  <si>
    <t>exif-thumbnail-adder</t>
  </si>
  <si>
    <t>photochat</t>
  </si>
  <si>
    <t>cis-android</t>
  </si>
  <si>
    <t>TwidereX-Android</t>
  </si>
  <si>
    <t>Twire</t>
  </si>
  <si>
    <t>ObdGraphs</t>
  </si>
  <si>
    <t>compose-material-dialogs</t>
  </si>
  <si>
    <t>element-android</t>
  </si>
  <si>
    <t>ci-matters</t>
  </si>
  <si>
    <t>audio-recorder</t>
  </si>
  <si>
    <t>apps-android-wikipedia</t>
  </si>
  <si>
    <t>yacguide</t>
  </si>
  <si>
    <t>AlarmClock</t>
  </si>
  <si>
    <t>hyperrogue</t>
  </si>
  <si>
    <t>ToxAndroidRefImpl</t>
  </si>
  <si>
    <t>dialogue</t>
  </si>
  <si>
    <t>Row Labels</t>
  </si>
  <si>
    <t>Grand Total</t>
  </si>
  <si>
    <t>Column Labels</t>
  </si>
  <si>
    <t>Count of project</t>
  </si>
  <si>
    <t>test_types</t>
  </si>
  <si>
    <t>Detoxiom</t>
  </si>
  <si>
    <t>GitHub_gradle</t>
  </si>
  <si>
    <t>GitHub_emulator_full, GitHub_gradle</t>
  </si>
  <si>
    <t>GitHub_emulator_full, GitHub_emulator_manual</t>
  </si>
  <si>
    <t>AcDisplay</t>
  </si>
  <si>
    <t>GitHub_emulator_manual, GitHub_gradle</t>
  </si>
  <si>
    <t>aw-android</t>
  </si>
  <si>
    <t>GitHub_emulator_manual</t>
  </si>
  <si>
    <t>CovidCertificate-App-Android</t>
  </si>
  <si>
    <t>browserstack_test</t>
  </si>
  <si>
    <t>akvo-rsr-up</t>
  </si>
  <si>
    <t>firebase_test_lab</t>
  </si>
  <si>
    <t>GitHub_emulator_full</t>
  </si>
  <si>
    <t>MapNotes</t>
  </si>
  <si>
    <t>Presently</t>
  </si>
  <si>
    <t>AndProx</t>
  </si>
  <si>
    <t>Hostel</t>
  </si>
  <si>
    <t>swift-weather-app</t>
  </si>
  <si>
    <t>andstatus</t>
  </si>
  <si>
    <t>Cattle</t>
  </si>
  <si>
    <t>Antox</t>
  </si>
  <si>
    <t>GitHub_emulator_full, GitHub_emulator_manual, GitHub_gradle</t>
  </si>
  <si>
    <t>Notre-Dame-v3</t>
  </si>
  <si>
    <t>jtt_android</t>
  </si>
  <si>
    <t>retrofit-lite</t>
  </si>
  <si>
    <t>bluetooth-le-analyzer</t>
  </si>
  <si>
    <t>bluetooth-remote-control</t>
  </si>
  <si>
    <t>pusher</t>
  </si>
  <si>
    <t>rfdroid-scanparam</t>
  </si>
  <si>
    <t>sms-group-sender</t>
  </si>
  <si>
    <t>ZapTap</t>
  </si>
  <si>
    <t>iconic-tab-bar</t>
  </si>
  <si>
    <t>mangindo</t>
  </si>
  <si>
    <t>Rachma-Android</t>
  </si>
  <si>
    <t>photo-sharing-android</t>
  </si>
  <si>
    <t>uaTranslit</t>
  </si>
  <si>
    <t>video-transcoder</t>
  </si>
  <si>
    <t>mixpanel-android</t>
  </si>
  <si>
    <t>briar</t>
  </si>
  <si>
    <t>UltimateWordFinder</t>
  </si>
  <si>
    <t>opentraining</t>
  </si>
  <si>
    <t>Debt-Manager</t>
  </si>
  <si>
    <t>RatingDialok</t>
  </si>
  <si>
    <t>EncryptedSharedPreferences</t>
  </si>
  <si>
    <t>clarifai-android-starter</t>
  </si>
  <si>
    <t>cloudinary_android</t>
  </si>
  <si>
    <t>NoisePercolator</t>
  </si>
  <si>
    <t>Koffeemate</t>
  </si>
  <si>
    <t>ReferandumProject</t>
  </si>
  <si>
    <t>FractalZoo</t>
  </si>
  <si>
    <t>hello-java-android</t>
  </si>
  <si>
    <t>Android-Comonadic-UI</t>
  </si>
  <si>
    <t>ludwig-android</t>
  </si>
  <si>
    <t>UserLAnd</t>
  </si>
  <si>
    <t>Aria2App</t>
  </si>
  <si>
    <t>DNSHero</t>
  </si>
  <si>
    <t>PretendYoureXyzzyAndroid</t>
  </si>
  <si>
    <t>Price_Comparison_App</t>
  </si>
  <si>
    <t>Popular-Movies</t>
  </si>
  <si>
    <t>group-05</t>
  </si>
  <si>
    <t>opentasks</t>
  </si>
  <si>
    <t>MicroPinner</t>
  </si>
  <si>
    <t>rpicheck</t>
  </si>
  <si>
    <t>FwdPortForwardingApp</t>
  </si>
  <si>
    <t>snmp-cockpit</t>
  </si>
  <si>
    <t>envelop-android</t>
  </si>
  <si>
    <t>android-image-picker</t>
  </si>
  <si>
    <t>Equate</t>
  </si>
  <si>
    <t>HgLauncher</t>
  </si>
  <si>
    <t>debty-v2</t>
  </si>
  <si>
    <t>Moveery</t>
  </si>
  <si>
    <t>GitHub_emulator_full, GitHub_emulator_manual, GitHub_gradle, firebase_test_lab</t>
  </si>
  <si>
    <t>flone-android</t>
  </si>
  <si>
    <t>family-care</t>
  </si>
  <si>
    <t>GitHub_emulator_full, browserstack_test</t>
  </si>
  <si>
    <t>frinder-app</t>
  </si>
  <si>
    <t>xiaExpressAndroid</t>
  </si>
  <si>
    <t>ghini</t>
  </si>
  <si>
    <t>pdd-flow</t>
  </si>
  <si>
    <t>Mp3Player</t>
  </si>
  <si>
    <t>abcore</t>
  </si>
  <si>
    <t>MoneyBook</t>
  </si>
  <si>
    <t>1Rramp-Android</t>
  </si>
  <si>
    <t>Dairy-Management</t>
  </si>
  <si>
    <t>IdeaTrackerPlus</t>
  </si>
  <si>
    <t>gomobile-ipfs</t>
  </si>
  <si>
    <t>android-app</t>
  </si>
  <si>
    <t>turbojira</t>
  </si>
  <si>
    <t>android-gif-search</t>
  </si>
  <si>
    <t>e2e-detox</t>
  </si>
  <si>
    <t>TimeLineView</t>
  </si>
  <si>
    <t>NiceVieoPlayer</t>
  </si>
  <si>
    <t>ShareToComputer</t>
  </si>
  <si>
    <t>EngineDriver</t>
  </si>
  <si>
    <t>TitanCompanion</t>
  </si>
  <si>
    <t>QuasselDroid-ng</t>
  </si>
  <si>
    <t>To-Do_Jetpack_Compose</t>
  </si>
  <si>
    <t>secure-quick-reliable-login</t>
  </si>
  <si>
    <t>shortyz</t>
  </si>
  <si>
    <t>cocoa-android</t>
  </si>
  <si>
    <t>archwiki-viewer</t>
  </si>
  <si>
    <t>SwishTicker</t>
  </si>
  <si>
    <t>NetworkMapper</t>
  </si>
  <si>
    <t>sleep-cycle-alarm</t>
  </si>
  <si>
    <t>auto-fi</t>
  </si>
  <si>
    <t>Popular-Movies-App</t>
  </si>
  <si>
    <t>OneDrawable</t>
  </si>
  <si>
    <t>trackworktime</t>
  </si>
  <si>
    <t>PinDroid</t>
  </si>
  <si>
    <t>Delock</t>
  </si>
  <si>
    <t>metrodroid</t>
  </si>
  <si>
    <t>AnimeWallpaper</t>
  </si>
  <si>
    <t>AndroidAppShortcuts</t>
  </si>
  <si>
    <t>trip-o-meter</t>
  </si>
  <si>
    <t>CustomBottomSheetBehavior</t>
  </si>
  <si>
    <t>Hashr</t>
  </si>
  <si>
    <t>moonlight-android</t>
  </si>
  <si>
    <t>ATimeTracker</t>
  </si>
  <si>
    <t>chaosflix</t>
  </si>
  <si>
    <t>motorsport-circuits</t>
  </si>
  <si>
    <t>LoadMoreWrapper</t>
  </si>
  <si>
    <t>NyaaPantsu-android-app</t>
  </si>
  <si>
    <t>open-keychain</t>
  </si>
  <si>
    <t>GitHub_emulator_compact</t>
  </si>
  <si>
    <t>shoppinglist</t>
  </si>
  <si>
    <t>organicmaps</t>
  </si>
  <si>
    <t>AmiiboWiki</t>
  </si>
  <si>
    <t>Harmony</t>
  </si>
  <si>
    <t>FunctionalAndroidReference</t>
  </si>
  <si>
    <t>client-android</t>
  </si>
  <si>
    <t>drive</t>
  </si>
  <si>
    <t>Paper</t>
  </si>
  <si>
    <t>FuelUp</t>
  </si>
  <si>
    <t>Piwigo-Android</t>
  </si>
  <si>
    <t>OpenMapKitAndroid</t>
  </si>
  <si>
    <t>MovieApp</t>
  </si>
  <si>
    <t>irmamobile</t>
  </si>
  <si>
    <t>WiFiSDCryptoLocker</t>
  </si>
  <si>
    <t>anchored-behavior</t>
  </si>
  <si>
    <t>AdbClipboard</t>
  </si>
  <si>
    <t>DynamicNightLight</t>
  </si>
  <si>
    <t>QMBForm</t>
  </si>
  <si>
    <t>social-app</t>
  </si>
  <si>
    <t>redgram-for-reddit</t>
  </si>
  <si>
    <t>shopapp-android</t>
  </si>
  <si>
    <t>MyAnimeViewer</t>
  </si>
  <si>
    <t>DvachMovie</t>
  </si>
  <si>
    <t>nusic</t>
  </si>
  <si>
    <t>RadioDroid</t>
  </si>
  <si>
    <t>GitHub_emulator_compact, GitHub_emulator_manual</t>
  </si>
  <si>
    <t>looper</t>
  </si>
  <si>
    <t>BadPixels</t>
  </si>
  <si>
    <t>Silence</t>
  </si>
  <si>
    <t>simlar-android</t>
  </si>
  <si>
    <t>nepaltoday-app-old</t>
  </si>
  <si>
    <t>InstiGo</t>
  </si>
  <si>
    <t>quotes</t>
  </si>
  <si>
    <t>ProximityService</t>
  </si>
  <si>
    <t>openinwa</t>
  </si>
  <si>
    <t>starlord</t>
  </si>
  <si>
    <t>Mobile-Jisho</t>
  </si>
  <si>
    <t>Bus-When-Twin-Cities</t>
  </si>
  <si>
    <t>MyntraTinder</t>
  </si>
  <si>
    <t>DocumentOCR</t>
  </si>
  <si>
    <t>ProjectConf</t>
  </si>
  <si>
    <t>GitHub_emulator_compact, GitHub_gradle</t>
  </si>
  <si>
    <t>Whats-Nearby</t>
  </si>
  <si>
    <t>KanaQuiz</t>
  </si>
  <si>
    <t>GitHub_emulator_manual, firebase_test_lab</t>
  </si>
  <si>
    <t>Faker</t>
  </si>
  <si>
    <t>MobileRT</t>
  </si>
  <si>
    <t>WebMark</t>
  </si>
  <si>
    <t>YtAlarm</t>
  </si>
  <si>
    <t>twilio-video-app-android</t>
  </si>
  <si>
    <t>PTSD-Aid</t>
  </si>
  <si>
    <t>lilaoftheday_android</t>
  </si>
  <si>
    <t>BaldPhone</t>
  </si>
  <si>
    <t>DiceOverflow</t>
  </si>
  <si>
    <t>HungarianRingsForAndroid</t>
  </si>
  <si>
    <t>IthakaBoardGame</t>
  </si>
  <si>
    <t>vgs-checkout-android</t>
  </si>
  <si>
    <t>FreifunkAutoConnectApp</t>
  </si>
  <si>
    <t>WaWa-Tabor</t>
  </si>
  <si>
    <t>DRIVER-Android</t>
  </si>
  <si>
    <t>aria2c-android-app</t>
  </si>
  <si>
    <t>EdTrack</t>
  </si>
  <si>
    <t>HealersDiary</t>
  </si>
  <si>
    <t>with Inst. Test</t>
  </si>
  <si>
    <t>(Multiple Items)</t>
  </si>
  <si>
    <t>check</t>
  </si>
  <si>
    <t>API-Levels</t>
  </si>
  <si>
    <t>Count of project (out of 282)</t>
  </si>
  <si>
    <t>API-LEVEL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</si>
</sst>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33" borderId="11" xfId="0" applyNumberFormat="1" applyFont="1" applyFill="1" applyBorder="1"/>
    <xf numFmtId="0" fontId="16" fillId="33" borderId="12" xfId="0" applyFont="1" applyFill="1" applyBorder="1"/>
    <xf numFmtId="0" fontId="0" fillId="0" borderId="12" xfId="0" applyBorder="1" applyAlignment="1">
      <alignment horizontal="left"/>
    </xf>
    <xf numFmtId="0" fontId="0" fillId="0" borderId="12" xfId="0" applyNumberFormat="1" applyBorder="1"/>
    <xf numFmtId="0" fontId="16" fillId="33" borderId="12" xfId="0" applyFont="1" applyFill="1" applyBorder="1" applyAlignment="1">
      <alignment horizontal="left"/>
    </xf>
    <xf numFmtId="0" fontId="16" fillId="33" borderId="1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14166166005" refreshedDate="45801.986367592595" createdVersion="3" refreshedVersion="3" minRefreshableVersion="3" recordCount="208">
  <cacheSource type="worksheet">
    <worksheetSource ref="A1:D1048576" sheet="project_api_levels_detailed"/>
  </cacheSource>
  <cacheFields count="4">
    <cacheField name="project" numFmtId="0">
      <sharedItems containsBlank="1"/>
    </cacheField>
    <cacheField name="api_level" numFmtId="0">
      <sharedItems containsString="0" containsBlank="1" containsNumber="1" containsInteger="1" minValue="16" maxValue="33" count="16">
        <n v="29"/>
        <n v="33"/>
        <n v="31"/>
        <n v="27"/>
        <n v="26"/>
        <n v="23"/>
        <n v="22"/>
        <n v="25"/>
        <n v="21"/>
        <n v="28"/>
        <n v="30"/>
        <n v="24"/>
        <n v="32"/>
        <n v="19"/>
        <n v="16"/>
        <m/>
      </sharedItems>
    </cacheField>
    <cacheField name="source" numFmtId="0">
      <sharedItems containsBlank="1" count="3">
        <s v="matrix"/>
        <s v="hardcoded"/>
        <m/>
      </sharedItems>
    </cacheField>
    <cacheField name="yml_count" numFmtId="0">
      <sharedItems containsString="0" containsBlank="1" containsNumber="1" containsInteger="1" minValue="1" maxValue="4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14166166005" refreshedDate="45809.473905902778" createdVersion="3" refreshedVersion="3" minRefreshableVersion="3" recordCount="208">
  <cacheSource type="worksheet">
    <worksheetSource ref="A1:E1048576" sheet="project_api_levels_detailed"/>
  </cacheSource>
  <cacheFields count="5">
    <cacheField name="project" numFmtId="0">
      <sharedItems containsBlank="1"/>
    </cacheField>
    <cacheField name="api_level" numFmtId="0">
      <sharedItems containsString="0" containsBlank="1" containsNumber="1" containsInteger="1" minValue="16" maxValue="33" count="16">
        <n v="29"/>
        <n v="33"/>
        <n v="31"/>
        <n v="27"/>
        <n v="26"/>
        <n v="23"/>
        <n v="22"/>
        <n v="25"/>
        <n v="21"/>
        <n v="28"/>
        <n v="30"/>
        <n v="24"/>
        <n v="32"/>
        <n v="19"/>
        <n v="16"/>
        <m/>
      </sharedItems>
    </cacheField>
    <cacheField name="source" numFmtId="0">
      <sharedItems containsBlank="1"/>
    </cacheField>
    <cacheField name="yml_count" numFmtId="0">
      <sharedItems containsString="0" containsBlank="1" containsNumber="1" containsInteger="1" minValue="1" maxValue="41"/>
    </cacheField>
    <cacheField name="with Inst. Test" numFmtId="0">
      <sharedItems containsBlank="1" count="112">
        <s v="ez-recipes-android"/>
        <s v="android"/>
        <s v="RLAD"/>
        <s v="compose-challenges"/>
        <s v="secure-storage-android"/>
        <s v="ExpenseManager"/>
        <s v="Palette-Compose"/>
        <s v="FastShopping"/>
        <s v="RickAndMorty"/>
        <s v="CoffeeDrinksWithJetpackCompose"/>
        <s v="and-bible"/>
        <s v="trekarta"/>
        <s v="Anki-Android"/>
        <s v="AntennaPod"/>
        <s v="EasyRecipe"/>
        <s v="weather-forecast-ID"/>
        <s v="Aegis"/>
        <s v="mobile"/>
        <s v="icsx5"/>
        <s v="learn-braille"/>
        <s v="sdp-project"/>
        <s v="Bookworm"/>
        <s v="Bark"/>
        <s v="curriculumvitae"/>
        <s v="connectbot"/>
        <s v="atom-tasks"/>
        <s v="MetadataRemover"/>
        <s v="Marvel"/>
        <s v="droid-feed"/>
        <s v="any"/>
        <s v="conference-app-2021"/>
        <s v="jetpuppy"/>
        <s v="euphony-hub-collector"/>
        <s v="EventFahrplan"/>
        <s v="aTox"/>
        <s v="shachi"/>
        <s v="Todo-compose"/>
        <s v="Omni-Notes"/>
        <s v="marvel-app"/>
        <s v="mobile-app"/>
        <s v="Transportr"/>
        <s v="OneHotMinute-Compose"/>
        <s v="Zoo-Compose"/>
        <s v="android-dev-challenge-compose-countdown-timer"/>
        <s v="KotlinAndroidBase"/>
        <s v="MoonShot"/>
        <s v="hash-checker"/>
        <s v="android-kDrive"/>
        <e v="#N/A"/>
        <s v="15Puzzle"/>
        <s v="NewsApp-Retrofit"/>
        <s v="kiwix-android"/>
        <s v="android-starter-2022"/>
        <s v="cat-adoption-app"/>
        <s v="my-soothe"/>
        <s v="we-trade"/>
        <s v="compose-kotlin-repositories"/>
        <s v="Smilodon"/>
        <s v="cht-android"/>
        <s v="greenpass-android"/>
        <s v="virtual_traveller_flutter"/>
        <s v="bluelineconsole"/>
        <s v="onebusaway-android"/>
        <s v="probe-android"/>
        <s v="OpenDocument"/>
        <s v="myweatherforecast"/>
        <s v="puppy-adoption-app"/>
        <s v="weather-app-compose"/>
        <s v="peercoin_flutter"/>
        <s v="persian-calendar"/>
        <s v="notes"/>
        <s v="Astro"/>
        <s v="hilt-sandbox"/>
        <s v="datepickertimeline"/>
        <s v="android-navigation-with-compose"/>
        <s v="Android-SimpleTimeTracker"/>
        <s v="release-probe"/>
        <s v="Easer"/>
        <s v="adopt-me-compose"/>
        <s v="CrossPlatformVstHost"/>
        <s v="compose-timer"/>
        <s v="Cofi"/>
        <s v="Compose-Scrobbler"/>
        <s v="android-dev-challenge-compose-week1"/>
        <s v="NY-Times-Popular-Articles"/>
        <s v="stardroid"/>
        <s v="NotePad"/>
        <s v="otl-app"/>
        <s v="DagashiApp"/>
        <s v="arduino-usb-terminal"/>
        <s v="swisscovid-app-android"/>
        <s v="tasks"/>
        <s v="AmazeFileManager"/>
        <s v="NewPipe"/>
        <s v="jtxBoard"/>
        <s v="exif-thumbnail-adder"/>
        <s v="photochat"/>
        <s v="cis-android"/>
        <s v="TwidereX-Android"/>
        <s v="Twire"/>
        <s v="ObdGraphs"/>
        <s v="compose-material-dialogs"/>
        <s v="element-android"/>
        <s v="ci-matters"/>
        <s v="audio-recorder"/>
        <s v="apps-android-wikipedia"/>
        <s v="yacguide"/>
        <s v="AlarmClock"/>
        <s v="hyperrogue"/>
        <s v="ToxAndroidRefImpl"/>
        <s v="dialogue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s v="ez-recipes-android"/>
    <x v="0"/>
    <x v="0"/>
    <n v="2"/>
  </r>
  <r>
    <s v="ez-recipes-android"/>
    <x v="1"/>
    <x v="0"/>
    <n v="2"/>
  </r>
  <r>
    <s v="ez-recipes-android"/>
    <x v="2"/>
    <x v="0"/>
    <n v="2"/>
  </r>
  <r>
    <s v="android"/>
    <x v="3"/>
    <x v="0"/>
    <n v="41"/>
  </r>
  <r>
    <s v="android"/>
    <x v="2"/>
    <x v="0"/>
    <n v="41"/>
  </r>
  <r>
    <s v="RLAD"/>
    <x v="0"/>
    <x v="1"/>
    <n v="1"/>
  </r>
  <r>
    <s v="compose-challenges"/>
    <x v="4"/>
    <x v="0"/>
    <n v="1"/>
  </r>
  <r>
    <s v="compose-challenges"/>
    <x v="5"/>
    <x v="0"/>
    <n v="1"/>
  </r>
  <r>
    <s v="compose-challenges"/>
    <x v="0"/>
    <x v="0"/>
    <n v="1"/>
  </r>
  <r>
    <s v="secure-storage-android"/>
    <x v="0"/>
    <x v="0"/>
    <n v="3"/>
  </r>
  <r>
    <s v="secure-storage-android"/>
    <x v="5"/>
    <x v="0"/>
    <n v="3"/>
  </r>
  <r>
    <s v="secure-storage-android"/>
    <x v="6"/>
    <x v="0"/>
    <n v="3"/>
  </r>
  <r>
    <s v="secure-storage-android"/>
    <x v="7"/>
    <x v="0"/>
    <n v="3"/>
  </r>
  <r>
    <s v="secure-storage-android"/>
    <x v="8"/>
    <x v="0"/>
    <n v="3"/>
  </r>
  <r>
    <s v="ExpenseManager"/>
    <x v="0"/>
    <x v="1"/>
    <n v="1"/>
  </r>
  <r>
    <s v="Palette-Compose"/>
    <x v="0"/>
    <x v="1"/>
    <n v="2"/>
  </r>
  <r>
    <s v="FastShopping"/>
    <x v="9"/>
    <x v="1"/>
    <n v="6"/>
  </r>
  <r>
    <s v="RickAndMorty"/>
    <x v="0"/>
    <x v="1"/>
    <n v="6"/>
  </r>
  <r>
    <s v="CoffeeDrinksWithJetpackCompose"/>
    <x v="2"/>
    <x v="1"/>
    <n v="2"/>
  </r>
  <r>
    <s v="and-bible"/>
    <x v="2"/>
    <x v="1"/>
    <n v="7"/>
  </r>
  <r>
    <s v="trekarta"/>
    <x v="5"/>
    <x v="0"/>
    <n v="3"/>
  </r>
  <r>
    <s v="trekarta"/>
    <x v="0"/>
    <x v="0"/>
    <n v="3"/>
  </r>
  <r>
    <s v="Anki-Android"/>
    <x v="10"/>
    <x v="0"/>
    <n v="12"/>
  </r>
  <r>
    <s v="AntennaPod"/>
    <x v="10"/>
    <x v="1"/>
    <n v="2"/>
  </r>
  <r>
    <s v="EasyRecipe"/>
    <x v="9"/>
    <x v="1"/>
    <n v="3"/>
  </r>
  <r>
    <s v="weather-forecast-ID"/>
    <x v="0"/>
    <x v="1"/>
    <n v="3"/>
  </r>
  <r>
    <s v="Aegis"/>
    <x v="2"/>
    <x v="1"/>
    <n v="3"/>
  </r>
  <r>
    <s v="mobile"/>
    <x v="2"/>
    <x v="1"/>
    <n v="9"/>
  </r>
  <r>
    <s v="icsx5"/>
    <x v="2"/>
    <x v="0"/>
    <n v="4"/>
  </r>
  <r>
    <s v="learn-braille"/>
    <x v="0"/>
    <x v="1"/>
    <n v="1"/>
  </r>
  <r>
    <s v="sdp-project"/>
    <x v="11"/>
    <x v="1"/>
    <n v="1"/>
  </r>
  <r>
    <s v="Bookworm"/>
    <x v="0"/>
    <x v="1"/>
    <n v="2"/>
  </r>
  <r>
    <s v="Bark"/>
    <x v="4"/>
    <x v="0"/>
    <n v="1"/>
  </r>
  <r>
    <s v="Bark"/>
    <x v="5"/>
    <x v="0"/>
    <n v="1"/>
  </r>
  <r>
    <s v="Bark"/>
    <x v="0"/>
    <x v="0"/>
    <n v="1"/>
  </r>
  <r>
    <s v="curriculumvitae"/>
    <x v="4"/>
    <x v="0"/>
    <n v="3"/>
  </r>
  <r>
    <s v="curriculumvitae"/>
    <x v="0"/>
    <x v="0"/>
    <n v="3"/>
  </r>
  <r>
    <s v="curriculumvitae"/>
    <x v="9"/>
    <x v="0"/>
    <n v="3"/>
  </r>
  <r>
    <s v="curriculumvitae"/>
    <x v="2"/>
    <x v="0"/>
    <n v="3"/>
  </r>
  <r>
    <s v="curriculumvitae"/>
    <x v="10"/>
    <x v="1"/>
    <n v="3"/>
  </r>
  <r>
    <s v="connectbot"/>
    <x v="9"/>
    <x v="1"/>
    <n v="4"/>
  </r>
  <r>
    <s v="atom-tasks"/>
    <x v="0"/>
    <x v="1"/>
    <n v="2"/>
  </r>
  <r>
    <s v="MetadataRemover"/>
    <x v="7"/>
    <x v="1"/>
    <n v="2"/>
  </r>
  <r>
    <s v="Marvel"/>
    <x v="4"/>
    <x v="0"/>
    <n v="1"/>
  </r>
  <r>
    <s v="Marvel"/>
    <x v="5"/>
    <x v="0"/>
    <n v="1"/>
  </r>
  <r>
    <s v="Marvel"/>
    <x v="0"/>
    <x v="0"/>
    <n v="1"/>
  </r>
  <r>
    <s v="droid-feed"/>
    <x v="0"/>
    <x v="0"/>
    <n v="2"/>
  </r>
  <r>
    <s v="droid-feed"/>
    <x v="8"/>
    <x v="0"/>
    <n v="2"/>
  </r>
  <r>
    <s v="any"/>
    <x v="2"/>
    <x v="1"/>
    <n v="4"/>
  </r>
  <r>
    <s v="conference-app-2021"/>
    <x v="4"/>
    <x v="0"/>
    <n v="9"/>
  </r>
  <r>
    <s v="conference-app-2021"/>
    <x v="5"/>
    <x v="0"/>
    <n v="9"/>
  </r>
  <r>
    <s v="conference-app-2021"/>
    <x v="0"/>
    <x v="0"/>
    <n v="9"/>
  </r>
  <r>
    <s v="conference-app-2021"/>
    <x v="8"/>
    <x v="0"/>
    <n v="9"/>
  </r>
  <r>
    <s v="jetpuppy"/>
    <x v="4"/>
    <x v="0"/>
    <n v="1"/>
  </r>
  <r>
    <s v="jetpuppy"/>
    <x v="5"/>
    <x v="0"/>
    <n v="1"/>
  </r>
  <r>
    <s v="jetpuppy"/>
    <x v="0"/>
    <x v="0"/>
    <n v="1"/>
  </r>
  <r>
    <s v="euphony-hub-collector"/>
    <x v="9"/>
    <x v="0"/>
    <n v="1"/>
  </r>
  <r>
    <s v="EventFahrplan"/>
    <x v="8"/>
    <x v="1"/>
    <n v="2"/>
  </r>
  <r>
    <s v="aTox"/>
    <x v="2"/>
    <x v="1"/>
    <n v="2"/>
  </r>
  <r>
    <s v="shachi"/>
    <x v="2"/>
    <x v="1"/>
    <n v="2"/>
  </r>
  <r>
    <s v="Todo-compose"/>
    <x v="0"/>
    <x v="1"/>
    <n v="3"/>
  </r>
  <r>
    <s v="Omni-Notes"/>
    <x v="10"/>
    <x v="1"/>
    <n v="2"/>
  </r>
  <r>
    <s v="marvel-app"/>
    <x v="8"/>
    <x v="1"/>
    <n v="3"/>
  </r>
  <r>
    <s v="mobile-app"/>
    <x v="12"/>
    <x v="1"/>
    <n v="3"/>
  </r>
  <r>
    <s v="Transportr"/>
    <x v="0"/>
    <x v="0"/>
    <n v="1"/>
  </r>
  <r>
    <s v="Transportr"/>
    <x v="2"/>
    <x v="0"/>
    <n v="1"/>
  </r>
  <r>
    <s v="Transportr"/>
    <x v="8"/>
    <x v="0"/>
    <n v="1"/>
  </r>
  <r>
    <s v="OneHotMinute-Compose"/>
    <x v="4"/>
    <x v="0"/>
    <n v="1"/>
  </r>
  <r>
    <s v="OneHotMinute-Compose"/>
    <x v="5"/>
    <x v="0"/>
    <n v="1"/>
  </r>
  <r>
    <s v="OneHotMinute-Compose"/>
    <x v="0"/>
    <x v="0"/>
    <n v="1"/>
  </r>
  <r>
    <s v="Zoo-Compose"/>
    <x v="4"/>
    <x v="0"/>
    <n v="1"/>
  </r>
  <r>
    <s v="Zoo-Compose"/>
    <x v="5"/>
    <x v="0"/>
    <n v="1"/>
  </r>
  <r>
    <s v="Zoo-Compose"/>
    <x v="0"/>
    <x v="0"/>
    <n v="1"/>
  </r>
  <r>
    <s v="android-dev-challenge-compose-countdown-timer"/>
    <x v="4"/>
    <x v="0"/>
    <n v="1"/>
  </r>
  <r>
    <s v="android-dev-challenge-compose-countdown-timer"/>
    <x v="5"/>
    <x v="0"/>
    <n v="1"/>
  </r>
  <r>
    <s v="android-dev-challenge-compose-countdown-timer"/>
    <x v="0"/>
    <x v="0"/>
    <n v="1"/>
  </r>
  <r>
    <s v="KotlinAndroidBase"/>
    <x v="9"/>
    <x v="0"/>
    <n v="1"/>
  </r>
  <r>
    <s v="MoonShot"/>
    <x v="0"/>
    <x v="1"/>
    <n v="1"/>
  </r>
  <r>
    <s v="hash-checker"/>
    <x v="3"/>
    <x v="1"/>
    <n v="2"/>
  </r>
  <r>
    <s v="android-kDrive"/>
    <x v="2"/>
    <x v="0"/>
    <n v="2"/>
  </r>
  <r>
    <s v="android-kMail"/>
    <x v="2"/>
    <x v="0"/>
    <n v="5"/>
  </r>
  <r>
    <s v="15Puzzle"/>
    <x v="0"/>
    <x v="1"/>
    <n v="2"/>
  </r>
  <r>
    <s v="NewsApp-Retrofit"/>
    <x v="5"/>
    <x v="0"/>
    <n v="2"/>
  </r>
  <r>
    <s v="NewsApp-Retrofit"/>
    <x v="0"/>
    <x v="0"/>
    <n v="2"/>
  </r>
  <r>
    <s v="NewsApp-Retrofit"/>
    <x v="8"/>
    <x v="0"/>
    <n v="2"/>
  </r>
  <r>
    <s v="kiwix-android"/>
    <x v="1"/>
    <x v="0"/>
    <n v="5"/>
  </r>
  <r>
    <s v="kiwix-android"/>
    <x v="8"/>
    <x v="0"/>
    <n v="5"/>
  </r>
  <r>
    <s v="kiwix-android"/>
    <x v="10"/>
    <x v="0"/>
    <n v="5"/>
  </r>
  <r>
    <s v="android-starter-2022"/>
    <x v="11"/>
    <x v="1"/>
    <n v="1"/>
  </r>
  <r>
    <s v="cat-adoption-app"/>
    <x v="4"/>
    <x v="0"/>
    <n v="1"/>
  </r>
  <r>
    <s v="cat-adoption-app"/>
    <x v="5"/>
    <x v="0"/>
    <n v="1"/>
  </r>
  <r>
    <s v="cat-adoption-app"/>
    <x v="0"/>
    <x v="0"/>
    <n v="1"/>
  </r>
  <r>
    <s v="my-soothe"/>
    <x v="4"/>
    <x v="0"/>
    <n v="1"/>
  </r>
  <r>
    <s v="my-soothe"/>
    <x v="5"/>
    <x v="0"/>
    <n v="1"/>
  </r>
  <r>
    <s v="my-soothe"/>
    <x v="0"/>
    <x v="0"/>
    <n v="1"/>
  </r>
  <r>
    <s v="we-trade"/>
    <x v="4"/>
    <x v="0"/>
    <n v="1"/>
  </r>
  <r>
    <s v="we-trade"/>
    <x v="5"/>
    <x v="0"/>
    <n v="1"/>
  </r>
  <r>
    <s v="we-trade"/>
    <x v="0"/>
    <x v="0"/>
    <n v="1"/>
  </r>
  <r>
    <s v="compose-kotlin-repositories"/>
    <x v="0"/>
    <x v="0"/>
    <n v="1"/>
  </r>
  <r>
    <s v="Smilodon"/>
    <x v="0"/>
    <x v="1"/>
    <n v="1"/>
  </r>
  <r>
    <s v="cht-android"/>
    <x v="0"/>
    <x v="1"/>
    <n v="2"/>
  </r>
  <r>
    <s v="greenpass-android"/>
    <x v="2"/>
    <x v="1"/>
    <n v="4"/>
  </r>
  <r>
    <s v="virtual_traveller_flutter"/>
    <x v="5"/>
    <x v="0"/>
    <n v="3"/>
  </r>
  <r>
    <s v="virtual_traveller_flutter"/>
    <x v="0"/>
    <x v="0"/>
    <n v="3"/>
  </r>
  <r>
    <s v="bluelineconsole"/>
    <x v="0"/>
    <x v="0"/>
    <n v="3"/>
  </r>
  <r>
    <s v="bluelineconsole"/>
    <x v="6"/>
    <x v="0"/>
    <n v="3"/>
  </r>
  <r>
    <s v="onebusaway-android"/>
    <x v="11"/>
    <x v="0"/>
    <n v="1"/>
  </r>
  <r>
    <s v="onebusaway-android"/>
    <x v="0"/>
    <x v="0"/>
    <n v="1"/>
  </r>
  <r>
    <s v="probe-android"/>
    <x v="0"/>
    <x v="0"/>
    <n v="4"/>
  </r>
  <r>
    <s v="OpenDocument"/>
    <x v="0"/>
    <x v="1"/>
    <n v="1"/>
  </r>
  <r>
    <s v="OpenDocument"/>
    <x v="13"/>
    <x v="1"/>
    <n v="1"/>
  </r>
  <r>
    <s v="OpenDocument"/>
    <x v="8"/>
    <x v="1"/>
    <n v="1"/>
  </r>
  <r>
    <s v="myweatherforecast"/>
    <x v="0"/>
    <x v="1"/>
    <n v="1"/>
  </r>
  <r>
    <s v="puppy-adoption-app"/>
    <x v="4"/>
    <x v="0"/>
    <n v="1"/>
  </r>
  <r>
    <s v="puppy-adoption-app"/>
    <x v="5"/>
    <x v="0"/>
    <n v="1"/>
  </r>
  <r>
    <s v="puppy-adoption-app"/>
    <x v="0"/>
    <x v="0"/>
    <n v="1"/>
  </r>
  <r>
    <s v="weather-app-compose"/>
    <x v="4"/>
    <x v="0"/>
    <n v="1"/>
  </r>
  <r>
    <s v="weather-app-compose"/>
    <x v="5"/>
    <x v="0"/>
    <n v="1"/>
  </r>
  <r>
    <s v="weather-app-compose"/>
    <x v="0"/>
    <x v="0"/>
    <n v="1"/>
  </r>
  <r>
    <s v="peercoin_flutter"/>
    <x v="0"/>
    <x v="0"/>
    <n v="2"/>
  </r>
  <r>
    <s v="peercoin_flutter"/>
    <x v="2"/>
    <x v="0"/>
    <n v="2"/>
  </r>
  <r>
    <s v="peercoin_flutter"/>
    <x v="10"/>
    <x v="0"/>
    <n v="2"/>
  </r>
  <r>
    <s v="persian-calendar"/>
    <x v="0"/>
    <x v="0"/>
    <n v="5"/>
  </r>
  <r>
    <s v="notes"/>
    <x v="0"/>
    <x v="1"/>
    <n v="2"/>
  </r>
  <r>
    <s v="Astro"/>
    <x v="0"/>
    <x v="0"/>
    <n v="3"/>
  </r>
  <r>
    <s v="Astro"/>
    <x v="8"/>
    <x v="0"/>
    <n v="3"/>
  </r>
  <r>
    <s v="Astro"/>
    <x v="10"/>
    <x v="0"/>
    <n v="3"/>
  </r>
  <r>
    <s v="hilt-sandbox"/>
    <x v="4"/>
    <x v="0"/>
    <n v="1"/>
  </r>
  <r>
    <s v="hilt-sandbox"/>
    <x v="0"/>
    <x v="0"/>
    <n v="1"/>
  </r>
  <r>
    <s v="hilt-sandbox"/>
    <x v="2"/>
    <x v="0"/>
    <n v="1"/>
  </r>
  <r>
    <s v="hilt-sandbox"/>
    <x v="8"/>
    <x v="0"/>
    <n v="1"/>
  </r>
  <r>
    <s v="hilt-sandbox"/>
    <x v="5"/>
    <x v="0"/>
    <n v="1"/>
  </r>
  <r>
    <s v="hilt-sandbox"/>
    <x v="10"/>
    <x v="0"/>
    <n v="1"/>
  </r>
  <r>
    <s v="datepickertimeline"/>
    <x v="9"/>
    <x v="1"/>
    <n v="1"/>
  </r>
  <r>
    <s v="android-navigation-with-compose"/>
    <x v="4"/>
    <x v="0"/>
    <n v="1"/>
  </r>
  <r>
    <s v="android-navigation-with-compose"/>
    <x v="5"/>
    <x v="0"/>
    <n v="1"/>
  </r>
  <r>
    <s v="android-navigation-with-compose"/>
    <x v="0"/>
    <x v="0"/>
    <n v="1"/>
  </r>
  <r>
    <s v="mmdb"/>
    <x v="0"/>
    <x v="0"/>
    <n v="4"/>
  </r>
  <r>
    <s v="Android-SimpleTimeTracker"/>
    <x v="9"/>
    <x v="0"/>
    <n v="2"/>
  </r>
  <r>
    <s v="Android-SimpleTimeTracker"/>
    <x v="13"/>
    <x v="0"/>
    <n v="2"/>
  </r>
  <r>
    <s v="Android-SimpleTimeTracker"/>
    <x v="0"/>
    <x v="0"/>
    <n v="2"/>
  </r>
  <r>
    <s v="release-probe"/>
    <x v="9"/>
    <x v="1"/>
    <n v="2"/>
  </r>
  <r>
    <s v="Easer"/>
    <x v="0"/>
    <x v="1"/>
    <n v="2"/>
  </r>
  <r>
    <s v="adopt-me-compose"/>
    <x v="4"/>
    <x v="0"/>
    <n v="1"/>
  </r>
  <r>
    <s v="adopt-me-compose"/>
    <x v="5"/>
    <x v="0"/>
    <n v="1"/>
  </r>
  <r>
    <s v="adopt-me-compose"/>
    <x v="0"/>
    <x v="0"/>
    <n v="1"/>
  </r>
  <r>
    <s v="CrossPlatformVstHost"/>
    <x v="9"/>
    <x v="1"/>
    <n v="1"/>
  </r>
  <r>
    <s v="compose-timer"/>
    <x v="4"/>
    <x v="0"/>
    <n v="1"/>
  </r>
  <r>
    <s v="compose-timer"/>
    <x v="5"/>
    <x v="0"/>
    <n v="1"/>
  </r>
  <r>
    <s v="compose-timer"/>
    <x v="0"/>
    <x v="0"/>
    <n v="1"/>
  </r>
  <r>
    <s v="Cofi"/>
    <x v="10"/>
    <x v="0"/>
    <n v="4"/>
  </r>
  <r>
    <s v="Compose-Scrobbler"/>
    <x v="0"/>
    <x v="1"/>
    <n v="2"/>
  </r>
  <r>
    <s v="android-dev-challenge-compose-week1"/>
    <x v="4"/>
    <x v="0"/>
    <n v="1"/>
  </r>
  <r>
    <s v="android-dev-challenge-compose-week1"/>
    <x v="5"/>
    <x v="0"/>
    <n v="1"/>
  </r>
  <r>
    <s v="android-dev-challenge-compose-week1"/>
    <x v="0"/>
    <x v="0"/>
    <n v="1"/>
  </r>
  <r>
    <s v="NY-Times-Popular-Articles"/>
    <x v="0"/>
    <x v="0"/>
    <n v="3"/>
  </r>
  <r>
    <s v="stardroid"/>
    <x v="0"/>
    <x v="0"/>
    <n v="3"/>
  </r>
  <r>
    <s v="NotePad"/>
    <x v="0"/>
    <x v="0"/>
    <n v="4"/>
  </r>
  <r>
    <s v="NotePad"/>
    <x v="7"/>
    <x v="0"/>
    <n v="4"/>
  </r>
  <r>
    <s v="NotePad"/>
    <x v="1"/>
    <x v="0"/>
    <n v="4"/>
  </r>
  <r>
    <s v="NotePad"/>
    <x v="2"/>
    <x v="0"/>
    <n v="4"/>
  </r>
  <r>
    <s v="NotePad"/>
    <x v="5"/>
    <x v="0"/>
    <n v="4"/>
  </r>
  <r>
    <s v="NotePad"/>
    <x v="3"/>
    <x v="0"/>
    <n v="4"/>
  </r>
  <r>
    <s v="otl-app"/>
    <x v="9"/>
    <x v="1"/>
    <n v="6"/>
  </r>
  <r>
    <s v="DagashiApp"/>
    <x v="10"/>
    <x v="1"/>
    <n v="2"/>
  </r>
  <r>
    <s v="arduino-usb-terminal"/>
    <x v="0"/>
    <x v="1"/>
    <n v="2"/>
  </r>
  <r>
    <s v="swisscovid-app-android"/>
    <x v="0"/>
    <x v="1"/>
    <n v="4"/>
  </r>
  <r>
    <s v="tasks"/>
    <x v="0"/>
    <x v="1"/>
    <n v="2"/>
  </r>
  <r>
    <s v="AmazeFileManager"/>
    <x v="9"/>
    <x v="0"/>
    <n v="5"/>
  </r>
  <r>
    <s v="AmazeFileManager"/>
    <x v="13"/>
    <x v="0"/>
    <n v="5"/>
  </r>
  <r>
    <s v="AmazeFileManager"/>
    <x v="14"/>
    <x v="0"/>
    <n v="5"/>
  </r>
  <r>
    <s v="NewPipe"/>
    <x v="1"/>
    <x v="1"/>
    <n v="3"/>
  </r>
  <r>
    <s v="NewPipe"/>
    <x v="8"/>
    <x v="1"/>
    <n v="3"/>
  </r>
  <r>
    <s v="jtxBoard"/>
    <x v="2"/>
    <x v="0"/>
    <n v="6"/>
  </r>
  <r>
    <s v="exif-thumbnail-adder"/>
    <x v="4"/>
    <x v="0"/>
    <n v="1"/>
  </r>
  <r>
    <s v="exif-thumbnail-adder"/>
    <x v="0"/>
    <x v="0"/>
    <n v="1"/>
  </r>
  <r>
    <s v="exif-thumbnail-adder"/>
    <x v="9"/>
    <x v="0"/>
    <n v="1"/>
  </r>
  <r>
    <s v="exif-thumbnail-adder"/>
    <x v="2"/>
    <x v="0"/>
    <n v="1"/>
  </r>
  <r>
    <s v="exif-thumbnail-adder"/>
    <x v="3"/>
    <x v="0"/>
    <n v="1"/>
  </r>
  <r>
    <s v="exif-thumbnail-adder"/>
    <x v="10"/>
    <x v="0"/>
    <n v="1"/>
  </r>
  <r>
    <s v="exif-thumbnail-adder"/>
    <x v="12"/>
    <x v="1"/>
    <n v="1"/>
  </r>
  <r>
    <s v="exif-thumbnail-adder"/>
    <x v="1"/>
    <x v="1"/>
    <n v="1"/>
  </r>
  <r>
    <s v="photochat"/>
    <x v="0"/>
    <x v="1"/>
    <n v="4"/>
  </r>
  <r>
    <s v="cis-android"/>
    <x v="2"/>
    <x v="1"/>
    <n v="4"/>
  </r>
  <r>
    <s v="TwidereX-Android"/>
    <x v="6"/>
    <x v="1"/>
    <n v="4"/>
  </r>
  <r>
    <s v="TwidereX-Android"/>
    <x v="10"/>
    <x v="1"/>
    <n v="4"/>
  </r>
  <r>
    <s v="TwidereX-Android"/>
    <x v="4"/>
    <x v="1"/>
    <n v="4"/>
  </r>
  <r>
    <s v="TwidereX-Android"/>
    <x v="9"/>
    <x v="1"/>
    <n v="4"/>
  </r>
  <r>
    <s v="TwidereX-Android"/>
    <x v="11"/>
    <x v="1"/>
    <n v="4"/>
  </r>
  <r>
    <s v="Twire"/>
    <x v="10"/>
    <x v="1"/>
    <n v="1"/>
  </r>
  <r>
    <s v="ObdGraphs"/>
    <x v="0"/>
    <x v="1"/>
    <n v="1"/>
  </r>
  <r>
    <s v="compose-material-dialogs"/>
    <x v="9"/>
    <x v="0"/>
    <n v="2"/>
  </r>
  <r>
    <s v="element-android"/>
    <x v="9"/>
    <x v="0"/>
    <n v="19"/>
  </r>
  <r>
    <s v="ci-matters"/>
    <x v="0"/>
    <x v="1"/>
    <n v="3"/>
  </r>
  <r>
    <s v="audio-recorder"/>
    <x v="9"/>
    <x v="0"/>
    <n v="2"/>
  </r>
  <r>
    <s v="audio-recorder"/>
    <x v="0"/>
    <x v="1"/>
    <n v="2"/>
  </r>
  <r>
    <s v="apps-android-wikipedia"/>
    <x v="0"/>
    <x v="1"/>
    <n v="4"/>
  </r>
  <r>
    <s v="yacguide"/>
    <x v="4"/>
    <x v="1"/>
    <n v="2"/>
  </r>
  <r>
    <s v="yacguide"/>
    <x v="1"/>
    <x v="1"/>
    <n v="2"/>
  </r>
  <r>
    <s v="AlarmClock"/>
    <x v="6"/>
    <x v="1"/>
    <n v="5"/>
  </r>
  <r>
    <s v="hyperrogue"/>
    <x v="9"/>
    <x v="1"/>
    <n v="3"/>
  </r>
  <r>
    <s v="ToxAndroidRefImpl"/>
    <x v="0"/>
    <x v="1"/>
    <n v="9"/>
  </r>
  <r>
    <s v="ToxAndroidRefImpl"/>
    <x v="2"/>
    <x v="1"/>
    <n v="9"/>
  </r>
  <r>
    <s v="ToxAndroidRefImpl"/>
    <x v="8"/>
    <x v="1"/>
    <n v="9"/>
  </r>
  <r>
    <s v="dialogue"/>
    <x v="4"/>
    <x v="0"/>
    <n v="1"/>
  </r>
  <r>
    <s v="dialogue"/>
    <x v="5"/>
    <x v="0"/>
    <n v="1"/>
  </r>
  <r>
    <s v="dialogue"/>
    <x v="10"/>
    <x v="0"/>
    <n v="1"/>
  </r>
  <r>
    <m/>
    <x v="15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8">
  <r>
    <s v="ez-recipes-android"/>
    <x v="0"/>
    <s v="matrix"/>
    <n v="2"/>
    <x v="0"/>
  </r>
  <r>
    <s v="ez-recipes-android"/>
    <x v="1"/>
    <s v="matrix"/>
    <n v="2"/>
    <x v="0"/>
  </r>
  <r>
    <s v="ez-recipes-android"/>
    <x v="2"/>
    <s v="matrix"/>
    <n v="2"/>
    <x v="0"/>
  </r>
  <r>
    <s v="android"/>
    <x v="3"/>
    <s v="matrix"/>
    <n v="41"/>
    <x v="1"/>
  </r>
  <r>
    <s v="android"/>
    <x v="2"/>
    <s v="matrix"/>
    <n v="41"/>
    <x v="1"/>
  </r>
  <r>
    <s v="RLAD"/>
    <x v="0"/>
    <s v="hardcoded"/>
    <n v="1"/>
    <x v="2"/>
  </r>
  <r>
    <s v="compose-challenges"/>
    <x v="4"/>
    <s v="matrix"/>
    <n v="1"/>
    <x v="3"/>
  </r>
  <r>
    <s v="compose-challenges"/>
    <x v="5"/>
    <s v="matrix"/>
    <n v="1"/>
    <x v="3"/>
  </r>
  <r>
    <s v="compose-challenges"/>
    <x v="0"/>
    <s v="matrix"/>
    <n v="1"/>
    <x v="3"/>
  </r>
  <r>
    <s v="secure-storage-android"/>
    <x v="0"/>
    <s v="matrix"/>
    <n v="3"/>
    <x v="4"/>
  </r>
  <r>
    <s v="secure-storage-android"/>
    <x v="5"/>
    <s v="matrix"/>
    <n v="3"/>
    <x v="4"/>
  </r>
  <r>
    <s v="secure-storage-android"/>
    <x v="6"/>
    <s v="matrix"/>
    <n v="3"/>
    <x v="4"/>
  </r>
  <r>
    <s v="secure-storage-android"/>
    <x v="7"/>
    <s v="matrix"/>
    <n v="3"/>
    <x v="4"/>
  </r>
  <r>
    <s v="secure-storage-android"/>
    <x v="8"/>
    <s v="matrix"/>
    <n v="3"/>
    <x v="4"/>
  </r>
  <r>
    <s v="ExpenseManager"/>
    <x v="0"/>
    <s v="hardcoded"/>
    <n v="1"/>
    <x v="5"/>
  </r>
  <r>
    <s v="Palette-Compose"/>
    <x v="0"/>
    <s v="hardcoded"/>
    <n v="2"/>
    <x v="6"/>
  </r>
  <r>
    <s v="FastShopping"/>
    <x v="9"/>
    <s v="hardcoded"/>
    <n v="6"/>
    <x v="7"/>
  </r>
  <r>
    <s v="RickAndMorty"/>
    <x v="0"/>
    <s v="hardcoded"/>
    <n v="6"/>
    <x v="8"/>
  </r>
  <r>
    <s v="CoffeeDrinksWithJetpackCompose"/>
    <x v="2"/>
    <s v="hardcoded"/>
    <n v="2"/>
    <x v="9"/>
  </r>
  <r>
    <s v="and-bible"/>
    <x v="2"/>
    <s v="hardcoded"/>
    <n v="7"/>
    <x v="10"/>
  </r>
  <r>
    <s v="trekarta"/>
    <x v="5"/>
    <s v="matrix"/>
    <n v="3"/>
    <x v="11"/>
  </r>
  <r>
    <s v="trekarta"/>
    <x v="0"/>
    <s v="matrix"/>
    <n v="3"/>
    <x v="11"/>
  </r>
  <r>
    <s v="Anki-Android"/>
    <x v="10"/>
    <s v="matrix"/>
    <n v="12"/>
    <x v="12"/>
  </r>
  <r>
    <s v="AntennaPod"/>
    <x v="10"/>
    <s v="hardcoded"/>
    <n v="2"/>
    <x v="13"/>
  </r>
  <r>
    <s v="EasyRecipe"/>
    <x v="9"/>
    <s v="hardcoded"/>
    <n v="3"/>
    <x v="14"/>
  </r>
  <r>
    <s v="weather-forecast-ID"/>
    <x v="0"/>
    <s v="hardcoded"/>
    <n v="3"/>
    <x v="15"/>
  </r>
  <r>
    <s v="Aegis"/>
    <x v="2"/>
    <s v="hardcoded"/>
    <n v="3"/>
    <x v="16"/>
  </r>
  <r>
    <s v="mobile"/>
    <x v="2"/>
    <s v="hardcoded"/>
    <n v="9"/>
    <x v="17"/>
  </r>
  <r>
    <s v="icsx5"/>
    <x v="2"/>
    <s v="matrix"/>
    <n v="4"/>
    <x v="18"/>
  </r>
  <r>
    <s v="learn-braille"/>
    <x v="0"/>
    <s v="hardcoded"/>
    <n v="1"/>
    <x v="19"/>
  </r>
  <r>
    <s v="sdp-project"/>
    <x v="11"/>
    <s v="hardcoded"/>
    <n v="1"/>
    <x v="20"/>
  </r>
  <r>
    <s v="Bookworm"/>
    <x v="0"/>
    <s v="hardcoded"/>
    <n v="2"/>
    <x v="21"/>
  </r>
  <r>
    <s v="Bark"/>
    <x v="4"/>
    <s v="matrix"/>
    <n v="1"/>
    <x v="22"/>
  </r>
  <r>
    <s v="Bark"/>
    <x v="5"/>
    <s v="matrix"/>
    <n v="1"/>
    <x v="22"/>
  </r>
  <r>
    <s v="Bark"/>
    <x v="0"/>
    <s v="matrix"/>
    <n v="1"/>
    <x v="22"/>
  </r>
  <r>
    <s v="curriculumvitae"/>
    <x v="4"/>
    <s v="matrix"/>
    <n v="3"/>
    <x v="23"/>
  </r>
  <r>
    <s v="curriculumvitae"/>
    <x v="0"/>
    <s v="matrix"/>
    <n v="3"/>
    <x v="23"/>
  </r>
  <r>
    <s v="curriculumvitae"/>
    <x v="9"/>
    <s v="matrix"/>
    <n v="3"/>
    <x v="23"/>
  </r>
  <r>
    <s v="curriculumvitae"/>
    <x v="2"/>
    <s v="matrix"/>
    <n v="3"/>
    <x v="23"/>
  </r>
  <r>
    <s v="curriculumvitae"/>
    <x v="10"/>
    <s v="hardcoded"/>
    <n v="3"/>
    <x v="23"/>
  </r>
  <r>
    <s v="connectbot"/>
    <x v="9"/>
    <s v="hardcoded"/>
    <n v="4"/>
    <x v="24"/>
  </r>
  <r>
    <s v="atom-tasks"/>
    <x v="0"/>
    <s v="hardcoded"/>
    <n v="2"/>
    <x v="25"/>
  </r>
  <r>
    <s v="MetadataRemover"/>
    <x v="7"/>
    <s v="hardcoded"/>
    <n v="2"/>
    <x v="26"/>
  </r>
  <r>
    <s v="Marvel"/>
    <x v="4"/>
    <s v="matrix"/>
    <n v="1"/>
    <x v="27"/>
  </r>
  <r>
    <s v="Marvel"/>
    <x v="5"/>
    <s v="matrix"/>
    <n v="1"/>
    <x v="27"/>
  </r>
  <r>
    <s v="Marvel"/>
    <x v="0"/>
    <s v="matrix"/>
    <n v="1"/>
    <x v="27"/>
  </r>
  <r>
    <s v="droid-feed"/>
    <x v="0"/>
    <s v="matrix"/>
    <n v="2"/>
    <x v="28"/>
  </r>
  <r>
    <s v="droid-feed"/>
    <x v="8"/>
    <s v="matrix"/>
    <n v="2"/>
    <x v="28"/>
  </r>
  <r>
    <s v="any"/>
    <x v="2"/>
    <s v="hardcoded"/>
    <n v="4"/>
    <x v="29"/>
  </r>
  <r>
    <s v="conference-app-2021"/>
    <x v="4"/>
    <s v="matrix"/>
    <n v="9"/>
    <x v="30"/>
  </r>
  <r>
    <s v="conference-app-2021"/>
    <x v="5"/>
    <s v="matrix"/>
    <n v="9"/>
    <x v="30"/>
  </r>
  <r>
    <s v="conference-app-2021"/>
    <x v="0"/>
    <s v="matrix"/>
    <n v="9"/>
    <x v="30"/>
  </r>
  <r>
    <s v="conference-app-2021"/>
    <x v="8"/>
    <s v="matrix"/>
    <n v="9"/>
    <x v="30"/>
  </r>
  <r>
    <s v="jetpuppy"/>
    <x v="4"/>
    <s v="matrix"/>
    <n v="1"/>
    <x v="31"/>
  </r>
  <r>
    <s v="jetpuppy"/>
    <x v="5"/>
    <s v="matrix"/>
    <n v="1"/>
    <x v="31"/>
  </r>
  <r>
    <s v="jetpuppy"/>
    <x v="0"/>
    <s v="matrix"/>
    <n v="1"/>
    <x v="31"/>
  </r>
  <r>
    <s v="euphony-hub-collector"/>
    <x v="9"/>
    <s v="matrix"/>
    <n v="1"/>
    <x v="32"/>
  </r>
  <r>
    <s v="EventFahrplan"/>
    <x v="8"/>
    <s v="hardcoded"/>
    <n v="2"/>
    <x v="33"/>
  </r>
  <r>
    <s v="aTox"/>
    <x v="2"/>
    <s v="hardcoded"/>
    <n v="2"/>
    <x v="34"/>
  </r>
  <r>
    <s v="shachi"/>
    <x v="2"/>
    <s v="hardcoded"/>
    <n v="2"/>
    <x v="35"/>
  </r>
  <r>
    <s v="Todo-compose"/>
    <x v="0"/>
    <s v="hardcoded"/>
    <n v="3"/>
    <x v="36"/>
  </r>
  <r>
    <s v="Omni-Notes"/>
    <x v="10"/>
    <s v="hardcoded"/>
    <n v="2"/>
    <x v="37"/>
  </r>
  <r>
    <s v="marvel-app"/>
    <x v="8"/>
    <s v="hardcoded"/>
    <n v="3"/>
    <x v="38"/>
  </r>
  <r>
    <s v="mobile-app"/>
    <x v="12"/>
    <s v="hardcoded"/>
    <n v="3"/>
    <x v="39"/>
  </r>
  <r>
    <s v="Transportr"/>
    <x v="0"/>
    <s v="matrix"/>
    <n v="1"/>
    <x v="40"/>
  </r>
  <r>
    <s v="Transportr"/>
    <x v="2"/>
    <s v="matrix"/>
    <n v="1"/>
    <x v="40"/>
  </r>
  <r>
    <s v="Transportr"/>
    <x v="8"/>
    <s v="matrix"/>
    <n v="1"/>
    <x v="40"/>
  </r>
  <r>
    <s v="OneHotMinute-Compose"/>
    <x v="4"/>
    <s v="matrix"/>
    <n v="1"/>
    <x v="41"/>
  </r>
  <r>
    <s v="OneHotMinute-Compose"/>
    <x v="5"/>
    <s v="matrix"/>
    <n v="1"/>
    <x v="41"/>
  </r>
  <r>
    <s v="OneHotMinute-Compose"/>
    <x v="0"/>
    <s v="matrix"/>
    <n v="1"/>
    <x v="41"/>
  </r>
  <r>
    <s v="Zoo-Compose"/>
    <x v="4"/>
    <s v="matrix"/>
    <n v="1"/>
    <x v="42"/>
  </r>
  <r>
    <s v="Zoo-Compose"/>
    <x v="5"/>
    <s v="matrix"/>
    <n v="1"/>
    <x v="42"/>
  </r>
  <r>
    <s v="Zoo-Compose"/>
    <x v="0"/>
    <s v="matrix"/>
    <n v="1"/>
    <x v="42"/>
  </r>
  <r>
    <s v="android-dev-challenge-compose-countdown-timer"/>
    <x v="4"/>
    <s v="matrix"/>
    <n v="1"/>
    <x v="43"/>
  </r>
  <r>
    <s v="android-dev-challenge-compose-countdown-timer"/>
    <x v="5"/>
    <s v="matrix"/>
    <n v="1"/>
    <x v="43"/>
  </r>
  <r>
    <s v="android-dev-challenge-compose-countdown-timer"/>
    <x v="0"/>
    <s v="matrix"/>
    <n v="1"/>
    <x v="43"/>
  </r>
  <r>
    <s v="KotlinAndroidBase"/>
    <x v="9"/>
    <s v="matrix"/>
    <n v="1"/>
    <x v="44"/>
  </r>
  <r>
    <s v="MoonShot"/>
    <x v="0"/>
    <s v="hardcoded"/>
    <n v="1"/>
    <x v="45"/>
  </r>
  <r>
    <s v="hash-checker"/>
    <x v="3"/>
    <s v="hardcoded"/>
    <n v="2"/>
    <x v="46"/>
  </r>
  <r>
    <s v="android-kDrive"/>
    <x v="2"/>
    <s v="matrix"/>
    <n v="2"/>
    <x v="47"/>
  </r>
  <r>
    <s v="android-kMail"/>
    <x v="2"/>
    <s v="matrix"/>
    <n v="5"/>
    <x v="48"/>
  </r>
  <r>
    <s v="15Puzzle"/>
    <x v="0"/>
    <s v="hardcoded"/>
    <n v="2"/>
    <x v="49"/>
  </r>
  <r>
    <s v="NewsApp-Retrofit"/>
    <x v="5"/>
    <s v="matrix"/>
    <n v="2"/>
    <x v="50"/>
  </r>
  <r>
    <s v="NewsApp-Retrofit"/>
    <x v="0"/>
    <s v="matrix"/>
    <n v="2"/>
    <x v="50"/>
  </r>
  <r>
    <s v="NewsApp-Retrofit"/>
    <x v="8"/>
    <s v="matrix"/>
    <n v="2"/>
    <x v="50"/>
  </r>
  <r>
    <s v="kiwix-android"/>
    <x v="1"/>
    <s v="matrix"/>
    <n v="5"/>
    <x v="51"/>
  </r>
  <r>
    <s v="kiwix-android"/>
    <x v="8"/>
    <s v="matrix"/>
    <n v="5"/>
    <x v="51"/>
  </r>
  <r>
    <s v="kiwix-android"/>
    <x v="10"/>
    <s v="matrix"/>
    <n v="5"/>
    <x v="51"/>
  </r>
  <r>
    <s v="android-starter-2022"/>
    <x v="11"/>
    <s v="hardcoded"/>
    <n v="1"/>
    <x v="52"/>
  </r>
  <r>
    <s v="cat-adoption-app"/>
    <x v="4"/>
    <s v="matrix"/>
    <n v="1"/>
    <x v="53"/>
  </r>
  <r>
    <s v="cat-adoption-app"/>
    <x v="5"/>
    <s v="matrix"/>
    <n v="1"/>
    <x v="53"/>
  </r>
  <r>
    <s v="cat-adoption-app"/>
    <x v="0"/>
    <s v="matrix"/>
    <n v="1"/>
    <x v="53"/>
  </r>
  <r>
    <s v="my-soothe"/>
    <x v="4"/>
    <s v="matrix"/>
    <n v="1"/>
    <x v="54"/>
  </r>
  <r>
    <s v="my-soothe"/>
    <x v="5"/>
    <s v="matrix"/>
    <n v="1"/>
    <x v="54"/>
  </r>
  <r>
    <s v="my-soothe"/>
    <x v="0"/>
    <s v="matrix"/>
    <n v="1"/>
    <x v="54"/>
  </r>
  <r>
    <s v="we-trade"/>
    <x v="4"/>
    <s v="matrix"/>
    <n v="1"/>
    <x v="55"/>
  </r>
  <r>
    <s v="we-trade"/>
    <x v="5"/>
    <s v="matrix"/>
    <n v="1"/>
    <x v="55"/>
  </r>
  <r>
    <s v="we-trade"/>
    <x v="0"/>
    <s v="matrix"/>
    <n v="1"/>
    <x v="55"/>
  </r>
  <r>
    <s v="compose-kotlin-repositories"/>
    <x v="0"/>
    <s v="matrix"/>
    <n v="1"/>
    <x v="56"/>
  </r>
  <r>
    <s v="Smilodon"/>
    <x v="0"/>
    <s v="hardcoded"/>
    <n v="1"/>
    <x v="57"/>
  </r>
  <r>
    <s v="cht-android"/>
    <x v="0"/>
    <s v="hardcoded"/>
    <n v="2"/>
    <x v="58"/>
  </r>
  <r>
    <s v="greenpass-android"/>
    <x v="2"/>
    <s v="hardcoded"/>
    <n v="4"/>
    <x v="59"/>
  </r>
  <r>
    <s v="virtual_traveller_flutter"/>
    <x v="5"/>
    <s v="matrix"/>
    <n v="3"/>
    <x v="60"/>
  </r>
  <r>
    <s v="virtual_traveller_flutter"/>
    <x v="0"/>
    <s v="matrix"/>
    <n v="3"/>
    <x v="60"/>
  </r>
  <r>
    <s v="bluelineconsole"/>
    <x v="0"/>
    <s v="matrix"/>
    <n v="3"/>
    <x v="61"/>
  </r>
  <r>
    <s v="bluelineconsole"/>
    <x v="6"/>
    <s v="matrix"/>
    <n v="3"/>
    <x v="61"/>
  </r>
  <r>
    <s v="onebusaway-android"/>
    <x v="11"/>
    <s v="matrix"/>
    <n v="1"/>
    <x v="62"/>
  </r>
  <r>
    <s v="onebusaway-android"/>
    <x v="0"/>
    <s v="matrix"/>
    <n v="1"/>
    <x v="62"/>
  </r>
  <r>
    <s v="probe-android"/>
    <x v="0"/>
    <s v="matrix"/>
    <n v="4"/>
    <x v="63"/>
  </r>
  <r>
    <s v="OpenDocument"/>
    <x v="0"/>
    <s v="hardcoded"/>
    <n v="1"/>
    <x v="64"/>
  </r>
  <r>
    <s v="OpenDocument"/>
    <x v="13"/>
    <s v="hardcoded"/>
    <n v="1"/>
    <x v="64"/>
  </r>
  <r>
    <s v="OpenDocument"/>
    <x v="8"/>
    <s v="hardcoded"/>
    <n v="1"/>
    <x v="64"/>
  </r>
  <r>
    <s v="myweatherforecast"/>
    <x v="0"/>
    <s v="hardcoded"/>
    <n v="1"/>
    <x v="65"/>
  </r>
  <r>
    <s v="puppy-adoption-app"/>
    <x v="4"/>
    <s v="matrix"/>
    <n v="1"/>
    <x v="66"/>
  </r>
  <r>
    <s v="puppy-adoption-app"/>
    <x v="5"/>
    <s v="matrix"/>
    <n v="1"/>
    <x v="66"/>
  </r>
  <r>
    <s v="puppy-adoption-app"/>
    <x v="0"/>
    <s v="matrix"/>
    <n v="1"/>
    <x v="66"/>
  </r>
  <r>
    <s v="weather-app-compose"/>
    <x v="4"/>
    <s v="matrix"/>
    <n v="1"/>
    <x v="67"/>
  </r>
  <r>
    <s v="weather-app-compose"/>
    <x v="5"/>
    <s v="matrix"/>
    <n v="1"/>
    <x v="67"/>
  </r>
  <r>
    <s v="weather-app-compose"/>
    <x v="0"/>
    <s v="matrix"/>
    <n v="1"/>
    <x v="67"/>
  </r>
  <r>
    <s v="peercoin_flutter"/>
    <x v="0"/>
    <s v="matrix"/>
    <n v="2"/>
    <x v="68"/>
  </r>
  <r>
    <s v="peercoin_flutter"/>
    <x v="2"/>
    <s v="matrix"/>
    <n v="2"/>
    <x v="68"/>
  </r>
  <r>
    <s v="peercoin_flutter"/>
    <x v="10"/>
    <s v="matrix"/>
    <n v="2"/>
    <x v="68"/>
  </r>
  <r>
    <s v="persian-calendar"/>
    <x v="0"/>
    <s v="matrix"/>
    <n v="5"/>
    <x v="69"/>
  </r>
  <r>
    <s v="notes"/>
    <x v="0"/>
    <s v="hardcoded"/>
    <n v="2"/>
    <x v="70"/>
  </r>
  <r>
    <s v="Astro"/>
    <x v="0"/>
    <s v="matrix"/>
    <n v="3"/>
    <x v="71"/>
  </r>
  <r>
    <s v="Astro"/>
    <x v="8"/>
    <s v="matrix"/>
    <n v="3"/>
    <x v="71"/>
  </r>
  <r>
    <s v="Astro"/>
    <x v="10"/>
    <s v="matrix"/>
    <n v="3"/>
    <x v="71"/>
  </r>
  <r>
    <s v="hilt-sandbox"/>
    <x v="4"/>
    <s v="matrix"/>
    <n v="1"/>
    <x v="72"/>
  </r>
  <r>
    <s v="hilt-sandbox"/>
    <x v="0"/>
    <s v="matrix"/>
    <n v="1"/>
    <x v="72"/>
  </r>
  <r>
    <s v="hilt-sandbox"/>
    <x v="2"/>
    <s v="matrix"/>
    <n v="1"/>
    <x v="72"/>
  </r>
  <r>
    <s v="hilt-sandbox"/>
    <x v="8"/>
    <s v="matrix"/>
    <n v="1"/>
    <x v="72"/>
  </r>
  <r>
    <s v="hilt-sandbox"/>
    <x v="5"/>
    <s v="matrix"/>
    <n v="1"/>
    <x v="72"/>
  </r>
  <r>
    <s v="hilt-sandbox"/>
    <x v="10"/>
    <s v="matrix"/>
    <n v="1"/>
    <x v="72"/>
  </r>
  <r>
    <s v="datepickertimeline"/>
    <x v="9"/>
    <s v="hardcoded"/>
    <n v="1"/>
    <x v="73"/>
  </r>
  <r>
    <s v="android-navigation-with-compose"/>
    <x v="4"/>
    <s v="matrix"/>
    <n v="1"/>
    <x v="74"/>
  </r>
  <r>
    <s v="android-navigation-with-compose"/>
    <x v="5"/>
    <s v="matrix"/>
    <n v="1"/>
    <x v="74"/>
  </r>
  <r>
    <s v="android-navigation-with-compose"/>
    <x v="0"/>
    <s v="matrix"/>
    <n v="1"/>
    <x v="74"/>
  </r>
  <r>
    <s v="mmdb"/>
    <x v="0"/>
    <s v="matrix"/>
    <n v="4"/>
    <x v="48"/>
  </r>
  <r>
    <s v="Android-SimpleTimeTracker"/>
    <x v="9"/>
    <s v="matrix"/>
    <n v="2"/>
    <x v="75"/>
  </r>
  <r>
    <s v="Android-SimpleTimeTracker"/>
    <x v="13"/>
    <s v="matrix"/>
    <n v="2"/>
    <x v="75"/>
  </r>
  <r>
    <s v="Android-SimpleTimeTracker"/>
    <x v="0"/>
    <s v="matrix"/>
    <n v="2"/>
    <x v="75"/>
  </r>
  <r>
    <s v="release-probe"/>
    <x v="9"/>
    <s v="hardcoded"/>
    <n v="2"/>
    <x v="76"/>
  </r>
  <r>
    <s v="Easer"/>
    <x v="0"/>
    <s v="hardcoded"/>
    <n v="2"/>
    <x v="77"/>
  </r>
  <r>
    <s v="adopt-me-compose"/>
    <x v="4"/>
    <s v="matrix"/>
    <n v="1"/>
    <x v="78"/>
  </r>
  <r>
    <s v="adopt-me-compose"/>
    <x v="5"/>
    <s v="matrix"/>
    <n v="1"/>
    <x v="78"/>
  </r>
  <r>
    <s v="adopt-me-compose"/>
    <x v="0"/>
    <s v="matrix"/>
    <n v="1"/>
    <x v="78"/>
  </r>
  <r>
    <s v="CrossPlatformVstHost"/>
    <x v="9"/>
    <s v="hardcoded"/>
    <n v="1"/>
    <x v="79"/>
  </r>
  <r>
    <s v="compose-timer"/>
    <x v="4"/>
    <s v="matrix"/>
    <n v="1"/>
    <x v="80"/>
  </r>
  <r>
    <s v="compose-timer"/>
    <x v="5"/>
    <s v="matrix"/>
    <n v="1"/>
    <x v="80"/>
  </r>
  <r>
    <s v="compose-timer"/>
    <x v="0"/>
    <s v="matrix"/>
    <n v="1"/>
    <x v="80"/>
  </r>
  <r>
    <s v="Cofi"/>
    <x v="10"/>
    <s v="matrix"/>
    <n v="4"/>
    <x v="81"/>
  </r>
  <r>
    <s v="Compose-Scrobbler"/>
    <x v="0"/>
    <s v="hardcoded"/>
    <n v="2"/>
    <x v="82"/>
  </r>
  <r>
    <s v="android-dev-challenge-compose-week1"/>
    <x v="4"/>
    <s v="matrix"/>
    <n v="1"/>
    <x v="83"/>
  </r>
  <r>
    <s v="android-dev-challenge-compose-week1"/>
    <x v="5"/>
    <s v="matrix"/>
    <n v="1"/>
    <x v="83"/>
  </r>
  <r>
    <s v="android-dev-challenge-compose-week1"/>
    <x v="0"/>
    <s v="matrix"/>
    <n v="1"/>
    <x v="83"/>
  </r>
  <r>
    <s v="NY-Times-Popular-Articles"/>
    <x v="0"/>
    <s v="matrix"/>
    <n v="3"/>
    <x v="84"/>
  </r>
  <r>
    <s v="stardroid"/>
    <x v="0"/>
    <s v="matrix"/>
    <n v="3"/>
    <x v="85"/>
  </r>
  <r>
    <s v="NotePad"/>
    <x v="0"/>
    <s v="matrix"/>
    <n v="4"/>
    <x v="86"/>
  </r>
  <r>
    <s v="NotePad"/>
    <x v="7"/>
    <s v="matrix"/>
    <n v="4"/>
    <x v="86"/>
  </r>
  <r>
    <s v="NotePad"/>
    <x v="1"/>
    <s v="matrix"/>
    <n v="4"/>
    <x v="86"/>
  </r>
  <r>
    <s v="NotePad"/>
    <x v="2"/>
    <s v="matrix"/>
    <n v="4"/>
    <x v="86"/>
  </r>
  <r>
    <s v="NotePad"/>
    <x v="5"/>
    <s v="matrix"/>
    <n v="4"/>
    <x v="86"/>
  </r>
  <r>
    <s v="NotePad"/>
    <x v="3"/>
    <s v="matrix"/>
    <n v="4"/>
    <x v="86"/>
  </r>
  <r>
    <s v="otl-app"/>
    <x v="9"/>
    <s v="hardcoded"/>
    <n v="6"/>
    <x v="87"/>
  </r>
  <r>
    <s v="DagashiApp"/>
    <x v="10"/>
    <s v="hardcoded"/>
    <n v="2"/>
    <x v="88"/>
  </r>
  <r>
    <s v="arduino-usb-terminal"/>
    <x v="0"/>
    <s v="hardcoded"/>
    <n v="2"/>
    <x v="89"/>
  </r>
  <r>
    <s v="swisscovid-app-android"/>
    <x v="0"/>
    <s v="hardcoded"/>
    <n v="4"/>
    <x v="90"/>
  </r>
  <r>
    <s v="tasks"/>
    <x v="0"/>
    <s v="hardcoded"/>
    <n v="2"/>
    <x v="91"/>
  </r>
  <r>
    <s v="AmazeFileManager"/>
    <x v="9"/>
    <s v="matrix"/>
    <n v="5"/>
    <x v="92"/>
  </r>
  <r>
    <s v="AmazeFileManager"/>
    <x v="13"/>
    <s v="matrix"/>
    <n v="5"/>
    <x v="92"/>
  </r>
  <r>
    <s v="AmazeFileManager"/>
    <x v="14"/>
    <s v="matrix"/>
    <n v="5"/>
    <x v="92"/>
  </r>
  <r>
    <s v="NewPipe"/>
    <x v="1"/>
    <s v="hardcoded"/>
    <n v="3"/>
    <x v="93"/>
  </r>
  <r>
    <s v="NewPipe"/>
    <x v="8"/>
    <s v="hardcoded"/>
    <n v="3"/>
    <x v="93"/>
  </r>
  <r>
    <s v="jtxBoard"/>
    <x v="2"/>
    <s v="matrix"/>
    <n v="6"/>
    <x v="94"/>
  </r>
  <r>
    <s v="exif-thumbnail-adder"/>
    <x v="4"/>
    <s v="matrix"/>
    <n v="1"/>
    <x v="95"/>
  </r>
  <r>
    <s v="exif-thumbnail-adder"/>
    <x v="0"/>
    <s v="matrix"/>
    <n v="1"/>
    <x v="95"/>
  </r>
  <r>
    <s v="exif-thumbnail-adder"/>
    <x v="9"/>
    <s v="matrix"/>
    <n v="1"/>
    <x v="95"/>
  </r>
  <r>
    <s v="exif-thumbnail-adder"/>
    <x v="2"/>
    <s v="matrix"/>
    <n v="1"/>
    <x v="95"/>
  </r>
  <r>
    <s v="exif-thumbnail-adder"/>
    <x v="3"/>
    <s v="matrix"/>
    <n v="1"/>
    <x v="95"/>
  </r>
  <r>
    <s v="exif-thumbnail-adder"/>
    <x v="10"/>
    <s v="matrix"/>
    <n v="1"/>
    <x v="95"/>
  </r>
  <r>
    <s v="exif-thumbnail-adder"/>
    <x v="12"/>
    <s v="hardcoded"/>
    <n v="1"/>
    <x v="95"/>
  </r>
  <r>
    <s v="exif-thumbnail-adder"/>
    <x v="1"/>
    <s v="hardcoded"/>
    <n v="1"/>
    <x v="95"/>
  </r>
  <r>
    <s v="photochat"/>
    <x v="0"/>
    <s v="hardcoded"/>
    <n v="4"/>
    <x v="96"/>
  </r>
  <r>
    <s v="cis-android"/>
    <x v="2"/>
    <s v="hardcoded"/>
    <n v="4"/>
    <x v="97"/>
  </r>
  <r>
    <s v="TwidereX-Android"/>
    <x v="6"/>
    <s v="hardcoded"/>
    <n v="4"/>
    <x v="98"/>
  </r>
  <r>
    <s v="TwidereX-Android"/>
    <x v="10"/>
    <s v="hardcoded"/>
    <n v="4"/>
    <x v="98"/>
  </r>
  <r>
    <s v="TwidereX-Android"/>
    <x v="4"/>
    <s v="hardcoded"/>
    <n v="4"/>
    <x v="98"/>
  </r>
  <r>
    <s v="TwidereX-Android"/>
    <x v="9"/>
    <s v="hardcoded"/>
    <n v="4"/>
    <x v="98"/>
  </r>
  <r>
    <s v="TwidereX-Android"/>
    <x v="11"/>
    <s v="hardcoded"/>
    <n v="4"/>
    <x v="98"/>
  </r>
  <r>
    <s v="Twire"/>
    <x v="10"/>
    <s v="hardcoded"/>
    <n v="1"/>
    <x v="99"/>
  </r>
  <r>
    <s v="ObdGraphs"/>
    <x v="0"/>
    <s v="hardcoded"/>
    <n v="1"/>
    <x v="100"/>
  </r>
  <r>
    <s v="compose-material-dialogs"/>
    <x v="9"/>
    <s v="matrix"/>
    <n v="2"/>
    <x v="101"/>
  </r>
  <r>
    <s v="element-android"/>
    <x v="9"/>
    <s v="matrix"/>
    <n v="19"/>
    <x v="102"/>
  </r>
  <r>
    <s v="ci-matters"/>
    <x v="0"/>
    <s v="hardcoded"/>
    <n v="3"/>
    <x v="103"/>
  </r>
  <r>
    <s v="audio-recorder"/>
    <x v="9"/>
    <s v="matrix"/>
    <n v="2"/>
    <x v="104"/>
  </r>
  <r>
    <s v="audio-recorder"/>
    <x v="0"/>
    <s v="hardcoded"/>
    <n v="2"/>
    <x v="104"/>
  </r>
  <r>
    <s v="apps-android-wikipedia"/>
    <x v="0"/>
    <s v="hardcoded"/>
    <n v="4"/>
    <x v="105"/>
  </r>
  <r>
    <s v="yacguide"/>
    <x v="4"/>
    <s v="hardcoded"/>
    <n v="2"/>
    <x v="106"/>
  </r>
  <r>
    <s v="yacguide"/>
    <x v="1"/>
    <s v="hardcoded"/>
    <n v="2"/>
    <x v="106"/>
  </r>
  <r>
    <s v="AlarmClock"/>
    <x v="6"/>
    <s v="hardcoded"/>
    <n v="5"/>
    <x v="107"/>
  </r>
  <r>
    <s v="hyperrogue"/>
    <x v="9"/>
    <s v="hardcoded"/>
    <n v="3"/>
    <x v="108"/>
  </r>
  <r>
    <s v="ToxAndroidRefImpl"/>
    <x v="0"/>
    <s v="hardcoded"/>
    <n v="9"/>
    <x v="109"/>
  </r>
  <r>
    <s v="ToxAndroidRefImpl"/>
    <x v="2"/>
    <s v="hardcoded"/>
    <n v="9"/>
    <x v="109"/>
  </r>
  <r>
    <s v="ToxAndroidRefImpl"/>
    <x v="8"/>
    <s v="hardcoded"/>
    <n v="9"/>
    <x v="109"/>
  </r>
  <r>
    <s v="dialogue"/>
    <x v="4"/>
    <s v="matrix"/>
    <n v="1"/>
    <x v="110"/>
  </r>
  <r>
    <s v="dialogue"/>
    <x v="5"/>
    <s v="matrix"/>
    <n v="1"/>
    <x v="110"/>
  </r>
  <r>
    <s v="dialogue"/>
    <x v="10"/>
    <s v="matrix"/>
    <n v="1"/>
    <x v="110"/>
  </r>
  <r>
    <m/>
    <x v="15"/>
    <m/>
    <m/>
    <x v="1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M3:N19" firstHeaderRow="1" firstDataRow="1" firstDataCol="1" rowPageCount="1" colPageCount="1"/>
  <pivotFields count="5">
    <pivotField dataField="1" showAll="0"/>
    <pivotField axis="axisRow" showAll="0" sortType="descending">
      <items count="17">
        <item x="14"/>
        <item x="13"/>
        <item x="8"/>
        <item x="6"/>
        <item x="5"/>
        <item x="11"/>
        <item x="7"/>
        <item x="4"/>
        <item x="3"/>
        <item x="9"/>
        <item x="0"/>
        <item x="10"/>
        <item x="2"/>
        <item x="12"/>
        <item x="1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113">
        <item x="49"/>
        <item x="78"/>
        <item x="16"/>
        <item x="107"/>
        <item x="92"/>
        <item x="10"/>
        <item x="1"/>
        <item x="43"/>
        <item x="83"/>
        <item x="47"/>
        <item x="74"/>
        <item x="75"/>
        <item x="52"/>
        <item x="12"/>
        <item x="13"/>
        <item x="29"/>
        <item x="105"/>
        <item x="89"/>
        <item x="71"/>
        <item x="25"/>
        <item x="34"/>
        <item x="104"/>
        <item x="22"/>
        <item x="61"/>
        <item x="21"/>
        <item x="53"/>
        <item x="58"/>
        <item x="103"/>
        <item x="97"/>
        <item x="9"/>
        <item x="81"/>
        <item x="3"/>
        <item x="56"/>
        <item x="101"/>
        <item x="82"/>
        <item x="80"/>
        <item x="30"/>
        <item x="24"/>
        <item x="79"/>
        <item x="23"/>
        <item x="88"/>
        <item x="73"/>
        <item x="110"/>
        <item x="28"/>
        <item x="77"/>
        <item x="14"/>
        <item x="102"/>
        <item x="32"/>
        <item x="33"/>
        <item x="95"/>
        <item x="5"/>
        <item x="0"/>
        <item x="7"/>
        <item x="59"/>
        <item x="46"/>
        <item x="72"/>
        <item x="108"/>
        <item x="18"/>
        <item x="31"/>
        <item x="94"/>
        <item x="51"/>
        <item x="44"/>
        <item x="19"/>
        <item x="27"/>
        <item x="38"/>
        <item x="26"/>
        <item x="17"/>
        <item x="39"/>
        <item x="45"/>
        <item x="54"/>
        <item x="65"/>
        <item x="93"/>
        <item x="50"/>
        <item x="86"/>
        <item x="70"/>
        <item x="84"/>
        <item x="100"/>
        <item x="37"/>
        <item x="62"/>
        <item x="41"/>
        <item x="64"/>
        <item x="87"/>
        <item x="6"/>
        <item x="68"/>
        <item x="69"/>
        <item x="96"/>
        <item x="63"/>
        <item x="66"/>
        <item x="76"/>
        <item x="8"/>
        <item x="2"/>
        <item x="20"/>
        <item x="4"/>
        <item x="35"/>
        <item x="57"/>
        <item x="85"/>
        <item x="90"/>
        <item x="91"/>
        <item x="36"/>
        <item x="109"/>
        <item x="40"/>
        <item x="11"/>
        <item x="98"/>
        <item x="99"/>
        <item x="60"/>
        <item x="67"/>
        <item x="15"/>
        <item x="55"/>
        <item x="106"/>
        <item x="42"/>
        <item h="1" x="48"/>
        <item h="1" x="111"/>
        <item t="default"/>
      </items>
    </pivotField>
  </pivotFields>
  <rowFields count="1">
    <field x="1"/>
  </rowFields>
  <rowItems count="16">
    <i>
      <x v="10"/>
    </i>
    <i>
      <x v="4"/>
    </i>
    <i>
      <x v="7"/>
    </i>
    <i>
      <x v="12"/>
    </i>
    <i>
      <x v="9"/>
    </i>
    <i>
      <x v="11"/>
    </i>
    <i>
      <x v="2"/>
    </i>
    <i>
      <x v="14"/>
    </i>
    <i>
      <x v="5"/>
    </i>
    <i>
      <x v="3"/>
    </i>
    <i>
      <x v="8"/>
    </i>
    <i>
      <x v="1"/>
    </i>
    <i>
      <x v="6"/>
    </i>
    <i>
      <x v="13"/>
    </i>
    <i>
      <x/>
    </i>
    <i t="grand">
      <x/>
    </i>
  </rowItems>
  <colItems count="1">
    <i/>
  </colItems>
  <pageFields count="1">
    <pageField fld="4" hier="-1"/>
  </pageField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3:J20" firstHeaderRow="1" firstDataRow="2" firstDataCol="1"/>
  <pivotFields count="4">
    <pivotField dataField="1" showAll="0"/>
    <pivotField axis="axisRow" showAll="0" sortType="descending">
      <items count="17">
        <item x="14"/>
        <item x="13"/>
        <item x="8"/>
        <item x="6"/>
        <item x="5"/>
        <item x="11"/>
        <item x="7"/>
        <item x="4"/>
        <item x="3"/>
        <item x="9"/>
        <item x="0"/>
        <item x="10"/>
        <item x="2"/>
        <item x="12"/>
        <item x="1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1"/>
        <item x="0"/>
        <item h="1" x="2"/>
        <item t="default"/>
      </items>
    </pivotField>
    <pivotField showAll="0"/>
  </pivotFields>
  <rowFields count="1">
    <field x="1"/>
  </rowFields>
  <rowItems count="16">
    <i>
      <x v="10"/>
    </i>
    <i>
      <x v="4"/>
    </i>
    <i>
      <x v="7"/>
    </i>
    <i>
      <x v="12"/>
    </i>
    <i>
      <x v="9"/>
    </i>
    <i>
      <x v="11"/>
    </i>
    <i>
      <x v="2"/>
    </i>
    <i>
      <x v="14"/>
    </i>
    <i>
      <x v="5"/>
    </i>
    <i>
      <x v="3"/>
    </i>
    <i>
      <x v="8"/>
    </i>
    <i>
      <x v="1"/>
    </i>
    <i>
      <x v="6"/>
    </i>
    <i>
      <x v="13"/>
    </i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roject" fld="0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D7" totalsRowShown="0">
  <autoFilter ref="A1:D7"/>
  <tableColumns count="4">
    <tableColumn id="1" name="project"/>
    <tableColumn id="2" name="api_level"/>
    <tableColumn id="3" name="source"/>
    <tableColumn id="4" name="yml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67" totalsRowShown="0">
  <autoFilter ref="A1:E67">
    <filterColumn colId="4">
      <filters>
        <filter val="#N/A"/>
      </filters>
    </filterColumn>
  </autoFilter>
  <tableColumns count="5">
    <tableColumn id="1" name="project"/>
    <tableColumn id="2" name="api_level"/>
    <tableColumn id="3" name="source"/>
    <tableColumn id="4" name="yml_count"/>
    <tableColumn id="5" name="check" dataDxfId="0">
      <calculatedColumnFormula>VLOOKUP(A:A,Sheet6!A:A,1,FALSE)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66" totalsRowShown="0">
  <autoFilter ref="A1:E66"/>
  <tableColumns count="5">
    <tableColumn id="1" name="project"/>
    <tableColumn id="2" name="api_level"/>
    <tableColumn id="3" name="source"/>
    <tableColumn id="4" name="yml_count"/>
    <tableColumn id="5" name="with Inst. Te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A3" sqref="A3"/>
    </sheetView>
  </sheetViews>
  <sheetFormatPr defaultRowHeight="15"/>
  <cols>
    <col min="1" max="1" width="20.42578125" bestFit="1" customWidth="1"/>
    <col min="2" max="2" width="11.28515625" customWidth="1"/>
    <col min="3" max="3" width="10.42578125" bestFit="1" customWidth="1"/>
    <col min="4" max="4" width="12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113</v>
      </c>
      <c r="B2">
        <v>33</v>
      </c>
      <c r="C2" t="s">
        <v>8</v>
      </c>
      <c r="D2">
        <v>2</v>
      </c>
    </row>
    <row r="3" spans="1:4">
      <c r="A3" t="s">
        <v>102</v>
      </c>
      <c r="B3">
        <v>33</v>
      </c>
      <c r="C3" t="s">
        <v>8</v>
      </c>
      <c r="D3">
        <v>1</v>
      </c>
    </row>
    <row r="4" spans="1:4">
      <c r="A4" t="s">
        <v>100</v>
      </c>
      <c r="B4">
        <v>33</v>
      </c>
      <c r="C4" t="s">
        <v>8</v>
      </c>
      <c r="D4">
        <v>3</v>
      </c>
    </row>
    <row r="5" spans="1:4">
      <c r="A5" t="s">
        <v>4</v>
      </c>
      <c r="B5">
        <v>33</v>
      </c>
      <c r="C5" t="s">
        <v>5</v>
      </c>
      <c r="D5">
        <v>2</v>
      </c>
    </row>
    <row r="6" spans="1:4">
      <c r="A6" t="s">
        <v>93</v>
      </c>
      <c r="B6">
        <v>33</v>
      </c>
      <c r="C6" t="s">
        <v>5</v>
      </c>
      <c r="D6">
        <v>4</v>
      </c>
    </row>
    <row r="7" spans="1:4">
      <c r="A7" t="s">
        <v>57</v>
      </c>
      <c r="B7">
        <v>33</v>
      </c>
      <c r="C7" t="s">
        <v>5</v>
      </c>
      <c r="D7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>
      <selection activeCell="A41" sqref="A41"/>
    </sheetView>
  </sheetViews>
  <sheetFormatPr defaultRowHeight="15"/>
  <cols>
    <col min="1" max="1" width="47.42578125" bestFit="1" customWidth="1"/>
    <col min="2" max="2" width="11.28515625" customWidth="1"/>
    <col min="4" max="4" width="12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312</v>
      </c>
    </row>
    <row r="2" spans="1:5" hidden="1">
      <c r="A2" t="s">
        <v>116</v>
      </c>
      <c r="B2">
        <v>29</v>
      </c>
      <c r="C2" t="s">
        <v>8</v>
      </c>
      <c r="D2">
        <v>9</v>
      </c>
      <c r="E2" s="3" t="str">
        <f>VLOOKUP(A:A,Sheet6!A:A,1,FALSE)</f>
        <v>ToxAndroidRefImpl</v>
      </c>
    </row>
    <row r="3" spans="1:5" hidden="1">
      <c r="A3" t="s">
        <v>112</v>
      </c>
      <c r="B3">
        <v>29</v>
      </c>
      <c r="C3" t="s">
        <v>8</v>
      </c>
      <c r="D3">
        <v>4</v>
      </c>
      <c r="E3" s="3" t="str">
        <f>VLOOKUP(A:A,Sheet6!A:A,1,FALSE)</f>
        <v>apps-android-wikipedia</v>
      </c>
    </row>
    <row r="4" spans="1:5" hidden="1">
      <c r="A4" t="s">
        <v>111</v>
      </c>
      <c r="B4">
        <v>29</v>
      </c>
      <c r="C4" t="s">
        <v>8</v>
      </c>
      <c r="D4">
        <v>2</v>
      </c>
      <c r="E4" s="3" t="str">
        <f>VLOOKUP(A:A,Sheet6!A:A,1,FALSE)</f>
        <v>audio-recorder</v>
      </c>
    </row>
    <row r="5" spans="1:5" hidden="1">
      <c r="A5" t="s">
        <v>110</v>
      </c>
      <c r="B5">
        <v>29</v>
      </c>
      <c r="C5" t="s">
        <v>8</v>
      </c>
      <c r="D5">
        <v>3</v>
      </c>
      <c r="E5" s="3" t="str">
        <f>VLOOKUP(A:A,Sheet6!A:A,1,FALSE)</f>
        <v>ci-matters</v>
      </c>
    </row>
    <row r="6" spans="1:5" hidden="1">
      <c r="A6" t="s">
        <v>7</v>
      </c>
      <c r="B6">
        <v>29</v>
      </c>
      <c r="C6" t="s">
        <v>8</v>
      </c>
      <c r="D6">
        <v>1</v>
      </c>
      <c r="E6" s="3" t="str">
        <f>VLOOKUP(A:A,Sheet6!A:A,1,FALSE)</f>
        <v>RLAD</v>
      </c>
    </row>
    <row r="7" spans="1:5" hidden="1">
      <c r="A7" t="s">
        <v>107</v>
      </c>
      <c r="B7">
        <v>29</v>
      </c>
      <c r="C7" t="s">
        <v>8</v>
      </c>
      <c r="D7">
        <v>1</v>
      </c>
      <c r="E7" s="3" t="str">
        <f>VLOOKUP(A:A,Sheet6!A:A,1,FALSE)</f>
        <v>ObdGraphs</v>
      </c>
    </row>
    <row r="8" spans="1:5" hidden="1">
      <c r="A8" t="s">
        <v>103</v>
      </c>
      <c r="B8">
        <v>29</v>
      </c>
      <c r="C8" t="s">
        <v>8</v>
      </c>
      <c r="D8">
        <v>4</v>
      </c>
      <c r="E8" s="3" t="str">
        <f>VLOOKUP(A:A,Sheet6!A:A,1,FALSE)</f>
        <v>photochat</v>
      </c>
    </row>
    <row r="9" spans="1:5" hidden="1">
      <c r="A9" t="s">
        <v>98</v>
      </c>
      <c r="B9">
        <v>29</v>
      </c>
      <c r="C9" t="s">
        <v>8</v>
      </c>
      <c r="D9">
        <v>2</v>
      </c>
      <c r="E9" s="3" t="str">
        <f>VLOOKUP(A:A,Sheet6!A:A,1,FALSE)</f>
        <v>tasks</v>
      </c>
    </row>
    <row r="10" spans="1:5" hidden="1">
      <c r="A10" t="s">
        <v>97</v>
      </c>
      <c r="B10">
        <v>29</v>
      </c>
      <c r="C10" t="s">
        <v>8</v>
      </c>
      <c r="D10">
        <v>4</v>
      </c>
      <c r="E10" s="3" t="str">
        <f>VLOOKUP(A:A,Sheet6!A:A,1,FALSE)</f>
        <v>swisscovid-app-android</v>
      </c>
    </row>
    <row r="11" spans="1:5" hidden="1">
      <c r="A11" t="s">
        <v>96</v>
      </c>
      <c r="B11">
        <v>29</v>
      </c>
      <c r="C11" t="s">
        <v>8</v>
      </c>
      <c r="D11">
        <v>2</v>
      </c>
      <c r="E11" s="3" t="str">
        <f>VLOOKUP(A:A,Sheet6!A:A,1,FALSE)</f>
        <v>arduino-usb-terminal</v>
      </c>
    </row>
    <row r="12" spans="1:5" hidden="1">
      <c r="A12" t="s">
        <v>11</v>
      </c>
      <c r="B12">
        <v>29</v>
      </c>
      <c r="C12" t="s">
        <v>8</v>
      </c>
      <c r="D12">
        <v>1</v>
      </c>
      <c r="E12" s="3" t="str">
        <f>VLOOKUP(A:A,Sheet6!A:A,1,FALSE)</f>
        <v>ExpenseManager</v>
      </c>
    </row>
    <row r="13" spans="1:5" hidden="1">
      <c r="A13" t="s">
        <v>12</v>
      </c>
      <c r="B13">
        <v>29</v>
      </c>
      <c r="C13" t="s">
        <v>8</v>
      </c>
      <c r="D13">
        <v>2</v>
      </c>
      <c r="E13" s="3" t="str">
        <f>VLOOKUP(A:A,Sheet6!A:A,1,FALSE)</f>
        <v>Palette-Compose</v>
      </c>
    </row>
    <row r="14" spans="1:5" hidden="1">
      <c r="A14" t="s">
        <v>14</v>
      </c>
      <c r="B14">
        <v>29</v>
      </c>
      <c r="C14" t="s">
        <v>8</v>
      </c>
      <c r="D14">
        <v>6</v>
      </c>
      <c r="E14" s="3" t="str">
        <f>VLOOKUP(A:A,Sheet6!A:A,1,FALSE)</f>
        <v>RickAndMorty</v>
      </c>
    </row>
    <row r="15" spans="1:5" hidden="1">
      <c r="A15" t="s">
        <v>89</v>
      </c>
      <c r="B15">
        <v>29</v>
      </c>
      <c r="C15" t="s">
        <v>8</v>
      </c>
      <c r="D15">
        <v>2</v>
      </c>
      <c r="E15" s="3" t="str">
        <f>VLOOKUP(A:A,Sheet6!A:A,1,FALSE)</f>
        <v>Compose-Scrobbler</v>
      </c>
    </row>
    <row r="16" spans="1:5" hidden="1">
      <c r="A16" t="s">
        <v>21</v>
      </c>
      <c r="B16">
        <v>29</v>
      </c>
      <c r="C16" t="s">
        <v>8</v>
      </c>
      <c r="D16">
        <v>3</v>
      </c>
      <c r="E16" s="3" t="str">
        <f>VLOOKUP(A:A,Sheet6!A:A,1,FALSE)</f>
        <v>weather-forecast-ID</v>
      </c>
    </row>
    <row r="17" spans="1:5" hidden="1">
      <c r="A17" t="s">
        <v>84</v>
      </c>
      <c r="B17">
        <v>29</v>
      </c>
      <c r="C17" t="s">
        <v>8</v>
      </c>
      <c r="D17">
        <v>2</v>
      </c>
      <c r="E17" s="3" t="str">
        <f>VLOOKUP(A:A,Sheet6!A:A,1,FALSE)</f>
        <v>Easer</v>
      </c>
    </row>
    <row r="18" spans="1:5" hidden="1">
      <c r="A18" t="s">
        <v>25</v>
      </c>
      <c r="B18">
        <v>29</v>
      </c>
      <c r="C18" t="s">
        <v>8</v>
      </c>
      <c r="D18">
        <v>1</v>
      </c>
      <c r="E18" s="3" t="str">
        <f>VLOOKUP(A:A,Sheet6!A:A,1,FALSE)</f>
        <v>learn-braille</v>
      </c>
    </row>
    <row r="19" spans="1:5" hidden="1">
      <c r="A19" t="s">
        <v>27</v>
      </c>
      <c r="B19">
        <v>29</v>
      </c>
      <c r="C19" t="s">
        <v>8</v>
      </c>
      <c r="D19">
        <v>2</v>
      </c>
      <c r="E19" s="3" t="str">
        <f>VLOOKUP(A:A,Sheet6!A:A,1,FALSE)</f>
        <v>Bookworm</v>
      </c>
    </row>
    <row r="20" spans="1:5" hidden="1">
      <c r="A20" t="s">
        <v>76</v>
      </c>
      <c r="B20">
        <v>29</v>
      </c>
      <c r="C20" t="s">
        <v>8</v>
      </c>
      <c r="D20">
        <v>2</v>
      </c>
      <c r="E20" s="3" t="str">
        <f>VLOOKUP(A:A,Sheet6!A:A,1,FALSE)</f>
        <v>notes</v>
      </c>
    </row>
    <row r="21" spans="1:5" hidden="1">
      <c r="A21" t="s">
        <v>31</v>
      </c>
      <c r="B21">
        <v>29</v>
      </c>
      <c r="C21" t="s">
        <v>8</v>
      </c>
      <c r="D21">
        <v>2</v>
      </c>
      <c r="E21" s="3" t="str">
        <f>VLOOKUP(A:A,Sheet6!A:A,1,FALSE)</f>
        <v>atom-tasks</v>
      </c>
    </row>
    <row r="22" spans="1:5" hidden="1">
      <c r="A22" t="s">
        <v>71</v>
      </c>
      <c r="B22">
        <v>29</v>
      </c>
      <c r="C22" t="s">
        <v>8</v>
      </c>
      <c r="D22">
        <v>1</v>
      </c>
      <c r="E22" s="3" t="str">
        <f>VLOOKUP(A:A,Sheet6!A:A,1,FALSE)</f>
        <v>myweatherforecast</v>
      </c>
    </row>
    <row r="23" spans="1:5" hidden="1">
      <c r="A23" t="s">
        <v>70</v>
      </c>
      <c r="B23">
        <v>29</v>
      </c>
      <c r="C23" t="s">
        <v>8</v>
      </c>
      <c r="D23">
        <v>1</v>
      </c>
      <c r="E23" s="3" t="str">
        <f>VLOOKUP(A:A,Sheet6!A:A,1,FALSE)</f>
        <v>OpenDocument</v>
      </c>
    </row>
    <row r="24" spans="1:5" hidden="1">
      <c r="A24" t="s">
        <v>64</v>
      </c>
      <c r="B24">
        <v>29</v>
      </c>
      <c r="C24" t="s">
        <v>8</v>
      </c>
      <c r="D24">
        <v>2</v>
      </c>
      <c r="E24" s="3" t="str">
        <f>VLOOKUP(A:A,Sheet6!A:A,1,FALSE)</f>
        <v>cht-android</v>
      </c>
    </row>
    <row r="25" spans="1:5" hidden="1">
      <c r="A25" t="s">
        <v>63</v>
      </c>
      <c r="B25">
        <v>29</v>
      </c>
      <c r="C25" t="s">
        <v>8</v>
      </c>
      <c r="D25">
        <v>1</v>
      </c>
      <c r="E25" s="3" t="str">
        <f>VLOOKUP(A:A,Sheet6!A:A,1,FALSE)</f>
        <v>Smilodon</v>
      </c>
    </row>
    <row r="26" spans="1:5" hidden="1">
      <c r="A26" t="s">
        <v>55</v>
      </c>
      <c r="B26">
        <v>29</v>
      </c>
      <c r="C26" t="s">
        <v>8</v>
      </c>
      <c r="D26">
        <v>2</v>
      </c>
      <c r="E26" s="3" t="str">
        <f>VLOOKUP(A:A,Sheet6!A:A,1,FALSE)</f>
        <v>15Puzzle</v>
      </c>
    </row>
    <row r="27" spans="1:5" hidden="1">
      <c r="A27" t="s">
        <v>42</v>
      </c>
      <c r="B27">
        <v>29</v>
      </c>
      <c r="C27" t="s">
        <v>8</v>
      </c>
      <c r="D27">
        <v>3</v>
      </c>
      <c r="E27" s="3" t="str">
        <f>VLOOKUP(A:A,Sheet6!A:A,1,FALSE)</f>
        <v>Todo-compose</v>
      </c>
    </row>
    <row r="28" spans="1:5" hidden="1">
      <c r="A28" t="s">
        <v>51</v>
      </c>
      <c r="B28">
        <v>29</v>
      </c>
      <c r="C28" t="s">
        <v>8</v>
      </c>
      <c r="D28">
        <v>1</v>
      </c>
      <c r="E28" s="3" t="str">
        <f>VLOOKUP(A:A,Sheet6!A:A,1,FALSE)</f>
        <v>MoonShot</v>
      </c>
    </row>
    <row r="29" spans="1:5" hidden="1">
      <c r="A29" t="s">
        <v>4</v>
      </c>
      <c r="B29">
        <v>29</v>
      </c>
      <c r="C29" t="s">
        <v>5</v>
      </c>
      <c r="D29">
        <v>2</v>
      </c>
      <c r="E29" s="3" t="str">
        <f>VLOOKUP(A:A,Sheet6!A:A,1,FALSE)</f>
        <v>ez-recipes-android</v>
      </c>
    </row>
    <row r="30" spans="1:5" hidden="1">
      <c r="A30" t="s">
        <v>9</v>
      </c>
      <c r="B30">
        <v>29</v>
      </c>
      <c r="C30" t="s">
        <v>5</v>
      </c>
      <c r="D30">
        <v>1</v>
      </c>
      <c r="E30" s="3" t="str">
        <f>VLOOKUP(A:A,Sheet6!A:A,1,FALSE)</f>
        <v>compose-challenges</v>
      </c>
    </row>
    <row r="31" spans="1:5" hidden="1">
      <c r="A31" t="s">
        <v>10</v>
      </c>
      <c r="B31">
        <v>29</v>
      </c>
      <c r="C31" t="s">
        <v>5</v>
      </c>
      <c r="D31">
        <v>3</v>
      </c>
      <c r="E31" s="3" t="str">
        <f>VLOOKUP(A:A,Sheet6!A:A,1,FALSE)</f>
        <v>secure-storage-android</v>
      </c>
    </row>
    <row r="32" spans="1:5" hidden="1">
      <c r="A32" t="s">
        <v>102</v>
      </c>
      <c r="B32">
        <v>29</v>
      </c>
      <c r="C32" t="s">
        <v>5</v>
      </c>
      <c r="D32">
        <v>1</v>
      </c>
      <c r="E32" s="3" t="str">
        <f>VLOOKUP(A:A,Sheet6!A:A,1,FALSE)</f>
        <v>exif-thumbnail-adder</v>
      </c>
    </row>
    <row r="33" spans="1:5" hidden="1">
      <c r="A33" t="s">
        <v>93</v>
      </c>
      <c r="B33">
        <v>29</v>
      </c>
      <c r="C33" t="s">
        <v>5</v>
      </c>
      <c r="D33">
        <v>4</v>
      </c>
      <c r="E33" s="3" t="str">
        <f>VLOOKUP(A:A,Sheet6!A:A,1,FALSE)</f>
        <v>NotePad</v>
      </c>
    </row>
    <row r="34" spans="1:5" hidden="1">
      <c r="A34" t="s">
        <v>92</v>
      </c>
      <c r="B34">
        <v>29</v>
      </c>
      <c r="C34" t="s">
        <v>5</v>
      </c>
      <c r="D34">
        <v>3</v>
      </c>
      <c r="E34" s="3" t="str">
        <f>VLOOKUP(A:A,Sheet6!A:A,1,FALSE)</f>
        <v>stardroid</v>
      </c>
    </row>
    <row r="35" spans="1:5" hidden="1">
      <c r="A35" t="s">
        <v>91</v>
      </c>
      <c r="B35">
        <v>29</v>
      </c>
      <c r="C35" t="s">
        <v>5</v>
      </c>
      <c r="D35">
        <v>3</v>
      </c>
      <c r="E35" s="3" t="str">
        <f>VLOOKUP(A:A,Sheet6!A:A,1,FALSE)</f>
        <v>NY-Times-Popular-Articles</v>
      </c>
    </row>
    <row r="36" spans="1:5" hidden="1">
      <c r="A36" t="s">
        <v>90</v>
      </c>
      <c r="B36">
        <v>29</v>
      </c>
      <c r="C36" t="s">
        <v>5</v>
      </c>
      <c r="D36">
        <v>1</v>
      </c>
      <c r="E36" s="3" t="str">
        <f>VLOOKUP(A:A,Sheet6!A:A,1,FALSE)</f>
        <v>android-dev-challenge-compose-week1</v>
      </c>
    </row>
    <row r="37" spans="1:5" hidden="1">
      <c r="A37" t="s">
        <v>17</v>
      </c>
      <c r="B37">
        <v>29</v>
      </c>
      <c r="C37" t="s">
        <v>5</v>
      </c>
      <c r="D37">
        <v>3</v>
      </c>
      <c r="E37" s="3" t="str">
        <f>VLOOKUP(A:A,Sheet6!A:A,1,FALSE)</f>
        <v>trekarta</v>
      </c>
    </row>
    <row r="38" spans="1:5" hidden="1">
      <c r="A38" t="s">
        <v>87</v>
      </c>
      <c r="B38">
        <v>29</v>
      </c>
      <c r="C38" t="s">
        <v>5</v>
      </c>
      <c r="D38">
        <v>1</v>
      </c>
      <c r="E38" s="3" t="str">
        <f>VLOOKUP(A:A,Sheet6!A:A,1,FALSE)</f>
        <v>compose-timer</v>
      </c>
    </row>
    <row r="39" spans="1:5" hidden="1">
      <c r="A39" t="s">
        <v>85</v>
      </c>
      <c r="B39">
        <v>29</v>
      </c>
      <c r="C39" t="s">
        <v>5</v>
      </c>
      <c r="D39">
        <v>1</v>
      </c>
      <c r="E39" s="3" t="str">
        <f>VLOOKUP(A:A,Sheet6!A:A,1,FALSE)</f>
        <v>adopt-me-compose</v>
      </c>
    </row>
    <row r="40" spans="1:5" hidden="1">
      <c r="A40" t="s">
        <v>82</v>
      </c>
      <c r="B40">
        <v>29</v>
      </c>
      <c r="C40" t="s">
        <v>5</v>
      </c>
      <c r="D40">
        <v>2</v>
      </c>
      <c r="E40" s="3" t="str">
        <f>VLOOKUP(A:A,Sheet6!A:A,1,FALSE)</f>
        <v>Android-SimpleTimeTracker</v>
      </c>
    </row>
    <row r="41" spans="1:5">
      <c r="A41" t="s">
        <v>81</v>
      </c>
      <c r="B41">
        <v>29</v>
      </c>
      <c r="C41" t="s">
        <v>5</v>
      </c>
      <c r="D41">
        <v>4</v>
      </c>
      <c r="E41" s="3" t="e">
        <f>VLOOKUP(A:A,Sheet6!A:A,1,FALSE)</f>
        <v>#N/A</v>
      </c>
    </row>
    <row r="42" spans="1:5" hidden="1">
      <c r="A42" t="s">
        <v>80</v>
      </c>
      <c r="B42">
        <v>29</v>
      </c>
      <c r="C42" t="s">
        <v>5</v>
      </c>
      <c r="D42">
        <v>1</v>
      </c>
      <c r="E42" s="3" t="str">
        <f>VLOOKUP(A:A,Sheet6!A:A,1,FALSE)</f>
        <v>android-navigation-with-compose</v>
      </c>
    </row>
    <row r="43" spans="1:5" hidden="1">
      <c r="A43" t="s">
        <v>78</v>
      </c>
      <c r="B43">
        <v>29</v>
      </c>
      <c r="C43" t="s">
        <v>5</v>
      </c>
      <c r="D43">
        <v>1</v>
      </c>
      <c r="E43" s="3" t="str">
        <f>VLOOKUP(A:A,Sheet6!A:A,1,FALSE)</f>
        <v>hilt-sandbox</v>
      </c>
    </row>
    <row r="44" spans="1:5" hidden="1">
      <c r="A44" t="s">
        <v>77</v>
      </c>
      <c r="B44">
        <v>29</v>
      </c>
      <c r="C44" t="s">
        <v>5</v>
      </c>
      <c r="D44">
        <v>3</v>
      </c>
      <c r="E44" s="3" t="str">
        <f>VLOOKUP(A:A,Sheet6!A:A,1,FALSE)</f>
        <v>Astro</v>
      </c>
    </row>
    <row r="45" spans="1:5" hidden="1">
      <c r="A45" t="s">
        <v>28</v>
      </c>
      <c r="B45">
        <v>29</v>
      </c>
      <c r="C45" t="s">
        <v>5</v>
      </c>
      <c r="D45">
        <v>1</v>
      </c>
      <c r="E45" s="3" t="str">
        <f>VLOOKUP(A:A,Sheet6!A:A,1,FALSE)</f>
        <v>Bark</v>
      </c>
    </row>
    <row r="46" spans="1:5" hidden="1">
      <c r="A46" t="s">
        <v>29</v>
      </c>
      <c r="B46">
        <v>29</v>
      </c>
      <c r="C46" t="s">
        <v>5</v>
      </c>
      <c r="D46">
        <v>3</v>
      </c>
      <c r="E46" s="3" t="str">
        <f>VLOOKUP(A:A,Sheet6!A:A,1,FALSE)</f>
        <v>curriculumvitae</v>
      </c>
    </row>
    <row r="47" spans="1:5" hidden="1">
      <c r="A47" t="s">
        <v>75</v>
      </c>
      <c r="B47">
        <v>29</v>
      </c>
      <c r="C47" t="s">
        <v>5</v>
      </c>
      <c r="D47">
        <v>5</v>
      </c>
      <c r="E47" s="3" t="str">
        <f>VLOOKUP(A:A,Sheet6!A:A,1,FALSE)</f>
        <v>persian-calendar</v>
      </c>
    </row>
    <row r="48" spans="1:5" hidden="1">
      <c r="A48" t="s">
        <v>74</v>
      </c>
      <c r="B48">
        <v>29</v>
      </c>
      <c r="C48" t="s">
        <v>5</v>
      </c>
      <c r="D48">
        <v>2</v>
      </c>
      <c r="E48" s="3" t="str">
        <f>VLOOKUP(A:A,Sheet6!A:A,1,FALSE)</f>
        <v>peercoin_flutter</v>
      </c>
    </row>
    <row r="49" spans="1:5" hidden="1">
      <c r="A49" t="s">
        <v>73</v>
      </c>
      <c r="B49">
        <v>29</v>
      </c>
      <c r="C49" t="s">
        <v>5</v>
      </c>
      <c r="D49">
        <v>1</v>
      </c>
      <c r="E49" s="3" t="str">
        <f>VLOOKUP(A:A,Sheet6!A:A,1,FALSE)</f>
        <v>weather-app-compose</v>
      </c>
    </row>
    <row r="50" spans="1:5" hidden="1">
      <c r="A50" t="s">
        <v>72</v>
      </c>
      <c r="B50">
        <v>29</v>
      </c>
      <c r="C50" t="s">
        <v>5</v>
      </c>
      <c r="D50">
        <v>1</v>
      </c>
      <c r="E50" s="3" t="str">
        <f>VLOOKUP(A:A,Sheet6!A:A,1,FALSE)</f>
        <v>puppy-adoption-app</v>
      </c>
    </row>
    <row r="51" spans="1:5" hidden="1">
      <c r="A51" t="s">
        <v>69</v>
      </c>
      <c r="B51">
        <v>29</v>
      </c>
      <c r="C51" t="s">
        <v>5</v>
      </c>
      <c r="D51">
        <v>4</v>
      </c>
      <c r="E51" s="3" t="str">
        <f>VLOOKUP(A:A,Sheet6!A:A,1,FALSE)</f>
        <v>probe-android</v>
      </c>
    </row>
    <row r="52" spans="1:5" hidden="1">
      <c r="A52" t="s">
        <v>33</v>
      </c>
      <c r="B52">
        <v>29</v>
      </c>
      <c r="C52" t="s">
        <v>5</v>
      </c>
      <c r="D52">
        <v>1</v>
      </c>
      <c r="E52" s="3" t="str">
        <f>VLOOKUP(A:A,Sheet6!A:A,1,FALSE)</f>
        <v>Marvel</v>
      </c>
    </row>
    <row r="53" spans="1:5" hidden="1">
      <c r="A53" t="s">
        <v>34</v>
      </c>
      <c r="B53">
        <v>29</v>
      </c>
      <c r="C53" t="s">
        <v>5</v>
      </c>
      <c r="D53">
        <v>2</v>
      </c>
      <c r="E53" s="3" t="str">
        <f>VLOOKUP(A:A,Sheet6!A:A,1,FALSE)</f>
        <v>droid-feed</v>
      </c>
    </row>
    <row r="54" spans="1:5" hidden="1">
      <c r="A54" t="s">
        <v>68</v>
      </c>
      <c r="B54">
        <v>29</v>
      </c>
      <c r="C54" t="s">
        <v>5</v>
      </c>
      <c r="D54">
        <v>1</v>
      </c>
      <c r="E54" s="3" t="str">
        <f>VLOOKUP(A:A,Sheet6!A:A,1,FALSE)</f>
        <v>onebusaway-android</v>
      </c>
    </row>
    <row r="55" spans="1:5" hidden="1">
      <c r="A55" t="s">
        <v>67</v>
      </c>
      <c r="B55">
        <v>29</v>
      </c>
      <c r="C55" t="s">
        <v>5</v>
      </c>
      <c r="D55">
        <v>3</v>
      </c>
      <c r="E55" s="3" t="str">
        <f>VLOOKUP(A:A,Sheet6!A:A,1,FALSE)</f>
        <v>bluelineconsole</v>
      </c>
    </row>
    <row r="56" spans="1:5" hidden="1">
      <c r="A56" t="s">
        <v>66</v>
      </c>
      <c r="B56">
        <v>29</v>
      </c>
      <c r="C56" t="s">
        <v>5</v>
      </c>
      <c r="D56">
        <v>3</v>
      </c>
      <c r="E56" s="3" t="str">
        <f>VLOOKUP(A:A,Sheet6!A:A,1,FALSE)</f>
        <v>virtual_traveller_flutter</v>
      </c>
    </row>
    <row r="57" spans="1:5" hidden="1">
      <c r="A57" t="s">
        <v>36</v>
      </c>
      <c r="B57">
        <v>29</v>
      </c>
      <c r="C57" t="s">
        <v>5</v>
      </c>
      <c r="D57">
        <v>9</v>
      </c>
      <c r="E57" s="3" t="str">
        <f>VLOOKUP(A:A,Sheet6!A:A,1,FALSE)</f>
        <v>conference-app-2021</v>
      </c>
    </row>
    <row r="58" spans="1:5" hidden="1">
      <c r="A58" t="s">
        <v>62</v>
      </c>
      <c r="B58">
        <v>29</v>
      </c>
      <c r="C58" t="s">
        <v>5</v>
      </c>
      <c r="D58">
        <v>1</v>
      </c>
      <c r="E58" s="3" t="str">
        <f>VLOOKUP(A:A,Sheet6!A:A,1,FALSE)</f>
        <v>compose-kotlin-repositories</v>
      </c>
    </row>
    <row r="59" spans="1:5" hidden="1">
      <c r="A59" t="s">
        <v>61</v>
      </c>
      <c r="B59">
        <v>29</v>
      </c>
      <c r="C59" t="s">
        <v>5</v>
      </c>
      <c r="D59">
        <v>1</v>
      </c>
      <c r="E59" s="3" t="str">
        <f>VLOOKUP(A:A,Sheet6!A:A,1,FALSE)</f>
        <v>we-trade</v>
      </c>
    </row>
    <row r="60" spans="1:5" hidden="1">
      <c r="A60" t="s">
        <v>37</v>
      </c>
      <c r="B60">
        <v>29</v>
      </c>
      <c r="C60" t="s">
        <v>5</v>
      </c>
      <c r="D60">
        <v>1</v>
      </c>
      <c r="E60" s="3" t="str">
        <f>VLOOKUP(A:A,Sheet6!A:A,1,FALSE)</f>
        <v>jetpuppy</v>
      </c>
    </row>
    <row r="61" spans="1:5" hidden="1">
      <c r="A61" t="s">
        <v>60</v>
      </c>
      <c r="B61">
        <v>29</v>
      </c>
      <c r="C61" t="s">
        <v>5</v>
      </c>
      <c r="D61">
        <v>1</v>
      </c>
      <c r="E61" s="3" t="str">
        <f>VLOOKUP(A:A,Sheet6!A:A,1,FALSE)</f>
        <v>my-soothe</v>
      </c>
    </row>
    <row r="62" spans="1:5" hidden="1">
      <c r="A62" t="s">
        <v>59</v>
      </c>
      <c r="B62">
        <v>29</v>
      </c>
      <c r="C62" t="s">
        <v>5</v>
      </c>
      <c r="D62">
        <v>1</v>
      </c>
      <c r="E62" s="3" t="str">
        <f>VLOOKUP(A:A,Sheet6!A:A,1,FALSE)</f>
        <v>cat-adoption-app</v>
      </c>
    </row>
    <row r="63" spans="1:5" hidden="1">
      <c r="A63" t="s">
        <v>56</v>
      </c>
      <c r="B63">
        <v>29</v>
      </c>
      <c r="C63" t="s">
        <v>5</v>
      </c>
      <c r="D63">
        <v>2</v>
      </c>
      <c r="E63" s="3" t="str">
        <f>VLOOKUP(A:A,Sheet6!A:A,1,FALSE)</f>
        <v>NewsApp-Retrofit</v>
      </c>
    </row>
    <row r="64" spans="1:5" hidden="1">
      <c r="A64" t="s">
        <v>49</v>
      </c>
      <c r="B64">
        <v>29</v>
      </c>
      <c r="C64" t="s">
        <v>5</v>
      </c>
      <c r="D64">
        <v>1</v>
      </c>
      <c r="E64" s="3" t="str">
        <f>VLOOKUP(A:A,Sheet6!A:A,1,FALSE)</f>
        <v>android-dev-challenge-compose-countdown-timer</v>
      </c>
    </row>
    <row r="65" spans="1:5" hidden="1">
      <c r="A65" t="s">
        <v>48</v>
      </c>
      <c r="B65">
        <v>29</v>
      </c>
      <c r="C65" t="s">
        <v>5</v>
      </c>
      <c r="D65">
        <v>1</v>
      </c>
      <c r="E65" s="3" t="str">
        <f>VLOOKUP(A:A,Sheet6!A:A,1,FALSE)</f>
        <v>Zoo-Compose</v>
      </c>
    </row>
    <row r="66" spans="1:5" hidden="1">
      <c r="A66" t="s">
        <v>46</v>
      </c>
      <c r="B66">
        <v>29</v>
      </c>
      <c r="C66" t="s">
        <v>5</v>
      </c>
      <c r="D66">
        <v>1</v>
      </c>
      <c r="E66" s="3" t="str">
        <f>VLOOKUP(A:A,Sheet6!A:A,1,FALSE)</f>
        <v>Transportr</v>
      </c>
    </row>
    <row r="67" spans="1:5" hidden="1">
      <c r="A67" t="s">
        <v>47</v>
      </c>
      <c r="B67">
        <v>29</v>
      </c>
      <c r="C67" t="s">
        <v>5</v>
      </c>
      <c r="D67">
        <v>1</v>
      </c>
      <c r="E67" s="3" t="str">
        <f>VLOOKUP(A:A,Sheet6!A:A,1,FALSE)</f>
        <v>OneHotMinute-Compose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66"/>
  <sheetViews>
    <sheetView workbookViewId="0">
      <selection sqref="A1:E66"/>
    </sheetView>
  </sheetViews>
  <sheetFormatPr defaultRowHeight="15"/>
  <cols>
    <col min="1" max="1" width="47.42578125" bestFit="1" customWidth="1"/>
    <col min="2" max="2" width="11.28515625" customWidth="1"/>
    <col min="4" max="4" width="12.42578125" customWidth="1"/>
    <col min="5" max="5" width="15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310</v>
      </c>
    </row>
    <row r="2" spans="1:5">
      <c r="A2" t="s">
        <v>4</v>
      </c>
      <c r="B2">
        <v>29</v>
      </c>
      <c r="C2" t="s">
        <v>5</v>
      </c>
      <c r="D2">
        <v>2</v>
      </c>
      <c r="E2" t="s">
        <v>4</v>
      </c>
    </row>
    <row r="3" spans="1:5">
      <c r="A3" t="s">
        <v>116</v>
      </c>
      <c r="B3">
        <v>29</v>
      </c>
      <c r="C3" t="s">
        <v>8</v>
      </c>
      <c r="D3">
        <v>9</v>
      </c>
      <c r="E3" t="s">
        <v>116</v>
      </c>
    </row>
    <row r="4" spans="1:5">
      <c r="A4" t="s">
        <v>112</v>
      </c>
      <c r="B4">
        <v>29</v>
      </c>
      <c r="C4" t="s">
        <v>8</v>
      </c>
      <c r="D4">
        <v>4</v>
      </c>
      <c r="E4" t="s">
        <v>112</v>
      </c>
    </row>
    <row r="5" spans="1:5">
      <c r="A5" t="s">
        <v>111</v>
      </c>
      <c r="B5">
        <v>29</v>
      </c>
      <c r="C5" t="s">
        <v>8</v>
      </c>
      <c r="D5">
        <v>2</v>
      </c>
      <c r="E5" t="s">
        <v>111</v>
      </c>
    </row>
    <row r="6" spans="1:5">
      <c r="A6" t="s">
        <v>110</v>
      </c>
      <c r="B6">
        <v>29</v>
      </c>
      <c r="C6" t="s">
        <v>8</v>
      </c>
      <c r="D6">
        <v>3</v>
      </c>
      <c r="E6" t="s">
        <v>110</v>
      </c>
    </row>
    <row r="7" spans="1:5">
      <c r="A7" t="s">
        <v>7</v>
      </c>
      <c r="B7">
        <v>29</v>
      </c>
      <c r="C7" t="s">
        <v>8</v>
      </c>
      <c r="D7">
        <v>1</v>
      </c>
      <c r="E7" t="s">
        <v>7</v>
      </c>
    </row>
    <row r="8" spans="1:5">
      <c r="A8" t="s">
        <v>107</v>
      </c>
      <c r="B8">
        <v>29</v>
      </c>
      <c r="C8" t="s">
        <v>8</v>
      </c>
      <c r="D8">
        <v>1</v>
      </c>
      <c r="E8" t="s">
        <v>107</v>
      </c>
    </row>
    <row r="9" spans="1:5">
      <c r="A9" t="s">
        <v>103</v>
      </c>
      <c r="B9">
        <v>29</v>
      </c>
      <c r="C9" t="s">
        <v>8</v>
      </c>
      <c r="D9">
        <v>4</v>
      </c>
      <c r="E9" t="s">
        <v>103</v>
      </c>
    </row>
    <row r="10" spans="1:5">
      <c r="A10" t="s">
        <v>9</v>
      </c>
      <c r="B10">
        <v>29</v>
      </c>
      <c r="C10" t="s">
        <v>5</v>
      </c>
      <c r="D10">
        <v>1</v>
      </c>
      <c r="E10" t="s">
        <v>9</v>
      </c>
    </row>
    <row r="11" spans="1:5">
      <c r="A11" t="s">
        <v>10</v>
      </c>
      <c r="B11">
        <v>29</v>
      </c>
      <c r="C11" t="s">
        <v>5</v>
      </c>
      <c r="D11">
        <v>3</v>
      </c>
      <c r="E11" t="s">
        <v>10</v>
      </c>
    </row>
    <row r="12" spans="1:5">
      <c r="A12" t="s">
        <v>102</v>
      </c>
      <c r="B12">
        <v>29</v>
      </c>
      <c r="C12" t="s">
        <v>5</v>
      </c>
      <c r="D12">
        <v>1</v>
      </c>
      <c r="E12" t="s">
        <v>102</v>
      </c>
    </row>
    <row r="13" spans="1:5">
      <c r="A13" t="s">
        <v>98</v>
      </c>
      <c r="B13">
        <v>29</v>
      </c>
      <c r="C13" t="s">
        <v>8</v>
      </c>
      <c r="D13">
        <v>2</v>
      </c>
      <c r="E13" t="s">
        <v>98</v>
      </c>
    </row>
    <row r="14" spans="1:5">
      <c r="A14" t="s">
        <v>97</v>
      </c>
      <c r="B14">
        <v>29</v>
      </c>
      <c r="C14" t="s">
        <v>8</v>
      </c>
      <c r="D14">
        <v>4</v>
      </c>
      <c r="E14" t="s">
        <v>97</v>
      </c>
    </row>
    <row r="15" spans="1:5">
      <c r="A15" t="s">
        <v>96</v>
      </c>
      <c r="B15">
        <v>29</v>
      </c>
      <c r="C15" t="s">
        <v>8</v>
      </c>
      <c r="D15">
        <v>2</v>
      </c>
      <c r="E15" t="s">
        <v>96</v>
      </c>
    </row>
    <row r="16" spans="1:5">
      <c r="A16" t="s">
        <v>11</v>
      </c>
      <c r="B16">
        <v>29</v>
      </c>
      <c r="C16" t="s">
        <v>8</v>
      </c>
      <c r="D16">
        <v>1</v>
      </c>
      <c r="E16" t="s">
        <v>11</v>
      </c>
    </row>
    <row r="17" spans="1:5">
      <c r="A17" t="s">
        <v>12</v>
      </c>
      <c r="B17">
        <v>29</v>
      </c>
      <c r="C17" t="s">
        <v>8</v>
      </c>
      <c r="D17">
        <v>2</v>
      </c>
      <c r="E17" t="s">
        <v>12</v>
      </c>
    </row>
    <row r="18" spans="1:5">
      <c r="A18" t="s">
        <v>93</v>
      </c>
      <c r="B18">
        <v>29</v>
      </c>
      <c r="C18" t="s">
        <v>5</v>
      </c>
      <c r="D18">
        <v>4</v>
      </c>
      <c r="E18" t="s">
        <v>93</v>
      </c>
    </row>
    <row r="19" spans="1:5">
      <c r="A19" t="s">
        <v>14</v>
      </c>
      <c r="B19">
        <v>29</v>
      </c>
      <c r="C19" t="s">
        <v>8</v>
      </c>
      <c r="D19">
        <v>6</v>
      </c>
      <c r="E19" t="s">
        <v>14</v>
      </c>
    </row>
    <row r="20" spans="1:5">
      <c r="A20" t="s">
        <v>92</v>
      </c>
      <c r="B20">
        <v>29</v>
      </c>
      <c r="C20" t="s">
        <v>5</v>
      </c>
      <c r="D20">
        <v>3</v>
      </c>
      <c r="E20" t="s">
        <v>92</v>
      </c>
    </row>
    <row r="21" spans="1:5">
      <c r="A21" t="s">
        <v>91</v>
      </c>
      <c r="B21">
        <v>29</v>
      </c>
      <c r="C21" t="s">
        <v>5</v>
      </c>
      <c r="D21">
        <v>3</v>
      </c>
      <c r="E21" t="s">
        <v>91</v>
      </c>
    </row>
    <row r="22" spans="1:5">
      <c r="A22" t="s">
        <v>90</v>
      </c>
      <c r="B22">
        <v>29</v>
      </c>
      <c r="C22" t="s">
        <v>5</v>
      </c>
      <c r="D22">
        <v>1</v>
      </c>
      <c r="E22" t="s">
        <v>90</v>
      </c>
    </row>
    <row r="23" spans="1:5">
      <c r="A23" t="s">
        <v>17</v>
      </c>
      <c r="B23">
        <v>29</v>
      </c>
      <c r="C23" t="s">
        <v>5</v>
      </c>
      <c r="D23">
        <v>3</v>
      </c>
      <c r="E23" t="s">
        <v>17</v>
      </c>
    </row>
    <row r="24" spans="1:5">
      <c r="A24" t="s">
        <v>89</v>
      </c>
      <c r="B24">
        <v>29</v>
      </c>
      <c r="C24" t="s">
        <v>8</v>
      </c>
      <c r="D24">
        <v>2</v>
      </c>
      <c r="E24" t="s">
        <v>89</v>
      </c>
    </row>
    <row r="25" spans="1:5">
      <c r="A25" t="s">
        <v>87</v>
      </c>
      <c r="B25">
        <v>29</v>
      </c>
      <c r="C25" t="s">
        <v>5</v>
      </c>
      <c r="D25">
        <v>1</v>
      </c>
      <c r="E25" t="s">
        <v>87</v>
      </c>
    </row>
    <row r="26" spans="1:5">
      <c r="A26" t="s">
        <v>85</v>
      </c>
      <c r="B26">
        <v>29</v>
      </c>
      <c r="C26" t="s">
        <v>5</v>
      </c>
      <c r="D26">
        <v>1</v>
      </c>
      <c r="E26" t="s">
        <v>85</v>
      </c>
    </row>
    <row r="27" spans="1:5">
      <c r="A27" t="s">
        <v>21</v>
      </c>
      <c r="B27">
        <v>29</v>
      </c>
      <c r="C27" t="s">
        <v>8</v>
      </c>
      <c r="D27">
        <v>3</v>
      </c>
      <c r="E27" t="s">
        <v>21</v>
      </c>
    </row>
    <row r="28" spans="1:5">
      <c r="A28" t="s">
        <v>84</v>
      </c>
      <c r="B28">
        <v>29</v>
      </c>
      <c r="C28" t="s">
        <v>8</v>
      </c>
      <c r="D28">
        <v>2</v>
      </c>
      <c r="E28" t="s">
        <v>84</v>
      </c>
    </row>
    <row r="29" spans="1:5">
      <c r="A29" t="s">
        <v>82</v>
      </c>
      <c r="B29">
        <v>29</v>
      </c>
      <c r="C29" t="s">
        <v>5</v>
      </c>
      <c r="D29">
        <v>2</v>
      </c>
      <c r="E29" t="s">
        <v>82</v>
      </c>
    </row>
    <row r="30" spans="1:5">
      <c r="A30" t="s">
        <v>80</v>
      </c>
      <c r="B30">
        <v>29</v>
      </c>
      <c r="C30" t="s">
        <v>5</v>
      </c>
      <c r="D30">
        <v>1</v>
      </c>
      <c r="E30" t="s">
        <v>80</v>
      </c>
    </row>
    <row r="31" spans="1:5">
      <c r="A31" t="s">
        <v>25</v>
      </c>
      <c r="B31">
        <v>29</v>
      </c>
      <c r="C31" t="s">
        <v>8</v>
      </c>
      <c r="D31">
        <v>1</v>
      </c>
      <c r="E31" t="s">
        <v>25</v>
      </c>
    </row>
    <row r="32" spans="1:5">
      <c r="A32" t="s">
        <v>78</v>
      </c>
      <c r="B32">
        <v>29</v>
      </c>
      <c r="C32" t="s">
        <v>5</v>
      </c>
      <c r="D32">
        <v>1</v>
      </c>
      <c r="E32" t="s">
        <v>78</v>
      </c>
    </row>
    <row r="33" spans="1:5">
      <c r="A33" t="s">
        <v>27</v>
      </c>
      <c r="B33">
        <v>29</v>
      </c>
      <c r="C33" t="s">
        <v>8</v>
      </c>
      <c r="D33">
        <v>2</v>
      </c>
      <c r="E33" t="s">
        <v>27</v>
      </c>
    </row>
    <row r="34" spans="1:5">
      <c r="A34" t="s">
        <v>77</v>
      </c>
      <c r="B34">
        <v>29</v>
      </c>
      <c r="C34" t="s">
        <v>5</v>
      </c>
      <c r="D34">
        <v>3</v>
      </c>
      <c r="E34" t="s">
        <v>77</v>
      </c>
    </row>
    <row r="35" spans="1:5">
      <c r="A35" t="s">
        <v>76</v>
      </c>
      <c r="B35">
        <v>29</v>
      </c>
      <c r="C35" t="s">
        <v>8</v>
      </c>
      <c r="D35">
        <v>2</v>
      </c>
      <c r="E35" t="s">
        <v>76</v>
      </c>
    </row>
    <row r="36" spans="1:5">
      <c r="A36" t="s">
        <v>28</v>
      </c>
      <c r="B36">
        <v>29</v>
      </c>
      <c r="C36" t="s">
        <v>5</v>
      </c>
      <c r="D36">
        <v>1</v>
      </c>
      <c r="E36" t="s">
        <v>28</v>
      </c>
    </row>
    <row r="37" spans="1:5">
      <c r="A37" t="s">
        <v>75</v>
      </c>
      <c r="B37">
        <v>29</v>
      </c>
      <c r="C37" t="s">
        <v>5</v>
      </c>
      <c r="D37">
        <v>5</v>
      </c>
      <c r="E37" t="s">
        <v>75</v>
      </c>
    </row>
    <row r="38" spans="1:5">
      <c r="A38" t="s">
        <v>29</v>
      </c>
      <c r="B38">
        <v>29</v>
      </c>
      <c r="C38" t="s">
        <v>5</v>
      </c>
      <c r="D38">
        <v>3</v>
      </c>
      <c r="E38" t="s">
        <v>29</v>
      </c>
    </row>
    <row r="39" spans="1:5">
      <c r="A39" t="s">
        <v>74</v>
      </c>
      <c r="B39">
        <v>29</v>
      </c>
      <c r="C39" t="s">
        <v>5</v>
      </c>
      <c r="D39">
        <v>2</v>
      </c>
      <c r="E39" t="s">
        <v>74</v>
      </c>
    </row>
    <row r="40" spans="1:5">
      <c r="A40" t="s">
        <v>73</v>
      </c>
      <c r="B40">
        <v>29</v>
      </c>
      <c r="C40" t="s">
        <v>5</v>
      </c>
      <c r="D40">
        <v>1</v>
      </c>
      <c r="E40" t="s">
        <v>73</v>
      </c>
    </row>
    <row r="41" spans="1:5">
      <c r="A41" t="s">
        <v>72</v>
      </c>
      <c r="B41">
        <v>29</v>
      </c>
      <c r="C41" t="s">
        <v>5</v>
      </c>
      <c r="D41">
        <v>1</v>
      </c>
      <c r="E41" t="s">
        <v>72</v>
      </c>
    </row>
    <row r="42" spans="1:5">
      <c r="A42" t="s">
        <v>71</v>
      </c>
      <c r="B42">
        <v>29</v>
      </c>
      <c r="C42" t="s">
        <v>8</v>
      </c>
      <c r="D42">
        <v>1</v>
      </c>
      <c r="E42" t="s">
        <v>71</v>
      </c>
    </row>
    <row r="43" spans="1:5">
      <c r="A43" t="s">
        <v>31</v>
      </c>
      <c r="B43">
        <v>29</v>
      </c>
      <c r="C43" t="s">
        <v>8</v>
      </c>
      <c r="D43">
        <v>2</v>
      </c>
      <c r="E43" t="s">
        <v>31</v>
      </c>
    </row>
    <row r="44" spans="1:5">
      <c r="A44" t="s">
        <v>70</v>
      </c>
      <c r="B44">
        <v>29</v>
      </c>
      <c r="C44" t="s">
        <v>8</v>
      </c>
      <c r="D44">
        <v>1</v>
      </c>
      <c r="E44" t="s">
        <v>70</v>
      </c>
    </row>
    <row r="45" spans="1:5">
      <c r="A45" t="s">
        <v>69</v>
      </c>
      <c r="B45">
        <v>29</v>
      </c>
      <c r="C45" t="s">
        <v>5</v>
      </c>
      <c r="D45">
        <v>4</v>
      </c>
      <c r="E45" t="s">
        <v>69</v>
      </c>
    </row>
    <row r="46" spans="1:5">
      <c r="A46" t="s">
        <v>68</v>
      </c>
      <c r="B46">
        <v>29</v>
      </c>
      <c r="C46" t="s">
        <v>5</v>
      </c>
      <c r="D46">
        <v>1</v>
      </c>
      <c r="E46" t="s">
        <v>68</v>
      </c>
    </row>
    <row r="47" spans="1:5">
      <c r="A47" t="s">
        <v>33</v>
      </c>
      <c r="B47">
        <v>29</v>
      </c>
      <c r="C47" t="s">
        <v>5</v>
      </c>
      <c r="D47">
        <v>1</v>
      </c>
      <c r="E47" t="s">
        <v>33</v>
      </c>
    </row>
    <row r="48" spans="1:5">
      <c r="A48" t="s">
        <v>34</v>
      </c>
      <c r="B48">
        <v>29</v>
      </c>
      <c r="C48" t="s">
        <v>5</v>
      </c>
      <c r="D48">
        <v>2</v>
      </c>
      <c r="E48" t="s">
        <v>34</v>
      </c>
    </row>
    <row r="49" spans="1:5">
      <c r="A49" t="s">
        <v>67</v>
      </c>
      <c r="B49">
        <v>29</v>
      </c>
      <c r="C49" t="s">
        <v>5</v>
      </c>
      <c r="D49">
        <v>3</v>
      </c>
      <c r="E49" t="s">
        <v>67</v>
      </c>
    </row>
    <row r="50" spans="1:5">
      <c r="A50" t="s">
        <v>66</v>
      </c>
      <c r="B50">
        <v>29</v>
      </c>
      <c r="C50" t="s">
        <v>5</v>
      </c>
      <c r="D50">
        <v>3</v>
      </c>
      <c r="E50" t="s">
        <v>66</v>
      </c>
    </row>
    <row r="51" spans="1:5">
      <c r="A51" t="s">
        <v>64</v>
      </c>
      <c r="B51">
        <v>29</v>
      </c>
      <c r="C51" t="s">
        <v>8</v>
      </c>
      <c r="D51">
        <v>2</v>
      </c>
      <c r="E51" t="s">
        <v>64</v>
      </c>
    </row>
    <row r="52" spans="1:5">
      <c r="A52" t="s">
        <v>63</v>
      </c>
      <c r="B52">
        <v>29</v>
      </c>
      <c r="C52" t="s">
        <v>8</v>
      </c>
      <c r="D52">
        <v>1</v>
      </c>
      <c r="E52" t="s">
        <v>63</v>
      </c>
    </row>
    <row r="53" spans="1:5">
      <c r="A53" t="s">
        <v>36</v>
      </c>
      <c r="B53">
        <v>29</v>
      </c>
      <c r="C53" t="s">
        <v>5</v>
      </c>
      <c r="D53">
        <v>9</v>
      </c>
      <c r="E53" t="s">
        <v>36</v>
      </c>
    </row>
    <row r="54" spans="1:5">
      <c r="A54" t="s">
        <v>62</v>
      </c>
      <c r="B54">
        <v>29</v>
      </c>
      <c r="C54" t="s">
        <v>5</v>
      </c>
      <c r="D54">
        <v>1</v>
      </c>
      <c r="E54" t="s">
        <v>62</v>
      </c>
    </row>
    <row r="55" spans="1:5">
      <c r="A55" t="s">
        <v>61</v>
      </c>
      <c r="B55">
        <v>29</v>
      </c>
      <c r="C55" t="s">
        <v>5</v>
      </c>
      <c r="D55">
        <v>1</v>
      </c>
      <c r="E55" t="s">
        <v>61</v>
      </c>
    </row>
    <row r="56" spans="1:5">
      <c r="A56" t="s">
        <v>60</v>
      </c>
      <c r="B56">
        <v>29</v>
      </c>
      <c r="C56" t="s">
        <v>5</v>
      </c>
      <c r="D56">
        <v>1</v>
      </c>
      <c r="E56" t="s">
        <v>60</v>
      </c>
    </row>
    <row r="57" spans="1:5">
      <c r="A57" t="s">
        <v>37</v>
      </c>
      <c r="B57">
        <v>29</v>
      </c>
      <c r="C57" t="s">
        <v>5</v>
      </c>
      <c r="D57">
        <v>1</v>
      </c>
      <c r="E57" t="s">
        <v>37</v>
      </c>
    </row>
    <row r="58" spans="1:5">
      <c r="A58" t="s">
        <v>59</v>
      </c>
      <c r="B58">
        <v>29</v>
      </c>
      <c r="C58" t="s">
        <v>5</v>
      </c>
      <c r="D58">
        <v>1</v>
      </c>
      <c r="E58" t="s">
        <v>59</v>
      </c>
    </row>
    <row r="59" spans="1:5">
      <c r="A59" t="s">
        <v>56</v>
      </c>
      <c r="B59">
        <v>29</v>
      </c>
      <c r="C59" t="s">
        <v>5</v>
      </c>
      <c r="D59">
        <v>2</v>
      </c>
      <c r="E59" t="s">
        <v>56</v>
      </c>
    </row>
    <row r="60" spans="1:5">
      <c r="A60" t="s">
        <v>55</v>
      </c>
      <c r="B60">
        <v>29</v>
      </c>
      <c r="C60" t="s">
        <v>8</v>
      </c>
      <c r="D60">
        <v>2</v>
      </c>
      <c r="E60" t="s">
        <v>55</v>
      </c>
    </row>
    <row r="61" spans="1:5">
      <c r="A61" t="s">
        <v>51</v>
      </c>
      <c r="B61">
        <v>29</v>
      </c>
      <c r="C61" t="s">
        <v>8</v>
      </c>
      <c r="D61">
        <v>1</v>
      </c>
      <c r="E61" t="s">
        <v>51</v>
      </c>
    </row>
    <row r="62" spans="1:5">
      <c r="A62" t="s">
        <v>42</v>
      </c>
      <c r="B62">
        <v>29</v>
      </c>
      <c r="C62" t="s">
        <v>8</v>
      </c>
      <c r="D62">
        <v>3</v>
      </c>
      <c r="E62" t="s">
        <v>42</v>
      </c>
    </row>
    <row r="63" spans="1:5">
      <c r="A63" t="s">
        <v>49</v>
      </c>
      <c r="B63">
        <v>29</v>
      </c>
      <c r="C63" t="s">
        <v>5</v>
      </c>
      <c r="D63">
        <v>1</v>
      </c>
      <c r="E63" t="s">
        <v>49</v>
      </c>
    </row>
    <row r="64" spans="1:5">
      <c r="A64" t="s">
        <v>48</v>
      </c>
      <c r="B64">
        <v>29</v>
      </c>
      <c r="C64" t="s">
        <v>5</v>
      </c>
      <c r="D64">
        <v>1</v>
      </c>
      <c r="E64" t="s">
        <v>48</v>
      </c>
    </row>
    <row r="65" spans="1:5">
      <c r="A65" t="s">
        <v>47</v>
      </c>
      <c r="B65">
        <v>29</v>
      </c>
      <c r="C65" t="s">
        <v>5</v>
      </c>
      <c r="D65">
        <v>1</v>
      </c>
      <c r="E65" t="s">
        <v>47</v>
      </c>
    </row>
    <row r="66" spans="1:5">
      <c r="A66" t="s">
        <v>46</v>
      </c>
      <c r="B66">
        <v>29</v>
      </c>
      <c r="C66" t="s">
        <v>5</v>
      </c>
      <c r="D66">
        <v>1</v>
      </c>
      <c r="E66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Q208"/>
  <sheetViews>
    <sheetView tabSelected="1" workbookViewId="0">
      <selection activeCell="D1" sqref="D1"/>
    </sheetView>
  </sheetViews>
  <sheetFormatPr defaultRowHeight="15"/>
  <cols>
    <col min="1" max="1" width="47.42578125" bestFit="1" customWidth="1"/>
    <col min="3" max="3" width="10.42578125" bestFit="1" customWidth="1"/>
    <col min="5" max="5" width="47.42578125" bestFit="1" customWidth="1"/>
    <col min="7" max="7" width="15.42578125" bestFit="1" customWidth="1"/>
    <col min="8" max="8" width="16.28515625" bestFit="1" customWidth="1"/>
    <col min="9" max="9" width="6.7109375" customWidth="1"/>
    <col min="10" max="10" width="11.28515625" customWidth="1"/>
    <col min="11" max="11" width="11.28515625" bestFit="1" customWidth="1"/>
    <col min="13" max="13" width="13.5703125" bestFit="1" customWidth="1"/>
    <col min="14" max="14" width="17.85546875" bestFit="1" customWidth="1"/>
    <col min="16" max="16" width="11.28515625" bestFit="1" customWidth="1"/>
    <col min="17" max="17" width="26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310</v>
      </c>
      <c r="M1" s="1" t="s">
        <v>310</v>
      </c>
      <c r="N1" t="s">
        <v>311</v>
      </c>
    </row>
    <row r="2" spans="1:17">
      <c r="A2" t="s">
        <v>4</v>
      </c>
      <c r="B2">
        <v>29</v>
      </c>
      <c r="C2" t="s">
        <v>5</v>
      </c>
      <c r="D2">
        <v>2</v>
      </c>
      <c r="E2" t="str">
        <f>VLOOKUP(A:A,'282 Projects'!A:B,1,FALSE)</f>
        <v>ez-recipes-android</v>
      </c>
    </row>
    <row r="3" spans="1:17">
      <c r="A3" t="s">
        <v>4</v>
      </c>
      <c r="B3">
        <v>33</v>
      </c>
      <c r="C3" t="s">
        <v>5</v>
      </c>
      <c r="D3">
        <v>2</v>
      </c>
      <c r="E3" t="str">
        <f>VLOOKUP(A:A,'282 Projects'!A:B,1,FALSE)</f>
        <v>ez-recipes-android</v>
      </c>
      <c r="G3" s="1" t="s">
        <v>121</v>
      </c>
      <c r="H3" s="1" t="s">
        <v>120</v>
      </c>
      <c r="M3" s="1" t="s">
        <v>118</v>
      </c>
      <c r="N3" t="s">
        <v>121</v>
      </c>
      <c r="P3" s="6" t="s">
        <v>313</v>
      </c>
      <c r="Q3" s="6" t="s">
        <v>314</v>
      </c>
    </row>
    <row r="4" spans="1:17">
      <c r="A4" t="s">
        <v>4</v>
      </c>
      <c r="B4">
        <v>31</v>
      </c>
      <c r="C4" t="s">
        <v>5</v>
      </c>
      <c r="D4">
        <v>2</v>
      </c>
      <c r="E4" t="str">
        <f>VLOOKUP(A:A,'282 Projects'!A:B,1,FALSE)</f>
        <v>ez-recipes-android</v>
      </c>
      <c r="G4" s="1" t="s">
        <v>118</v>
      </c>
      <c r="H4" t="s">
        <v>8</v>
      </c>
      <c r="I4" t="s">
        <v>5</v>
      </c>
      <c r="J4" t="s">
        <v>119</v>
      </c>
      <c r="M4" s="2">
        <v>29</v>
      </c>
      <c r="N4" s="3">
        <v>65</v>
      </c>
      <c r="P4" s="7">
        <v>29</v>
      </c>
      <c r="Q4" s="8">
        <v>65</v>
      </c>
    </row>
    <row r="5" spans="1:17">
      <c r="A5" t="s">
        <v>6</v>
      </c>
      <c r="B5">
        <v>27</v>
      </c>
      <c r="C5" t="s">
        <v>5</v>
      </c>
      <c r="D5">
        <v>41</v>
      </c>
      <c r="E5" t="str">
        <f>VLOOKUP(A:A,'282 Projects'!A:B,1,FALSE)</f>
        <v>android</v>
      </c>
      <c r="G5" s="2">
        <v>29</v>
      </c>
      <c r="H5" s="3">
        <v>27</v>
      </c>
      <c r="I5" s="3">
        <v>39</v>
      </c>
      <c r="J5" s="3">
        <v>66</v>
      </c>
      <c r="M5" s="2">
        <v>23</v>
      </c>
      <c r="N5" s="3">
        <v>24</v>
      </c>
      <c r="P5" s="7">
        <v>23</v>
      </c>
      <c r="Q5" s="8">
        <v>24</v>
      </c>
    </row>
    <row r="6" spans="1:17">
      <c r="A6" t="s">
        <v>6</v>
      </c>
      <c r="B6">
        <v>31</v>
      </c>
      <c r="C6" t="s">
        <v>5</v>
      </c>
      <c r="D6">
        <v>41</v>
      </c>
      <c r="E6" t="str">
        <f>VLOOKUP(A:A,'282 Projects'!A:B,1,FALSE)</f>
        <v>android</v>
      </c>
      <c r="G6" s="2">
        <v>23</v>
      </c>
      <c r="H6" s="3"/>
      <c r="I6" s="3">
        <v>24</v>
      </c>
      <c r="J6" s="3">
        <v>24</v>
      </c>
      <c r="M6" s="2">
        <v>26</v>
      </c>
      <c r="N6" s="3">
        <v>23</v>
      </c>
      <c r="P6" s="7">
        <v>26</v>
      </c>
      <c r="Q6" s="8">
        <v>23</v>
      </c>
    </row>
    <row r="7" spans="1:17">
      <c r="A7" t="s">
        <v>7</v>
      </c>
      <c r="B7">
        <v>29</v>
      </c>
      <c r="C7" t="s">
        <v>8</v>
      </c>
      <c r="D7">
        <v>1</v>
      </c>
      <c r="E7" t="str">
        <f>VLOOKUP(A:A,'282 Projects'!A:B,1,FALSE)</f>
        <v>RLAD</v>
      </c>
      <c r="G7" s="2">
        <v>26</v>
      </c>
      <c r="H7" s="3">
        <v>2</v>
      </c>
      <c r="I7" s="3">
        <v>21</v>
      </c>
      <c r="J7" s="3">
        <v>23</v>
      </c>
      <c r="M7" s="2">
        <v>31</v>
      </c>
      <c r="N7" s="3">
        <v>21</v>
      </c>
      <c r="P7" s="7">
        <v>31</v>
      </c>
      <c r="Q7" s="8">
        <v>21</v>
      </c>
    </row>
    <row r="8" spans="1:17">
      <c r="A8" t="s">
        <v>9</v>
      </c>
      <c r="B8">
        <v>26</v>
      </c>
      <c r="C8" t="s">
        <v>5</v>
      </c>
      <c r="D8">
        <v>1</v>
      </c>
      <c r="E8" t="str">
        <f>VLOOKUP(A:A,'282 Projects'!A:B,1,FALSE)</f>
        <v>compose-challenges</v>
      </c>
      <c r="G8" s="2">
        <v>31</v>
      </c>
      <c r="H8" s="3">
        <v>10</v>
      </c>
      <c r="I8" s="3">
        <v>12</v>
      </c>
      <c r="J8" s="3">
        <v>22</v>
      </c>
      <c r="M8" s="2">
        <v>28</v>
      </c>
      <c r="N8" s="3">
        <v>18</v>
      </c>
      <c r="P8" s="7">
        <v>28</v>
      </c>
      <c r="Q8" s="8">
        <v>18</v>
      </c>
    </row>
    <row r="9" spans="1:17">
      <c r="A9" t="s">
        <v>9</v>
      </c>
      <c r="B9">
        <v>23</v>
      </c>
      <c r="C9" t="s">
        <v>5</v>
      </c>
      <c r="D9">
        <v>1</v>
      </c>
      <c r="E9" t="str">
        <f>VLOOKUP(A:A,'282 Projects'!A:B,1,FALSE)</f>
        <v>compose-challenges</v>
      </c>
      <c r="G9" s="2">
        <v>28</v>
      </c>
      <c r="H9" s="3">
        <v>9</v>
      </c>
      <c r="I9" s="3">
        <v>9</v>
      </c>
      <c r="J9" s="3">
        <v>18</v>
      </c>
      <c r="M9" s="2">
        <v>30</v>
      </c>
      <c r="N9" s="3">
        <v>14</v>
      </c>
      <c r="P9" s="7">
        <v>30</v>
      </c>
      <c r="Q9" s="8">
        <v>14</v>
      </c>
    </row>
    <row r="10" spans="1:17">
      <c r="A10" t="s">
        <v>9</v>
      </c>
      <c r="B10">
        <v>29</v>
      </c>
      <c r="C10" t="s">
        <v>5</v>
      </c>
      <c r="D10">
        <v>1</v>
      </c>
      <c r="E10" t="str">
        <f>VLOOKUP(A:A,'282 Projects'!A:B,1,FALSE)</f>
        <v>compose-challenges</v>
      </c>
      <c r="G10" s="2">
        <v>30</v>
      </c>
      <c r="H10" s="3">
        <v>6</v>
      </c>
      <c r="I10" s="3">
        <v>8</v>
      </c>
      <c r="J10" s="3">
        <v>14</v>
      </c>
      <c r="M10" s="2">
        <v>21</v>
      </c>
      <c r="N10" s="3">
        <v>13</v>
      </c>
      <c r="P10" s="7">
        <v>21</v>
      </c>
      <c r="Q10" s="8">
        <v>13</v>
      </c>
    </row>
    <row r="11" spans="1:17">
      <c r="A11" t="s">
        <v>10</v>
      </c>
      <c r="B11">
        <v>29</v>
      </c>
      <c r="C11" t="s">
        <v>5</v>
      </c>
      <c r="D11">
        <v>3</v>
      </c>
      <c r="E11" t="str">
        <f>VLOOKUP(A:A,'282 Projects'!A:B,1,FALSE)</f>
        <v>secure-storage-android</v>
      </c>
      <c r="G11" s="2">
        <v>21</v>
      </c>
      <c r="H11" s="3">
        <v>5</v>
      </c>
      <c r="I11" s="3">
        <v>8</v>
      </c>
      <c r="J11" s="3">
        <v>13</v>
      </c>
      <c r="M11" s="2">
        <v>33</v>
      </c>
      <c r="N11" s="3">
        <v>6</v>
      </c>
      <c r="P11" s="7">
        <v>33</v>
      </c>
      <c r="Q11" s="8">
        <v>6</v>
      </c>
    </row>
    <row r="12" spans="1:17">
      <c r="A12" t="s">
        <v>10</v>
      </c>
      <c r="B12">
        <v>23</v>
      </c>
      <c r="C12" t="s">
        <v>5</v>
      </c>
      <c r="D12">
        <v>3</v>
      </c>
      <c r="E12" t="str">
        <f>VLOOKUP(A:A,'282 Projects'!A:B,1,FALSE)</f>
        <v>secure-storage-android</v>
      </c>
      <c r="G12" s="2">
        <v>33</v>
      </c>
      <c r="H12" s="3">
        <v>3</v>
      </c>
      <c r="I12" s="3">
        <v>3</v>
      </c>
      <c r="J12" s="3">
        <v>6</v>
      </c>
      <c r="M12" s="2">
        <v>24</v>
      </c>
      <c r="N12" s="3">
        <v>4</v>
      </c>
      <c r="P12" s="7">
        <v>24</v>
      </c>
      <c r="Q12" s="8">
        <v>4</v>
      </c>
    </row>
    <row r="13" spans="1:17">
      <c r="A13" t="s">
        <v>10</v>
      </c>
      <c r="B13">
        <v>22</v>
      </c>
      <c r="C13" t="s">
        <v>5</v>
      </c>
      <c r="D13">
        <v>3</v>
      </c>
      <c r="E13" t="str">
        <f>VLOOKUP(A:A,'282 Projects'!A:B,1,FALSE)</f>
        <v>secure-storage-android</v>
      </c>
      <c r="G13" s="2">
        <v>24</v>
      </c>
      <c r="H13" s="3">
        <v>3</v>
      </c>
      <c r="I13" s="3">
        <v>1</v>
      </c>
      <c r="J13" s="3">
        <v>4</v>
      </c>
      <c r="M13" s="2">
        <v>22</v>
      </c>
      <c r="N13" s="3">
        <v>4</v>
      </c>
      <c r="P13" s="7">
        <v>22</v>
      </c>
      <c r="Q13" s="8">
        <v>4</v>
      </c>
    </row>
    <row r="14" spans="1:17">
      <c r="A14" t="s">
        <v>10</v>
      </c>
      <c r="B14">
        <v>25</v>
      </c>
      <c r="C14" t="s">
        <v>5</v>
      </c>
      <c r="D14">
        <v>3</v>
      </c>
      <c r="E14" t="str">
        <f>VLOOKUP(A:A,'282 Projects'!A:B,1,FALSE)</f>
        <v>secure-storage-android</v>
      </c>
      <c r="G14" s="2">
        <v>22</v>
      </c>
      <c r="H14" s="3">
        <v>2</v>
      </c>
      <c r="I14" s="3">
        <v>2</v>
      </c>
      <c r="J14" s="3">
        <v>4</v>
      </c>
      <c r="M14" s="2">
        <v>27</v>
      </c>
      <c r="N14" s="3">
        <v>4</v>
      </c>
      <c r="P14" s="7">
        <v>27</v>
      </c>
      <c r="Q14" s="8">
        <v>4</v>
      </c>
    </row>
    <row r="15" spans="1:17">
      <c r="A15" t="s">
        <v>10</v>
      </c>
      <c r="B15">
        <v>21</v>
      </c>
      <c r="C15" t="s">
        <v>5</v>
      </c>
      <c r="D15">
        <v>3</v>
      </c>
      <c r="E15" t="str">
        <f>VLOOKUP(A:A,'282 Projects'!A:B,1,FALSE)</f>
        <v>secure-storage-android</v>
      </c>
      <c r="G15" s="2">
        <v>27</v>
      </c>
      <c r="H15" s="3">
        <v>1</v>
      </c>
      <c r="I15" s="3">
        <v>3</v>
      </c>
      <c r="J15" s="3">
        <v>4</v>
      </c>
      <c r="M15" s="2">
        <v>19</v>
      </c>
      <c r="N15" s="3">
        <v>3</v>
      </c>
      <c r="P15" s="7">
        <v>19</v>
      </c>
      <c r="Q15" s="8">
        <v>3</v>
      </c>
    </row>
    <row r="16" spans="1:17">
      <c r="A16" t="s">
        <v>11</v>
      </c>
      <c r="B16">
        <v>29</v>
      </c>
      <c r="C16" t="s">
        <v>8</v>
      </c>
      <c r="D16">
        <v>1</v>
      </c>
      <c r="E16" t="str">
        <f>VLOOKUP(A:A,'282 Projects'!A:B,1,FALSE)</f>
        <v>ExpenseManager</v>
      </c>
      <c r="G16" s="2">
        <v>19</v>
      </c>
      <c r="H16" s="3">
        <v>1</v>
      </c>
      <c r="I16" s="3">
        <v>2</v>
      </c>
      <c r="J16" s="3">
        <v>3</v>
      </c>
      <c r="M16" s="2">
        <v>25</v>
      </c>
      <c r="N16" s="3">
        <v>3</v>
      </c>
      <c r="P16" s="7">
        <v>25</v>
      </c>
      <c r="Q16" s="8">
        <v>3</v>
      </c>
    </row>
    <row r="17" spans="1:17">
      <c r="A17" t="s">
        <v>12</v>
      </c>
      <c r="B17">
        <v>29</v>
      </c>
      <c r="C17" t="s">
        <v>8</v>
      </c>
      <c r="D17">
        <v>2</v>
      </c>
      <c r="E17" t="str">
        <f>VLOOKUP(A:A,'282 Projects'!A:B,1,FALSE)</f>
        <v>Palette-Compose</v>
      </c>
      <c r="G17" s="2">
        <v>25</v>
      </c>
      <c r="H17" s="3">
        <v>1</v>
      </c>
      <c r="I17" s="3">
        <v>2</v>
      </c>
      <c r="J17" s="3">
        <v>3</v>
      </c>
      <c r="M17" s="2">
        <v>32</v>
      </c>
      <c r="N17" s="3">
        <v>2</v>
      </c>
      <c r="P17" s="7">
        <v>32</v>
      </c>
      <c r="Q17" s="8">
        <v>2</v>
      </c>
    </row>
    <row r="18" spans="1:17">
      <c r="A18" t="s">
        <v>13</v>
      </c>
      <c r="B18">
        <v>28</v>
      </c>
      <c r="C18" t="s">
        <v>8</v>
      </c>
      <c r="D18">
        <v>6</v>
      </c>
      <c r="E18" t="str">
        <f>VLOOKUP(A:A,'282 Projects'!A:B,1,FALSE)</f>
        <v>FastShopping</v>
      </c>
      <c r="G18" s="2">
        <v>32</v>
      </c>
      <c r="H18" s="3">
        <v>2</v>
      </c>
      <c r="I18" s="3"/>
      <c r="J18" s="3">
        <v>2</v>
      </c>
      <c r="M18" s="2">
        <v>16</v>
      </c>
      <c r="N18" s="3">
        <v>1</v>
      </c>
      <c r="P18" s="7">
        <v>16</v>
      </c>
      <c r="Q18" s="8">
        <v>1</v>
      </c>
    </row>
    <row r="19" spans="1:17">
      <c r="A19" t="s">
        <v>14</v>
      </c>
      <c r="B19">
        <v>29</v>
      </c>
      <c r="C19" t="s">
        <v>8</v>
      </c>
      <c r="D19">
        <v>6</v>
      </c>
      <c r="E19" t="str">
        <f>VLOOKUP(A:A,'282 Projects'!A:B,1,FALSE)</f>
        <v>RickAndMorty</v>
      </c>
      <c r="G19" s="2">
        <v>16</v>
      </c>
      <c r="H19" s="3"/>
      <c r="I19" s="3">
        <v>1</v>
      </c>
      <c r="J19" s="3">
        <v>1</v>
      </c>
      <c r="M19" s="2" t="s">
        <v>119</v>
      </c>
      <c r="N19" s="3">
        <v>205</v>
      </c>
      <c r="P19" s="9" t="s">
        <v>119</v>
      </c>
      <c r="Q19" s="10">
        <v>205</v>
      </c>
    </row>
    <row r="20" spans="1:17">
      <c r="A20" t="s">
        <v>15</v>
      </c>
      <c r="B20">
        <v>31</v>
      </c>
      <c r="C20" t="s">
        <v>8</v>
      </c>
      <c r="D20">
        <v>2</v>
      </c>
      <c r="E20" t="str">
        <f>VLOOKUP(A:A,'282 Projects'!A:B,1,FALSE)</f>
        <v>CoffeeDrinksWithJetpackCompose</v>
      </c>
      <c r="G20" s="2" t="s">
        <v>119</v>
      </c>
      <c r="H20" s="3">
        <v>72</v>
      </c>
      <c r="I20" s="3">
        <v>135</v>
      </c>
      <c r="J20" s="3">
        <v>207</v>
      </c>
    </row>
    <row r="21" spans="1:17">
      <c r="A21" t="s">
        <v>16</v>
      </c>
      <c r="B21">
        <v>31</v>
      </c>
      <c r="C21" t="s">
        <v>8</v>
      </c>
      <c r="D21">
        <v>7</v>
      </c>
      <c r="E21" t="str">
        <f>VLOOKUP(A:A,'282 Projects'!A:B,1,FALSE)</f>
        <v>and-bible</v>
      </c>
    </row>
    <row r="22" spans="1:17">
      <c r="A22" t="s">
        <v>17</v>
      </c>
      <c r="B22">
        <v>23</v>
      </c>
      <c r="C22" t="s">
        <v>5</v>
      </c>
      <c r="D22">
        <v>3</v>
      </c>
      <c r="E22" t="str">
        <f>VLOOKUP(A:A,'282 Projects'!A:B,1,FALSE)</f>
        <v>trekarta</v>
      </c>
    </row>
    <row r="23" spans="1:17">
      <c r="A23" t="s">
        <v>17</v>
      </c>
      <c r="B23">
        <v>29</v>
      </c>
      <c r="C23" t="s">
        <v>5</v>
      </c>
      <c r="D23">
        <v>3</v>
      </c>
      <c r="E23" t="str">
        <f>VLOOKUP(A:A,'282 Projects'!A:B,1,FALSE)</f>
        <v>trekarta</v>
      </c>
    </row>
    <row r="24" spans="1:17">
      <c r="A24" t="s">
        <v>18</v>
      </c>
      <c r="B24">
        <v>30</v>
      </c>
      <c r="C24" t="s">
        <v>5</v>
      </c>
      <c r="D24">
        <v>12</v>
      </c>
      <c r="E24" t="str">
        <f>VLOOKUP(A:A,'282 Projects'!A:B,1,FALSE)</f>
        <v>Anki-Android</v>
      </c>
    </row>
    <row r="25" spans="1:17">
      <c r="A25" t="s">
        <v>19</v>
      </c>
      <c r="B25">
        <v>30</v>
      </c>
      <c r="C25" t="s">
        <v>8</v>
      </c>
      <c r="D25">
        <v>2</v>
      </c>
      <c r="E25" t="str">
        <f>VLOOKUP(A:A,'282 Projects'!A:B,1,FALSE)</f>
        <v>AntennaPod</v>
      </c>
      <c r="G25" s="6" t="s">
        <v>315</v>
      </c>
      <c r="H25" s="6" t="s">
        <v>119</v>
      </c>
      <c r="I25" s="4"/>
    </row>
    <row r="26" spans="1:17">
      <c r="A26" t="s">
        <v>20</v>
      </c>
      <c r="B26">
        <v>28</v>
      </c>
      <c r="C26" t="s">
        <v>8</v>
      </c>
      <c r="D26">
        <v>3</v>
      </c>
      <c r="E26" t="str">
        <f>VLOOKUP(A:A,'282 Projects'!A:B,1,FALSE)</f>
        <v>EasyRecipe</v>
      </c>
      <c r="G26" s="7">
        <v>29</v>
      </c>
      <c r="H26" s="8">
        <v>66</v>
      </c>
      <c r="I26" s="3"/>
    </row>
    <row r="27" spans="1:17">
      <c r="A27" t="s">
        <v>21</v>
      </c>
      <c r="B27">
        <v>29</v>
      </c>
      <c r="C27" t="s">
        <v>8</v>
      </c>
      <c r="D27">
        <v>3</v>
      </c>
      <c r="E27" t="str">
        <f>VLOOKUP(A:A,'282 Projects'!A:B,1,FALSE)</f>
        <v>weather-forecast-ID</v>
      </c>
      <c r="G27" s="7">
        <v>23</v>
      </c>
      <c r="H27" s="8">
        <v>24</v>
      </c>
      <c r="I27" s="3"/>
    </row>
    <row r="28" spans="1:17">
      <c r="A28" t="s">
        <v>22</v>
      </c>
      <c r="B28">
        <v>31</v>
      </c>
      <c r="C28" t="s">
        <v>8</v>
      </c>
      <c r="D28">
        <v>3</v>
      </c>
      <c r="E28" t="str">
        <f>VLOOKUP(A:A,'282 Projects'!A:B,1,FALSE)</f>
        <v>Aegis</v>
      </c>
      <c r="G28" s="7">
        <v>26</v>
      </c>
      <c r="H28" s="8">
        <v>23</v>
      </c>
      <c r="I28" s="3"/>
    </row>
    <row r="29" spans="1:17">
      <c r="A29" t="s">
        <v>23</v>
      </c>
      <c r="B29">
        <v>31</v>
      </c>
      <c r="C29" t="s">
        <v>8</v>
      </c>
      <c r="D29">
        <v>9</v>
      </c>
      <c r="E29" t="str">
        <f>VLOOKUP(A:A,'282 Projects'!A:B,1,FALSE)</f>
        <v>mobile</v>
      </c>
      <c r="G29" s="7">
        <v>31</v>
      </c>
      <c r="H29" s="8">
        <v>22</v>
      </c>
      <c r="I29" s="3"/>
    </row>
    <row r="30" spans="1:17">
      <c r="A30" t="s">
        <v>24</v>
      </c>
      <c r="B30">
        <v>31</v>
      </c>
      <c r="C30" t="s">
        <v>5</v>
      </c>
      <c r="D30">
        <v>4</v>
      </c>
      <c r="E30" t="str">
        <f>VLOOKUP(A:A,'282 Projects'!A:B,1,FALSE)</f>
        <v>icsx5</v>
      </c>
      <c r="G30" s="7">
        <v>28</v>
      </c>
      <c r="H30" s="8">
        <v>18</v>
      </c>
      <c r="I30" s="3"/>
    </row>
    <row r="31" spans="1:17">
      <c r="A31" t="s">
        <v>25</v>
      </c>
      <c r="B31">
        <v>29</v>
      </c>
      <c r="C31" t="s">
        <v>8</v>
      </c>
      <c r="D31">
        <v>1</v>
      </c>
      <c r="E31" t="str">
        <f>VLOOKUP(A:A,'282 Projects'!A:B,1,FALSE)</f>
        <v>learn-braille</v>
      </c>
      <c r="G31" s="7">
        <v>30</v>
      </c>
      <c r="H31" s="8">
        <v>14</v>
      </c>
      <c r="I31" s="3"/>
    </row>
    <row r="32" spans="1:17">
      <c r="A32" t="s">
        <v>26</v>
      </c>
      <c r="B32">
        <v>24</v>
      </c>
      <c r="C32" t="s">
        <v>8</v>
      </c>
      <c r="D32">
        <v>1</v>
      </c>
      <c r="E32" t="str">
        <f>VLOOKUP(A:A,'282 Projects'!A:B,1,FALSE)</f>
        <v>sdp-project</v>
      </c>
      <c r="G32" s="7">
        <v>21</v>
      </c>
      <c r="H32" s="8">
        <v>13</v>
      </c>
      <c r="I32" s="3"/>
    </row>
    <row r="33" spans="1:9">
      <c r="A33" t="s">
        <v>27</v>
      </c>
      <c r="B33">
        <v>29</v>
      </c>
      <c r="C33" t="s">
        <v>8</v>
      </c>
      <c r="D33">
        <v>2</v>
      </c>
      <c r="E33" t="str">
        <f>VLOOKUP(A:A,'282 Projects'!A:B,1,FALSE)</f>
        <v>Bookworm</v>
      </c>
      <c r="G33" s="7">
        <v>33</v>
      </c>
      <c r="H33" s="8">
        <v>6</v>
      </c>
      <c r="I33" s="3"/>
    </row>
    <row r="34" spans="1:9">
      <c r="A34" t="s">
        <v>28</v>
      </c>
      <c r="B34">
        <v>26</v>
      </c>
      <c r="C34" t="s">
        <v>5</v>
      </c>
      <c r="D34">
        <v>1</v>
      </c>
      <c r="E34" t="str">
        <f>VLOOKUP(A:A,'282 Projects'!A:B,1,FALSE)</f>
        <v>Bark</v>
      </c>
      <c r="G34" s="7">
        <v>24</v>
      </c>
      <c r="H34" s="8">
        <v>4</v>
      </c>
      <c r="I34" s="3"/>
    </row>
    <row r="35" spans="1:9">
      <c r="A35" t="s">
        <v>28</v>
      </c>
      <c r="B35">
        <v>23</v>
      </c>
      <c r="C35" t="s">
        <v>5</v>
      </c>
      <c r="D35">
        <v>1</v>
      </c>
      <c r="E35" t="str">
        <f>VLOOKUP(A:A,'282 Projects'!A:B,1,FALSE)</f>
        <v>Bark</v>
      </c>
      <c r="G35" s="7">
        <v>22</v>
      </c>
      <c r="H35" s="8">
        <v>4</v>
      </c>
      <c r="I35" s="3"/>
    </row>
    <row r="36" spans="1:9">
      <c r="A36" t="s">
        <v>28</v>
      </c>
      <c r="B36">
        <v>29</v>
      </c>
      <c r="C36" t="s">
        <v>5</v>
      </c>
      <c r="D36">
        <v>1</v>
      </c>
      <c r="E36" t="str">
        <f>VLOOKUP(A:A,'282 Projects'!A:B,1,FALSE)</f>
        <v>Bark</v>
      </c>
      <c r="G36" s="7">
        <v>27</v>
      </c>
      <c r="H36" s="8">
        <v>4</v>
      </c>
      <c r="I36" s="3"/>
    </row>
    <row r="37" spans="1:9">
      <c r="A37" t="s">
        <v>29</v>
      </c>
      <c r="B37">
        <v>26</v>
      </c>
      <c r="C37" t="s">
        <v>5</v>
      </c>
      <c r="D37">
        <v>3</v>
      </c>
      <c r="E37" t="str">
        <f>VLOOKUP(A:A,'282 Projects'!A:B,1,FALSE)</f>
        <v>curriculumvitae</v>
      </c>
      <c r="G37" s="7">
        <v>19</v>
      </c>
      <c r="H37" s="8">
        <v>3</v>
      </c>
      <c r="I37" s="3"/>
    </row>
    <row r="38" spans="1:9">
      <c r="A38" t="s">
        <v>29</v>
      </c>
      <c r="B38">
        <v>29</v>
      </c>
      <c r="C38" t="s">
        <v>5</v>
      </c>
      <c r="D38">
        <v>3</v>
      </c>
      <c r="E38" t="str">
        <f>VLOOKUP(A:A,'282 Projects'!A:B,1,FALSE)</f>
        <v>curriculumvitae</v>
      </c>
      <c r="G38" s="7">
        <v>25</v>
      </c>
      <c r="H38" s="8">
        <v>3</v>
      </c>
      <c r="I38" s="3"/>
    </row>
    <row r="39" spans="1:9">
      <c r="A39" t="s">
        <v>29</v>
      </c>
      <c r="B39">
        <v>28</v>
      </c>
      <c r="C39" t="s">
        <v>5</v>
      </c>
      <c r="D39">
        <v>3</v>
      </c>
      <c r="E39" t="str">
        <f>VLOOKUP(A:A,'282 Projects'!A:B,1,FALSE)</f>
        <v>curriculumvitae</v>
      </c>
      <c r="G39" s="7">
        <v>32</v>
      </c>
      <c r="H39" s="8">
        <v>2</v>
      </c>
      <c r="I39" s="3"/>
    </row>
    <row r="40" spans="1:9">
      <c r="A40" t="s">
        <v>29</v>
      </c>
      <c r="B40">
        <v>31</v>
      </c>
      <c r="C40" t="s">
        <v>5</v>
      </c>
      <c r="D40">
        <v>3</v>
      </c>
      <c r="E40" t="str">
        <f>VLOOKUP(A:A,'282 Projects'!A:B,1,FALSE)</f>
        <v>curriculumvitae</v>
      </c>
      <c r="G40" s="7">
        <v>16</v>
      </c>
      <c r="H40" s="8">
        <v>1</v>
      </c>
      <c r="I40" s="3"/>
    </row>
    <row r="41" spans="1:9">
      <c r="A41" t="s">
        <v>29</v>
      </c>
      <c r="B41">
        <v>30</v>
      </c>
      <c r="C41" t="s">
        <v>8</v>
      </c>
      <c r="D41">
        <v>3</v>
      </c>
      <c r="E41" t="str">
        <f>VLOOKUP(A:A,'282 Projects'!A:B,1,FALSE)</f>
        <v>curriculumvitae</v>
      </c>
      <c r="G41" s="9" t="s">
        <v>119</v>
      </c>
      <c r="H41" s="10">
        <v>207</v>
      </c>
      <c r="I41" s="5"/>
    </row>
    <row r="42" spans="1:9">
      <c r="A42" t="s">
        <v>30</v>
      </c>
      <c r="B42">
        <v>28</v>
      </c>
      <c r="C42" t="s">
        <v>8</v>
      </c>
      <c r="D42">
        <v>4</v>
      </c>
      <c r="E42" t="str">
        <f>VLOOKUP(A:A,'282 Projects'!A:B,1,FALSE)</f>
        <v>connectbot</v>
      </c>
    </row>
    <row r="43" spans="1:9">
      <c r="A43" t="s">
        <v>31</v>
      </c>
      <c r="B43">
        <v>29</v>
      </c>
      <c r="C43" t="s">
        <v>8</v>
      </c>
      <c r="D43">
        <v>2</v>
      </c>
      <c r="E43" t="str">
        <f>VLOOKUP(A:A,'282 Projects'!A:B,1,FALSE)</f>
        <v>atom-tasks</v>
      </c>
    </row>
    <row r="44" spans="1:9">
      <c r="A44" t="s">
        <v>32</v>
      </c>
      <c r="B44">
        <v>25</v>
      </c>
      <c r="C44" t="s">
        <v>8</v>
      </c>
      <c r="D44">
        <v>2</v>
      </c>
      <c r="E44" t="str">
        <f>VLOOKUP(A:A,'282 Projects'!A:B,1,FALSE)</f>
        <v>MetadataRemover</v>
      </c>
    </row>
    <row r="45" spans="1:9">
      <c r="A45" t="s">
        <v>33</v>
      </c>
      <c r="B45">
        <v>26</v>
      </c>
      <c r="C45" t="s">
        <v>5</v>
      </c>
      <c r="D45">
        <v>1</v>
      </c>
      <c r="E45" t="str">
        <f>VLOOKUP(A:A,'282 Projects'!A:B,1,FALSE)</f>
        <v>Marvel</v>
      </c>
    </row>
    <row r="46" spans="1:9">
      <c r="A46" t="s">
        <v>33</v>
      </c>
      <c r="B46">
        <v>23</v>
      </c>
      <c r="C46" t="s">
        <v>5</v>
      </c>
      <c r="D46">
        <v>1</v>
      </c>
      <c r="E46" t="str">
        <f>VLOOKUP(A:A,'282 Projects'!A:B,1,FALSE)</f>
        <v>Marvel</v>
      </c>
    </row>
    <row r="47" spans="1:9">
      <c r="A47" t="s">
        <v>33</v>
      </c>
      <c r="B47">
        <v>29</v>
      </c>
      <c r="C47" t="s">
        <v>5</v>
      </c>
      <c r="D47">
        <v>1</v>
      </c>
      <c r="E47" t="str">
        <f>VLOOKUP(A:A,'282 Projects'!A:B,1,FALSE)</f>
        <v>Marvel</v>
      </c>
    </row>
    <row r="48" spans="1:9">
      <c r="A48" t="s">
        <v>34</v>
      </c>
      <c r="B48">
        <v>29</v>
      </c>
      <c r="C48" t="s">
        <v>5</v>
      </c>
      <c r="D48">
        <v>2</v>
      </c>
      <c r="E48" t="str">
        <f>VLOOKUP(A:A,'282 Projects'!A:B,1,FALSE)</f>
        <v>droid-feed</v>
      </c>
    </row>
    <row r="49" spans="1:5">
      <c r="A49" t="s">
        <v>34</v>
      </c>
      <c r="B49">
        <v>21</v>
      </c>
      <c r="C49" t="s">
        <v>5</v>
      </c>
      <c r="D49">
        <v>2</v>
      </c>
      <c r="E49" t="str">
        <f>VLOOKUP(A:A,'282 Projects'!A:B,1,FALSE)</f>
        <v>droid-feed</v>
      </c>
    </row>
    <row r="50" spans="1:5">
      <c r="A50" t="s">
        <v>35</v>
      </c>
      <c r="B50">
        <v>31</v>
      </c>
      <c r="C50" t="s">
        <v>8</v>
      </c>
      <c r="D50">
        <v>4</v>
      </c>
      <c r="E50" t="str">
        <f>VLOOKUP(A:A,'282 Projects'!A:B,1,FALSE)</f>
        <v>any</v>
      </c>
    </row>
    <row r="51" spans="1:5">
      <c r="A51" t="s">
        <v>36</v>
      </c>
      <c r="B51">
        <v>26</v>
      </c>
      <c r="C51" t="s">
        <v>5</v>
      </c>
      <c r="D51">
        <v>9</v>
      </c>
      <c r="E51" t="str">
        <f>VLOOKUP(A:A,'282 Projects'!A:B,1,FALSE)</f>
        <v>conference-app-2021</v>
      </c>
    </row>
    <row r="52" spans="1:5">
      <c r="A52" t="s">
        <v>36</v>
      </c>
      <c r="B52">
        <v>23</v>
      </c>
      <c r="C52" t="s">
        <v>5</v>
      </c>
      <c r="D52">
        <v>9</v>
      </c>
      <c r="E52" t="str">
        <f>VLOOKUP(A:A,'282 Projects'!A:B,1,FALSE)</f>
        <v>conference-app-2021</v>
      </c>
    </row>
    <row r="53" spans="1:5">
      <c r="A53" t="s">
        <v>36</v>
      </c>
      <c r="B53">
        <v>29</v>
      </c>
      <c r="C53" t="s">
        <v>5</v>
      </c>
      <c r="D53">
        <v>9</v>
      </c>
      <c r="E53" t="str">
        <f>VLOOKUP(A:A,'282 Projects'!A:B,1,FALSE)</f>
        <v>conference-app-2021</v>
      </c>
    </row>
    <row r="54" spans="1:5">
      <c r="A54" t="s">
        <v>36</v>
      </c>
      <c r="B54">
        <v>21</v>
      </c>
      <c r="C54" t="s">
        <v>5</v>
      </c>
      <c r="D54">
        <v>9</v>
      </c>
      <c r="E54" t="str">
        <f>VLOOKUP(A:A,'282 Projects'!A:B,1,FALSE)</f>
        <v>conference-app-2021</v>
      </c>
    </row>
    <row r="55" spans="1:5">
      <c r="A55" t="s">
        <v>37</v>
      </c>
      <c r="B55">
        <v>26</v>
      </c>
      <c r="C55" t="s">
        <v>5</v>
      </c>
      <c r="D55">
        <v>1</v>
      </c>
      <c r="E55" t="str">
        <f>VLOOKUP(A:A,'282 Projects'!A:B,1,FALSE)</f>
        <v>jetpuppy</v>
      </c>
    </row>
    <row r="56" spans="1:5">
      <c r="A56" t="s">
        <v>37</v>
      </c>
      <c r="B56">
        <v>23</v>
      </c>
      <c r="C56" t="s">
        <v>5</v>
      </c>
      <c r="D56">
        <v>1</v>
      </c>
      <c r="E56" t="str">
        <f>VLOOKUP(A:A,'282 Projects'!A:B,1,FALSE)</f>
        <v>jetpuppy</v>
      </c>
    </row>
    <row r="57" spans="1:5">
      <c r="A57" t="s">
        <v>37</v>
      </c>
      <c r="B57">
        <v>29</v>
      </c>
      <c r="C57" t="s">
        <v>5</v>
      </c>
      <c r="D57">
        <v>1</v>
      </c>
      <c r="E57" t="str">
        <f>VLOOKUP(A:A,'282 Projects'!A:B,1,FALSE)</f>
        <v>jetpuppy</v>
      </c>
    </row>
    <row r="58" spans="1:5">
      <c r="A58" t="s">
        <v>38</v>
      </c>
      <c r="B58">
        <v>28</v>
      </c>
      <c r="C58" t="s">
        <v>5</v>
      </c>
      <c r="D58">
        <v>1</v>
      </c>
      <c r="E58" t="str">
        <f>VLOOKUP(A:A,'282 Projects'!A:B,1,FALSE)</f>
        <v>euphony-hub-collector</v>
      </c>
    </row>
    <row r="59" spans="1:5">
      <c r="A59" t="s">
        <v>39</v>
      </c>
      <c r="B59">
        <v>21</v>
      </c>
      <c r="C59" t="s">
        <v>8</v>
      </c>
      <c r="D59">
        <v>2</v>
      </c>
      <c r="E59" t="str">
        <f>VLOOKUP(A:A,'282 Projects'!A:B,1,FALSE)</f>
        <v>EventFahrplan</v>
      </c>
    </row>
    <row r="60" spans="1:5">
      <c r="A60" t="s">
        <v>40</v>
      </c>
      <c r="B60">
        <v>31</v>
      </c>
      <c r="C60" t="s">
        <v>8</v>
      </c>
      <c r="D60">
        <v>2</v>
      </c>
      <c r="E60" t="str">
        <f>VLOOKUP(A:A,'282 Projects'!A:B,1,FALSE)</f>
        <v>aTox</v>
      </c>
    </row>
    <row r="61" spans="1:5">
      <c r="A61" t="s">
        <v>41</v>
      </c>
      <c r="B61">
        <v>31</v>
      </c>
      <c r="C61" t="s">
        <v>8</v>
      </c>
      <c r="D61">
        <v>2</v>
      </c>
      <c r="E61" t="str">
        <f>VLOOKUP(A:A,'282 Projects'!A:B,1,FALSE)</f>
        <v>shachi</v>
      </c>
    </row>
    <row r="62" spans="1:5">
      <c r="A62" t="s">
        <v>42</v>
      </c>
      <c r="B62">
        <v>29</v>
      </c>
      <c r="C62" t="s">
        <v>8</v>
      </c>
      <c r="D62">
        <v>3</v>
      </c>
      <c r="E62" t="str">
        <f>VLOOKUP(A:A,'282 Projects'!A:B,1,FALSE)</f>
        <v>Todo-compose</v>
      </c>
    </row>
    <row r="63" spans="1:5">
      <c r="A63" t="s">
        <v>43</v>
      </c>
      <c r="B63">
        <v>30</v>
      </c>
      <c r="C63" t="s">
        <v>8</v>
      </c>
      <c r="D63">
        <v>2</v>
      </c>
      <c r="E63" t="str">
        <f>VLOOKUP(A:A,'282 Projects'!A:B,1,FALSE)</f>
        <v>Omni-Notes</v>
      </c>
    </row>
    <row r="64" spans="1:5">
      <c r="A64" t="s">
        <v>44</v>
      </c>
      <c r="B64">
        <v>21</v>
      </c>
      <c r="C64" t="s">
        <v>8</v>
      </c>
      <c r="D64">
        <v>3</v>
      </c>
      <c r="E64" t="str">
        <f>VLOOKUP(A:A,'282 Projects'!A:B,1,FALSE)</f>
        <v>marvel-app</v>
      </c>
    </row>
    <row r="65" spans="1:5">
      <c r="A65" t="s">
        <v>45</v>
      </c>
      <c r="B65">
        <v>32</v>
      </c>
      <c r="C65" t="s">
        <v>8</v>
      </c>
      <c r="D65">
        <v>3</v>
      </c>
      <c r="E65" t="str">
        <f>VLOOKUP(A:A,'282 Projects'!A:B,1,FALSE)</f>
        <v>mobile-app</v>
      </c>
    </row>
    <row r="66" spans="1:5">
      <c r="A66" t="s">
        <v>46</v>
      </c>
      <c r="B66">
        <v>29</v>
      </c>
      <c r="C66" t="s">
        <v>5</v>
      </c>
      <c r="D66">
        <v>1</v>
      </c>
      <c r="E66" t="str">
        <f>VLOOKUP(A:A,'282 Projects'!A:B,1,FALSE)</f>
        <v>Transportr</v>
      </c>
    </row>
    <row r="67" spans="1:5">
      <c r="A67" t="s">
        <v>46</v>
      </c>
      <c r="B67">
        <v>31</v>
      </c>
      <c r="C67" t="s">
        <v>5</v>
      </c>
      <c r="D67">
        <v>1</v>
      </c>
      <c r="E67" t="str">
        <f>VLOOKUP(A:A,'282 Projects'!A:B,1,FALSE)</f>
        <v>Transportr</v>
      </c>
    </row>
    <row r="68" spans="1:5">
      <c r="A68" t="s">
        <v>46</v>
      </c>
      <c r="B68">
        <v>21</v>
      </c>
      <c r="C68" t="s">
        <v>5</v>
      </c>
      <c r="D68">
        <v>1</v>
      </c>
      <c r="E68" t="str">
        <f>VLOOKUP(A:A,'282 Projects'!A:B,1,FALSE)</f>
        <v>Transportr</v>
      </c>
    </row>
    <row r="69" spans="1:5">
      <c r="A69" t="s">
        <v>47</v>
      </c>
      <c r="B69">
        <v>26</v>
      </c>
      <c r="C69" t="s">
        <v>5</v>
      </c>
      <c r="D69">
        <v>1</v>
      </c>
      <c r="E69" t="str">
        <f>VLOOKUP(A:A,'282 Projects'!A:B,1,FALSE)</f>
        <v>OneHotMinute-Compose</v>
      </c>
    </row>
    <row r="70" spans="1:5">
      <c r="A70" t="s">
        <v>47</v>
      </c>
      <c r="B70">
        <v>23</v>
      </c>
      <c r="C70" t="s">
        <v>5</v>
      </c>
      <c r="D70">
        <v>1</v>
      </c>
      <c r="E70" t="str">
        <f>VLOOKUP(A:A,'282 Projects'!A:B,1,FALSE)</f>
        <v>OneHotMinute-Compose</v>
      </c>
    </row>
    <row r="71" spans="1:5">
      <c r="A71" t="s">
        <v>47</v>
      </c>
      <c r="B71">
        <v>29</v>
      </c>
      <c r="C71" t="s">
        <v>5</v>
      </c>
      <c r="D71">
        <v>1</v>
      </c>
      <c r="E71" t="str">
        <f>VLOOKUP(A:A,'282 Projects'!A:B,1,FALSE)</f>
        <v>OneHotMinute-Compose</v>
      </c>
    </row>
    <row r="72" spans="1:5">
      <c r="A72" t="s">
        <v>48</v>
      </c>
      <c r="B72">
        <v>26</v>
      </c>
      <c r="C72" t="s">
        <v>5</v>
      </c>
      <c r="D72">
        <v>1</v>
      </c>
      <c r="E72" t="str">
        <f>VLOOKUP(A:A,'282 Projects'!A:B,1,FALSE)</f>
        <v>Zoo-Compose</v>
      </c>
    </row>
    <row r="73" spans="1:5">
      <c r="A73" t="s">
        <v>48</v>
      </c>
      <c r="B73">
        <v>23</v>
      </c>
      <c r="C73" t="s">
        <v>5</v>
      </c>
      <c r="D73">
        <v>1</v>
      </c>
      <c r="E73" t="str">
        <f>VLOOKUP(A:A,'282 Projects'!A:B,1,FALSE)</f>
        <v>Zoo-Compose</v>
      </c>
    </row>
    <row r="74" spans="1:5">
      <c r="A74" t="s">
        <v>48</v>
      </c>
      <c r="B74">
        <v>29</v>
      </c>
      <c r="C74" t="s">
        <v>5</v>
      </c>
      <c r="D74">
        <v>1</v>
      </c>
      <c r="E74" t="str">
        <f>VLOOKUP(A:A,'282 Projects'!A:B,1,FALSE)</f>
        <v>Zoo-Compose</v>
      </c>
    </row>
    <row r="75" spans="1:5">
      <c r="A75" t="s">
        <v>49</v>
      </c>
      <c r="B75">
        <v>26</v>
      </c>
      <c r="C75" t="s">
        <v>5</v>
      </c>
      <c r="D75">
        <v>1</v>
      </c>
      <c r="E75" t="str">
        <f>VLOOKUP(A:A,'282 Projects'!A:B,1,FALSE)</f>
        <v>android-dev-challenge-compose-countdown-timer</v>
      </c>
    </row>
    <row r="76" spans="1:5">
      <c r="A76" t="s">
        <v>49</v>
      </c>
      <c r="B76">
        <v>23</v>
      </c>
      <c r="C76" t="s">
        <v>5</v>
      </c>
      <c r="D76">
        <v>1</v>
      </c>
      <c r="E76" t="str">
        <f>VLOOKUP(A:A,'282 Projects'!A:B,1,FALSE)</f>
        <v>android-dev-challenge-compose-countdown-timer</v>
      </c>
    </row>
    <row r="77" spans="1:5">
      <c r="A77" t="s">
        <v>49</v>
      </c>
      <c r="B77">
        <v>29</v>
      </c>
      <c r="C77" t="s">
        <v>5</v>
      </c>
      <c r="D77">
        <v>1</v>
      </c>
      <c r="E77" t="str">
        <f>VLOOKUP(A:A,'282 Projects'!A:B,1,FALSE)</f>
        <v>android-dev-challenge-compose-countdown-timer</v>
      </c>
    </row>
    <row r="78" spans="1:5">
      <c r="A78" t="s">
        <v>50</v>
      </c>
      <c r="B78">
        <v>28</v>
      </c>
      <c r="C78" t="s">
        <v>5</v>
      </c>
      <c r="D78">
        <v>1</v>
      </c>
      <c r="E78" t="str">
        <f>VLOOKUP(A:A,'282 Projects'!A:B,1,FALSE)</f>
        <v>KotlinAndroidBase</v>
      </c>
    </row>
    <row r="79" spans="1:5">
      <c r="A79" t="s">
        <v>51</v>
      </c>
      <c r="B79">
        <v>29</v>
      </c>
      <c r="C79" t="s">
        <v>8</v>
      </c>
      <c r="D79">
        <v>1</v>
      </c>
      <c r="E79" t="str">
        <f>VLOOKUP(A:A,'282 Projects'!A:B,1,FALSE)</f>
        <v>MoonShot</v>
      </c>
    </row>
    <row r="80" spans="1:5">
      <c r="A80" t="s">
        <v>52</v>
      </c>
      <c r="B80">
        <v>27</v>
      </c>
      <c r="C80" t="s">
        <v>8</v>
      </c>
      <c r="D80">
        <v>2</v>
      </c>
      <c r="E80" t="str">
        <f>VLOOKUP(A:A,'282 Projects'!A:B,1,FALSE)</f>
        <v>hash-checker</v>
      </c>
    </row>
    <row r="81" spans="1:5">
      <c r="A81" t="s">
        <v>53</v>
      </c>
      <c r="B81">
        <v>31</v>
      </c>
      <c r="C81" t="s">
        <v>5</v>
      </c>
      <c r="D81">
        <v>2</v>
      </c>
      <c r="E81" t="str">
        <f>VLOOKUP(A:A,'282 Projects'!A:B,1,FALSE)</f>
        <v>android-kDrive</v>
      </c>
    </row>
    <row r="82" spans="1:5">
      <c r="A82" t="s">
        <v>54</v>
      </c>
      <c r="B82">
        <v>31</v>
      </c>
      <c r="C82" t="s">
        <v>5</v>
      </c>
      <c r="D82">
        <v>5</v>
      </c>
      <c r="E82" t="e">
        <f>VLOOKUP(A:A,'282 Projects'!A:B,1,FALSE)</f>
        <v>#N/A</v>
      </c>
    </row>
    <row r="83" spans="1:5">
      <c r="A83" t="s">
        <v>55</v>
      </c>
      <c r="B83">
        <v>29</v>
      </c>
      <c r="C83" t="s">
        <v>8</v>
      </c>
      <c r="D83">
        <v>2</v>
      </c>
      <c r="E83" t="str">
        <f>VLOOKUP(A:A,'282 Projects'!A:B,1,FALSE)</f>
        <v>15Puzzle</v>
      </c>
    </row>
    <row r="84" spans="1:5">
      <c r="A84" t="s">
        <v>56</v>
      </c>
      <c r="B84">
        <v>23</v>
      </c>
      <c r="C84" t="s">
        <v>5</v>
      </c>
      <c r="D84">
        <v>2</v>
      </c>
      <c r="E84" t="str">
        <f>VLOOKUP(A:A,'282 Projects'!A:B,1,FALSE)</f>
        <v>NewsApp-Retrofit</v>
      </c>
    </row>
    <row r="85" spans="1:5">
      <c r="A85" t="s">
        <v>56</v>
      </c>
      <c r="B85">
        <v>29</v>
      </c>
      <c r="C85" t="s">
        <v>5</v>
      </c>
      <c r="D85">
        <v>2</v>
      </c>
      <c r="E85" t="str">
        <f>VLOOKUP(A:A,'282 Projects'!A:B,1,FALSE)</f>
        <v>NewsApp-Retrofit</v>
      </c>
    </row>
    <row r="86" spans="1:5">
      <c r="A86" t="s">
        <v>56</v>
      </c>
      <c r="B86">
        <v>21</v>
      </c>
      <c r="C86" t="s">
        <v>5</v>
      </c>
      <c r="D86">
        <v>2</v>
      </c>
      <c r="E86" t="str">
        <f>VLOOKUP(A:A,'282 Projects'!A:B,1,FALSE)</f>
        <v>NewsApp-Retrofit</v>
      </c>
    </row>
    <row r="87" spans="1:5">
      <c r="A87" t="s">
        <v>57</v>
      </c>
      <c r="B87">
        <v>33</v>
      </c>
      <c r="C87" t="s">
        <v>5</v>
      </c>
      <c r="D87">
        <v>5</v>
      </c>
      <c r="E87" t="str">
        <f>VLOOKUP(A:A,'282 Projects'!A:B,1,FALSE)</f>
        <v>kiwix-android</v>
      </c>
    </row>
    <row r="88" spans="1:5">
      <c r="A88" t="s">
        <v>57</v>
      </c>
      <c r="B88">
        <v>21</v>
      </c>
      <c r="C88" t="s">
        <v>5</v>
      </c>
      <c r="D88">
        <v>5</v>
      </c>
      <c r="E88" t="str">
        <f>VLOOKUP(A:A,'282 Projects'!A:B,1,FALSE)</f>
        <v>kiwix-android</v>
      </c>
    </row>
    <row r="89" spans="1:5">
      <c r="A89" t="s">
        <v>57</v>
      </c>
      <c r="B89">
        <v>30</v>
      </c>
      <c r="C89" t="s">
        <v>5</v>
      </c>
      <c r="D89">
        <v>5</v>
      </c>
      <c r="E89" t="str">
        <f>VLOOKUP(A:A,'282 Projects'!A:B,1,FALSE)</f>
        <v>kiwix-android</v>
      </c>
    </row>
    <row r="90" spans="1:5">
      <c r="A90" t="s">
        <v>58</v>
      </c>
      <c r="B90">
        <v>24</v>
      </c>
      <c r="C90" t="s">
        <v>8</v>
      </c>
      <c r="D90">
        <v>1</v>
      </c>
      <c r="E90" t="str">
        <f>VLOOKUP(A:A,'282 Projects'!A:B,1,FALSE)</f>
        <v>android-starter-2022</v>
      </c>
    </row>
    <row r="91" spans="1:5">
      <c r="A91" t="s">
        <v>59</v>
      </c>
      <c r="B91">
        <v>26</v>
      </c>
      <c r="C91" t="s">
        <v>5</v>
      </c>
      <c r="D91">
        <v>1</v>
      </c>
      <c r="E91" t="str">
        <f>VLOOKUP(A:A,'282 Projects'!A:B,1,FALSE)</f>
        <v>cat-adoption-app</v>
      </c>
    </row>
    <row r="92" spans="1:5">
      <c r="A92" t="s">
        <v>59</v>
      </c>
      <c r="B92">
        <v>23</v>
      </c>
      <c r="C92" t="s">
        <v>5</v>
      </c>
      <c r="D92">
        <v>1</v>
      </c>
      <c r="E92" t="str">
        <f>VLOOKUP(A:A,'282 Projects'!A:B,1,FALSE)</f>
        <v>cat-adoption-app</v>
      </c>
    </row>
    <row r="93" spans="1:5">
      <c r="A93" t="s">
        <v>59</v>
      </c>
      <c r="B93">
        <v>29</v>
      </c>
      <c r="C93" t="s">
        <v>5</v>
      </c>
      <c r="D93">
        <v>1</v>
      </c>
      <c r="E93" t="str">
        <f>VLOOKUP(A:A,'282 Projects'!A:B,1,FALSE)</f>
        <v>cat-adoption-app</v>
      </c>
    </row>
    <row r="94" spans="1:5">
      <c r="A94" t="s">
        <v>60</v>
      </c>
      <c r="B94">
        <v>26</v>
      </c>
      <c r="C94" t="s">
        <v>5</v>
      </c>
      <c r="D94">
        <v>1</v>
      </c>
      <c r="E94" t="str">
        <f>VLOOKUP(A:A,'282 Projects'!A:B,1,FALSE)</f>
        <v>my-soothe</v>
      </c>
    </row>
    <row r="95" spans="1:5">
      <c r="A95" t="s">
        <v>60</v>
      </c>
      <c r="B95">
        <v>23</v>
      </c>
      <c r="C95" t="s">
        <v>5</v>
      </c>
      <c r="D95">
        <v>1</v>
      </c>
      <c r="E95" t="str">
        <f>VLOOKUP(A:A,'282 Projects'!A:B,1,FALSE)</f>
        <v>my-soothe</v>
      </c>
    </row>
    <row r="96" spans="1:5">
      <c r="A96" t="s">
        <v>60</v>
      </c>
      <c r="B96">
        <v>29</v>
      </c>
      <c r="C96" t="s">
        <v>5</v>
      </c>
      <c r="D96">
        <v>1</v>
      </c>
      <c r="E96" t="str">
        <f>VLOOKUP(A:A,'282 Projects'!A:B,1,FALSE)</f>
        <v>my-soothe</v>
      </c>
    </row>
    <row r="97" spans="1:5">
      <c r="A97" t="s">
        <v>61</v>
      </c>
      <c r="B97">
        <v>26</v>
      </c>
      <c r="C97" t="s">
        <v>5</v>
      </c>
      <c r="D97">
        <v>1</v>
      </c>
      <c r="E97" t="str">
        <f>VLOOKUP(A:A,'282 Projects'!A:B,1,FALSE)</f>
        <v>we-trade</v>
      </c>
    </row>
    <row r="98" spans="1:5">
      <c r="A98" t="s">
        <v>61</v>
      </c>
      <c r="B98">
        <v>23</v>
      </c>
      <c r="C98" t="s">
        <v>5</v>
      </c>
      <c r="D98">
        <v>1</v>
      </c>
      <c r="E98" t="str">
        <f>VLOOKUP(A:A,'282 Projects'!A:B,1,FALSE)</f>
        <v>we-trade</v>
      </c>
    </row>
    <row r="99" spans="1:5">
      <c r="A99" t="s">
        <v>61</v>
      </c>
      <c r="B99">
        <v>29</v>
      </c>
      <c r="C99" t="s">
        <v>5</v>
      </c>
      <c r="D99">
        <v>1</v>
      </c>
      <c r="E99" t="str">
        <f>VLOOKUP(A:A,'282 Projects'!A:B,1,FALSE)</f>
        <v>we-trade</v>
      </c>
    </row>
    <row r="100" spans="1:5">
      <c r="A100" t="s">
        <v>62</v>
      </c>
      <c r="B100">
        <v>29</v>
      </c>
      <c r="C100" t="s">
        <v>5</v>
      </c>
      <c r="D100">
        <v>1</v>
      </c>
      <c r="E100" t="str">
        <f>VLOOKUP(A:A,'282 Projects'!A:B,1,FALSE)</f>
        <v>compose-kotlin-repositories</v>
      </c>
    </row>
    <row r="101" spans="1:5">
      <c r="A101" t="s">
        <v>63</v>
      </c>
      <c r="B101">
        <v>29</v>
      </c>
      <c r="C101" t="s">
        <v>8</v>
      </c>
      <c r="D101">
        <v>1</v>
      </c>
      <c r="E101" t="str">
        <f>VLOOKUP(A:A,'282 Projects'!A:B,1,FALSE)</f>
        <v>Smilodon</v>
      </c>
    </row>
    <row r="102" spans="1:5">
      <c r="A102" t="s">
        <v>64</v>
      </c>
      <c r="B102">
        <v>29</v>
      </c>
      <c r="C102" t="s">
        <v>8</v>
      </c>
      <c r="D102">
        <v>2</v>
      </c>
      <c r="E102" t="str">
        <f>VLOOKUP(A:A,'282 Projects'!A:B,1,FALSE)</f>
        <v>cht-android</v>
      </c>
    </row>
    <row r="103" spans="1:5">
      <c r="A103" t="s">
        <v>65</v>
      </c>
      <c r="B103">
        <v>31</v>
      </c>
      <c r="C103" t="s">
        <v>8</v>
      </c>
      <c r="D103">
        <v>4</v>
      </c>
      <c r="E103" t="str">
        <f>VLOOKUP(A:A,'282 Projects'!A:B,1,FALSE)</f>
        <v>greenpass-android</v>
      </c>
    </row>
    <row r="104" spans="1:5">
      <c r="A104" t="s">
        <v>66</v>
      </c>
      <c r="B104">
        <v>23</v>
      </c>
      <c r="C104" t="s">
        <v>5</v>
      </c>
      <c r="D104">
        <v>3</v>
      </c>
      <c r="E104" t="str">
        <f>VLOOKUP(A:A,'282 Projects'!A:B,1,FALSE)</f>
        <v>virtual_traveller_flutter</v>
      </c>
    </row>
    <row r="105" spans="1:5">
      <c r="A105" t="s">
        <v>66</v>
      </c>
      <c r="B105">
        <v>29</v>
      </c>
      <c r="C105" t="s">
        <v>5</v>
      </c>
      <c r="D105">
        <v>3</v>
      </c>
      <c r="E105" t="str">
        <f>VLOOKUP(A:A,'282 Projects'!A:B,1,FALSE)</f>
        <v>virtual_traveller_flutter</v>
      </c>
    </row>
    <row r="106" spans="1:5">
      <c r="A106" t="s">
        <v>67</v>
      </c>
      <c r="B106">
        <v>29</v>
      </c>
      <c r="C106" t="s">
        <v>5</v>
      </c>
      <c r="D106">
        <v>3</v>
      </c>
      <c r="E106" t="str">
        <f>VLOOKUP(A:A,'282 Projects'!A:B,1,FALSE)</f>
        <v>bluelineconsole</v>
      </c>
    </row>
    <row r="107" spans="1:5">
      <c r="A107" t="s">
        <v>67</v>
      </c>
      <c r="B107">
        <v>22</v>
      </c>
      <c r="C107" t="s">
        <v>5</v>
      </c>
      <c r="D107">
        <v>3</v>
      </c>
      <c r="E107" t="str">
        <f>VLOOKUP(A:A,'282 Projects'!A:B,1,FALSE)</f>
        <v>bluelineconsole</v>
      </c>
    </row>
    <row r="108" spans="1:5">
      <c r="A108" t="s">
        <v>68</v>
      </c>
      <c r="B108">
        <v>24</v>
      </c>
      <c r="C108" t="s">
        <v>5</v>
      </c>
      <c r="D108">
        <v>1</v>
      </c>
      <c r="E108" t="str">
        <f>VLOOKUP(A:A,'282 Projects'!A:B,1,FALSE)</f>
        <v>onebusaway-android</v>
      </c>
    </row>
    <row r="109" spans="1:5">
      <c r="A109" t="s">
        <v>68</v>
      </c>
      <c r="B109">
        <v>29</v>
      </c>
      <c r="C109" t="s">
        <v>5</v>
      </c>
      <c r="D109">
        <v>1</v>
      </c>
      <c r="E109" t="str">
        <f>VLOOKUP(A:A,'282 Projects'!A:B,1,FALSE)</f>
        <v>onebusaway-android</v>
      </c>
    </row>
    <row r="110" spans="1:5">
      <c r="A110" t="s">
        <v>69</v>
      </c>
      <c r="B110">
        <v>29</v>
      </c>
      <c r="C110" t="s">
        <v>5</v>
      </c>
      <c r="D110">
        <v>4</v>
      </c>
      <c r="E110" t="str">
        <f>VLOOKUP(A:A,'282 Projects'!A:B,1,FALSE)</f>
        <v>probe-android</v>
      </c>
    </row>
    <row r="111" spans="1:5">
      <c r="A111" t="s">
        <v>70</v>
      </c>
      <c r="B111">
        <v>29</v>
      </c>
      <c r="C111" t="s">
        <v>8</v>
      </c>
      <c r="D111">
        <v>1</v>
      </c>
      <c r="E111" t="str">
        <f>VLOOKUP(A:A,'282 Projects'!A:B,1,FALSE)</f>
        <v>OpenDocument</v>
      </c>
    </row>
    <row r="112" spans="1:5">
      <c r="A112" t="s">
        <v>70</v>
      </c>
      <c r="B112">
        <v>19</v>
      </c>
      <c r="C112" t="s">
        <v>8</v>
      </c>
      <c r="D112">
        <v>1</v>
      </c>
      <c r="E112" t="str">
        <f>VLOOKUP(A:A,'282 Projects'!A:B,1,FALSE)</f>
        <v>OpenDocument</v>
      </c>
    </row>
    <row r="113" spans="1:5">
      <c r="A113" t="s">
        <v>70</v>
      </c>
      <c r="B113">
        <v>21</v>
      </c>
      <c r="C113" t="s">
        <v>8</v>
      </c>
      <c r="D113">
        <v>1</v>
      </c>
      <c r="E113" t="str">
        <f>VLOOKUP(A:A,'282 Projects'!A:B,1,FALSE)</f>
        <v>OpenDocument</v>
      </c>
    </row>
    <row r="114" spans="1:5">
      <c r="A114" t="s">
        <v>71</v>
      </c>
      <c r="B114">
        <v>29</v>
      </c>
      <c r="C114" t="s">
        <v>8</v>
      </c>
      <c r="D114">
        <v>1</v>
      </c>
      <c r="E114" t="str">
        <f>VLOOKUP(A:A,'282 Projects'!A:B,1,FALSE)</f>
        <v>myweatherforecast</v>
      </c>
    </row>
    <row r="115" spans="1:5">
      <c r="A115" t="s">
        <v>72</v>
      </c>
      <c r="B115">
        <v>26</v>
      </c>
      <c r="C115" t="s">
        <v>5</v>
      </c>
      <c r="D115">
        <v>1</v>
      </c>
      <c r="E115" t="str">
        <f>VLOOKUP(A:A,'282 Projects'!A:B,1,FALSE)</f>
        <v>puppy-adoption-app</v>
      </c>
    </row>
    <row r="116" spans="1:5">
      <c r="A116" t="s">
        <v>72</v>
      </c>
      <c r="B116">
        <v>23</v>
      </c>
      <c r="C116" t="s">
        <v>5</v>
      </c>
      <c r="D116">
        <v>1</v>
      </c>
      <c r="E116" t="str">
        <f>VLOOKUP(A:A,'282 Projects'!A:B,1,FALSE)</f>
        <v>puppy-adoption-app</v>
      </c>
    </row>
    <row r="117" spans="1:5">
      <c r="A117" t="s">
        <v>72</v>
      </c>
      <c r="B117">
        <v>29</v>
      </c>
      <c r="C117" t="s">
        <v>5</v>
      </c>
      <c r="D117">
        <v>1</v>
      </c>
      <c r="E117" t="str">
        <f>VLOOKUP(A:A,'282 Projects'!A:B,1,FALSE)</f>
        <v>puppy-adoption-app</v>
      </c>
    </row>
    <row r="118" spans="1:5">
      <c r="A118" t="s">
        <v>73</v>
      </c>
      <c r="B118">
        <v>26</v>
      </c>
      <c r="C118" t="s">
        <v>5</v>
      </c>
      <c r="D118">
        <v>1</v>
      </c>
      <c r="E118" t="str">
        <f>VLOOKUP(A:A,'282 Projects'!A:B,1,FALSE)</f>
        <v>weather-app-compose</v>
      </c>
    </row>
    <row r="119" spans="1:5">
      <c r="A119" t="s">
        <v>73</v>
      </c>
      <c r="B119">
        <v>23</v>
      </c>
      <c r="C119" t="s">
        <v>5</v>
      </c>
      <c r="D119">
        <v>1</v>
      </c>
      <c r="E119" t="str">
        <f>VLOOKUP(A:A,'282 Projects'!A:B,1,FALSE)</f>
        <v>weather-app-compose</v>
      </c>
    </row>
    <row r="120" spans="1:5">
      <c r="A120" t="s">
        <v>73</v>
      </c>
      <c r="B120">
        <v>29</v>
      </c>
      <c r="C120" t="s">
        <v>5</v>
      </c>
      <c r="D120">
        <v>1</v>
      </c>
      <c r="E120" t="str">
        <f>VLOOKUP(A:A,'282 Projects'!A:B,1,FALSE)</f>
        <v>weather-app-compose</v>
      </c>
    </row>
    <row r="121" spans="1:5">
      <c r="A121" t="s">
        <v>74</v>
      </c>
      <c r="B121">
        <v>29</v>
      </c>
      <c r="C121" t="s">
        <v>5</v>
      </c>
      <c r="D121">
        <v>2</v>
      </c>
      <c r="E121" t="str">
        <f>VLOOKUP(A:A,'282 Projects'!A:B,1,FALSE)</f>
        <v>peercoin_flutter</v>
      </c>
    </row>
    <row r="122" spans="1:5">
      <c r="A122" t="s">
        <v>74</v>
      </c>
      <c r="B122">
        <v>31</v>
      </c>
      <c r="C122" t="s">
        <v>5</v>
      </c>
      <c r="D122">
        <v>2</v>
      </c>
      <c r="E122" t="str">
        <f>VLOOKUP(A:A,'282 Projects'!A:B,1,FALSE)</f>
        <v>peercoin_flutter</v>
      </c>
    </row>
    <row r="123" spans="1:5">
      <c r="A123" t="s">
        <v>74</v>
      </c>
      <c r="B123">
        <v>30</v>
      </c>
      <c r="C123" t="s">
        <v>5</v>
      </c>
      <c r="D123">
        <v>2</v>
      </c>
      <c r="E123" t="str">
        <f>VLOOKUP(A:A,'282 Projects'!A:B,1,FALSE)</f>
        <v>peercoin_flutter</v>
      </c>
    </row>
    <row r="124" spans="1:5">
      <c r="A124" t="s">
        <v>75</v>
      </c>
      <c r="B124">
        <v>29</v>
      </c>
      <c r="C124" t="s">
        <v>5</v>
      </c>
      <c r="D124">
        <v>5</v>
      </c>
      <c r="E124" t="str">
        <f>VLOOKUP(A:A,'282 Projects'!A:B,1,FALSE)</f>
        <v>persian-calendar</v>
      </c>
    </row>
    <row r="125" spans="1:5">
      <c r="A125" t="s">
        <v>76</v>
      </c>
      <c r="B125">
        <v>29</v>
      </c>
      <c r="C125" t="s">
        <v>8</v>
      </c>
      <c r="D125">
        <v>2</v>
      </c>
      <c r="E125" t="str">
        <f>VLOOKUP(A:A,'282 Projects'!A:B,1,FALSE)</f>
        <v>notes</v>
      </c>
    </row>
    <row r="126" spans="1:5">
      <c r="A126" t="s">
        <v>77</v>
      </c>
      <c r="B126">
        <v>29</v>
      </c>
      <c r="C126" t="s">
        <v>5</v>
      </c>
      <c r="D126">
        <v>3</v>
      </c>
      <c r="E126" t="str">
        <f>VLOOKUP(A:A,'282 Projects'!A:B,1,FALSE)</f>
        <v>Astro</v>
      </c>
    </row>
    <row r="127" spans="1:5">
      <c r="A127" t="s">
        <v>77</v>
      </c>
      <c r="B127">
        <v>21</v>
      </c>
      <c r="C127" t="s">
        <v>5</v>
      </c>
      <c r="D127">
        <v>3</v>
      </c>
      <c r="E127" t="str">
        <f>VLOOKUP(A:A,'282 Projects'!A:B,1,FALSE)</f>
        <v>Astro</v>
      </c>
    </row>
    <row r="128" spans="1:5">
      <c r="A128" t="s">
        <v>77</v>
      </c>
      <c r="B128">
        <v>30</v>
      </c>
      <c r="C128" t="s">
        <v>5</v>
      </c>
      <c r="D128">
        <v>3</v>
      </c>
      <c r="E128" t="str">
        <f>VLOOKUP(A:A,'282 Projects'!A:B,1,FALSE)</f>
        <v>Astro</v>
      </c>
    </row>
    <row r="129" spans="1:5">
      <c r="A129" t="s">
        <v>78</v>
      </c>
      <c r="B129">
        <v>26</v>
      </c>
      <c r="C129" t="s">
        <v>5</v>
      </c>
      <c r="D129">
        <v>1</v>
      </c>
      <c r="E129" t="str">
        <f>VLOOKUP(A:A,'282 Projects'!A:B,1,FALSE)</f>
        <v>hilt-sandbox</v>
      </c>
    </row>
    <row r="130" spans="1:5">
      <c r="A130" t="s">
        <v>78</v>
      </c>
      <c r="B130">
        <v>29</v>
      </c>
      <c r="C130" t="s">
        <v>5</v>
      </c>
      <c r="D130">
        <v>1</v>
      </c>
      <c r="E130" t="str">
        <f>VLOOKUP(A:A,'282 Projects'!A:B,1,FALSE)</f>
        <v>hilt-sandbox</v>
      </c>
    </row>
    <row r="131" spans="1:5">
      <c r="A131" t="s">
        <v>78</v>
      </c>
      <c r="B131">
        <v>31</v>
      </c>
      <c r="C131" t="s">
        <v>5</v>
      </c>
      <c r="D131">
        <v>1</v>
      </c>
      <c r="E131" t="str">
        <f>VLOOKUP(A:A,'282 Projects'!A:B,1,FALSE)</f>
        <v>hilt-sandbox</v>
      </c>
    </row>
    <row r="132" spans="1:5">
      <c r="A132" t="s">
        <v>78</v>
      </c>
      <c r="B132">
        <v>21</v>
      </c>
      <c r="C132" t="s">
        <v>5</v>
      </c>
      <c r="D132">
        <v>1</v>
      </c>
      <c r="E132" t="str">
        <f>VLOOKUP(A:A,'282 Projects'!A:B,1,FALSE)</f>
        <v>hilt-sandbox</v>
      </c>
    </row>
    <row r="133" spans="1:5">
      <c r="A133" t="s">
        <v>78</v>
      </c>
      <c r="B133">
        <v>23</v>
      </c>
      <c r="C133" t="s">
        <v>5</v>
      </c>
      <c r="D133">
        <v>1</v>
      </c>
      <c r="E133" t="str">
        <f>VLOOKUP(A:A,'282 Projects'!A:B,1,FALSE)</f>
        <v>hilt-sandbox</v>
      </c>
    </row>
    <row r="134" spans="1:5">
      <c r="A134" t="s">
        <v>78</v>
      </c>
      <c r="B134">
        <v>30</v>
      </c>
      <c r="C134" t="s">
        <v>5</v>
      </c>
      <c r="D134">
        <v>1</v>
      </c>
      <c r="E134" t="str">
        <f>VLOOKUP(A:A,'282 Projects'!A:B,1,FALSE)</f>
        <v>hilt-sandbox</v>
      </c>
    </row>
    <row r="135" spans="1:5">
      <c r="A135" t="s">
        <v>79</v>
      </c>
      <c r="B135">
        <v>28</v>
      </c>
      <c r="C135" t="s">
        <v>8</v>
      </c>
      <c r="D135">
        <v>1</v>
      </c>
      <c r="E135" t="str">
        <f>VLOOKUP(A:A,'282 Projects'!A:B,1,FALSE)</f>
        <v>datepickertimeline</v>
      </c>
    </row>
    <row r="136" spans="1:5">
      <c r="A136" t="s">
        <v>80</v>
      </c>
      <c r="B136">
        <v>26</v>
      </c>
      <c r="C136" t="s">
        <v>5</v>
      </c>
      <c r="D136">
        <v>1</v>
      </c>
      <c r="E136" t="str">
        <f>VLOOKUP(A:A,'282 Projects'!A:B,1,FALSE)</f>
        <v>android-navigation-with-compose</v>
      </c>
    </row>
    <row r="137" spans="1:5">
      <c r="A137" t="s">
        <v>80</v>
      </c>
      <c r="B137">
        <v>23</v>
      </c>
      <c r="C137" t="s">
        <v>5</v>
      </c>
      <c r="D137">
        <v>1</v>
      </c>
      <c r="E137" t="str">
        <f>VLOOKUP(A:A,'282 Projects'!A:B,1,FALSE)</f>
        <v>android-navigation-with-compose</v>
      </c>
    </row>
    <row r="138" spans="1:5">
      <c r="A138" t="s">
        <v>80</v>
      </c>
      <c r="B138">
        <v>29</v>
      </c>
      <c r="C138" t="s">
        <v>5</v>
      </c>
      <c r="D138">
        <v>1</v>
      </c>
      <c r="E138" t="str">
        <f>VLOOKUP(A:A,'282 Projects'!A:B,1,FALSE)</f>
        <v>android-navigation-with-compose</v>
      </c>
    </row>
    <row r="139" spans="1:5">
      <c r="A139" t="s">
        <v>81</v>
      </c>
      <c r="B139">
        <v>29</v>
      </c>
      <c r="C139" t="s">
        <v>5</v>
      </c>
      <c r="D139">
        <v>4</v>
      </c>
      <c r="E139" t="e">
        <f>VLOOKUP(A:A,'282 Projects'!A:B,1,FALSE)</f>
        <v>#N/A</v>
      </c>
    </row>
    <row r="140" spans="1:5">
      <c r="A140" t="s">
        <v>82</v>
      </c>
      <c r="B140">
        <v>28</v>
      </c>
      <c r="C140" t="s">
        <v>5</v>
      </c>
      <c r="D140">
        <v>2</v>
      </c>
      <c r="E140" t="str">
        <f>VLOOKUP(A:A,'282 Projects'!A:B,1,FALSE)</f>
        <v>Android-SimpleTimeTracker</v>
      </c>
    </row>
    <row r="141" spans="1:5">
      <c r="A141" t="s">
        <v>82</v>
      </c>
      <c r="B141">
        <v>19</v>
      </c>
      <c r="C141" t="s">
        <v>5</v>
      </c>
      <c r="D141">
        <v>2</v>
      </c>
      <c r="E141" t="str">
        <f>VLOOKUP(A:A,'282 Projects'!A:B,1,FALSE)</f>
        <v>Android-SimpleTimeTracker</v>
      </c>
    </row>
    <row r="142" spans="1:5">
      <c r="A142" t="s">
        <v>82</v>
      </c>
      <c r="B142">
        <v>29</v>
      </c>
      <c r="C142" t="s">
        <v>5</v>
      </c>
      <c r="D142">
        <v>2</v>
      </c>
      <c r="E142" t="str">
        <f>VLOOKUP(A:A,'282 Projects'!A:B,1,FALSE)</f>
        <v>Android-SimpleTimeTracker</v>
      </c>
    </row>
    <row r="143" spans="1:5">
      <c r="A143" t="s">
        <v>83</v>
      </c>
      <c r="B143">
        <v>28</v>
      </c>
      <c r="C143" t="s">
        <v>8</v>
      </c>
      <c r="D143">
        <v>2</v>
      </c>
      <c r="E143" t="str">
        <f>VLOOKUP(A:A,'282 Projects'!A:B,1,FALSE)</f>
        <v>release-probe</v>
      </c>
    </row>
    <row r="144" spans="1:5">
      <c r="A144" t="s">
        <v>84</v>
      </c>
      <c r="B144">
        <v>29</v>
      </c>
      <c r="C144" t="s">
        <v>8</v>
      </c>
      <c r="D144">
        <v>2</v>
      </c>
      <c r="E144" t="str">
        <f>VLOOKUP(A:A,'282 Projects'!A:B,1,FALSE)</f>
        <v>Easer</v>
      </c>
    </row>
    <row r="145" spans="1:5">
      <c r="A145" t="s">
        <v>85</v>
      </c>
      <c r="B145">
        <v>26</v>
      </c>
      <c r="C145" t="s">
        <v>5</v>
      </c>
      <c r="D145">
        <v>1</v>
      </c>
      <c r="E145" t="str">
        <f>VLOOKUP(A:A,'282 Projects'!A:B,1,FALSE)</f>
        <v>adopt-me-compose</v>
      </c>
    </row>
    <row r="146" spans="1:5">
      <c r="A146" t="s">
        <v>85</v>
      </c>
      <c r="B146">
        <v>23</v>
      </c>
      <c r="C146" t="s">
        <v>5</v>
      </c>
      <c r="D146">
        <v>1</v>
      </c>
      <c r="E146" t="str">
        <f>VLOOKUP(A:A,'282 Projects'!A:B,1,FALSE)</f>
        <v>adopt-me-compose</v>
      </c>
    </row>
    <row r="147" spans="1:5">
      <c r="A147" t="s">
        <v>85</v>
      </c>
      <c r="B147">
        <v>29</v>
      </c>
      <c r="C147" t="s">
        <v>5</v>
      </c>
      <c r="D147">
        <v>1</v>
      </c>
      <c r="E147" t="str">
        <f>VLOOKUP(A:A,'282 Projects'!A:B,1,FALSE)</f>
        <v>adopt-me-compose</v>
      </c>
    </row>
    <row r="148" spans="1:5">
      <c r="A148" t="s">
        <v>86</v>
      </c>
      <c r="B148">
        <v>28</v>
      </c>
      <c r="C148" t="s">
        <v>8</v>
      </c>
      <c r="D148">
        <v>1</v>
      </c>
      <c r="E148" t="str">
        <f>VLOOKUP(A:A,'282 Projects'!A:B,1,FALSE)</f>
        <v>CrossPlatformVstHost</v>
      </c>
    </row>
    <row r="149" spans="1:5">
      <c r="A149" t="s">
        <v>87</v>
      </c>
      <c r="B149">
        <v>26</v>
      </c>
      <c r="C149" t="s">
        <v>5</v>
      </c>
      <c r="D149">
        <v>1</v>
      </c>
      <c r="E149" t="str">
        <f>VLOOKUP(A:A,'282 Projects'!A:B,1,FALSE)</f>
        <v>compose-timer</v>
      </c>
    </row>
    <row r="150" spans="1:5">
      <c r="A150" t="s">
        <v>87</v>
      </c>
      <c r="B150">
        <v>23</v>
      </c>
      <c r="C150" t="s">
        <v>5</v>
      </c>
      <c r="D150">
        <v>1</v>
      </c>
      <c r="E150" t="str">
        <f>VLOOKUP(A:A,'282 Projects'!A:B,1,FALSE)</f>
        <v>compose-timer</v>
      </c>
    </row>
    <row r="151" spans="1:5">
      <c r="A151" t="s">
        <v>87</v>
      </c>
      <c r="B151">
        <v>29</v>
      </c>
      <c r="C151" t="s">
        <v>5</v>
      </c>
      <c r="D151">
        <v>1</v>
      </c>
      <c r="E151" t="str">
        <f>VLOOKUP(A:A,'282 Projects'!A:B,1,FALSE)</f>
        <v>compose-timer</v>
      </c>
    </row>
    <row r="152" spans="1:5">
      <c r="A152" t="s">
        <v>88</v>
      </c>
      <c r="B152">
        <v>30</v>
      </c>
      <c r="C152" t="s">
        <v>5</v>
      </c>
      <c r="D152">
        <v>4</v>
      </c>
      <c r="E152" t="str">
        <f>VLOOKUP(A:A,'282 Projects'!A:B,1,FALSE)</f>
        <v>Cofi</v>
      </c>
    </row>
    <row r="153" spans="1:5">
      <c r="A153" t="s">
        <v>89</v>
      </c>
      <c r="B153">
        <v>29</v>
      </c>
      <c r="C153" t="s">
        <v>8</v>
      </c>
      <c r="D153">
        <v>2</v>
      </c>
      <c r="E153" t="str">
        <f>VLOOKUP(A:A,'282 Projects'!A:B,1,FALSE)</f>
        <v>Compose-Scrobbler</v>
      </c>
    </row>
    <row r="154" spans="1:5">
      <c r="A154" t="s">
        <v>90</v>
      </c>
      <c r="B154">
        <v>26</v>
      </c>
      <c r="C154" t="s">
        <v>5</v>
      </c>
      <c r="D154">
        <v>1</v>
      </c>
      <c r="E154" t="str">
        <f>VLOOKUP(A:A,'282 Projects'!A:B,1,FALSE)</f>
        <v>android-dev-challenge-compose-week1</v>
      </c>
    </row>
    <row r="155" spans="1:5">
      <c r="A155" t="s">
        <v>90</v>
      </c>
      <c r="B155">
        <v>23</v>
      </c>
      <c r="C155" t="s">
        <v>5</v>
      </c>
      <c r="D155">
        <v>1</v>
      </c>
      <c r="E155" t="str">
        <f>VLOOKUP(A:A,'282 Projects'!A:B,1,FALSE)</f>
        <v>android-dev-challenge-compose-week1</v>
      </c>
    </row>
    <row r="156" spans="1:5">
      <c r="A156" t="s">
        <v>90</v>
      </c>
      <c r="B156">
        <v>29</v>
      </c>
      <c r="C156" t="s">
        <v>5</v>
      </c>
      <c r="D156">
        <v>1</v>
      </c>
      <c r="E156" t="str">
        <f>VLOOKUP(A:A,'282 Projects'!A:B,1,FALSE)</f>
        <v>android-dev-challenge-compose-week1</v>
      </c>
    </row>
    <row r="157" spans="1:5">
      <c r="A157" t="s">
        <v>91</v>
      </c>
      <c r="B157">
        <v>29</v>
      </c>
      <c r="C157" t="s">
        <v>5</v>
      </c>
      <c r="D157">
        <v>3</v>
      </c>
      <c r="E157" t="str">
        <f>VLOOKUP(A:A,'282 Projects'!A:B,1,FALSE)</f>
        <v>NY-Times-Popular-Articles</v>
      </c>
    </row>
    <row r="158" spans="1:5">
      <c r="A158" t="s">
        <v>92</v>
      </c>
      <c r="B158">
        <v>29</v>
      </c>
      <c r="C158" t="s">
        <v>5</v>
      </c>
      <c r="D158">
        <v>3</v>
      </c>
      <c r="E158" t="str">
        <f>VLOOKUP(A:A,'282 Projects'!A:B,1,FALSE)</f>
        <v>stardroid</v>
      </c>
    </row>
    <row r="159" spans="1:5">
      <c r="A159" t="s">
        <v>93</v>
      </c>
      <c r="B159">
        <v>29</v>
      </c>
      <c r="C159" t="s">
        <v>5</v>
      </c>
      <c r="D159">
        <v>4</v>
      </c>
      <c r="E159" t="str">
        <f>VLOOKUP(A:A,'282 Projects'!A:B,1,FALSE)</f>
        <v>NotePad</v>
      </c>
    </row>
    <row r="160" spans="1:5">
      <c r="A160" t="s">
        <v>93</v>
      </c>
      <c r="B160">
        <v>25</v>
      </c>
      <c r="C160" t="s">
        <v>5</v>
      </c>
      <c r="D160">
        <v>4</v>
      </c>
      <c r="E160" t="str">
        <f>VLOOKUP(A:A,'282 Projects'!A:B,1,FALSE)</f>
        <v>NotePad</v>
      </c>
    </row>
    <row r="161" spans="1:5">
      <c r="A161" t="s">
        <v>93</v>
      </c>
      <c r="B161">
        <v>33</v>
      </c>
      <c r="C161" t="s">
        <v>5</v>
      </c>
      <c r="D161">
        <v>4</v>
      </c>
      <c r="E161" t="str">
        <f>VLOOKUP(A:A,'282 Projects'!A:B,1,FALSE)</f>
        <v>NotePad</v>
      </c>
    </row>
    <row r="162" spans="1:5">
      <c r="A162" t="s">
        <v>93</v>
      </c>
      <c r="B162">
        <v>31</v>
      </c>
      <c r="C162" t="s">
        <v>5</v>
      </c>
      <c r="D162">
        <v>4</v>
      </c>
      <c r="E162" t="str">
        <f>VLOOKUP(A:A,'282 Projects'!A:B,1,FALSE)</f>
        <v>NotePad</v>
      </c>
    </row>
    <row r="163" spans="1:5">
      <c r="A163" t="s">
        <v>93</v>
      </c>
      <c r="B163">
        <v>23</v>
      </c>
      <c r="C163" t="s">
        <v>5</v>
      </c>
      <c r="D163">
        <v>4</v>
      </c>
      <c r="E163" t="str">
        <f>VLOOKUP(A:A,'282 Projects'!A:B,1,FALSE)</f>
        <v>NotePad</v>
      </c>
    </row>
    <row r="164" spans="1:5">
      <c r="A164" t="s">
        <v>93</v>
      </c>
      <c r="B164">
        <v>27</v>
      </c>
      <c r="C164" t="s">
        <v>5</v>
      </c>
      <c r="D164">
        <v>4</v>
      </c>
      <c r="E164" t="str">
        <f>VLOOKUP(A:A,'282 Projects'!A:B,1,FALSE)</f>
        <v>NotePad</v>
      </c>
    </row>
    <row r="165" spans="1:5">
      <c r="A165" t="s">
        <v>94</v>
      </c>
      <c r="B165">
        <v>28</v>
      </c>
      <c r="C165" t="s">
        <v>8</v>
      </c>
      <c r="D165">
        <v>6</v>
      </c>
      <c r="E165" t="str">
        <f>VLOOKUP(A:A,'282 Projects'!A:B,1,FALSE)</f>
        <v>otl-app</v>
      </c>
    </row>
    <row r="166" spans="1:5">
      <c r="A166" t="s">
        <v>95</v>
      </c>
      <c r="B166">
        <v>30</v>
      </c>
      <c r="C166" t="s">
        <v>8</v>
      </c>
      <c r="D166">
        <v>2</v>
      </c>
      <c r="E166" t="str">
        <f>VLOOKUP(A:A,'282 Projects'!A:B,1,FALSE)</f>
        <v>DagashiApp</v>
      </c>
    </row>
    <row r="167" spans="1:5">
      <c r="A167" t="s">
        <v>96</v>
      </c>
      <c r="B167">
        <v>29</v>
      </c>
      <c r="C167" t="s">
        <v>8</v>
      </c>
      <c r="D167">
        <v>2</v>
      </c>
      <c r="E167" t="str">
        <f>VLOOKUP(A:A,'282 Projects'!A:B,1,FALSE)</f>
        <v>arduino-usb-terminal</v>
      </c>
    </row>
    <row r="168" spans="1:5">
      <c r="A168" t="s">
        <v>97</v>
      </c>
      <c r="B168">
        <v>29</v>
      </c>
      <c r="C168" t="s">
        <v>8</v>
      </c>
      <c r="D168">
        <v>4</v>
      </c>
      <c r="E168" t="str">
        <f>VLOOKUP(A:A,'282 Projects'!A:B,1,FALSE)</f>
        <v>swisscovid-app-android</v>
      </c>
    </row>
    <row r="169" spans="1:5">
      <c r="A169" t="s">
        <v>98</v>
      </c>
      <c r="B169">
        <v>29</v>
      </c>
      <c r="C169" t="s">
        <v>8</v>
      </c>
      <c r="D169">
        <v>2</v>
      </c>
      <c r="E169" t="str">
        <f>VLOOKUP(A:A,'282 Projects'!A:B,1,FALSE)</f>
        <v>tasks</v>
      </c>
    </row>
    <row r="170" spans="1:5">
      <c r="A170" t="s">
        <v>99</v>
      </c>
      <c r="B170">
        <v>28</v>
      </c>
      <c r="C170" t="s">
        <v>5</v>
      </c>
      <c r="D170">
        <v>5</v>
      </c>
      <c r="E170" t="str">
        <f>VLOOKUP(A:A,'282 Projects'!A:B,1,FALSE)</f>
        <v>AmazeFileManager</v>
      </c>
    </row>
    <row r="171" spans="1:5">
      <c r="A171" t="s">
        <v>99</v>
      </c>
      <c r="B171">
        <v>19</v>
      </c>
      <c r="C171" t="s">
        <v>5</v>
      </c>
      <c r="D171">
        <v>5</v>
      </c>
      <c r="E171" t="str">
        <f>VLOOKUP(A:A,'282 Projects'!A:B,1,FALSE)</f>
        <v>AmazeFileManager</v>
      </c>
    </row>
    <row r="172" spans="1:5">
      <c r="A172" t="s">
        <v>99</v>
      </c>
      <c r="B172">
        <v>16</v>
      </c>
      <c r="C172" t="s">
        <v>5</v>
      </c>
      <c r="D172">
        <v>5</v>
      </c>
      <c r="E172" t="str">
        <f>VLOOKUP(A:A,'282 Projects'!A:B,1,FALSE)</f>
        <v>AmazeFileManager</v>
      </c>
    </row>
    <row r="173" spans="1:5">
      <c r="A173" t="s">
        <v>100</v>
      </c>
      <c r="B173">
        <v>33</v>
      </c>
      <c r="C173" t="s">
        <v>8</v>
      </c>
      <c r="D173">
        <v>3</v>
      </c>
      <c r="E173" t="str">
        <f>VLOOKUP(A:A,'282 Projects'!A:B,1,FALSE)</f>
        <v>NewPipe</v>
      </c>
    </row>
    <row r="174" spans="1:5">
      <c r="A174" t="s">
        <v>100</v>
      </c>
      <c r="B174">
        <v>21</v>
      </c>
      <c r="C174" t="s">
        <v>8</v>
      </c>
      <c r="D174">
        <v>3</v>
      </c>
      <c r="E174" t="str">
        <f>VLOOKUP(A:A,'282 Projects'!A:B,1,FALSE)</f>
        <v>NewPipe</v>
      </c>
    </row>
    <row r="175" spans="1:5">
      <c r="A175" t="s">
        <v>101</v>
      </c>
      <c r="B175">
        <v>31</v>
      </c>
      <c r="C175" t="s">
        <v>5</v>
      </c>
      <c r="D175">
        <v>6</v>
      </c>
      <c r="E175" t="str">
        <f>VLOOKUP(A:A,'282 Projects'!A:B,1,FALSE)</f>
        <v>jtxBoard</v>
      </c>
    </row>
    <row r="176" spans="1:5">
      <c r="A176" t="s">
        <v>102</v>
      </c>
      <c r="B176">
        <v>26</v>
      </c>
      <c r="C176" t="s">
        <v>5</v>
      </c>
      <c r="D176">
        <v>1</v>
      </c>
      <c r="E176" t="str">
        <f>VLOOKUP(A:A,'282 Projects'!A:B,1,FALSE)</f>
        <v>exif-thumbnail-adder</v>
      </c>
    </row>
    <row r="177" spans="1:5">
      <c r="A177" t="s">
        <v>102</v>
      </c>
      <c r="B177">
        <v>29</v>
      </c>
      <c r="C177" t="s">
        <v>5</v>
      </c>
      <c r="D177">
        <v>1</v>
      </c>
      <c r="E177" t="str">
        <f>VLOOKUP(A:A,'282 Projects'!A:B,1,FALSE)</f>
        <v>exif-thumbnail-adder</v>
      </c>
    </row>
    <row r="178" spans="1:5">
      <c r="A178" t="s">
        <v>102</v>
      </c>
      <c r="B178">
        <v>28</v>
      </c>
      <c r="C178" t="s">
        <v>5</v>
      </c>
      <c r="D178">
        <v>1</v>
      </c>
      <c r="E178" t="str">
        <f>VLOOKUP(A:A,'282 Projects'!A:B,1,FALSE)</f>
        <v>exif-thumbnail-adder</v>
      </c>
    </row>
    <row r="179" spans="1:5">
      <c r="A179" t="s">
        <v>102</v>
      </c>
      <c r="B179">
        <v>31</v>
      </c>
      <c r="C179" t="s">
        <v>5</v>
      </c>
      <c r="D179">
        <v>1</v>
      </c>
      <c r="E179" t="str">
        <f>VLOOKUP(A:A,'282 Projects'!A:B,1,FALSE)</f>
        <v>exif-thumbnail-adder</v>
      </c>
    </row>
    <row r="180" spans="1:5">
      <c r="A180" t="s">
        <v>102</v>
      </c>
      <c r="B180">
        <v>27</v>
      </c>
      <c r="C180" t="s">
        <v>5</v>
      </c>
      <c r="D180">
        <v>1</v>
      </c>
      <c r="E180" t="str">
        <f>VLOOKUP(A:A,'282 Projects'!A:B,1,FALSE)</f>
        <v>exif-thumbnail-adder</v>
      </c>
    </row>
    <row r="181" spans="1:5">
      <c r="A181" t="s">
        <v>102</v>
      </c>
      <c r="B181">
        <v>30</v>
      </c>
      <c r="C181" t="s">
        <v>5</v>
      </c>
      <c r="D181">
        <v>1</v>
      </c>
      <c r="E181" t="str">
        <f>VLOOKUP(A:A,'282 Projects'!A:B,1,FALSE)</f>
        <v>exif-thumbnail-adder</v>
      </c>
    </row>
    <row r="182" spans="1:5">
      <c r="A182" t="s">
        <v>102</v>
      </c>
      <c r="B182">
        <v>32</v>
      </c>
      <c r="C182" t="s">
        <v>8</v>
      </c>
      <c r="D182">
        <v>1</v>
      </c>
      <c r="E182" t="str">
        <f>VLOOKUP(A:A,'282 Projects'!A:B,1,FALSE)</f>
        <v>exif-thumbnail-adder</v>
      </c>
    </row>
    <row r="183" spans="1:5">
      <c r="A183" t="s">
        <v>102</v>
      </c>
      <c r="B183">
        <v>33</v>
      </c>
      <c r="C183" t="s">
        <v>8</v>
      </c>
      <c r="D183">
        <v>1</v>
      </c>
      <c r="E183" t="str">
        <f>VLOOKUP(A:A,'282 Projects'!A:B,1,FALSE)</f>
        <v>exif-thumbnail-adder</v>
      </c>
    </row>
    <row r="184" spans="1:5">
      <c r="A184" t="s">
        <v>103</v>
      </c>
      <c r="B184">
        <v>29</v>
      </c>
      <c r="C184" t="s">
        <v>8</v>
      </c>
      <c r="D184">
        <v>4</v>
      </c>
      <c r="E184" t="str">
        <f>VLOOKUP(A:A,'282 Projects'!A:B,1,FALSE)</f>
        <v>photochat</v>
      </c>
    </row>
    <row r="185" spans="1:5">
      <c r="A185" t="s">
        <v>104</v>
      </c>
      <c r="B185">
        <v>31</v>
      </c>
      <c r="C185" t="s">
        <v>8</v>
      </c>
      <c r="D185">
        <v>4</v>
      </c>
      <c r="E185" t="str">
        <f>VLOOKUP(A:A,'282 Projects'!A:B,1,FALSE)</f>
        <v>cis-android</v>
      </c>
    </row>
    <row r="186" spans="1:5">
      <c r="A186" t="s">
        <v>105</v>
      </c>
      <c r="B186">
        <v>22</v>
      </c>
      <c r="C186" t="s">
        <v>8</v>
      </c>
      <c r="D186">
        <v>4</v>
      </c>
      <c r="E186" t="str">
        <f>VLOOKUP(A:A,'282 Projects'!A:B,1,FALSE)</f>
        <v>TwidereX-Android</v>
      </c>
    </row>
    <row r="187" spans="1:5">
      <c r="A187" t="s">
        <v>105</v>
      </c>
      <c r="B187">
        <v>30</v>
      </c>
      <c r="C187" t="s">
        <v>8</v>
      </c>
      <c r="D187">
        <v>4</v>
      </c>
      <c r="E187" t="str">
        <f>VLOOKUP(A:A,'282 Projects'!A:B,1,FALSE)</f>
        <v>TwidereX-Android</v>
      </c>
    </row>
    <row r="188" spans="1:5">
      <c r="A188" t="s">
        <v>105</v>
      </c>
      <c r="B188">
        <v>26</v>
      </c>
      <c r="C188" t="s">
        <v>8</v>
      </c>
      <c r="D188">
        <v>4</v>
      </c>
      <c r="E188" t="str">
        <f>VLOOKUP(A:A,'282 Projects'!A:B,1,FALSE)</f>
        <v>TwidereX-Android</v>
      </c>
    </row>
    <row r="189" spans="1:5">
      <c r="A189" t="s">
        <v>105</v>
      </c>
      <c r="B189">
        <v>28</v>
      </c>
      <c r="C189" t="s">
        <v>8</v>
      </c>
      <c r="D189">
        <v>4</v>
      </c>
      <c r="E189" t="str">
        <f>VLOOKUP(A:A,'282 Projects'!A:B,1,FALSE)</f>
        <v>TwidereX-Android</v>
      </c>
    </row>
    <row r="190" spans="1:5">
      <c r="A190" t="s">
        <v>105</v>
      </c>
      <c r="B190">
        <v>24</v>
      </c>
      <c r="C190" t="s">
        <v>8</v>
      </c>
      <c r="D190">
        <v>4</v>
      </c>
      <c r="E190" t="str">
        <f>VLOOKUP(A:A,'282 Projects'!A:B,1,FALSE)</f>
        <v>TwidereX-Android</v>
      </c>
    </row>
    <row r="191" spans="1:5">
      <c r="A191" t="s">
        <v>106</v>
      </c>
      <c r="B191">
        <v>30</v>
      </c>
      <c r="C191" t="s">
        <v>8</v>
      </c>
      <c r="D191">
        <v>1</v>
      </c>
      <c r="E191" t="str">
        <f>VLOOKUP(A:A,'282 Projects'!A:B,1,FALSE)</f>
        <v>Twire</v>
      </c>
    </row>
    <row r="192" spans="1:5">
      <c r="A192" t="s">
        <v>107</v>
      </c>
      <c r="B192">
        <v>29</v>
      </c>
      <c r="C192" t="s">
        <v>8</v>
      </c>
      <c r="D192">
        <v>1</v>
      </c>
      <c r="E192" t="str">
        <f>VLOOKUP(A:A,'282 Projects'!A:B,1,FALSE)</f>
        <v>ObdGraphs</v>
      </c>
    </row>
    <row r="193" spans="1:5">
      <c r="A193" t="s">
        <v>108</v>
      </c>
      <c r="B193">
        <v>28</v>
      </c>
      <c r="C193" t="s">
        <v>5</v>
      </c>
      <c r="D193">
        <v>2</v>
      </c>
      <c r="E193" t="str">
        <f>VLOOKUP(A:A,'282 Projects'!A:B,1,FALSE)</f>
        <v>compose-material-dialogs</v>
      </c>
    </row>
    <row r="194" spans="1:5">
      <c r="A194" t="s">
        <v>109</v>
      </c>
      <c r="B194">
        <v>28</v>
      </c>
      <c r="C194" t="s">
        <v>5</v>
      </c>
      <c r="D194">
        <v>19</v>
      </c>
      <c r="E194" t="str">
        <f>VLOOKUP(A:A,'282 Projects'!A:B,1,FALSE)</f>
        <v>element-android</v>
      </c>
    </row>
    <row r="195" spans="1:5">
      <c r="A195" t="s">
        <v>110</v>
      </c>
      <c r="B195">
        <v>29</v>
      </c>
      <c r="C195" t="s">
        <v>8</v>
      </c>
      <c r="D195">
        <v>3</v>
      </c>
      <c r="E195" t="str">
        <f>VLOOKUP(A:A,'282 Projects'!A:B,1,FALSE)</f>
        <v>ci-matters</v>
      </c>
    </row>
    <row r="196" spans="1:5">
      <c r="A196" t="s">
        <v>111</v>
      </c>
      <c r="B196">
        <v>28</v>
      </c>
      <c r="C196" t="s">
        <v>5</v>
      </c>
      <c r="D196">
        <v>2</v>
      </c>
      <c r="E196" t="str">
        <f>VLOOKUP(A:A,'282 Projects'!A:B,1,FALSE)</f>
        <v>audio-recorder</v>
      </c>
    </row>
    <row r="197" spans="1:5">
      <c r="A197" t="s">
        <v>111</v>
      </c>
      <c r="B197">
        <v>29</v>
      </c>
      <c r="C197" t="s">
        <v>8</v>
      </c>
      <c r="D197">
        <v>2</v>
      </c>
      <c r="E197" t="str">
        <f>VLOOKUP(A:A,'282 Projects'!A:B,1,FALSE)</f>
        <v>audio-recorder</v>
      </c>
    </row>
    <row r="198" spans="1:5">
      <c r="A198" t="s">
        <v>112</v>
      </c>
      <c r="B198">
        <v>29</v>
      </c>
      <c r="C198" t="s">
        <v>8</v>
      </c>
      <c r="D198">
        <v>4</v>
      </c>
      <c r="E198" t="str">
        <f>VLOOKUP(A:A,'282 Projects'!A:B,1,FALSE)</f>
        <v>apps-android-wikipedia</v>
      </c>
    </row>
    <row r="199" spans="1:5">
      <c r="A199" t="s">
        <v>113</v>
      </c>
      <c r="B199">
        <v>26</v>
      </c>
      <c r="C199" t="s">
        <v>8</v>
      </c>
      <c r="D199">
        <v>2</v>
      </c>
      <c r="E199" t="str">
        <f>VLOOKUP(A:A,'282 Projects'!A:B,1,FALSE)</f>
        <v>yacguide</v>
      </c>
    </row>
    <row r="200" spans="1:5">
      <c r="A200" t="s">
        <v>113</v>
      </c>
      <c r="B200">
        <v>33</v>
      </c>
      <c r="C200" t="s">
        <v>8</v>
      </c>
      <c r="D200">
        <v>2</v>
      </c>
      <c r="E200" t="str">
        <f>VLOOKUP(A:A,'282 Projects'!A:B,1,FALSE)</f>
        <v>yacguide</v>
      </c>
    </row>
    <row r="201" spans="1:5">
      <c r="A201" t="s">
        <v>114</v>
      </c>
      <c r="B201">
        <v>22</v>
      </c>
      <c r="C201" t="s">
        <v>8</v>
      </c>
      <c r="D201">
        <v>5</v>
      </c>
      <c r="E201" t="str">
        <f>VLOOKUP(A:A,'282 Projects'!A:B,1,FALSE)</f>
        <v>AlarmClock</v>
      </c>
    </row>
    <row r="202" spans="1:5">
      <c r="A202" t="s">
        <v>115</v>
      </c>
      <c r="B202">
        <v>28</v>
      </c>
      <c r="C202" t="s">
        <v>8</v>
      </c>
      <c r="D202">
        <v>3</v>
      </c>
      <c r="E202" t="str">
        <f>VLOOKUP(A:A,'282 Projects'!A:B,1,FALSE)</f>
        <v>hyperrogue</v>
      </c>
    </row>
    <row r="203" spans="1:5">
      <c r="A203" t="s">
        <v>116</v>
      </c>
      <c r="B203">
        <v>29</v>
      </c>
      <c r="C203" t="s">
        <v>8</v>
      </c>
      <c r="D203">
        <v>9</v>
      </c>
      <c r="E203" t="str">
        <f>VLOOKUP(A:A,'282 Projects'!A:B,1,FALSE)</f>
        <v>ToxAndroidRefImpl</v>
      </c>
    </row>
    <row r="204" spans="1:5">
      <c r="A204" t="s">
        <v>116</v>
      </c>
      <c r="B204">
        <v>31</v>
      </c>
      <c r="C204" t="s">
        <v>8</v>
      </c>
      <c r="D204">
        <v>9</v>
      </c>
      <c r="E204" t="str">
        <f>VLOOKUP(A:A,'282 Projects'!A:B,1,FALSE)</f>
        <v>ToxAndroidRefImpl</v>
      </c>
    </row>
    <row r="205" spans="1:5">
      <c r="A205" t="s">
        <v>116</v>
      </c>
      <c r="B205">
        <v>21</v>
      </c>
      <c r="C205" t="s">
        <v>8</v>
      </c>
      <c r="D205">
        <v>9</v>
      </c>
      <c r="E205" t="str">
        <f>VLOOKUP(A:A,'282 Projects'!A:B,1,FALSE)</f>
        <v>ToxAndroidRefImpl</v>
      </c>
    </row>
    <row r="206" spans="1:5">
      <c r="A206" t="s">
        <v>117</v>
      </c>
      <c r="B206">
        <v>26</v>
      </c>
      <c r="C206" t="s">
        <v>5</v>
      </c>
      <c r="D206">
        <v>1</v>
      </c>
      <c r="E206" t="str">
        <f>VLOOKUP(A:A,'282 Projects'!A:B,1,FALSE)</f>
        <v>dialogue</v>
      </c>
    </row>
    <row r="207" spans="1:5">
      <c r="A207" t="s">
        <v>117</v>
      </c>
      <c r="B207">
        <v>23</v>
      </c>
      <c r="C207" t="s">
        <v>5</v>
      </c>
      <c r="D207">
        <v>1</v>
      </c>
      <c r="E207" t="str">
        <f>VLOOKUP(A:A,'282 Projects'!A:B,1,FALSE)</f>
        <v>dialogue</v>
      </c>
    </row>
    <row r="208" spans="1:5">
      <c r="A208" t="s">
        <v>117</v>
      </c>
      <c r="B208">
        <v>30</v>
      </c>
      <c r="C208" t="s">
        <v>5</v>
      </c>
      <c r="D208">
        <v>1</v>
      </c>
      <c r="E208" t="str">
        <f>VLOOKUP(A:A,'282 Projects'!A:B,1,FALSE)</f>
        <v>dialogue</v>
      </c>
    </row>
  </sheetData>
  <autoFilter ref="A1:E208"/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3"/>
  <sheetViews>
    <sheetView workbookViewId="0">
      <selection activeCell="B6" sqref="B6"/>
    </sheetView>
  </sheetViews>
  <sheetFormatPr defaultRowHeight="15"/>
  <cols>
    <col min="1" max="1" width="47.42578125" bestFit="1" customWidth="1"/>
    <col min="2" max="2" width="76.5703125" bestFit="1" customWidth="1"/>
  </cols>
  <sheetData>
    <row r="1" spans="1:2">
      <c r="A1" t="s">
        <v>0</v>
      </c>
      <c r="B1" t="s">
        <v>122</v>
      </c>
    </row>
    <row r="2" spans="1:2">
      <c r="A2" t="s">
        <v>123</v>
      </c>
      <c r="B2" t="s">
        <v>124</v>
      </c>
    </row>
    <row r="3" spans="1:2">
      <c r="A3" t="s">
        <v>4</v>
      </c>
      <c r="B3" t="s">
        <v>125</v>
      </c>
    </row>
    <row r="4" spans="1:2">
      <c r="A4" t="s">
        <v>6</v>
      </c>
      <c r="B4" t="s">
        <v>126</v>
      </c>
    </row>
    <row r="5" spans="1:2">
      <c r="A5" t="s">
        <v>127</v>
      </c>
      <c r="B5" t="s">
        <v>128</v>
      </c>
    </row>
    <row r="6" spans="1:2">
      <c r="A6" t="s">
        <v>129</v>
      </c>
      <c r="B6" t="s">
        <v>130</v>
      </c>
    </row>
    <row r="7" spans="1:2">
      <c r="A7" t="s">
        <v>7</v>
      </c>
      <c r="B7" t="s">
        <v>125</v>
      </c>
    </row>
    <row r="8" spans="1:2">
      <c r="A8" t="s">
        <v>131</v>
      </c>
      <c r="B8" t="s">
        <v>132</v>
      </c>
    </row>
    <row r="9" spans="1:2">
      <c r="A9" t="s">
        <v>9</v>
      </c>
      <c r="B9" t="s">
        <v>125</v>
      </c>
    </row>
    <row r="10" spans="1:2">
      <c r="A10" t="s">
        <v>10</v>
      </c>
      <c r="B10" t="s">
        <v>125</v>
      </c>
    </row>
    <row r="11" spans="1:2">
      <c r="A11" t="s">
        <v>11</v>
      </c>
      <c r="B11" t="s">
        <v>125</v>
      </c>
    </row>
    <row r="12" spans="1:2">
      <c r="A12" t="s">
        <v>12</v>
      </c>
      <c r="B12" t="s">
        <v>125</v>
      </c>
    </row>
    <row r="13" spans="1:2">
      <c r="A13" t="s">
        <v>133</v>
      </c>
      <c r="B13" t="s">
        <v>134</v>
      </c>
    </row>
    <row r="14" spans="1:2">
      <c r="A14" t="s">
        <v>13</v>
      </c>
      <c r="B14" t="s">
        <v>135</v>
      </c>
    </row>
    <row r="15" spans="1:2">
      <c r="A15" t="s">
        <v>14</v>
      </c>
      <c r="B15" t="s">
        <v>125</v>
      </c>
    </row>
    <row r="16" spans="1:2">
      <c r="A16" t="s">
        <v>15</v>
      </c>
      <c r="B16" t="s">
        <v>125</v>
      </c>
    </row>
    <row r="17" spans="1:2">
      <c r="A17" t="s">
        <v>136</v>
      </c>
      <c r="B17" t="s">
        <v>134</v>
      </c>
    </row>
    <row r="18" spans="1:2">
      <c r="A18" t="s">
        <v>137</v>
      </c>
      <c r="B18" t="s">
        <v>134</v>
      </c>
    </row>
    <row r="19" spans="1:2">
      <c r="A19" t="s">
        <v>16</v>
      </c>
      <c r="B19" t="s">
        <v>135</v>
      </c>
    </row>
    <row r="20" spans="1:2">
      <c r="A20" t="s">
        <v>138</v>
      </c>
      <c r="B20" t="s">
        <v>128</v>
      </c>
    </row>
    <row r="21" spans="1:2">
      <c r="A21" t="s">
        <v>139</v>
      </c>
      <c r="B21" t="s">
        <v>134</v>
      </c>
    </row>
    <row r="22" spans="1:2">
      <c r="A22" t="s">
        <v>17</v>
      </c>
      <c r="B22" t="s">
        <v>125</v>
      </c>
    </row>
    <row r="23" spans="1:2">
      <c r="A23" t="s">
        <v>140</v>
      </c>
      <c r="B23" t="s">
        <v>130</v>
      </c>
    </row>
    <row r="24" spans="1:2">
      <c r="A24" t="s">
        <v>141</v>
      </c>
      <c r="B24" t="s">
        <v>130</v>
      </c>
    </row>
    <row r="25" spans="1:2">
      <c r="A25" t="s">
        <v>18</v>
      </c>
      <c r="B25" t="s">
        <v>135</v>
      </c>
    </row>
    <row r="26" spans="1:2">
      <c r="A26" t="s">
        <v>19</v>
      </c>
      <c r="B26" t="s">
        <v>126</v>
      </c>
    </row>
    <row r="27" spans="1:2">
      <c r="A27" t="s">
        <v>142</v>
      </c>
      <c r="B27" t="s">
        <v>134</v>
      </c>
    </row>
    <row r="28" spans="1:2">
      <c r="A28" t="s">
        <v>143</v>
      </c>
      <c r="B28" t="s">
        <v>130</v>
      </c>
    </row>
    <row r="29" spans="1:2">
      <c r="A29" t="s">
        <v>20</v>
      </c>
      <c r="B29" t="s">
        <v>144</v>
      </c>
    </row>
    <row r="30" spans="1:2">
      <c r="A30" t="s">
        <v>145</v>
      </c>
      <c r="B30" t="s">
        <v>128</v>
      </c>
    </row>
    <row r="31" spans="1:2">
      <c r="A31" t="s">
        <v>146</v>
      </c>
      <c r="B31" t="s">
        <v>128</v>
      </c>
    </row>
    <row r="32" spans="1:2">
      <c r="A32" t="s">
        <v>147</v>
      </c>
      <c r="B32" t="s">
        <v>128</v>
      </c>
    </row>
    <row r="33" spans="1:2">
      <c r="A33" t="s">
        <v>21</v>
      </c>
      <c r="B33" t="s">
        <v>125</v>
      </c>
    </row>
    <row r="34" spans="1:2">
      <c r="A34" t="s">
        <v>22</v>
      </c>
      <c r="B34" t="s">
        <v>125</v>
      </c>
    </row>
    <row r="35" spans="1:2">
      <c r="A35" t="s">
        <v>23</v>
      </c>
      <c r="B35" t="s">
        <v>135</v>
      </c>
    </row>
    <row r="36" spans="1:2">
      <c r="A36" t="s">
        <v>148</v>
      </c>
      <c r="B36" t="s">
        <v>124</v>
      </c>
    </row>
    <row r="37" spans="1:2">
      <c r="A37" t="s">
        <v>149</v>
      </c>
      <c r="B37" t="s">
        <v>124</v>
      </c>
    </row>
    <row r="38" spans="1:2">
      <c r="A38" t="s">
        <v>150</v>
      </c>
      <c r="B38" t="s">
        <v>124</v>
      </c>
    </row>
    <row r="39" spans="1:2">
      <c r="A39" t="s">
        <v>151</v>
      </c>
      <c r="B39" t="s">
        <v>124</v>
      </c>
    </row>
    <row r="40" spans="1:2">
      <c r="A40" t="s">
        <v>152</v>
      </c>
      <c r="B40" t="s">
        <v>124</v>
      </c>
    </row>
    <row r="41" spans="1:2">
      <c r="A41" t="s">
        <v>153</v>
      </c>
      <c r="B41" t="s">
        <v>124</v>
      </c>
    </row>
    <row r="42" spans="1:2">
      <c r="A42" t="s">
        <v>154</v>
      </c>
      <c r="B42" t="s">
        <v>130</v>
      </c>
    </row>
    <row r="43" spans="1:2">
      <c r="A43" t="s">
        <v>155</v>
      </c>
      <c r="B43" t="s">
        <v>130</v>
      </c>
    </row>
    <row r="44" spans="1:2">
      <c r="A44" t="s">
        <v>156</v>
      </c>
      <c r="B44" t="s">
        <v>128</v>
      </c>
    </row>
    <row r="45" spans="1:2">
      <c r="A45" t="s">
        <v>24</v>
      </c>
      <c r="B45" t="s">
        <v>126</v>
      </c>
    </row>
    <row r="46" spans="1:2">
      <c r="A46" t="s">
        <v>157</v>
      </c>
      <c r="B46" t="s">
        <v>130</v>
      </c>
    </row>
    <row r="47" spans="1:2">
      <c r="A47" t="s">
        <v>158</v>
      </c>
      <c r="B47" t="s">
        <v>130</v>
      </c>
    </row>
    <row r="48" spans="1:2">
      <c r="A48" t="s">
        <v>25</v>
      </c>
      <c r="B48" t="s">
        <v>125</v>
      </c>
    </row>
    <row r="49" spans="1:2">
      <c r="A49" t="s">
        <v>159</v>
      </c>
      <c r="B49" t="s">
        <v>130</v>
      </c>
    </row>
    <row r="50" spans="1:2">
      <c r="A50" t="s">
        <v>160</v>
      </c>
      <c r="B50" t="s">
        <v>128</v>
      </c>
    </row>
    <row r="51" spans="1:2">
      <c r="A51" t="s">
        <v>161</v>
      </c>
      <c r="B51" t="s">
        <v>124</v>
      </c>
    </row>
    <row r="52" spans="1:2">
      <c r="A52" t="s">
        <v>26</v>
      </c>
      <c r="B52" t="s">
        <v>125</v>
      </c>
    </row>
    <row r="53" spans="1:2">
      <c r="A53" t="s">
        <v>27</v>
      </c>
      <c r="B53" t="s">
        <v>125</v>
      </c>
    </row>
    <row r="54" spans="1:2">
      <c r="A54" t="s">
        <v>162</v>
      </c>
      <c r="B54" t="s">
        <v>130</v>
      </c>
    </row>
    <row r="55" spans="1:2">
      <c r="A55" t="s">
        <v>163</v>
      </c>
      <c r="B55" t="s">
        <v>128</v>
      </c>
    </row>
    <row r="56" spans="1:2">
      <c r="A56" t="s">
        <v>164</v>
      </c>
      <c r="B56" t="s">
        <v>124</v>
      </c>
    </row>
    <row r="57" spans="1:2">
      <c r="A57" t="s">
        <v>28</v>
      </c>
      <c r="B57" t="s">
        <v>125</v>
      </c>
    </row>
    <row r="58" spans="1:2">
      <c r="A58" t="s">
        <v>29</v>
      </c>
      <c r="B58" t="s">
        <v>144</v>
      </c>
    </row>
    <row r="59" spans="1:2">
      <c r="A59" t="s">
        <v>165</v>
      </c>
      <c r="B59" t="s">
        <v>128</v>
      </c>
    </row>
    <row r="60" spans="1:2">
      <c r="A60" t="s">
        <v>166</v>
      </c>
      <c r="B60" t="s">
        <v>128</v>
      </c>
    </row>
    <row r="61" spans="1:2">
      <c r="A61" t="s">
        <v>167</v>
      </c>
      <c r="B61" t="s">
        <v>130</v>
      </c>
    </row>
    <row r="62" spans="1:2">
      <c r="A62" t="s">
        <v>168</v>
      </c>
      <c r="B62" t="s">
        <v>128</v>
      </c>
    </row>
    <row r="63" spans="1:2">
      <c r="A63" t="s">
        <v>169</v>
      </c>
      <c r="B63" t="s">
        <v>130</v>
      </c>
    </row>
    <row r="64" spans="1:2">
      <c r="A64" t="s">
        <v>170</v>
      </c>
      <c r="B64" t="s">
        <v>128</v>
      </c>
    </row>
    <row r="65" spans="1:2">
      <c r="A65" t="s">
        <v>171</v>
      </c>
      <c r="B65" t="s">
        <v>128</v>
      </c>
    </row>
    <row r="66" spans="1:2">
      <c r="A66" t="s">
        <v>172</v>
      </c>
      <c r="B66" t="s">
        <v>128</v>
      </c>
    </row>
    <row r="67" spans="1:2">
      <c r="A67" t="s">
        <v>173</v>
      </c>
      <c r="B67" t="s">
        <v>124</v>
      </c>
    </row>
    <row r="68" spans="1:2">
      <c r="A68" t="s">
        <v>30</v>
      </c>
      <c r="B68" t="s">
        <v>125</v>
      </c>
    </row>
    <row r="69" spans="1:2">
      <c r="A69" t="s">
        <v>31</v>
      </c>
      <c r="B69" t="s">
        <v>144</v>
      </c>
    </row>
    <row r="70" spans="1:2">
      <c r="A70" t="s">
        <v>174</v>
      </c>
      <c r="B70" t="s">
        <v>128</v>
      </c>
    </row>
    <row r="71" spans="1:2">
      <c r="A71" t="s">
        <v>32</v>
      </c>
      <c r="B71" t="s">
        <v>125</v>
      </c>
    </row>
    <row r="72" spans="1:2">
      <c r="A72" t="s">
        <v>175</v>
      </c>
      <c r="B72" t="s">
        <v>134</v>
      </c>
    </row>
    <row r="73" spans="1:2">
      <c r="A73" t="s">
        <v>176</v>
      </c>
      <c r="B73" t="s">
        <v>134</v>
      </c>
    </row>
    <row r="74" spans="1:2">
      <c r="A74" t="s">
        <v>33</v>
      </c>
      <c r="B74" t="s">
        <v>125</v>
      </c>
    </row>
    <row r="75" spans="1:2">
      <c r="A75" t="s">
        <v>177</v>
      </c>
      <c r="B75" t="s">
        <v>124</v>
      </c>
    </row>
    <row r="76" spans="1:2">
      <c r="A76" t="s">
        <v>178</v>
      </c>
      <c r="B76" t="s">
        <v>124</v>
      </c>
    </row>
    <row r="77" spans="1:2">
      <c r="A77" t="s">
        <v>179</v>
      </c>
      <c r="B77" t="s">
        <v>124</v>
      </c>
    </row>
    <row r="78" spans="1:2">
      <c r="A78" t="s">
        <v>34</v>
      </c>
      <c r="B78" t="s">
        <v>125</v>
      </c>
    </row>
    <row r="79" spans="1:2">
      <c r="A79" t="s">
        <v>180</v>
      </c>
      <c r="B79" t="s">
        <v>124</v>
      </c>
    </row>
    <row r="80" spans="1:2">
      <c r="A80" t="s">
        <v>181</v>
      </c>
      <c r="B80" t="s">
        <v>124</v>
      </c>
    </row>
    <row r="81" spans="1:2">
      <c r="A81" t="s">
        <v>182</v>
      </c>
      <c r="B81" t="s">
        <v>128</v>
      </c>
    </row>
    <row r="82" spans="1:2">
      <c r="A82" t="s">
        <v>183</v>
      </c>
      <c r="B82" t="s">
        <v>128</v>
      </c>
    </row>
    <row r="83" spans="1:2">
      <c r="A83" t="s">
        <v>35</v>
      </c>
      <c r="B83" t="s">
        <v>135</v>
      </c>
    </row>
    <row r="84" spans="1:2">
      <c r="A84" t="s">
        <v>184</v>
      </c>
      <c r="B84" t="s">
        <v>128</v>
      </c>
    </row>
    <row r="85" spans="1:2">
      <c r="A85" t="s">
        <v>36</v>
      </c>
      <c r="B85" t="s">
        <v>125</v>
      </c>
    </row>
    <row r="86" spans="1:2">
      <c r="A86" t="s">
        <v>185</v>
      </c>
      <c r="B86" t="s">
        <v>128</v>
      </c>
    </row>
    <row r="87" spans="1:2">
      <c r="A87" t="s">
        <v>186</v>
      </c>
      <c r="B87" t="s">
        <v>124</v>
      </c>
    </row>
    <row r="88" spans="1:2">
      <c r="A88" t="s">
        <v>187</v>
      </c>
      <c r="B88" t="s">
        <v>128</v>
      </c>
    </row>
    <row r="89" spans="1:2">
      <c r="A89" t="s">
        <v>188</v>
      </c>
      <c r="B89" t="s">
        <v>134</v>
      </c>
    </row>
    <row r="90" spans="1:2">
      <c r="A90" t="s">
        <v>37</v>
      </c>
      <c r="B90" t="s">
        <v>125</v>
      </c>
    </row>
    <row r="91" spans="1:2">
      <c r="A91" t="s">
        <v>189</v>
      </c>
      <c r="B91" t="s">
        <v>134</v>
      </c>
    </row>
    <row r="92" spans="1:2">
      <c r="A92" t="s">
        <v>38</v>
      </c>
      <c r="B92" t="s">
        <v>125</v>
      </c>
    </row>
    <row r="93" spans="1:2">
      <c r="A93" t="s">
        <v>190</v>
      </c>
      <c r="B93" t="s">
        <v>124</v>
      </c>
    </row>
    <row r="94" spans="1:2">
      <c r="A94" t="s">
        <v>39</v>
      </c>
      <c r="B94" t="s">
        <v>135</v>
      </c>
    </row>
    <row r="95" spans="1:2">
      <c r="A95" t="s">
        <v>40</v>
      </c>
      <c r="B95" t="s">
        <v>125</v>
      </c>
    </row>
    <row r="96" spans="1:2">
      <c r="A96" t="s">
        <v>191</v>
      </c>
      <c r="B96" t="s">
        <v>130</v>
      </c>
    </row>
    <row r="97" spans="1:2">
      <c r="A97" t="s">
        <v>192</v>
      </c>
      <c r="B97" t="s">
        <v>124</v>
      </c>
    </row>
    <row r="98" spans="1:2">
      <c r="A98" t="s">
        <v>41</v>
      </c>
      <c r="B98" t="s">
        <v>125</v>
      </c>
    </row>
    <row r="99" spans="1:2">
      <c r="A99" t="s">
        <v>42</v>
      </c>
      <c r="B99" t="s">
        <v>125</v>
      </c>
    </row>
    <row r="100" spans="1:2">
      <c r="A100" t="s">
        <v>193</v>
      </c>
      <c r="B100" t="s">
        <v>128</v>
      </c>
    </row>
    <row r="101" spans="1:2">
      <c r="A101" t="s">
        <v>43</v>
      </c>
      <c r="B101" t="s">
        <v>135</v>
      </c>
    </row>
    <row r="102" spans="1:2">
      <c r="A102" t="s">
        <v>44</v>
      </c>
      <c r="B102" t="s">
        <v>194</v>
      </c>
    </row>
    <row r="103" spans="1:2">
      <c r="A103" t="s">
        <v>195</v>
      </c>
      <c r="B103" t="s">
        <v>130</v>
      </c>
    </row>
    <row r="104" spans="1:2">
      <c r="A104" t="s">
        <v>196</v>
      </c>
      <c r="B104" t="s">
        <v>130</v>
      </c>
    </row>
    <row r="105" spans="1:2">
      <c r="A105" t="s">
        <v>45</v>
      </c>
      <c r="B105" t="s">
        <v>197</v>
      </c>
    </row>
    <row r="106" spans="1:2">
      <c r="A106" t="s">
        <v>198</v>
      </c>
      <c r="B106" t="s">
        <v>128</v>
      </c>
    </row>
    <row r="107" spans="1:2">
      <c r="A107" t="s">
        <v>199</v>
      </c>
      <c r="B107" t="s">
        <v>128</v>
      </c>
    </row>
    <row r="108" spans="1:2">
      <c r="A108" t="s">
        <v>200</v>
      </c>
      <c r="B108" t="s">
        <v>130</v>
      </c>
    </row>
    <row r="109" spans="1:2">
      <c r="A109" t="s">
        <v>201</v>
      </c>
      <c r="B109" t="s">
        <v>130</v>
      </c>
    </row>
    <row r="110" spans="1:2">
      <c r="A110" t="s">
        <v>202</v>
      </c>
      <c r="B110" t="s">
        <v>134</v>
      </c>
    </row>
    <row r="111" spans="1:2">
      <c r="A111" t="s">
        <v>203</v>
      </c>
      <c r="B111" t="s">
        <v>130</v>
      </c>
    </row>
    <row r="112" spans="1:2">
      <c r="A112" t="s">
        <v>46</v>
      </c>
      <c r="B112" t="s">
        <v>125</v>
      </c>
    </row>
    <row r="113" spans="1:2">
      <c r="A113" t="s">
        <v>204</v>
      </c>
      <c r="B113" t="s">
        <v>124</v>
      </c>
    </row>
    <row r="114" spans="1:2">
      <c r="A114" t="s">
        <v>47</v>
      </c>
      <c r="B114" t="s">
        <v>125</v>
      </c>
    </row>
    <row r="115" spans="1:2">
      <c r="A115" t="s">
        <v>48</v>
      </c>
      <c r="B115" t="s">
        <v>125</v>
      </c>
    </row>
    <row r="116" spans="1:2">
      <c r="A116" t="s">
        <v>49</v>
      </c>
      <c r="B116" t="s">
        <v>125</v>
      </c>
    </row>
    <row r="117" spans="1:2">
      <c r="A117" t="s">
        <v>50</v>
      </c>
      <c r="B117" t="s">
        <v>125</v>
      </c>
    </row>
    <row r="118" spans="1:2">
      <c r="A118" t="s">
        <v>205</v>
      </c>
      <c r="B118" t="s">
        <v>128</v>
      </c>
    </row>
    <row r="119" spans="1:2">
      <c r="A119" t="s">
        <v>51</v>
      </c>
      <c r="B119" t="s">
        <v>125</v>
      </c>
    </row>
    <row r="120" spans="1:2">
      <c r="A120" t="s">
        <v>206</v>
      </c>
      <c r="B120" t="s">
        <v>128</v>
      </c>
    </row>
    <row r="121" spans="1:2">
      <c r="A121" t="s">
        <v>52</v>
      </c>
      <c r="B121" t="s">
        <v>125</v>
      </c>
    </row>
    <row r="122" spans="1:2">
      <c r="A122" t="s">
        <v>207</v>
      </c>
      <c r="B122" t="s">
        <v>128</v>
      </c>
    </row>
    <row r="123" spans="1:2">
      <c r="A123" t="s">
        <v>53</v>
      </c>
      <c r="B123" t="s">
        <v>126</v>
      </c>
    </row>
    <row r="124" spans="1:2">
      <c r="A124" t="s">
        <v>208</v>
      </c>
      <c r="B124" t="s">
        <v>128</v>
      </c>
    </row>
    <row r="125" spans="1:2">
      <c r="A125" t="s">
        <v>55</v>
      </c>
      <c r="B125" t="s">
        <v>125</v>
      </c>
    </row>
    <row r="126" spans="1:2">
      <c r="A126" t="s">
        <v>209</v>
      </c>
      <c r="B126" t="s">
        <v>135</v>
      </c>
    </row>
    <row r="127" spans="1:2">
      <c r="A127" t="s">
        <v>56</v>
      </c>
      <c r="B127" t="s">
        <v>144</v>
      </c>
    </row>
    <row r="128" spans="1:2">
      <c r="A128" t="s">
        <v>210</v>
      </c>
      <c r="B128" t="s">
        <v>124</v>
      </c>
    </row>
    <row r="129" spans="1:2">
      <c r="A129" t="s">
        <v>211</v>
      </c>
      <c r="B129" t="s">
        <v>144</v>
      </c>
    </row>
    <row r="130" spans="1:2">
      <c r="A130" t="s">
        <v>212</v>
      </c>
      <c r="B130" t="s">
        <v>130</v>
      </c>
    </row>
    <row r="131" spans="1:2">
      <c r="A131" t="s">
        <v>213</v>
      </c>
      <c r="B131" t="s">
        <v>128</v>
      </c>
    </row>
    <row r="132" spans="1:2">
      <c r="A132" t="s">
        <v>214</v>
      </c>
      <c r="B132" t="s">
        <v>130</v>
      </c>
    </row>
    <row r="133" spans="1:2">
      <c r="A133" t="s">
        <v>215</v>
      </c>
      <c r="B133" t="s">
        <v>130</v>
      </c>
    </row>
    <row r="134" spans="1:2">
      <c r="A134" t="s">
        <v>216</v>
      </c>
      <c r="B134" t="s">
        <v>128</v>
      </c>
    </row>
    <row r="135" spans="1:2">
      <c r="A135" t="s">
        <v>217</v>
      </c>
      <c r="B135" t="s">
        <v>134</v>
      </c>
    </row>
    <row r="136" spans="1:2">
      <c r="A136" t="s">
        <v>218</v>
      </c>
      <c r="B136" t="s">
        <v>124</v>
      </c>
    </row>
    <row r="137" spans="1:2">
      <c r="A137" t="s">
        <v>219</v>
      </c>
      <c r="B137" t="s">
        <v>124</v>
      </c>
    </row>
    <row r="138" spans="1:2">
      <c r="A138" t="s">
        <v>220</v>
      </c>
      <c r="B138" t="s">
        <v>128</v>
      </c>
    </row>
    <row r="139" spans="1:2">
      <c r="A139" t="s">
        <v>221</v>
      </c>
      <c r="B139" t="s">
        <v>130</v>
      </c>
    </row>
    <row r="140" spans="1:2">
      <c r="A140" t="s">
        <v>222</v>
      </c>
      <c r="B140" t="s">
        <v>125</v>
      </c>
    </row>
    <row r="141" spans="1:2">
      <c r="A141" t="s">
        <v>223</v>
      </c>
      <c r="B141" t="s">
        <v>128</v>
      </c>
    </row>
    <row r="142" spans="1:2">
      <c r="A142" t="s">
        <v>224</v>
      </c>
      <c r="B142" t="s">
        <v>128</v>
      </c>
    </row>
    <row r="143" spans="1:2">
      <c r="A143" t="s">
        <v>57</v>
      </c>
      <c r="B143" t="s">
        <v>135</v>
      </c>
    </row>
    <row r="144" spans="1:2">
      <c r="A144" t="s">
        <v>225</v>
      </c>
      <c r="B144" t="s">
        <v>128</v>
      </c>
    </row>
    <row r="145" spans="1:2">
      <c r="A145" t="s">
        <v>58</v>
      </c>
      <c r="B145" t="s">
        <v>125</v>
      </c>
    </row>
    <row r="146" spans="1:2">
      <c r="A146" t="s">
        <v>226</v>
      </c>
      <c r="B146" t="s">
        <v>128</v>
      </c>
    </row>
    <row r="147" spans="1:2">
      <c r="A147" t="s">
        <v>227</v>
      </c>
      <c r="B147" t="s">
        <v>128</v>
      </c>
    </row>
    <row r="148" spans="1:2">
      <c r="A148" t="s">
        <v>228</v>
      </c>
      <c r="B148" t="s">
        <v>130</v>
      </c>
    </row>
    <row r="149" spans="1:2">
      <c r="A149" t="s">
        <v>59</v>
      </c>
      <c r="B149" t="s">
        <v>125</v>
      </c>
    </row>
    <row r="150" spans="1:2">
      <c r="A150" t="s">
        <v>60</v>
      </c>
      <c r="B150" t="s">
        <v>125</v>
      </c>
    </row>
    <row r="151" spans="1:2">
      <c r="A151" t="s">
        <v>61</v>
      </c>
      <c r="B151" t="s">
        <v>125</v>
      </c>
    </row>
    <row r="152" spans="1:2">
      <c r="A152" t="s">
        <v>229</v>
      </c>
      <c r="B152" t="s">
        <v>130</v>
      </c>
    </row>
    <row r="153" spans="1:2">
      <c r="A153" t="s">
        <v>230</v>
      </c>
      <c r="B153" t="s">
        <v>144</v>
      </c>
    </row>
    <row r="154" spans="1:2">
      <c r="A154" t="s">
        <v>62</v>
      </c>
      <c r="B154" t="s">
        <v>144</v>
      </c>
    </row>
    <row r="155" spans="1:2">
      <c r="A155" t="s">
        <v>63</v>
      </c>
      <c r="B155" t="s">
        <v>125</v>
      </c>
    </row>
    <row r="156" spans="1:2">
      <c r="A156" t="s">
        <v>231</v>
      </c>
      <c r="B156" t="s">
        <v>128</v>
      </c>
    </row>
    <row r="157" spans="1:2">
      <c r="A157" t="s">
        <v>232</v>
      </c>
      <c r="B157" t="s">
        <v>128</v>
      </c>
    </row>
    <row r="158" spans="1:2">
      <c r="A158" t="s">
        <v>64</v>
      </c>
      <c r="B158" t="s">
        <v>126</v>
      </c>
    </row>
    <row r="159" spans="1:2">
      <c r="A159" t="s">
        <v>233</v>
      </c>
      <c r="B159" t="s">
        <v>124</v>
      </c>
    </row>
    <row r="160" spans="1:2">
      <c r="A160" t="s">
        <v>234</v>
      </c>
      <c r="B160" t="s">
        <v>130</v>
      </c>
    </row>
    <row r="161" spans="1:2">
      <c r="A161" t="s">
        <v>65</v>
      </c>
      <c r="B161" t="s">
        <v>135</v>
      </c>
    </row>
    <row r="162" spans="1:2">
      <c r="A162" t="s">
        <v>235</v>
      </c>
      <c r="B162" t="s">
        <v>130</v>
      </c>
    </row>
    <row r="163" spans="1:2">
      <c r="A163" t="s">
        <v>236</v>
      </c>
      <c r="B163" t="s">
        <v>130</v>
      </c>
    </row>
    <row r="164" spans="1:2">
      <c r="A164" t="s">
        <v>237</v>
      </c>
      <c r="B164" t="s">
        <v>128</v>
      </c>
    </row>
    <row r="165" spans="1:2">
      <c r="A165" t="s">
        <v>238</v>
      </c>
      <c r="B165" t="s">
        <v>124</v>
      </c>
    </row>
    <row r="166" spans="1:2">
      <c r="A166" t="s">
        <v>239</v>
      </c>
      <c r="B166" t="s">
        <v>124</v>
      </c>
    </row>
    <row r="167" spans="1:2">
      <c r="A167" t="s">
        <v>66</v>
      </c>
      <c r="B167" t="s">
        <v>135</v>
      </c>
    </row>
    <row r="168" spans="1:2">
      <c r="A168" t="s">
        <v>240</v>
      </c>
      <c r="B168" t="s">
        <v>124</v>
      </c>
    </row>
    <row r="169" spans="1:2">
      <c r="A169" t="s">
        <v>67</v>
      </c>
      <c r="B169" t="s">
        <v>125</v>
      </c>
    </row>
    <row r="170" spans="1:2">
      <c r="A170" t="s">
        <v>241</v>
      </c>
      <c r="B170" t="s">
        <v>130</v>
      </c>
    </row>
    <row r="171" spans="1:2">
      <c r="A171" t="s">
        <v>242</v>
      </c>
      <c r="B171" t="s">
        <v>128</v>
      </c>
    </row>
    <row r="172" spans="1:2">
      <c r="A172" t="s">
        <v>243</v>
      </c>
      <c r="B172" t="s">
        <v>128</v>
      </c>
    </row>
    <row r="173" spans="1:2">
      <c r="A173" t="s">
        <v>244</v>
      </c>
      <c r="B173" t="s">
        <v>124</v>
      </c>
    </row>
    <row r="174" spans="1:2">
      <c r="A174" t="s">
        <v>68</v>
      </c>
      <c r="B174" t="s">
        <v>126</v>
      </c>
    </row>
    <row r="175" spans="1:2">
      <c r="A175" t="s">
        <v>69</v>
      </c>
      <c r="B175" t="s">
        <v>135</v>
      </c>
    </row>
    <row r="176" spans="1:2">
      <c r="A176" t="s">
        <v>245</v>
      </c>
      <c r="B176" t="s">
        <v>246</v>
      </c>
    </row>
    <row r="177" spans="1:2">
      <c r="A177" t="s">
        <v>70</v>
      </c>
      <c r="B177" t="s">
        <v>126</v>
      </c>
    </row>
    <row r="178" spans="1:2">
      <c r="A178" t="s">
        <v>247</v>
      </c>
      <c r="B178" t="s">
        <v>130</v>
      </c>
    </row>
    <row r="179" spans="1:2">
      <c r="A179" t="s">
        <v>248</v>
      </c>
      <c r="B179" t="s">
        <v>134</v>
      </c>
    </row>
    <row r="180" spans="1:2">
      <c r="A180" t="s">
        <v>71</v>
      </c>
      <c r="B180" t="s">
        <v>125</v>
      </c>
    </row>
    <row r="181" spans="1:2">
      <c r="A181" t="s">
        <v>249</v>
      </c>
      <c r="B181" t="s">
        <v>134</v>
      </c>
    </row>
    <row r="182" spans="1:2">
      <c r="A182" t="s">
        <v>250</v>
      </c>
      <c r="B182" t="s">
        <v>134</v>
      </c>
    </row>
    <row r="183" spans="1:2">
      <c r="A183" t="s">
        <v>251</v>
      </c>
      <c r="B183" t="s">
        <v>130</v>
      </c>
    </row>
    <row r="184" spans="1:2">
      <c r="A184" t="s">
        <v>72</v>
      </c>
      <c r="B184" t="s">
        <v>125</v>
      </c>
    </row>
    <row r="185" spans="1:2">
      <c r="A185" t="s">
        <v>73</v>
      </c>
      <c r="B185" t="s">
        <v>125</v>
      </c>
    </row>
    <row r="186" spans="1:2">
      <c r="A186" t="s">
        <v>74</v>
      </c>
      <c r="B186" t="s">
        <v>135</v>
      </c>
    </row>
    <row r="187" spans="1:2">
      <c r="A187" t="s">
        <v>75</v>
      </c>
      <c r="B187" t="s">
        <v>135</v>
      </c>
    </row>
    <row r="188" spans="1:2">
      <c r="A188" t="s">
        <v>252</v>
      </c>
      <c r="B188" t="s">
        <v>130</v>
      </c>
    </row>
    <row r="189" spans="1:2">
      <c r="A189" t="s">
        <v>253</v>
      </c>
      <c r="B189" t="s">
        <v>128</v>
      </c>
    </row>
    <row r="190" spans="1:2">
      <c r="A190" t="s">
        <v>254</v>
      </c>
      <c r="B190" t="s">
        <v>128</v>
      </c>
    </row>
    <row r="191" spans="1:2">
      <c r="A191" t="s">
        <v>255</v>
      </c>
      <c r="B191" t="s">
        <v>130</v>
      </c>
    </row>
    <row r="192" spans="1:2">
      <c r="A192" t="s">
        <v>256</v>
      </c>
      <c r="B192" t="s">
        <v>128</v>
      </c>
    </row>
    <row r="193" spans="1:2">
      <c r="A193" t="s">
        <v>76</v>
      </c>
      <c r="B193" t="s">
        <v>135</v>
      </c>
    </row>
    <row r="194" spans="1:2">
      <c r="A194" t="s">
        <v>257</v>
      </c>
      <c r="B194" t="s">
        <v>128</v>
      </c>
    </row>
    <row r="195" spans="1:2">
      <c r="A195" t="s">
        <v>258</v>
      </c>
      <c r="B195" t="s">
        <v>130</v>
      </c>
    </row>
    <row r="196" spans="1:2">
      <c r="A196" t="s">
        <v>77</v>
      </c>
      <c r="B196" t="s">
        <v>144</v>
      </c>
    </row>
    <row r="197" spans="1:2">
      <c r="A197" t="s">
        <v>259</v>
      </c>
      <c r="B197" t="s">
        <v>134</v>
      </c>
    </row>
    <row r="198" spans="1:2">
      <c r="A198" t="s">
        <v>260</v>
      </c>
      <c r="B198" t="s">
        <v>128</v>
      </c>
    </row>
    <row r="199" spans="1:2">
      <c r="A199" t="s">
        <v>261</v>
      </c>
      <c r="B199" t="s">
        <v>128</v>
      </c>
    </row>
    <row r="200" spans="1:2">
      <c r="A200" t="s">
        <v>262</v>
      </c>
      <c r="B200" t="s">
        <v>128</v>
      </c>
    </row>
    <row r="201" spans="1:2">
      <c r="A201" t="s">
        <v>263</v>
      </c>
      <c r="B201" t="s">
        <v>130</v>
      </c>
    </row>
    <row r="202" spans="1:2">
      <c r="A202" t="s">
        <v>264</v>
      </c>
      <c r="B202" t="s">
        <v>124</v>
      </c>
    </row>
    <row r="203" spans="1:2">
      <c r="A203" t="s">
        <v>78</v>
      </c>
      <c r="B203" t="s">
        <v>125</v>
      </c>
    </row>
    <row r="204" spans="1:2">
      <c r="A204" t="s">
        <v>265</v>
      </c>
      <c r="B204" t="s">
        <v>134</v>
      </c>
    </row>
    <row r="205" spans="1:2">
      <c r="A205" t="s">
        <v>79</v>
      </c>
      <c r="B205" t="s">
        <v>125</v>
      </c>
    </row>
    <row r="206" spans="1:2">
      <c r="A206" t="s">
        <v>80</v>
      </c>
      <c r="B206" t="s">
        <v>125</v>
      </c>
    </row>
    <row r="207" spans="1:2">
      <c r="A207" t="s">
        <v>82</v>
      </c>
      <c r="B207" t="s">
        <v>125</v>
      </c>
    </row>
    <row r="208" spans="1:2">
      <c r="A208" t="s">
        <v>83</v>
      </c>
      <c r="B208" t="s">
        <v>125</v>
      </c>
    </row>
    <row r="209" spans="1:2">
      <c r="A209" t="s">
        <v>266</v>
      </c>
      <c r="B209" t="s">
        <v>128</v>
      </c>
    </row>
    <row r="210" spans="1:2">
      <c r="A210" t="s">
        <v>84</v>
      </c>
      <c r="B210" t="s">
        <v>144</v>
      </c>
    </row>
    <row r="211" spans="1:2">
      <c r="A211" t="s">
        <v>85</v>
      </c>
      <c r="B211" t="s">
        <v>125</v>
      </c>
    </row>
    <row r="212" spans="1:2">
      <c r="A212" t="s">
        <v>86</v>
      </c>
      <c r="B212" t="s">
        <v>125</v>
      </c>
    </row>
    <row r="213" spans="1:2">
      <c r="A213" t="s">
        <v>87</v>
      </c>
      <c r="B213" t="s">
        <v>125</v>
      </c>
    </row>
    <row r="214" spans="1:2">
      <c r="A214" t="s">
        <v>88</v>
      </c>
      <c r="B214" t="s">
        <v>135</v>
      </c>
    </row>
    <row r="215" spans="1:2">
      <c r="A215" t="s">
        <v>267</v>
      </c>
      <c r="B215" t="s">
        <v>124</v>
      </c>
    </row>
    <row r="216" spans="1:2">
      <c r="A216" t="s">
        <v>268</v>
      </c>
      <c r="B216" t="s">
        <v>128</v>
      </c>
    </row>
    <row r="217" spans="1:2">
      <c r="A217" t="s">
        <v>269</v>
      </c>
      <c r="B217" t="s">
        <v>128</v>
      </c>
    </row>
    <row r="218" spans="1:2">
      <c r="A218" t="s">
        <v>270</v>
      </c>
      <c r="B218" t="s">
        <v>124</v>
      </c>
    </row>
    <row r="219" spans="1:2">
      <c r="A219" t="s">
        <v>271</v>
      </c>
      <c r="B219" t="s">
        <v>272</v>
      </c>
    </row>
    <row r="220" spans="1:2">
      <c r="A220" t="s">
        <v>273</v>
      </c>
      <c r="B220" t="s">
        <v>128</v>
      </c>
    </row>
    <row r="221" spans="1:2">
      <c r="A221" t="s">
        <v>89</v>
      </c>
      <c r="B221" t="s">
        <v>125</v>
      </c>
    </row>
    <row r="222" spans="1:2">
      <c r="A222" t="s">
        <v>90</v>
      </c>
      <c r="B222" t="s">
        <v>125</v>
      </c>
    </row>
    <row r="223" spans="1:2">
      <c r="A223" t="s">
        <v>274</v>
      </c>
      <c r="B223" t="s">
        <v>128</v>
      </c>
    </row>
    <row r="224" spans="1:2">
      <c r="A224" t="s">
        <v>91</v>
      </c>
      <c r="B224" t="s">
        <v>144</v>
      </c>
    </row>
    <row r="225" spans="1:2">
      <c r="A225" t="s">
        <v>275</v>
      </c>
      <c r="B225" t="s">
        <v>128</v>
      </c>
    </row>
    <row r="226" spans="1:2">
      <c r="A226" t="s">
        <v>276</v>
      </c>
      <c r="B226" t="s">
        <v>124</v>
      </c>
    </row>
    <row r="227" spans="1:2">
      <c r="A227" t="s">
        <v>277</v>
      </c>
      <c r="B227" t="s">
        <v>130</v>
      </c>
    </row>
    <row r="228" spans="1:2">
      <c r="A228" t="s">
        <v>92</v>
      </c>
      <c r="B228" t="s">
        <v>135</v>
      </c>
    </row>
    <row r="229" spans="1:2">
      <c r="A229" t="s">
        <v>278</v>
      </c>
      <c r="B229" t="s">
        <v>124</v>
      </c>
    </row>
    <row r="230" spans="1:2">
      <c r="A230" t="s">
        <v>93</v>
      </c>
      <c r="B230" t="s">
        <v>126</v>
      </c>
    </row>
    <row r="231" spans="1:2">
      <c r="A231" t="s">
        <v>94</v>
      </c>
      <c r="B231" t="s">
        <v>135</v>
      </c>
    </row>
    <row r="232" spans="1:2">
      <c r="A232" t="s">
        <v>279</v>
      </c>
      <c r="B232" t="s">
        <v>128</v>
      </c>
    </row>
    <row r="233" spans="1:2">
      <c r="A233" t="s">
        <v>280</v>
      </c>
      <c r="B233" t="s">
        <v>134</v>
      </c>
    </row>
    <row r="234" spans="1:2">
      <c r="A234" t="s">
        <v>95</v>
      </c>
      <c r="B234" t="s">
        <v>144</v>
      </c>
    </row>
    <row r="235" spans="1:2">
      <c r="A235" t="s">
        <v>281</v>
      </c>
      <c r="B235" t="s">
        <v>124</v>
      </c>
    </row>
    <row r="236" spans="1:2">
      <c r="A236" t="s">
        <v>282</v>
      </c>
      <c r="B236" t="s">
        <v>124</v>
      </c>
    </row>
    <row r="237" spans="1:2">
      <c r="A237" t="s">
        <v>96</v>
      </c>
      <c r="B237" t="s">
        <v>125</v>
      </c>
    </row>
    <row r="238" spans="1:2">
      <c r="A238" t="s">
        <v>283</v>
      </c>
      <c r="B238" t="s">
        <v>128</v>
      </c>
    </row>
    <row r="239" spans="1:2">
      <c r="A239" t="s">
        <v>284</v>
      </c>
      <c r="B239" t="s">
        <v>130</v>
      </c>
    </row>
    <row r="240" spans="1:2">
      <c r="A240" t="s">
        <v>97</v>
      </c>
      <c r="B240" t="s">
        <v>135</v>
      </c>
    </row>
    <row r="241" spans="1:2">
      <c r="A241" t="s">
        <v>285</v>
      </c>
      <c r="B241" t="s">
        <v>128</v>
      </c>
    </row>
    <row r="242" spans="1:2">
      <c r="A242" t="s">
        <v>286</v>
      </c>
      <c r="B242" t="s">
        <v>128</v>
      </c>
    </row>
    <row r="243" spans="1:2">
      <c r="A243" t="s">
        <v>98</v>
      </c>
      <c r="B243" t="s">
        <v>135</v>
      </c>
    </row>
    <row r="244" spans="1:2">
      <c r="A244" t="s">
        <v>99</v>
      </c>
      <c r="B244" t="s">
        <v>144</v>
      </c>
    </row>
    <row r="245" spans="1:2">
      <c r="A245" t="s">
        <v>100</v>
      </c>
      <c r="B245" t="s">
        <v>125</v>
      </c>
    </row>
    <row r="246" spans="1:2">
      <c r="A246" t="s">
        <v>287</v>
      </c>
      <c r="B246" t="s">
        <v>288</v>
      </c>
    </row>
    <row r="247" spans="1:2">
      <c r="A247" t="s">
        <v>101</v>
      </c>
      <c r="B247" t="s">
        <v>126</v>
      </c>
    </row>
    <row r="248" spans="1:2">
      <c r="A248" t="s">
        <v>289</v>
      </c>
      <c r="B248" t="s">
        <v>128</v>
      </c>
    </row>
    <row r="249" spans="1:2">
      <c r="A249" t="s">
        <v>102</v>
      </c>
      <c r="B249" t="s">
        <v>144</v>
      </c>
    </row>
    <row r="250" spans="1:2">
      <c r="A250" t="s">
        <v>290</v>
      </c>
      <c r="B250" t="s">
        <v>291</v>
      </c>
    </row>
    <row r="251" spans="1:2">
      <c r="A251" t="s">
        <v>292</v>
      </c>
      <c r="B251" t="s">
        <v>128</v>
      </c>
    </row>
    <row r="252" spans="1:2">
      <c r="A252" t="s">
        <v>293</v>
      </c>
      <c r="B252" t="s">
        <v>135</v>
      </c>
    </row>
    <row r="253" spans="1:2">
      <c r="A253" t="s">
        <v>103</v>
      </c>
      <c r="B253" t="s">
        <v>135</v>
      </c>
    </row>
    <row r="254" spans="1:2">
      <c r="A254" t="s">
        <v>104</v>
      </c>
      <c r="B254" t="s">
        <v>135</v>
      </c>
    </row>
    <row r="255" spans="1:2">
      <c r="A255" t="s">
        <v>294</v>
      </c>
      <c r="B255" t="s">
        <v>134</v>
      </c>
    </row>
    <row r="256" spans="1:2">
      <c r="A256" t="s">
        <v>295</v>
      </c>
      <c r="B256" t="s">
        <v>125</v>
      </c>
    </row>
    <row r="257" spans="1:2">
      <c r="A257" t="s">
        <v>105</v>
      </c>
      <c r="B257" t="s">
        <v>125</v>
      </c>
    </row>
    <row r="258" spans="1:2">
      <c r="A258" t="s">
        <v>296</v>
      </c>
      <c r="B258" t="s">
        <v>134</v>
      </c>
    </row>
    <row r="259" spans="1:2">
      <c r="A259" t="s">
        <v>106</v>
      </c>
      <c r="B259" t="s">
        <v>144</v>
      </c>
    </row>
    <row r="260" spans="1:2">
      <c r="A260" t="s">
        <v>297</v>
      </c>
      <c r="B260" t="s">
        <v>134</v>
      </c>
    </row>
    <row r="261" spans="1:2">
      <c r="A261" t="s">
        <v>107</v>
      </c>
      <c r="B261" t="s">
        <v>125</v>
      </c>
    </row>
    <row r="262" spans="1:2">
      <c r="A262" t="s">
        <v>298</v>
      </c>
      <c r="B262" t="s">
        <v>128</v>
      </c>
    </row>
    <row r="263" spans="1:2">
      <c r="A263" t="s">
        <v>299</v>
      </c>
      <c r="B263" t="s">
        <v>130</v>
      </c>
    </row>
    <row r="264" spans="1:2">
      <c r="A264" t="s">
        <v>108</v>
      </c>
      <c r="B264" t="s">
        <v>125</v>
      </c>
    </row>
    <row r="265" spans="1:2">
      <c r="A265" t="s">
        <v>109</v>
      </c>
      <c r="B265" t="s">
        <v>135</v>
      </c>
    </row>
    <row r="266" spans="1:2">
      <c r="A266" t="s">
        <v>300</v>
      </c>
      <c r="B266" t="s">
        <v>128</v>
      </c>
    </row>
    <row r="267" spans="1:2">
      <c r="A267" t="s">
        <v>301</v>
      </c>
      <c r="B267" t="s">
        <v>128</v>
      </c>
    </row>
    <row r="268" spans="1:2">
      <c r="A268" t="s">
        <v>302</v>
      </c>
      <c r="B268" t="s">
        <v>128</v>
      </c>
    </row>
    <row r="269" spans="1:2">
      <c r="A269" t="s">
        <v>303</v>
      </c>
      <c r="B269" t="s">
        <v>134</v>
      </c>
    </row>
    <row r="270" spans="1:2">
      <c r="A270" t="s">
        <v>110</v>
      </c>
      <c r="B270" t="s">
        <v>144</v>
      </c>
    </row>
    <row r="271" spans="1:2">
      <c r="A271" t="s">
        <v>111</v>
      </c>
      <c r="B271" t="s">
        <v>125</v>
      </c>
    </row>
    <row r="272" spans="1:2">
      <c r="A272" t="s">
        <v>112</v>
      </c>
      <c r="B272" t="s">
        <v>135</v>
      </c>
    </row>
    <row r="273" spans="1:2">
      <c r="A273" t="s">
        <v>304</v>
      </c>
      <c r="B273" t="s">
        <v>128</v>
      </c>
    </row>
    <row r="274" spans="1:2">
      <c r="A274" t="s">
        <v>305</v>
      </c>
      <c r="B274" t="s">
        <v>134</v>
      </c>
    </row>
    <row r="275" spans="1:2">
      <c r="A275" t="s">
        <v>306</v>
      </c>
      <c r="B275" t="s">
        <v>128</v>
      </c>
    </row>
    <row r="276" spans="1:2">
      <c r="A276" t="s">
        <v>113</v>
      </c>
      <c r="B276" t="s">
        <v>144</v>
      </c>
    </row>
    <row r="277" spans="1:2">
      <c r="A277" t="s">
        <v>307</v>
      </c>
      <c r="B277" t="s">
        <v>124</v>
      </c>
    </row>
    <row r="278" spans="1:2">
      <c r="A278" t="s">
        <v>308</v>
      </c>
      <c r="B278" t="s">
        <v>246</v>
      </c>
    </row>
    <row r="279" spans="1:2">
      <c r="A279" t="s">
        <v>309</v>
      </c>
      <c r="B279" t="s">
        <v>144</v>
      </c>
    </row>
    <row r="280" spans="1:2">
      <c r="A280" t="s">
        <v>114</v>
      </c>
      <c r="B280" t="s">
        <v>135</v>
      </c>
    </row>
    <row r="281" spans="1:2">
      <c r="A281" t="s">
        <v>115</v>
      </c>
      <c r="B281" t="s">
        <v>135</v>
      </c>
    </row>
    <row r="282" spans="1:2">
      <c r="A282" t="s">
        <v>116</v>
      </c>
      <c r="B282" t="s">
        <v>125</v>
      </c>
    </row>
    <row r="283" spans="1:2">
      <c r="A283" t="s">
        <v>117</v>
      </c>
      <c r="B28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Sheet6</vt:lpstr>
      <vt:lpstr>project_api_levels_detailed</vt:lpstr>
      <vt:lpstr>282 Projects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14166166005</cp:lastModifiedBy>
  <dcterms:created xsi:type="dcterms:W3CDTF">2025-05-25T03:53:47Z</dcterms:created>
  <dcterms:modified xsi:type="dcterms:W3CDTF">2025-06-01T17:36:00Z</dcterms:modified>
</cp:coreProperties>
</file>