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675" windowWidth="27315" windowHeight="11520"/>
  </bookViews>
  <sheets>
    <sheet name="Project_List" sheetId="1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AI2507" i="1"/>
  <c r="AH2507"/>
  <c r="AG2507"/>
  <c r="AF2507"/>
  <c r="AE2507"/>
  <c r="AD2507"/>
  <c r="AC2507"/>
  <c r="AI2506"/>
  <c r="AH2506"/>
  <c r="AG2506"/>
  <c r="AF2506"/>
  <c r="AE2506"/>
  <c r="AD2506"/>
  <c r="AC2506"/>
  <c r="AI2505"/>
  <c r="AH2505"/>
  <c r="AG2505"/>
  <c r="AF2505"/>
  <c r="AE2505"/>
  <c r="AD2505"/>
  <c r="AC2505"/>
  <c r="AI2504"/>
  <c r="AH2504"/>
  <c r="AG2504"/>
  <c r="AF2504"/>
  <c r="AE2504"/>
  <c r="AD2504"/>
  <c r="AC2504"/>
  <c r="AI2503"/>
  <c r="AH2503"/>
  <c r="AG2503"/>
  <c r="AF2503"/>
  <c r="AE2503"/>
  <c r="AD2503"/>
  <c r="AC2503"/>
  <c r="AI2502"/>
  <c r="AH2502"/>
  <c r="AG2502"/>
  <c r="AF2502"/>
  <c r="AE2502"/>
  <c r="AD2502"/>
  <c r="AC2502"/>
  <c r="AI2501"/>
  <c r="AH2501"/>
  <c r="AG2501"/>
  <c r="AF2501"/>
  <c r="AE2501"/>
  <c r="AD2501"/>
  <c r="AC2501"/>
  <c r="AI2500"/>
  <c r="AH2500"/>
  <c r="AG2500"/>
  <c r="AF2500"/>
  <c r="AE2500"/>
  <c r="AD2500"/>
  <c r="AC2500"/>
  <c r="AI2499"/>
  <c r="AH2499"/>
  <c r="AG2499"/>
  <c r="AF2499"/>
  <c r="AE2499"/>
  <c r="AD2499"/>
  <c r="AC2499"/>
  <c r="AI2498"/>
  <c r="AH2498"/>
  <c r="AG2498"/>
  <c r="AF2498"/>
  <c r="AE2498"/>
  <c r="AD2498"/>
  <c r="AC2498"/>
  <c r="AI2497"/>
  <c r="AH2497"/>
  <c r="AG2497"/>
  <c r="AF2497"/>
  <c r="AE2497"/>
  <c r="AD2497"/>
  <c r="AC2497"/>
  <c r="AI2496"/>
  <c r="AH2496"/>
  <c r="AG2496"/>
  <c r="AF2496"/>
  <c r="AE2496"/>
  <c r="AD2496"/>
  <c r="AC2496"/>
  <c r="AI2495"/>
  <c r="AH2495"/>
  <c r="AG2495"/>
  <c r="AF2495"/>
  <c r="AE2495"/>
  <c r="AD2495"/>
  <c r="AC2495"/>
  <c r="AI2494"/>
  <c r="AH2494"/>
  <c r="AG2494"/>
  <c r="AF2494"/>
  <c r="AE2494"/>
  <c r="AD2494"/>
  <c r="AC2494"/>
  <c r="AI2493"/>
  <c r="AH2493"/>
  <c r="AG2493"/>
  <c r="AF2493"/>
  <c r="AE2493"/>
  <c r="AD2493"/>
  <c r="AC2493"/>
  <c r="AI2492"/>
  <c r="AH2492"/>
  <c r="AG2492"/>
  <c r="AF2492"/>
  <c r="AE2492"/>
  <c r="AD2492"/>
  <c r="AC2492"/>
  <c r="AI2491"/>
  <c r="AH2491"/>
  <c r="AG2491"/>
  <c r="AF2491"/>
  <c r="AE2491"/>
  <c r="AD2491"/>
  <c r="AC2491"/>
  <c r="AI2490"/>
  <c r="AH2490"/>
  <c r="AG2490"/>
  <c r="AF2490"/>
  <c r="AE2490"/>
  <c r="AD2490"/>
  <c r="AC2490"/>
  <c r="AI2489"/>
  <c r="AH2489"/>
  <c r="AG2489"/>
  <c r="AF2489"/>
  <c r="AE2489"/>
  <c r="AD2489"/>
  <c r="AC2489"/>
  <c r="AI2488"/>
  <c r="AH2488"/>
  <c r="AG2488"/>
  <c r="AF2488"/>
  <c r="AE2488"/>
  <c r="AD2488"/>
  <c r="AC2488"/>
  <c r="AI2487"/>
  <c r="AH2487"/>
  <c r="AG2487"/>
  <c r="AF2487"/>
  <c r="AE2487"/>
  <c r="AD2487"/>
  <c r="AC2487"/>
  <c r="AI2486"/>
  <c r="AH2486"/>
  <c r="AG2486"/>
  <c r="AF2486"/>
  <c r="AE2486"/>
  <c r="AD2486"/>
  <c r="AC2486"/>
  <c r="AI2485"/>
  <c r="AH2485"/>
  <c r="AG2485"/>
  <c r="AF2485"/>
  <c r="AE2485"/>
  <c r="AD2485"/>
  <c r="AC2485"/>
  <c r="AI2484"/>
  <c r="AH2484"/>
  <c r="AG2484"/>
  <c r="AF2484"/>
  <c r="AE2484"/>
  <c r="AD2484"/>
  <c r="AC2484"/>
  <c r="AI2483"/>
  <c r="AH2483"/>
  <c r="AG2483"/>
  <c r="AF2483"/>
  <c r="AE2483"/>
  <c r="AD2483"/>
  <c r="AC2483"/>
  <c r="AI2482"/>
  <c r="AH2482"/>
  <c r="AG2482"/>
  <c r="AF2482"/>
  <c r="AE2482"/>
  <c r="AD2482"/>
  <c r="AC2482"/>
  <c r="AI2481"/>
  <c r="AH2481"/>
  <c r="AG2481"/>
  <c r="AF2481"/>
  <c r="AE2481"/>
  <c r="AD2481"/>
  <c r="AC2481"/>
  <c r="AI2480"/>
  <c r="AH2480"/>
  <c r="AG2480"/>
  <c r="AF2480"/>
  <c r="AE2480"/>
  <c r="AD2480"/>
  <c r="AC2480"/>
  <c r="AI2479"/>
  <c r="AH2479"/>
  <c r="AG2479"/>
  <c r="AF2479"/>
  <c r="AE2479"/>
  <c r="AD2479"/>
  <c r="AC2479"/>
  <c r="AI2478"/>
  <c r="AH2478"/>
  <c r="AG2478"/>
  <c r="AF2478"/>
  <c r="AE2478"/>
  <c r="AD2478"/>
  <c r="AC2478"/>
  <c r="AI2477"/>
  <c r="AH2477"/>
  <c r="AG2477"/>
  <c r="AF2477"/>
  <c r="AE2477"/>
  <c r="AD2477"/>
  <c r="AC2477"/>
  <c r="AI2476"/>
  <c r="AH2476"/>
  <c r="AG2476"/>
  <c r="AF2476"/>
  <c r="AE2476"/>
  <c r="AD2476"/>
  <c r="AC2476"/>
  <c r="AI2475"/>
  <c r="AH2475"/>
  <c r="AG2475"/>
  <c r="AF2475"/>
  <c r="AE2475"/>
  <c r="AD2475"/>
  <c r="AC2475"/>
  <c r="AI2474"/>
  <c r="AH2474"/>
  <c r="AG2474"/>
  <c r="AF2474"/>
  <c r="AE2474"/>
  <c r="AD2474"/>
  <c r="AC2474"/>
  <c r="AI2473"/>
  <c r="AH2473"/>
  <c r="AG2473"/>
  <c r="AF2473"/>
  <c r="AE2473"/>
  <c r="AD2473"/>
  <c r="AC2473"/>
  <c r="AI2472"/>
  <c r="AH2472"/>
  <c r="AG2472"/>
  <c r="AF2472"/>
  <c r="AE2472"/>
  <c r="AD2472"/>
  <c r="AC2472"/>
  <c r="AI2471"/>
  <c r="AH2471"/>
  <c r="AG2471"/>
  <c r="AF2471"/>
  <c r="AE2471"/>
  <c r="AD2471"/>
  <c r="AC2471"/>
  <c r="AI2470"/>
  <c r="AH2470"/>
  <c r="AG2470"/>
  <c r="AF2470"/>
  <c r="AE2470"/>
  <c r="AD2470"/>
  <c r="AC2470"/>
  <c r="AI2469"/>
  <c r="AH2469"/>
  <c r="AG2469"/>
  <c r="AF2469"/>
  <c r="AE2469"/>
  <c r="AD2469"/>
  <c r="AC2469"/>
  <c r="AI2468"/>
  <c r="AH2468"/>
  <c r="AG2468"/>
  <c r="AF2468"/>
  <c r="AE2468"/>
  <c r="AD2468"/>
  <c r="AC2468"/>
  <c r="AI2467"/>
  <c r="AH2467"/>
  <c r="AG2467"/>
  <c r="AF2467"/>
  <c r="AE2467"/>
  <c r="AD2467"/>
  <c r="AC2467"/>
  <c r="AI2466"/>
  <c r="AH2466"/>
  <c r="AG2466"/>
  <c r="AF2466"/>
  <c r="AE2466"/>
  <c r="AD2466"/>
  <c r="AC2466"/>
  <c r="AI2465"/>
  <c r="AH2465"/>
  <c r="AG2465"/>
  <c r="AF2465"/>
  <c r="AE2465"/>
  <c r="AD2465"/>
  <c r="AC2465"/>
  <c r="AI2464"/>
  <c r="AH2464"/>
  <c r="AG2464"/>
  <c r="AF2464"/>
  <c r="AE2464"/>
  <c r="AD2464"/>
  <c r="AC2464"/>
  <c r="AI2463"/>
  <c r="AH2463"/>
  <c r="AG2463"/>
  <c r="AF2463"/>
  <c r="AE2463"/>
  <c r="AD2463"/>
  <c r="AC2463"/>
  <c r="AI2462"/>
  <c r="AH2462"/>
  <c r="AG2462"/>
  <c r="AF2462"/>
  <c r="AE2462"/>
  <c r="AD2462"/>
  <c r="AC2462"/>
  <c r="AI2461"/>
  <c r="AH2461"/>
  <c r="AG2461"/>
  <c r="AF2461"/>
  <c r="AE2461"/>
  <c r="AD2461"/>
  <c r="AC2461"/>
  <c r="AI2460"/>
  <c r="AH2460"/>
  <c r="AG2460"/>
  <c r="AF2460"/>
  <c r="AE2460"/>
  <c r="AD2460"/>
  <c r="AC2460"/>
  <c r="AI2459"/>
  <c r="AH2459"/>
  <c r="AG2459"/>
  <c r="AF2459"/>
  <c r="AE2459"/>
  <c r="AD2459"/>
  <c r="AC2459"/>
  <c r="AI2458"/>
  <c r="AH2458"/>
  <c r="AG2458"/>
  <c r="AF2458"/>
  <c r="AE2458"/>
  <c r="AD2458"/>
  <c r="AC2458"/>
  <c r="AI2457"/>
  <c r="AH2457"/>
  <c r="AG2457"/>
  <c r="AF2457"/>
  <c r="AE2457"/>
  <c r="AD2457"/>
  <c r="AC2457"/>
  <c r="AI2456"/>
  <c r="AH2456"/>
  <c r="AG2456"/>
  <c r="AF2456"/>
  <c r="AE2456"/>
  <c r="AD2456"/>
  <c r="AC2456"/>
  <c r="AI2455"/>
  <c r="AH2455"/>
  <c r="AG2455"/>
  <c r="AF2455"/>
  <c r="AE2455"/>
  <c r="AD2455"/>
  <c r="AC2455"/>
  <c r="AI2454"/>
  <c r="AH2454"/>
  <c r="AG2454"/>
  <c r="AF2454"/>
  <c r="AE2454"/>
  <c r="AD2454"/>
  <c r="AC2454"/>
  <c r="AI2453"/>
  <c r="AH2453"/>
  <c r="AG2453"/>
  <c r="AF2453"/>
  <c r="AE2453"/>
  <c r="AD2453"/>
  <c r="AC2453"/>
  <c r="AI2452"/>
  <c r="AH2452"/>
  <c r="AG2452"/>
  <c r="AF2452"/>
  <c r="AE2452"/>
  <c r="AD2452"/>
  <c r="AC2452"/>
  <c r="AI2451"/>
  <c r="AH2451"/>
  <c r="AG2451"/>
  <c r="AF2451"/>
  <c r="AE2451"/>
  <c r="AD2451"/>
  <c r="AC2451"/>
  <c r="AI2450"/>
  <c r="AH2450"/>
  <c r="AG2450"/>
  <c r="AF2450"/>
  <c r="AE2450"/>
  <c r="AD2450"/>
  <c r="AC2450"/>
  <c r="AI2449"/>
  <c r="AH2449"/>
  <c r="AG2449"/>
  <c r="AF2449"/>
  <c r="AE2449"/>
  <c r="AD2449"/>
  <c r="AC2449"/>
  <c r="AI2448"/>
  <c r="AH2448"/>
  <c r="AG2448"/>
  <c r="AF2448"/>
  <c r="AE2448"/>
  <c r="AD2448"/>
  <c r="AC2448"/>
  <c r="AI2447"/>
  <c r="AH2447"/>
  <c r="AG2447"/>
  <c r="AF2447"/>
  <c r="AE2447"/>
  <c r="AD2447"/>
  <c r="AC2447"/>
  <c r="AI2446"/>
  <c r="AH2446"/>
  <c r="AG2446"/>
  <c r="AF2446"/>
  <c r="AE2446"/>
  <c r="AD2446"/>
  <c r="AC2446"/>
  <c r="AI2445"/>
  <c r="AH2445"/>
  <c r="AG2445"/>
  <c r="AF2445"/>
  <c r="AE2445"/>
  <c r="AD2445"/>
  <c r="AC2445"/>
  <c r="AI2444"/>
  <c r="AH2444"/>
  <c r="AG2444"/>
  <c r="AF2444"/>
  <c r="AE2444"/>
  <c r="AD2444"/>
  <c r="AC2444"/>
  <c r="AI2443"/>
  <c r="AH2443"/>
  <c r="AG2443"/>
  <c r="AF2443"/>
  <c r="AE2443"/>
  <c r="AD2443"/>
  <c r="AC2443"/>
  <c r="AI2442"/>
  <c r="AH2442"/>
  <c r="AG2442"/>
  <c r="AF2442"/>
  <c r="AE2442"/>
  <c r="AD2442"/>
  <c r="AC2442"/>
  <c r="AI2441"/>
  <c r="AH2441"/>
  <c r="AG2441"/>
  <c r="AF2441"/>
  <c r="AE2441"/>
  <c r="AD2441"/>
  <c r="AC2441"/>
  <c r="AI2440"/>
  <c r="AH2440"/>
  <c r="AG2440"/>
  <c r="AF2440"/>
  <c r="AE2440"/>
  <c r="AD2440"/>
  <c r="AC2440"/>
  <c r="AI2439"/>
  <c r="AH2439"/>
  <c r="AG2439"/>
  <c r="AF2439"/>
  <c r="AE2439"/>
  <c r="AD2439"/>
  <c r="AC2439"/>
  <c r="AI2438"/>
  <c r="AH2438"/>
  <c r="AG2438"/>
  <c r="AF2438"/>
  <c r="AE2438"/>
  <c r="AD2438"/>
  <c r="AC2438"/>
  <c r="AI2437"/>
  <c r="AH2437"/>
  <c r="AG2437"/>
  <c r="AF2437"/>
  <c r="AE2437"/>
  <c r="AD2437"/>
  <c r="AC2437"/>
  <c r="AI2436"/>
  <c r="AH2436"/>
  <c r="AG2436"/>
  <c r="AF2436"/>
  <c r="AE2436"/>
  <c r="AD2436"/>
  <c r="AC2436"/>
  <c r="AI2435"/>
  <c r="AH2435"/>
  <c r="AG2435"/>
  <c r="AF2435"/>
  <c r="AE2435"/>
  <c r="AD2435"/>
  <c r="AC2435"/>
  <c r="AI2434"/>
  <c r="AH2434"/>
  <c r="AG2434"/>
  <c r="AF2434"/>
  <c r="AE2434"/>
  <c r="AD2434"/>
  <c r="AC2434"/>
  <c r="AI2433"/>
  <c r="AH2433"/>
  <c r="AG2433"/>
  <c r="AF2433"/>
  <c r="AE2433"/>
  <c r="AD2433"/>
  <c r="AC2433"/>
  <c r="AI2432"/>
  <c r="AH2432"/>
  <c r="AG2432"/>
  <c r="AF2432"/>
  <c r="AE2432"/>
  <c r="AD2432"/>
  <c r="AC2432"/>
  <c r="AI2431"/>
  <c r="AH2431"/>
  <c r="AG2431"/>
  <c r="AF2431"/>
  <c r="AE2431"/>
  <c r="AD2431"/>
  <c r="AC2431"/>
  <c r="AI2430"/>
  <c r="AH2430"/>
  <c r="AG2430"/>
  <c r="AF2430"/>
  <c r="AE2430"/>
  <c r="AD2430"/>
  <c r="AC2430"/>
  <c r="AI2429"/>
  <c r="AH2429"/>
  <c r="AG2429"/>
  <c r="AF2429"/>
  <c r="AE2429"/>
  <c r="AD2429"/>
  <c r="AC2429"/>
  <c r="AI2428"/>
  <c r="AH2428"/>
  <c r="AG2428"/>
  <c r="AF2428"/>
  <c r="AE2428"/>
  <c r="AD2428"/>
  <c r="AC2428"/>
  <c r="AI2427"/>
  <c r="AH2427"/>
  <c r="AG2427"/>
  <c r="AF2427"/>
  <c r="AE2427"/>
  <c r="AD2427"/>
  <c r="AC2427"/>
  <c r="AI2426"/>
  <c r="AH2426"/>
  <c r="AG2426"/>
  <c r="AF2426"/>
  <c r="AE2426"/>
  <c r="AD2426"/>
  <c r="AC2426"/>
  <c r="AI2425"/>
  <c r="AH2425"/>
  <c r="AG2425"/>
  <c r="AF2425"/>
  <c r="AE2425"/>
  <c r="AD2425"/>
  <c r="AC2425"/>
  <c r="AI2424"/>
  <c r="AH2424"/>
  <c r="AG2424"/>
  <c r="AF2424"/>
  <c r="AE2424"/>
  <c r="AD2424"/>
  <c r="AC2424"/>
  <c r="AI2423"/>
  <c r="AH2423"/>
  <c r="AG2423"/>
  <c r="AF2423"/>
  <c r="AE2423"/>
  <c r="AD2423"/>
  <c r="AC2423"/>
  <c r="AI2422"/>
  <c r="AH2422"/>
  <c r="AG2422"/>
  <c r="AF2422"/>
  <c r="AE2422"/>
  <c r="AD2422"/>
  <c r="AC2422"/>
  <c r="AI2421"/>
  <c r="AH2421"/>
  <c r="AG2421"/>
  <c r="AF2421"/>
  <c r="AE2421"/>
  <c r="AD2421"/>
  <c r="AC2421"/>
  <c r="AI2420"/>
  <c r="AH2420"/>
  <c r="AG2420"/>
  <c r="AF2420"/>
  <c r="AE2420"/>
  <c r="AD2420"/>
  <c r="AC2420"/>
  <c r="AI2419"/>
  <c r="AH2419"/>
  <c r="AG2419"/>
  <c r="AF2419"/>
  <c r="AE2419"/>
  <c r="AD2419"/>
  <c r="AC2419"/>
  <c r="AI2418"/>
  <c r="AH2418"/>
  <c r="AG2418"/>
  <c r="AF2418"/>
  <c r="AE2418"/>
  <c r="AD2418"/>
  <c r="AC2418"/>
  <c r="AI2417"/>
  <c r="AH2417"/>
  <c r="AG2417"/>
  <c r="AF2417"/>
  <c r="AE2417"/>
  <c r="AD2417"/>
  <c r="AC2417"/>
  <c r="AI2416"/>
  <c r="AH2416"/>
  <c r="AG2416"/>
  <c r="AF2416"/>
  <c r="AE2416"/>
  <c r="AD2416"/>
  <c r="AC2416"/>
  <c r="AI2415"/>
  <c r="AH2415"/>
  <c r="AG2415"/>
  <c r="AF2415"/>
  <c r="AE2415"/>
  <c r="AD2415"/>
  <c r="AC2415"/>
  <c r="AI2414"/>
  <c r="AH2414"/>
  <c r="AG2414"/>
  <c r="AF2414"/>
  <c r="AE2414"/>
  <c r="AD2414"/>
  <c r="AC2414"/>
  <c r="AI2413"/>
  <c r="AH2413"/>
  <c r="AG2413"/>
  <c r="AF2413"/>
  <c r="AE2413"/>
  <c r="AD2413"/>
  <c r="AC2413"/>
  <c r="AI2412"/>
  <c r="AH2412"/>
  <c r="AG2412"/>
  <c r="AF2412"/>
  <c r="AE2412"/>
  <c r="AD2412"/>
  <c r="AC2412"/>
  <c r="AI2411"/>
  <c r="AH2411"/>
  <c r="AG2411"/>
  <c r="AF2411"/>
  <c r="AE2411"/>
  <c r="AD2411"/>
  <c r="AC2411"/>
  <c r="AI2410"/>
  <c r="AH2410"/>
  <c r="AG2410"/>
  <c r="AF2410"/>
  <c r="AE2410"/>
  <c r="AD2410"/>
  <c r="AC2410"/>
  <c r="AI2409"/>
  <c r="AH2409"/>
  <c r="AG2409"/>
  <c r="AF2409"/>
  <c r="AE2409"/>
  <c r="AD2409"/>
  <c r="AC2409"/>
  <c r="AI2408"/>
  <c r="AH2408"/>
  <c r="AG2408"/>
  <c r="AF2408"/>
  <c r="AE2408"/>
  <c r="AD2408"/>
  <c r="AC2408"/>
  <c r="AI2407"/>
  <c r="AH2407"/>
  <c r="AG2407"/>
  <c r="AF2407"/>
  <c r="AE2407"/>
  <c r="AD2407"/>
  <c r="AC2407"/>
  <c r="AI2406"/>
  <c r="AH2406"/>
  <c r="AG2406"/>
  <c r="AF2406"/>
  <c r="AE2406"/>
  <c r="AD2406"/>
  <c r="AC2406"/>
  <c r="AI2405"/>
  <c r="AH2405"/>
  <c r="AG2405"/>
  <c r="AF2405"/>
  <c r="AE2405"/>
  <c r="AD2405"/>
  <c r="AC2405"/>
  <c r="AI2404"/>
  <c r="AH2404"/>
  <c r="AG2404"/>
  <c r="AF2404"/>
  <c r="AE2404"/>
  <c r="AD2404"/>
  <c r="AC2404"/>
  <c r="AI2403"/>
  <c r="AH2403"/>
  <c r="AG2403"/>
  <c r="AF2403"/>
  <c r="AE2403"/>
  <c r="AD2403"/>
  <c r="AC2403"/>
  <c r="AI2402"/>
  <c r="AH2402"/>
  <c r="AG2402"/>
  <c r="AF2402"/>
  <c r="AE2402"/>
  <c r="AD2402"/>
  <c r="AC2402"/>
  <c r="AI2401"/>
  <c r="AH2401"/>
  <c r="AG2401"/>
  <c r="AF2401"/>
  <c r="AE2401"/>
  <c r="AD2401"/>
  <c r="AC2401"/>
  <c r="AI2400"/>
  <c r="AH2400"/>
  <c r="AG2400"/>
  <c r="AF2400"/>
  <c r="AE2400"/>
  <c r="AD2400"/>
  <c r="AC2400"/>
  <c r="AI2399"/>
  <c r="AH2399"/>
  <c r="AG2399"/>
  <c r="AF2399"/>
  <c r="AE2399"/>
  <c r="AD2399"/>
  <c r="AC2399"/>
  <c r="AI2398"/>
  <c r="AH2398"/>
  <c r="AG2398"/>
  <c r="AF2398"/>
  <c r="AE2398"/>
  <c r="AD2398"/>
  <c r="AC2398"/>
  <c r="AI2397"/>
  <c r="AH2397"/>
  <c r="AG2397"/>
  <c r="AF2397"/>
  <c r="AE2397"/>
  <c r="AD2397"/>
  <c r="AC2397"/>
  <c r="AI2396"/>
  <c r="AH2396"/>
  <c r="AG2396"/>
  <c r="AF2396"/>
  <c r="AE2396"/>
  <c r="AD2396"/>
  <c r="AC2396"/>
  <c r="AI2395"/>
  <c r="AH2395"/>
  <c r="AG2395"/>
  <c r="AF2395"/>
  <c r="AE2395"/>
  <c r="AD2395"/>
  <c r="AC2395"/>
  <c r="AI2394"/>
  <c r="AH2394"/>
  <c r="AG2394"/>
  <c r="AF2394"/>
  <c r="AE2394"/>
  <c r="AD2394"/>
  <c r="AC2394"/>
  <c r="AI2393"/>
  <c r="AH2393"/>
  <c r="AG2393"/>
  <c r="AF2393"/>
  <c r="AE2393"/>
  <c r="AD2393"/>
  <c r="AC2393"/>
  <c r="AI2392"/>
  <c r="AH2392"/>
  <c r="AG2392"/>
  <c r="AF2392"/>
  <c r="AE2392"/>
  <c r="AD2392"/>
  <c r="AC2392"/>
  <c r="AI2391"/>
  <c r="AH2391"/>
  <c r="AG2391"/>
  <c r="AF2391"/>
  <c r="AE2391"/>
  <c r="AD2391"/>
  <c r="AC2391"/>
  <c r="AI2390"/>
  <c r="AH2390"/>
  <c r="AG2390"/>
  <c r="AF2390"/>
  <c r="AE2390"/>
  <c r="AD2390"/>
  <c r="AC2390"/>
  <c r="AI2389"/>
  <c r="AH2389"/>
  <c r="AG2389"/>
  <c r="AF2389"/>
  <c r="AE2389"/>
  <c r="AD2389"/>
  <c r="AC2389"/>
  <c r="AI2388"/>
  <c r="AH2388"/>
  <c r="AG2388"/>
  <c r="AF2388"/>
  <c r="AE2388"/>
  <c r="AD2388"/>
  <c r="AC2388"/>
  <c r="AI2387"/>
  <c r="AH2387"/>
  <c r="AG2387"/>
  <c r="AF2387"/>
  <c r="AE2387"/>
  <c r="AD2387"/>
  <c r="AC2387"/>
  <c r="AI2386"/>
  <c r="AH2386"/>
  <c r="AG2386"/>
  <c r="AF2386"/>
  <c r="AE2386"/>
  <c r="AD2386"/>
  <c r="AC2386"/>
  <c r="AI2385"/>
  <c r="AH2385"/>
  <c r="AG2385"/>
  <c r="AF2385"/>
  <c r="AE2385"/>
  <c r="AD2385"/>
  <c r="AC2385"/>
  <c r="AI2384"/>
  <c r="AH2384"/>
  <c r="AG2384"/>
  <c r="AF2384"/>
  <c r="AE2384"/>
  <c r="AD2384"/>
  <c r="AC2384"/>
  <c r="AI2383"/>
  <c r="AH2383"/>
  <c r="AG2383"/>
  <c r="AF2383"/>
  <c r="AE2383"/>
  <c r="AD2383"/>
  <c r="AC2383"/>
  <c r="AI2382"/>
  <c r="AH2382"/>
  <c r="AG2382"/>
  <c r="AF2382"/>
  <c r="AE2382"/>
  <c r="AD2382"/>
  <c r="AC2382"/>
  <c r="AI2381"/>
  <c r="AH2381"/>
  <c r="AG2381"/>
  <c r="AF2381"/>
  <c r="AE2381"/>
  <c r="AD2381"/>
  <c r="AC2381"/>
  <c r="AI2380"/>
  <c r="AH2380"/>
  <c r="AG2380"/>
  <c r="AF2380"/>
  <c r="AE2380"/>
  <c r="AD2380"/>
  <c r="AC2380"/>
  <c r="AI2379"/>
  <c r="AH2379"/>
  <c r="AG2379"/>
  <c r="AF2379"/>
  <c r="AE2379"/>
  <c r="AD2379"/>
  <c r="AC2379"/>
  <c r="AI2378"/>
  <c r="AH2378"/>
  <c r="AG2378"/>
  <c r="AF2378"/>
  <c r="AE2378"/>
  <c r="AD2378"/>
  <c r="AC2378"/>
  <c r="AI2377"/>
  <c r="AH2377"/>
  <c r="AG2377"/>
  <c r="AF2377"/>
  <c r="AE2377"/>
  <c r="AD2377"/>
  <c r="AC2377"/>
  <c r="AI2376"/>
  <c r="AH2376"/>
  <c r="AG2376"/>
  <c r="AF2376"/>
  <c r="AE2376"/>
  <c r="AD2376"/>
  <c r="AC2376"/>
  <c r="AI2375"/>
  <c r="AH2375"/>
  <c r="AG2375"/>
  <c r="AF2375"/>
  <c r="AE2375"/>
  <c r="AD2375"/>
  <c r="AC2375"/>
  <c r="AI2374"/>
  <c r="AH2374"/>
  <c r="AG2374"/>
  <c r="AF2374"/>
  <c r="AE2374"/>
  <c r="AD2374"/>
  <c r="AC2374"/>
  <c r="AI2373"/>
  <c r="AH2373"/>
  <c r="AG2373"/>
  <c r="AF2373"/>
  <c r="AE2373"/>
  <c r="AD2373"/>
  <c r="AC2373"/>
  <c r="AI2372"/>
  <c r="AH2372"/>
  <c r="AG2372"/>
  <c r="AF2372"/>
  <c r="AE2372"/>
  <c r="AD2372"/>
  <c r="AC2372"/>
  <c r="AI2371"/>
  <c r="AH2371"/>
  <c r="AG2371"/>
  <c r="AF2371"/>
  <c r="AE2371"/>
  <c r="AD2371"/>
  <c r="AC2371"/>
  <c r="AI2370"/>
  <c r="AH2370"/>
  <c r="AG2370"/>
  <c r="AF2370"/>
  <c r="AE2370"/>
  <c r="AD2370"/>
  <c r="AC2370"/>
  <c r="AI2369"/>
  <c r="AH2369"/>
  <c r="AG2369"/>
  <c r="AF2369"/>
  <c r="AE2369"/>
  <c r="AD2369"/>
  <c r="AC2369"/>
  <c r="AI2368"/>
  <c r="AH2368"/>
  <c r="AG2368"/>
  <c r="AF2368"/>
  <c r="AE2368"/>
  <c r="AD2368"/>
  <c r="AC2368"/>
  <c r="AI2367"/>
  <c r="AH2367"/>
  <c r="AG2367"/>
  <c r="AF2367"/>
  <c r="AE2367"/>
  <c r="AD2367"/>
  <c r="AC2367"/>
  <c r="AI2366"/>
  <c r="AH2366"/>
  <c r="AG2366"/>
  <c r="AF2366"/>
  <c r="AE2366"/>
  <c r="AD2366"/>
  <c r="AC2366"/>
  <c r="AI2365"/>
  <c r="AH2365"/>
  <c r="AG2365"/>
  <c r="AF2365"/>
  <c r="AE2365"/>
  <c r="AD2365"/>
  <c r="AC2365"/>
  <c r="AI2364"/>
  <c r="AH2364"/>
  <c r="AG2364"/>
  <c r="AF2364"/>
  <c r="AE2364"/>
  <c r="AD2364"/>
  <c r="AC2364"/>
  <c r="AI2363"/>
  <c r="AH2363"/>
  <c r="AG2363"/>
  <c r="AF2363"/>
  <c r="AE2363"/>
  <c r="AD2363"/>
  <c r="AC2363"/>
  <c r="AI2362"/>
  <c r="AH2362"/>
  <c r="AG2362"/>
  <c r="AF2362"/>
  <c r="AE2362"/>
  <c r="AD2362"/>
  <c r="AC2362"/>
  <c r="AI2361"/>
  <c r="AH2361"/>
  <c r="AG2361"/>
  <c r="AF2361"/>
  <c r="AE2361"/>
  <c r="AD2361"/>
  <c r="AC2361"/>
  <c r="AI2360"/>
  <c r="AH2360"/>
  <c r="AG2360"/>
  <c r="AF2360"/>
  <c r="AE2360"/>
  <c r="AD2360"/>
  <c r="AC2360"/>
  <c r="AI2359"/>
  <c r="AH2359"/>
  <c r="AG2359"/>
  <c r="AF2359"/>
  <c r="AE2359"/>
  <c r="AD2359"/>
  <c r="AC2359"/>
  <c r="AI2358"/>
  <c r="AH2358"/>
  <c r="AG2358"/>
  <c r="AF2358"/>
  <c r="AE2358"/>
  <c r="AD2358"/>
  <c r="AC2358"/>
  <c r="AI2357"/>
  <c r="AH2357"/>
  <c r="AG2357"/>
  <c r="AF2357"/>
  <c r="AE2357"/>
  <c r="AD2357"/>
  <c r="AC2357"/>
  <c r="AI2356"/>
  <c r="AH2356"/>
  <c r="AG2356"/>
  <c r="AF2356"/>
  <c r="AE2356"/>
  <c r="AD2356"/>
  <c r="AC2356"/>
  <c r="AI2355"/>
  <c r="AH2355"/>
  <c r="AG2355"/>
  <c r="AF2355"/>
  <c r="AE2355"/>
  <c r="AD2355"/>
  <c r="AC2355"/>
  <c r="AI2354"/>
  <c r="AH2354"/>
  <c r="AG2354"/>
  <c r="AF2354"/>
  <c r="AE2354"/>
  <c r="AD2354"/>
  <c r="AC2354"/>
  <c r="AI2353"/>
  <c r="AH2353"/>
  <c r="AG2353"/>
  <c r="AF2353"/>
  <c r="AE2353"/>
  <c r="AD2353"/>
  <c r="AC2353"/>
  <c r="AI2352"/>
  <c r="AH2352"/>
  <c r="AG2352"/>
  <c r="AF2352"/>
  <c r="AE2352"/>
  <c r="AD2352"/>
  <c r="AC2352"/>
  <c r="AI2351"/>
  <c r="AH2351"/>
  <c r="AG2351"/>
  <c r="AF2351"/>
  <c r="AE2351"/>
  <c r="AD2351"/>
  <c r="AC2351"/>
  <c r="AI2350"/>
  <c r="AH2350"/>
  <c r="AG2350"/>
  <c r="AF2350"/>
  <c r="AE2350"/>
  <c r="AD2350"/>
  <c r="AC2350"/>
  <c r="AI2349"/>
  <c r="AH2349"/>
  <c r="AG2349"/>
  <c r="AF2349"/>
  <c r="AE2349"/>
  <c r="AD2349"/>
  <c r="AC2349"/>
  <c r="AI2348"/>
  <c r="AH2348"/>
  <c r="AG2348"/>
  <c r="AF2348"/>
  <c r="AE2348"/>
  <c r="AD2348"/>
  <c r="AC2348"/>
  <c r="AI2347"/>
  <c r="AH2347"/>
  <c r="AG2347"/>
  <c r="AF2347"/>
  <c r="AE2347"/>
  <c r="AD2347"/>
  <c r="AC2347"/>
  <c r="AI2346"/>
  <c r="AH2346"/>
  <c r="AG2346"/>
  <c r="AF2346"/>
  <c r="AE2346"/>
  <c r="AD2346"/>
  <c r="AC2346"/>
  <c r="AI2345"/>
  <c r="AH2345"/>
  <c r="AG2345"/>
  <c r="AF2345"/>
  <c r="AE2345"/>
  <c r="AD2345"/>
  <c r="AC2345"/>
  <c r="AI2344"/>
  <c r="AH2344"/>
  <c r="AG2344"/>
  <c r="AF2344"/>
  <c r="AE2344"/>
  <c r="AD2344"/>
  <c r="AC2344"/>
  <c r="AI2343"/>
  <c r="AH2343"/>
  <c r="AG2343"/>
  <c r="AF2343"/>
  <c r="AE2343"/>
  <c r="AD2343"/>
  <c r="AC2343"/>
  <c r="AI2342"/>
  <c r="AH2342"/>
  <c r="AG2342"/>
  <c r="AF2342"/>
  <c r="AE2342"/>
  <c r="AD2342"/>
  <c r="AC2342"/>
  <c r="AI2341"/>
  <c r="AH2341"/>
  <c r="AG2341"/>
  <c r="AF2341"/>
  <c r="AE2341"/>
  <c r="AD2341"/>
  <c r="AC2341"/>
  <c r="AI2340"/>
  <c r="AH2340"/>
  <c r="AG2340"/>
  <c r="AF2340"/>
  <c r="AE2340"/>
  <c r="AD2340"/>
  <c r="AC2340"/>
  <c r="AI2339"/>
  <c r="AH2339"/>
  <c r="AG2339"/>
  <c r="AF2339"/>
  <c r="AE2339"/>
  <c r="AD2339"/>
  <c r="AC2339"/>
  <c r="AI2338"/>
  <c r="AH2338"/>
  <c r="AG2338"/>
  <c r="AF2338"/>
  <c r="AE2338"/>
  <c r="AD2338"/>
  <c r="AC2338"/>
  <c r="AI2337"/>
  <c r="AH2337"/>
  <c r="AG2337"/>
  <c r="AF2337"/>
  <c r="AE2337"/>
  <c r="AD2337"/>
  <c r="AC2337"/>
  <c r="AI2336"/>
  <c r="AH2336"/>
  <c r="AG2336"/>
  <c r="AF2336"/>
  <c r="AE2336"/>
  <c r="AD2336"/>
  <c r="AC2336"/>
  <c r="AI2335"/>
  <c r="AH2335"/>
  <c r="AG2335"/>
  <c r="AF2335"/>
  <c r="AE2335"/>
  <c r="AD2335"/>
  <c r="AC2335"/>
  <c r="AI2334"/>
  <c r="AH2334"/>
  <c r="AG2334"/>
  <c r="AF2334"/>
  <c r="AE2334"/>
  <c r="AD2334"/>
  <c r="AC2334"/>
  <c r="AI2333"/>
  <c r="AH2333"/>
  <c r="AG2333"/>
  <c r="AF2333"/>
  <c r="AE2333"/>
  <c r="AD2333"/>
  <c r="AC2333"/>
  <c r="AI2332"/>
  <c r="AH2332"/>
  <c r="AG2332"/>
  <c r="AF2332"/>
  <c r="AE2332"/>
  <c r="AD2332"/>
  <c r="AC2332"/>
  <c r="AI2331"/>
  <c r="AH2331"/>
  <c r="AG2331"/>
  <c r="AF2331"/>
  <c r="AE2331"/>
  <c r="AD2331"/>
  <c r="AC2331"/>
  <c r="AI2330"/>
  <c r="AH2330"/>
  <c r="AG2330"/>
  <c r="AF2330"/>
  <c r="AE2330"/>
  <c r="AD2330"/>
  <c r="AC2330"/>
  <c r="AI2329"/>
  <c r="AH2329"/>
  <c r="AG2329"/>
  <c r="AF2329"/>
  <c r="AE2329"/>
  <c r="AD2329"/>
  <c r="AC2329"/>
  <c r="AI2328"/>
  <c r="AH2328"/>
  <c r="AG2328"/>
  <c r="AF2328"/>
  <c r="AE2328"/>
  <c r="AD2328"/>
  <c r="AC2328"/>
  <c r="AI2327"/>
  <c r="AH2327"/>
  <c r="AG2327"/>
  <c r="AF2327"/>
  <c r="AE2327"/>
  <c r="AD2327"/>
  <c r="AC2327"/>
  <c r="AI2326"/>
  <c r="AH2326"/>
  <c r="AG2326"/>
  <c r="AF2326"/>
  <c r="AE2326"/>
  <c r="AD2326"/>
  <c r="AC2326"/>
  <c r="AI2325"/>
  <c r="AH2325"/>
  <c r="AG2325"/>
  <c r="AF2325"/>
  <c r="AE2325"/>
  <c r="AD2325"/>
  <c r="AC2325"/>
  <c r="AI2324"/>
  <c r="AH2324"/>
  <c r="AG2324"/>
  <c r="AF2324"/>
  <c r="AE2324"/>
  <c r="AD2324"/>
  <c r="AC2324"/>
  <c r="AI2323"/>
  <c r="AH2323"/>
  <c r="AG2323"/>
  <c r="AF2323"/>
  <c r="AE2323"/>
  <c r="AD2323"/>
  <c r="AC2323"/>
  <c r="AI2322"/>
  <c r="AH2322"/>
  <c r="AG2322"/>
  <c r="AF2322"/>
  <c r="AE2322"/>
  <c r="AD2322"/>
  <c r="AC2322"/>
  <c r="AI2321"/>
  <c r="AH2321"/>
  <c r="AG2321"/>
  <c r="AF2321"/>
  <c r="AE2321"/>
  <c r="AD2321"/>
  <c r="AC2321"/>
  <c r="AI2320"/>
  <c r="AH2320"/>
  <c r="AG2320"/>
  <c r="AF2320"/>
  <c r="AE2320"/>
  <c r="AD2320"/>
  <c r="AC2320"/>
  <c r="AI2319"/>
  <c r="AH2319"/>
  <c r="AG2319"/>
  <c r="AF2319"/>
  <c r="AE2319"/>
  <c r="AD2319"/>
  <c r="AC2319"/>
  <c r="AI2318"/>
  <c r="AH2318"/>
  <c r="AG2318"/>
  <c r="AF2318"/>
  <c r="AE2318"/>
  <c r="AD2318"/>
  <c r="AC2318"/>
  <c r="AI2317"/>
  <c r="AH2317"/>
  <c r="AG2317"/>
  <c r="AF2317"/>
  <c r="AE2317"/>
  <c r="AD2317"/>
  <c r="AC2317"/>
  <c r="AI2316"/>
  <c r="AH2316"/>
  <c r="AG2316"/>
  <c r="AF2316"/>
  <c r="AE2316"/>
  <c r="AD2316"/>
  <c r="AC2316"/>
  <c r="AI2315"/>
  <c r="AH2315"/>
  <c r="AG2315"/>
  <c r="AF2315"/>
  <c r="AE2315"/>
  <c r="AD2315"/>
  <c r="AC2315"/>
  <c r="AI2314"/>
  <c r="AH2314"/>
  <c r="AG2314"/>
  <c r="AF2314"/>
  <c r="AE2314"/>
  <c r="AD2314"/>
  <c r="AC2314"/>
  <c r="AI2313"/>
  <c r="AH2313"/>
  <c r="AG2313"/>
  <c r="AF2313"/>
  <c r="AE2313"/>
  <c r="AD2313"/>
  <c r="AC2313"/>
  <c r="AI2312"/>
  <c r="AH2312"/>
  <c r="AG2312"/>
  <c r="AF2312"/>
  <c r="AE2312"/>
  <c r="AD2312"/>
  <c r="AC2312"/>
  <c r="AI2311"/>
  <c r="AH2311"/>
  <c r="AG2311"/>
  <c r="AF2311"/>
  <c r="AE2311"/>
  <c r="AD2311"/>
  <c r="AC2311"/>
  <c r="AI2310"/>
  <c r="AH2310"/>
  <c r="AG2310"/>
  <c r="AF2310"/>
  <c r="AE2310"/>
  <c r="AD2310"/>
  <c r="AC2310"/>
  <c r="AI2309"/>
  <c r="AH2309"/>
  <c r="AG2309"/>
  <c r="AF2309"/>
  <c r="AE2309"/>
  <c r="AD2309"/>
  <c r="AC2309"/>
  <c r="AI2308"/>
  <c r="AH2308"/>
  <c r="AG2308"/>
  <c r="AF2308"/>
  <c r="AE2308"/>
  <c r="AD2308"/>
  <c r="AC2308"/>
  <c r="AI2307"/>
  <c r="AH2307"/>
  <c r="AG2307"/>
  <c r="AF2307"/>
  <c r="AE2307"/>
  <c r="AD2307"/>
  <c r="AC2307"/>
  <c r="AI2306"/>
  <c r="AH2306"/>
  <c r="AG2306"/>
  <c r="AF2306"/>
  <c r="AE2306"/>
  <c r="AD2306"/>
  <c r="AC2306"/>
  <c r="AI2305"/>
  <c r="AH2305"/>
  <c r="AG2305"/>
  <c r="AF2305"/>
  <c r="AE2305"/>
  <c r="AD2305"/>
  <c r="AC2305"/>
  <c r="AI2304"/>
  <c r="AH2304"/>
  <c r="AG2304"/>
  <c r="AF2304"/>
  <c r="AE2304"/>
  <c r="AD2304"/>
  <c r="AC2304"/>
  <c r="AI2303"/>
  <c r="AH2303"/>
  <c r="AG2303"/>
  <c r="AF2303"/>
  <c r="AE2303"/>
  <c r="AD2303"/>
  <c r="AC2303"/>
  <c r="AI2302"/>
  <c r="AH2302"/>
  <c r="AG2302"/>
  <c r="AF2302"/>
  <c r="AE2302"/>
  <c r="AD2302"/>
  <c r="AC2302"/>
  <c r="AI2301"/>
  <c r="AH2301"/>
  <c r="AG2301"/>
  <c r="AF2301"/>
  <c r="AE2301"/>
  <c r="AD2301"/>
  <c r="AC2301"/>
  <c r="AI2300"/>
  <c r="AH2300"/>
  <c r="AG2300"/>
  <c r="AF2300"/>
  <c r="AE2300"/>
  <c r="AD2300"/>
  <c r="AC2300"/>
  <c r="AI2299"/>
  <c r="AH2299"/>
  <c r="AG2299"/>
  <c r="AF2299"/>
  <c r="AE2299"/>
  <c r="AD2299"/>
  <c r="AC2299"/>
  <c r="AI2298"/>
  <c r="AH2298"/>
  <c r="AG2298"/>
  <c r="AF2298"/>
  <c r="AE2298"/>
  <c r="AD2298"/>
  <c r="AC2298"/>
  <c r="AI2297"/>
  <c r="AH2297"/>
  <c r="AG2297"/>
  <c r="AF2297"/>
  <c r="AE2297"/>
  <c r="AD2297"/>
  <c r="AC2297"/>
  <c r="AI2296"/>
  <c r="AH2296"/>
  <c r="AG2296"/>
  <c r="AF2296"/>
  <c r="AE2296"/>
  <c r="AD2296"/>
  <c r="AC2296"/>
  <c r="AI2295"/>
  <c r="AH2295"/>
  <c r="AG2295"/>
  <c r="AF2295"/>
  <c r="AE2295"/>
  <c r="AD2295"/>
  <c r="AC2295"/>
  <c r="AI2294"/>
  <c r="AH2294"/>
  <c r="AG2294"/>
  <c r="AF2294"/>
  <c r="AE2294"/>
  <c r="AD2294"/>
  <c r="AC2294"/>
  <c r="AI2293"/>
  <c r="AH2293"/>
  <c r="AG2293"/>
  <c r="AF2293"/>
  <c r="AE2293"/>
  <c r="AD2293"/>
  <c r="AC2293"/>
  <c r="AI2292"/>
  <c r="AH2292"/>
  <c r="AG2292"/>
  <c r="AF2292"/>
  <c r="AE2292"/>
  <c r="AD2292"/>
  <c r="AC2292"/>
  <c r="AI2291"/>
  <c r="AH2291"/>
  <c r="AG2291"/>
  <c r="AF2291"/>
  <c r="AE2291"/>
  <c r="AD2291"/>
  <c r="AC2291"/>
  <c r="AI2290"/>
  <c r="AH2290"/>
  <c r="AG2290"/>
  <c r="AF2290"/>
  <c r="AE2290"/>
  <c r="AD2290"/>
  <c r="AC2290"/>
  <c r="AI2289"/>
  <c r="AH2289"/>
  <c r="AG2289"/>
  <c r="AF2289"/>
  <c r="AE2289"/>
  <c r="AD2289"/>
  <c r="AC2289"/>
  <c r="AI2288"/>
  <c r="AH2288"/>
  <c r="AG2288"/>
  <c r="AF2288"/>
  <c r="AE2288"/>
  <c r="AD2288"/>
  <c r="AC2288"/>
  <c r="AI2287"/>
  <c r="AH2287"/>
  <c r="AG2287"/>
  <c r="AF2287"/>
  <c r="AE2287"/>
  <c r="AD2287"/>
  <c r="AC2287"/>
  <c r="AI2286"/>
  <c r="AH2286"/>
  <c r="AG2286"/>
  <c r="AF2286"/>
  <c r="AE2286"/>
  <c r="AD2286"/>
  <c r="AC2286"/>
  <c r="AI2285"/>
  <c r="AH2285"/>
  <c r="AG2285"/>
  <c r="AF2285"/>
  <c r="AE2285"/>
  <c r="AD2285"/>
  <c r="AC2285"/>
  <c r="AI2284"/>
  <c r="AH2284"/>
  <c r="AG2284"/>
  <c r="AF2284"/>
  <c r="AE2284"/>
  <c r="AD2284"/>
  <c r="AC2284"/>
  <c r="AI2283"/>
  <c r="AH2283"/>
  <c r="AG2283"/>
  <c r="AF2283"/>
  <c r="AE2283"/>
  <c r="AD2283"/>
  <c r="AC2283"/>
  <c r="AI2282"/>
  <c r="AH2282"/>
  <c r="AG2282"/>
  <c r="AF2282"/>
  <c r="AE2282"/>
  <c r="AD2282"/>
  <c r="AC2282"/>
  <c r="AI2281"/>
  <c r="AH2281"/>
  <c r="AG2281"/>
  <c r="AF2281"/>
  <c r="AE2281"/>
  <c r="AD2281"/>
  <c r="AC2281"/>
  <c r="AI2280"/>
  <c r="AH2280"/>
  <c r="AG2280"/>
  <c r="AF2280"/>
  <c r="AE2280"/>
  <c r="AD2280"/>
  <c r="AC2280"/>
  <c r="AI2279"/>
  <c r="AH2279"/>
  <c r="AG2279"/>
  <c r="AF2279"/>
  <c r="AE2279"/>
  <c r="AD2279"/>
  <c r="AC2279"/>
  <c r="AI2278"/>
  <c r="AH2278"/>
  <c r="AG2278"/>
  <c r="AF2278"/>
  <c r="AE2278"/>
  <c r="AD2278"/>
  <c r="AC2278"/>
  <c r="AI2277"/>
  <c r="AH2277"/>
  <c r="AG2277"/>
  <c r="AF2277"/>
  <c r="AE2277"/>
  <c r="AD2277"/>
  <c r="AC2277"/>
  <c r="AI2276"/>
  <c r="AH2276"/>
  <c r="AG2276"/>
  <c r="AF2276"/>
  <c r="AE2276"/>
  <c r="AD2276"/>
  <c r="AC2276"/>
  <c r="AI2275"/>
  <c r="AH2275"/>
  <c r="AG2275"/>
  <c r="AF2275"/>
  <c r="AE2275"/>
  <c r="AD2275"/>
  <c r="AC2275"/>
  <c r="AI2274"/>
  <c r="AH2274"/>
  <c r="AG2274"/>
  <c r="AF2274"/>
  <c r="AE2274"/>
  <c r="AD2274"/>
  <c r="AC2274"/>
  <c r="AI2273"/>
  <c r="AH2273"/>
  <c r="AG2273"/>
  <c r="AF2273"/>
  <c r="AE2273"/>
  <c r="AD2273"/>
  <c r="AC2273"/>
  <c r="AI2272"/>
  <c r="AH2272"/>
  <c r="AG2272"/>
  <c r="AF2272"/>
  <c r="AE2272"/>
  <c r="AD2272"/>
  <c r="AC2272"/>
  <c r="AI2271"/>
  <c r="AH2271"/>
  <c r="AG2271"/>
  <c r="AF2271"/>
  <c r="AE2271"/>
  <c r="AD2271"/>
  <c r="AC2271"/>
  <c r="AI2270"/>
  <c r="AH2270"/>
  <c r="AG2270"/>
  <c r="AF2270"/>
  <c r="AE2270"/>
  <c r="AD2270"/>
  <c r="AC2270"/>
  <c r="AI2269"/>
  <c r="AH2269"/>
  <c r="AG2269"/>
  <c r="AF2269"/>
  <c r="AE2269"/>
  <c r="AD2269"/>
  <c r="AC2269"/>
  <c r="AI2268"/>
  <c r="AH2268"/>
  <c r="AG2268"/>
  <c r="AF2268"/>
  <c r="AE2268"/>
  <c r="AD2268"/>
  <c r="AC2268"/>
  <c r="AI2267"/>
  <c r="AH2267"/>
  <c r="AG2267"/>
  <c r="AF2267"/>
  <c r="AE2267"/>
  <c r="AD2267"/>
  <c r="AC2267"/>
  <c r="AI2266"/>
  <c r="AH2266"/>
  <c r="AG2266"/>
  <c r="AF2266"/>
  <c r="AE2266"/>
  <c r="AD2266"/>
  <c r="AC2266"/>
  <c r="AI2265"/>
  <c r="AH2265"/>
  <c r="AG2265"/>
  <c r="AF2265"/>
  <c r="AE2265"/>
  <c r="AD2265"/>
  <c r="AC2265"/>
  <c r="AI2264"/>
  <c r="AH2264"/>
  <c r="AG2264"/>
  <c r="AF2264"/>
  <c r="AE2264"/>
  <c r="AD2264"/>
  <c r="AC2264"/>
  <c r="AI2263"/>
  <c r="AH2263"/>
  <c r="AG2263"/>
  <c r="AF2263"/>
  <c r="AE2263"/>
  <c r="AD2263"/>
  <c r="AC2263"/>
  <c r="AI2262"/>
  <c r="AH2262"/>
  <c r="AG2262"/>
  <c r="AF2262"/>
  <c r="AE2262"/>
  <c r="AD2262"/>
  <c r="AC2262"/>
  <c r="AI2261"/>
  <c r="AH2261"/>
  <c r="AG2261"/>
  <c r="AF2261"/>
  <c r="AE2261"/>
  <c r="AD2261"/>
  <c r="AC2261"/>
  <c r="AI2260"/>
  <c r="AH2260"/>
  <c r="AG2260"/>
  <c r="AF2260"/>
  <c r="AE2260"/>
  <c r="AD2260"/>
  <c r="AC2260"/>
  <c r="AI2259"/>
  <c r="AH2259"/>
  <c r="AG2259"/>
  <c r="AF2259"/>
  <c r="AE2259"/>
  <c r="AD2259"/>
  <c r="AC2259"/>
  <c r="AI2258"/>
  <c r="AH2258"/>
  <c r="AG2258"/>
  <c r="AF2258"/>
  <c r="AE2258"/>
  <c r="AD2258"/>
  <c r="AC2258"/>
  <c r="AI2257"/>
  <c r="AH2257"/>
  <c r="AG2257"/>
  <c r="AF2257"/>
  <c r="AE2257"/>
  <c r="AD2257"/>
  <c r="AC2257"/>
  <c r="AI2256"/>
  <c r="AH2256"/>
  <c r="AG2256"/>
  <c r="AF2256"/>
  <c r="AE2256"/>
  <c r="AD2256"/>
  <c r="AC2256"/>
  <c r="AI2255"/>
  <c r="AH2255"/>
  <c r="AG2255"/>
  <c r="AF2255"/>
  <c r="AE2255"/>
  <c r="AD2255"/>
  <c r="AC2255"/>
  <c r="AI2254"/>
  <c r="AH2254"/>
  <c r="AG2254"/>
  <c r="AF2254"/>
  <c r="AE2254"/>
  <c r="AD2254"/>
  <c r="AC2254"/>
  <c r="AI2253"/>
  <c r="AH2253"/>
  <c r="AG2253"/>
  <c r="AF2253"/>
  <c r="AE2253"/>
  <c r="AD2253"/>
  <c r="AC2253"/>
  <c r="AI2252"/>
  <c r="AH2252"/>
  <c r="AG2252"/>
  <c r="AF2252"/>
  <c r="AE2252"/>
  <c r="AD2252"/>
  <c r="AC2252"/>
  <c r="AI2251"/>
  <c r="AH2251"/>
  <c r="AG2251"/>
  <c r="AF2251"/>
  <c r="AE2251"/>
  <c r="AD2251"/>
  <c r="AC2251"/>
  <c r="AI2250"/>
  <c r="AH2250"/>
  <c r="AG2250"/>
  <c r="AF2250"/>
  <c r="AE2250"/>
  <c r="AD2250"/>
  <c r="AC2250"/>
  <c r="AI2249"/>
  <c r="AH2249"/>
  <c r="AG2249"/>
  <c r="AF2249"/>
  <c r="AE2249"/>
  <c r="AD2249"/>
  <c r="AC2249"/>
  <c r="AI2248"/>
  <c r="AH2248"/>
  <c r="AG2248"/>
  <c r="AF2248"/>
  <c r="AE2248"/>
  <c r="AD2248"/>
  <c r="AC2248"/>
  <c r="AI2247"/>
  <c r="AH2247"/>
  <c r="AG2247"/>
  <c r="AF2247"/>
  <c r="AE2247"/>
  <c r="AD2247"/>
  <c r="AC2247"/>
  <c r="AI2246"/>
  <c r="AH2246"/>
  <c r="AG2246"/>
  <c r="AF2246"/>
  <c r="AE2246"/>
  <c r="AD2246"/>
  <c r="AC2246"/>
  <c r="AI2245"/>
  <c r="AH2245"/>
  <c r="AG2245"/>
  <c r="AF2245"/>
  <c r="AE2245"/>
  <c r="AD2245"/>
  <c r="AC2245"/>
  <c r="AI2244"/>
  <c r="AH2244"/>
  <c r="AG2244"/>
  <c r="AF2244"/>
  <c r="AE2244"/>
  <c r="AD2244"/>
  <c r="AC2244"/>
  <c r="AI2243"/>
  <c r="AH2243"/>
  <c r="AG2243"/>
  <c r="AF2243"/>
  <c r="AE2243"/>
  <c r="AD2243"/>
  <c r="AC2243"/>
  <c r="AI2242"/>
  <c r="AH2242"/>
  <c r="AG2242"/>
  <c r="AF2242"/>
  <c r="AE2242"/>
  <c r="AD2242"/>
  <c r="AC2242"/>
  <c r="AI2241"/>
  <c r="AH2241"/>
  <c r="AG2241"/>
  <c r="AF2241"/>
  <c r="AE2241"/>
  <c r="AD2241"/>
  <c r="AC2241"/>
  <c r="AI2240"/>
  <c r="AH2240"/>
  <c r="AG2240"/>
  <c r="AF2240"/>
  <c r="AE2240"/>
  <c r="AD2240"/>
  <c r="AC2240"/>
  <c r="AI2239"/>
  <c r="AH2239"/>
  <c r="AG2239"/>
  <c r="AF2239"/>
  <c r="AE2239"/>
  <c r="AD2239"/>
  <c r="AC2239"/>
  <c r="AI2238"/>
  <c r="AH2238"/>
  <c r="AG2238"/>
  <c r="AF2238"/>
  <c r="AE2238"/>
  <c r="AD2238"/>
  <c r="AC2238"/>
  <c r="AI2237"/>
  <c r="AH2237"/>
  <c r="AG2237"/>
  <c r="AF2237"/>
  <c r="AE2237"/>
  <c r="AD2237"/>
  <c r="AC2237"/>
  <c r="AI2236"/>
  <c r="AH2236"/>
  <c r="AG2236"/>
  <c r="AF2236"/>
  <c r="AE2236"/>
  <c r="AD2236"/>
  <c r="AC2236"/>
  <c r="AI2235"/>
  <c r="AH2235"/>
  <c r="AG2235"/>
  <c r="AF2235"/>
  <c r="AE2235"/>
  <c r="AD2235"/>
  <c r="AC2235"/>
  <c r="AI2234"/>
  <c r="AH2234"/>
  <c r="AG2234"/>
  <c r="AF2234"/>
  <c r="AE2234"/>
  <c r="AD2234"/>
  <c r="AC2234"/>
  <c r="AI2233"/>
  <c r="AH2233"/>
  <c r="AG2233"/>
  <c r="AF2233"/>
  <c r="AE2233"/>
  <c r="AD2233"/>
  <c r="AC2233"/>
  <c r="AI2232"/>
  <c r="AH2232"/>
  <c r="AG2232"/>
  <c r="AF2232"/>
  <c r="AE2232"/>
  <c r="AD2232"/>
  <c r="AC2232"/>
  <c r="AI2231"/>
  <c r="AH2231"/>
  <c r="AG2231"/>
  <c r="AF2231"/>
  <c r="AE2231"/>
  <c r="AD2231"/>
  <c r="AC2231"/>
  <c r="AI2230"/>
  <c r="AH2230"/>
  <c r="AG2230"/>
  <c r="AF2230"/>
  <c r="AE2230"/>
  <c r="AD2230"/>
  <c r="AC2230"/>
  <c r="AI2229"/>
  <c r="AH2229"/>
  <c r="AG2229"/>
  <c r="AF2229"/>
  <c r="AE2229"/>
  <c r="AD2229"/>
  <c r="AC2229"/>
  <c r="AI2228"/>
  <c r="AH2228"/>
  <c r="AG2228"/>
  <c r="AF2228"/>
  <c r="AE2228"/>
  <c r="AD2228"/>
  <c r="AC2228"/>
  <c r="AI2227"/>
  <c r="AH2227"/>
  <c r="AG2227"/>
  <c r="AF2227"/>
  <c r="AE2227"/>
  <c r="AD2227"/>
  <c r="AC2227"/>
  <c r="AI2226"/>
  <c r="AH2226"/>
  <c r="AG2226"/>
  <c r="AF2226"/>
  <c r="AE2226"/>
  <c r="AD2226"/>
  <c r="AC2226"/>
  <c r="AI2225"/>
  <c r="AH2225"/>
  <c r="AG2225"/>
  <c r="AF2225"/>
  <c r="AE2225"/>
  <c r="AD2225"/>
  <c r="AC2225"/>
  <c r="AI2224"/>
  <c r="AH2224"/>
  <c r="AG2224"/>
  <c r="AF2224"/>
  <c r="AE2224"/>
  <c r="AD2224"/>
  <c r="AC2224"/>
  <c r="AI2223"/>
  <c r="AH2223"/>
  <c r="AG2223"/>
  <c r="AF2223"/>
  <c r="AE2223"/>
  <c r="AD2223"/>
  <c r="AC2223"/>
  <c r="AI2222"/>
  <c r="AH2222"/>
  <c r="AG2222"/>
  <c r="AF2222"/>
  <c r="AE2222"/>
  <c r="AD2222"/>
  <c r="AC2222"/>
  <c r="AI2221"/>
  <c r="AH2221"/>
  <c r="AG2221"/>
  <c r="AF2221"/>
  <c r="AE2221"/>
  <c r="AD2221"/>
  <c r="AC2221"/>
  <c r="AI2220"/>
  <c r="AH2220"/>
  <c r="AG2220"/>
  <c r="AF2220"/>
  <c r="AE2220"/>
  <c r="AD2220"/>
  <c r="AC2220"/>
  <c r="AI2219"/>
  <c r="AH2219"/>
  <c r="AG2219"/>
  <c r="AF2219"/>
  <c r="AE2219"/>
  <c r="AD2219"/>
  <c r="AC2219"/>
  <c r="AI2218"/>
  <c r="AH2218"/>
  <c r="AG2218"/>
  <c r="AF2218"/>
  <c r="AE2218"/>
  <c r="AD2218"/>
  <c r="AC2218"/>
  <c r="AI2217"/>
  <c r="AH2217"/>
  <c r="AG2217"/>
  <c r="AF2217"/>
  <c r="AE2217"/>
  <c r="AD2217"/>
  <c r="AC2217"/>
  <c r="AI2216"/>
  <c r="AH2216"/>
  <c r="AG2216"/>
  <c r="AF2216"/>
  <c r="AE2216"/>
  <c r="AD2216"/>
  <c r="AC2216"/>
  <c r="AI2215"/>
  <c r="AH2215"/>
  <c r="AG2215"/>
  <c r="AF2215"/>
  <c r="AE2215"/>
  <c r="AD2215"/>
  <c r="AC2215"/>
  <c r="AI2214"/>
  <c r="AH2214"/>
  <c r="AG2214"/>
  <c r="AF2214"/>
  <c r="AE2214"/>
  <c r="AD2214"/>
  <c r="AC2214"/>
  <c r="AI2213"/>
  <c r="AH2213"/>
  <c r="AG2213"/>
  <c r="AF2213"/>
  <c r="AE2213"/>
  <c r="AD2213"/>
  <c r="AC2213"/>
  <c r="AI2212"/>
  <c r="AH2212"/>
  <c r="AG2212"/>
  <c r="AF2212"/>
  <c r="AE2212"/>
  <c r="AD2212"/>
  <c r="AC2212"/>
  <c r="AI2211"/>
  <c r="AH2211"/>
  <c r="AG2211"/>
  <c r="AF2211"/>
  <c r="AE2211"/>
  <c r="AD2211"/>
  <c r="AC2211"/>
  <c r="AI2210"/>
  <c r="AH2210"/>
  <c r="AG2210"/>
  <c r="AF2210"/>
  <c r="AE2210"/>
  <c r="AD2210"/>
  <c r="AC2210"/>
  <c r="AI2209"/>
  <c r="AH2209"/>
  <c r="AG2209"/>
  <c r="AF2209"/>
  <c r="AE2209"/>
  <c r="AD2209"/>
  <c r="AC2209"/>
  <c r="AI2208"/>
  <c r="AH2208"/>
  <c r="AG2208"/>
  <c r="AF2208"/>
  <c r="AE2208"/>
  <c r="AD2208"/>
  <c r="AC2208"/>
  <c r="AI2207"/>
  <c r="AH2207"/>
  <c r="AG2207"/>
  <c r="AF2207"/>
  <c r="AE2207"/>
  <c r="AD2207"/>
  <c r="AC2207"/>
  <c r="AI2206"/>
  <c r="AH2206"/>
  <c r="AG2206"/>
  <c r="AF2206"/>
  <c r="AE2206"/>
  <c r="AD2206"/>
  <c r="AC2206"/>
  <c r="AI2205"/>
  <c r="AH2205"/>
  <c r="AG2205"/>
  <c r="AF2205"/>
  <c r="AE2205"/>
  <c r="AD2205"/>
  <c r="AC2205"/>
  <c r="AI2204"/>
  <c r="AH2204"/>
  <c r="AG2204"/>
  <c r="AF2204"/>
  <c r="AE2204"/>
  <c r="AD2204"/>
  <c r="AC2204"/>
  <c r="AI2203"/>
  <c r="AH2203"/>
  <c r="AG2203"/>
  <c r="AF2203"/>
  <c r="AE2203"/>
  <c r="AD2203"/>
  <c r="AC2203"/>
  <c r="AI2202"/>
  <c r="AH2202"/>
  <c r="AG2202"/>
  <c r="AF2202"/>
  <c r="AE2202"/>
  <c r="AD2202"/>
  <c r="AC2202"/>
  <c r="AI2201"/>
  <c r="AH2201"/>
  <c r="AG2201"/>
  <c r="AF2201"/>
  <c r="AE2201"/>
  <c r="AD2201"/>
  <c r="AC2201"/>
  <c r="AI2200"/>
  <c r="AH2200"/>
  <c r="AG2200"/>
  <c r="AF2200"/>
  <c r="AE2200"/>
  <c r="AD2200"/>
  <c r="AC2200"/>
  <c r="AI2199"/>
  <c r="AH2199"/>
  <c r="AG2199"/>
  <c r="AF2199"/>
  <c r="AE2199"/>
  <c r="AD2199"/>
  <c r="AC2199"/>
  <c r="AI2198"/>
  <c r="AH2198"/>
  <c r="AG2198"/>
  <c r="AF2198"/>
  <c r="AE2198"/>
  <c r="AD2198"/>
  <c r="AC2198"/>
  <c r="AI2197"/>
  <c r="AH2197"/>
  <c r="AG2197"/>
  <c r="AF2197"/>
  <c r="AE2197"/>
  <c r="AD2197"/>
  <c r="AC2197"/>
  <c r="AI2196"/>
  <c r="AH2196"/>
  <c r="AG2196"/>
  <c r="AF2196"/>
  <c r="AE2196"/>
  <c r="AD2196"/>
  <c r="AC2196"/>
  <c r="AI2195"/>
  <c r="AH2195"/>
  <c r="AG2195"/>
  <c r="AF2195"/>
  <c r="AE2195"/>
  <c r="AD2195"/>
  <c r="AC2195"/>
  <c r="AI2194"/>
  <c r="AH2194"/>
  <c r="AG2194"/>
  <c r="AF2194"/>
  <c r="AE2194"/>
  <c r="AD2194"/>
  <c r="AC2194"/>
  <c r="AI2193"/>
  <c r="AH2193"/>
  <c r="AG2193"/>
  <c r="AF2193"/>
  <c r="AE2193"/>
  <c r="AD2193"/>
  <c r="AC2193"/>
  <c r="AI2192"/>
  <c r="AH2192"/>
  <c r="AG2192"/>
  <c r="AF2192"/>
  <c r="AE2192"/>
  <c r="AD2192"/>
  <c r="AC2192"/>
  <c r="AI2191"/>
  <c r="AH2191"/>
  <c r="AG2191"/>
  <c r="AF2191"/>
  <c r="AE2191"/>
  <c r="AD2191"/>
  <c r="AC2191"/>
  <c r="AI2190"/>
  <c r="AH2190"/>
  <c r="AG2190"/>
  <c r="AF2190"/>
  <c r="AE2190"/>
  <c r="AD2190"/>
  <c r="AC2190"/>
  <c r="AI2189"/>
  <c r="AH2189"/>
  <c r="AG2189"/>
  <c r="AF2189"/>
  <c r="AE2189"/>
  <c r="AD2189"/>
  <c r="AC2189"/>
  <c r="AI2188"/>
  <c r="AH2188"/>
  <c r="AG2188"/>
  <c r="AF2188"/>
  <c r="AE2188"/>
  <c r="AD2188"/>
  <c r="AC2188"/>
  <c r="AI2187"/>
  <c r="AH2187"/>
  <c r="AG2187"/>
  <c r="AF2187"/>
  <c r="AE2187"/>
  <c r="AD2187"/>
  <c r="AC2187"/>
  <c r="AI2186"/>
  <c r="AH2186"/>
  <c r="AG2186"/>
  <c r="AF2186"/>
  <c r="AE2186"/>
  <c r="AD2186"/>
  <c r="AC2186"/>
  <c r="AI2185"/>
  <c r="AH2185"/>
  <c r="AG2185"/>
  <c r="AF2185"/>
  <c r="AE2185"/>
  <c r="AD2185"/>
  <c r="AC2185"/>
  <c r="AI2184"/>
  <c r="AH2184"/>
  <c r="AG2184"/>
  <c r="AF2184"/>
  <c r="AE2184"/>
  <c r="AD2184"/>
  <c r="AC2184"/>
  <c r="AI2183"/>
  <c r="AH2183"/>
  <c r="AG2183"/>
  <c r="AF2183"/>
  <c r="AE2183"/>
  <c r="AD2183"/>
  <c r="AC2183"/>
  <c r="AI2182"/>
  <c r="AH2182"/>
  <c r="AG2182"/>
  <c r="AF2182"/>
  <c r="AE2182"/>
  <c r="AD2182"/>
  <c r="AC2182"/>
  <c r="AI2181"/>
  <c r="AH2181"/>
  <c r="AG2181"/>
  <c r="AF2181"/>
  <c r="AE2181"/>
  <c r="AD2181"/>
  <c r="AC2181"/>
  <c r="AI2180"/>
  <c r="AH2180"/>
  <c r="AG2180"/>
  <c r="AF2180"/>
  <c r="AE2180"/>
  <c r="AD2180"/>
  <c r="AC2180"/>
  <c r="AI2179"/>
  <c r="AH2179"/>
  <c r="AG2179"/>
  <c r="AF2179"/>
  <c r="AE2179"/>
  <c r="AD2179"/>
  <c r="AC2179"/>
  <c r="AI2178"/>
  <c r="AH2178"/>
  <c r="AG2178"/>
  <c r="AF2178"/>
  <c r="AE2178"/>
  <c r="AD2178"/>
  <c r="AC2178"/>
  <c r="AI2177"/>
  <c r="AH2177"/>
  <c r="AG2177"/>
  <c r="AF2177"/>
  <c r="AE2177"/>
  <c r="AD2177"/>
  <c r="AC2177"/>
  <c r="AI2176"/>
  <c r="AH2176"/>
  <c r="AG2176"/>
  <c r="AF2176"/>
  <c r="AE2176"/>
  <c r="AD2176"/>
  <c r="AC2176"/>
  <c r="AI2175"/>
  <c r="AH2175"/>
  <c r="AG2175"/>
  <c r="AF2175"/>
  <c r="AE2175"/>
  <c r="AD2175"/>
  <c r="AC2175"/>
  <c r="AI2174"/>
  <c r="AH2174"/>
  <c r="AG2174"/>
  <c r="AF2174"/>
  <c r="AE2174"/>
  <c r="AD2174"/>
  <c r="AC2174"/>
  <c r="AI2173"/>
  <c r="AH2173"/>
  <c r="AG2173"/>
  <c r="AF2173"/>
  <c r="AE2173"/>
  <c r="AD2173"/>
  <c r="AC2173"/>
  <c r="AI2172"/>
  <c r="AH2172"/>
  <c r="AG2172"/>
  <c r="AF2172"/>
  <c r="AE2172"/>
  <c r="AD2172"/>
  <c r="AC2172"/>
  <c r="AI2171"/>
  <c r="AH2171"/>
  <c r="AG2171"/>
  <c r="AF2171"/>
  <c r="AE2171"/>
  <c r="AD2171"/>
  <c r="AC2171"/>
  <c r="AI2170"/>
  <c r="AH2170"/>
  <c r="AG2170"/>
  <c r="AF2170"/>
  <c r="AE2170"/>
  <c r="AD2170"/>
  <c r="AC2170"/>
  <c r="AI2169"/>
  <c r="AH2169"/>
  <c r="AG2169"/>
  <c r="AF2169"/>
  <c r="AE2169"/>
  <c r="AD2169"/>
  <c r="AC2169"/>
  <c r="AI2168"/>
  <c r="AH2168"/>
  <c r="AG2168"/>
  <c r="AF2168"/>
  <c r="AE2168"/>
  <c r="AD2168"/>
  <c r="AC2168"/>
  <c r="AI2167"/>
  <c r="AH2167"/>
  <c r="AG2167"/>
  <c r="AF2167"/>
  <c r="AE2167"/>
  <c r="AD2167"/>
  <c r="AC2167"/>
  <c r="AI2166"/>
  <c r="AH2166"/>
  <c r="AG2166"/>
  <c r="AF2166"/>
  <c r="AE2166"/>
  <c r="AD2166"/>
  <c r="AC2166"/>
  <c r="AI2165"/>
  <c r="AH2165"/>
  <c r="AG2165"/>
  <c r="AF2165"/>
  <c r="AE2165"/>
  <c r="AD2165"/>
  <c r="AC2165"/>
  <c r="AI2164"/>
  <c r="AH2164"/>
  <c r="AG2164"/>
  <c r="AF2164"/>
  <c r="AE2164"/>
  <c r="AD2164"/>
  <c r="AC2164"/>
  <c r="AI2163"/>
  <c r="AH2163"/>
  <c r="AG2163"/>
  <c r="AF2163"/>
  <c r="AE2163"/>
  <c r="AD2163"/>
  <c r="AC2163"/>
  <c r="AI2162"/>
  <c r="AH2162"/>
  <c r="AG2162"/>
  <c r="AF2162"/>
  <c r="AE2162"/>
  <c r="AD2162"/>
  <c r="AC2162"/>
  <c r="AI2161"/>
  <c r="AH2161"/>
  <c r="AG2161"/>
  <c r="AF2161"/>
  <c r="AE2161"/>
  <c r="AD2161"/>
  <c r="AC2161"/>
  <c r="AI2160"/>
  <c r="AH2160"/>
  <c r="AG2160"/>
  <c r="AF2160"/>
  <c r="AE2160"/>
  <c r="AD2160"/>
  <c r="AC2160"/>
  <c r="AI2159"/>
  <c r="AH2159"/>
  <c r="AG2159"/>
  <c r="AF2159"/>
  <c r="AE2159"/>
  <c r="AD2159"/>
  <c r="AC2159"/>
  <c r="AI2158"/>
  <c r="AH2158"/>
  <c r="AG2158"/>
  <c r="AF2158"/>
  <c r="AE2158"/>
  <c r="AD2158"/>
  <c r="AC2158"/>
  <c r="AI2157"/>
  <c r="AH2157"/>
  <c r="AG2157"/>
  <c r="AF2157"/>
  <c r="AE2157"/>
  <c r="AD2157"/>
  <c r="AC2157"/>
  <c r="AI2156"/>
  <c r="AH2156"/>
  <c r="AG2156"/>
  <c r="AF2156"/>
  <c r="AE2156"/>
  <c r="AD2156"/>
  <c r="AC2156"/>
  <c r="AI2155"/>
  <c r="AH2155"/>
  <c r="AG2155"/>
  <c r="AF2155"/>
  <c r="AE2155"/>
  <c r="AD2155"/>
  <c r="AC2155"/>
  <c r="AI2154"/>
  <c r="AH2154"/>
  <c r="AG2154"/>
  <c r="AF2154"/>
  <c r="AE2154"/>
  <c r="AD2154"/>
  <c r="AC2154"/>
  <c r="AI2153"/>
  <c r="AH2153"/>
  <c r="AG2153"/>
  <c r="AF2153"/>
  <c r="AE2153"/>
  <c r="AD2153"/>
  <c r="AC2153"/>
  <c r="AI2152"/>
  <c r="AH2152"/>
  <c r="AG2152"/>
  <c r="AF2152"/>
  <c r="AE2152"/>
  <c r="AD2152"/>
  <c r="AC2152"/>
  <c r="AI2151"/>
  <c r="AH2151"/>
  <c r="AG2151"/>
  <c r="AF2151"/>
  <c r="AE2151"/>
  <c r="AD2151"/>
  <c r="AC2151"/>
  <c r="AI2150"/>
  <c r="AH2150"/>
  <c r="AG2150"/>
  <c r="AF2150"/>
  <c r="AE2150"/>
  <c r="AD2150"/>
  <c r="AC2150"/>
  <c r="AI2149"/>
  <c r="AH2149"/>
  <c r="AG2149"/>
  <c r="AF2149"/>
  <c r="AE2149"/>
  <c r="AD2149"/>
  <c r="AC2149"/>
  <c r="AI2148"/>
  <c r="AH2148"/>
  <c r="AG2148"/>
  <c r="AF2148"/>
  <c r="AE2148"/>
  <c r="AD2148"/>
  <c r="AC2148"/>
  <c r="AI2147"/>
  <c r="AH2147"/>
  <c r="AG2147"/>
  <c r="AF2147"/>
  <c r="AE2147"/>
  <c r="AD2147"/>
  <c r="AC2147"/>
  <c r="AI2146"/>
  <c r="AH2146"/>
  <c r="AG2146"/>
  <c r="AF2146"/>
  <c r="AE2146"/>
  <c r="AD2146"/>
  <c r="AC2146"/>
  <c r="AI2145"/>
  <c r="AH2145"/>
  <c r="AG2145"/>
  <c r="AF2145"/>
  <c r="AE2145"/>
  <c r="AD2145"/>
  <c r="AC2145"/>
  <c r="AI2144"/>
  <c r="AH2144"/>
  <c r="AG2144"/>
  <c r="AF2144"/>
  <c r="AE2144"/>
  <c r="AD2144"/>
  <c r="AC2144"/>
  <c r="AI2143"/>
  <c r="AH2143"/>
  <c r="AG2143"/>
  <c r="AF2143"/>
  <c r="AE2143"/>
  <c r="AD2143"/>
  <c r="AC2143"/>
  <c r="AI2142"/>
  <c r="AH2142"/>
  <c r="AG2142"/>
  <c r="AF2142"/>
  <c r="AE2142"/>
  <c r="AD2142"/>
  <c r="AC2142"/>
  <c r="AI2141"/>
  <c r="AH2141"/>
  <c r="AG2141"/>
  <c r="AF2141"/>
  <c r="AE2141"/>
  <c r="AD2141"/>
  <c r="AC2141"/>
  <c r="AI2140"/>
  <c r="AH2140"/>
  <c r="AG2140"/>
  <c r="AF2140"/>
  <c r="AE2140"/>
  <c r="AD2140"/>
  <c r="AC2140"/>
  <c r="AI2139"/>
  <c r="AH2139"/>
  <c r="AG2139"/>
  <c r="AF2139"/>
  <c r="AE2139"/>
  <c r="AD2139"/>
  <c r="AC2139"/>
  <c r="AI2138"/>
  <c r="AH2138"/>
  <c r="AG2138"/>
  <c r="AF2138"/>
  <c r="AE2138"/>
  <c r="AD2138"/>
  <c r="AC2138"/>
  <c r="AI2137"/>
  <c r="AH2137"/>
  <c r="AG2137"/>
  <c r="AF2137"/>
  <c r="AE2137"/>
  <c r="AD2137"/>
  <c r="AC2137"/>
  <c r="AI2136"/>
  <c r="AH2136"/>
  <c r="AG2136"/>
  <c r="AF2136"/>
  <c r="AE2136"/>
  <c r="AD2136"/>
  <c r="AC2136"/>
  <c r="AI2135"/>
  <c r="AH2135"/>
  <c r="AG2135"/>
  <c r="AF2135"/>
  <c r="AE2135"/>
  <c r="AD2135"/>
  <c r="AC2135"/>
  <c r="AI2134"/>
  <c r="AH2134"/>
  <c r="AG2134"/>
  <c r="AF2134"/>
  <c r="AE2134"/>
  <c r="AD2134"/>
  <c r="AC2134"/>
  <c r="AI2133"/>
  <c r="AH2133"/>
  <c r="AG2133"/>
  <c r="AF2133"/>
  <c r="AE2133"/>
  <c r="AD2133"/>
  <c r="AC2133"/>
  <c r="AI2132"/>
  <c r="AH2132"/>
  <c r="AG2132"/>
  <c r="AF2132"/>
  <c r="AE2132"/>
  <c r="AD2132"/>
  <c r="AC2132"/>
  <c r="AI2131"/>
  <c r="AH2131"/>
  <c r="AG2131"/>
  <c r="AF2131"/>
  <c r="AE2131"/>
  <c r="AD2131"/>
  <c r="AC2131"/>
  <c r="AI2130"/>
  <c r="AH2130"/>
  <c r="AG2130"/>
  <c r="AF2130"/>
  <c r="AE2130"/>
  <c r="AD2130"/>
  <c r="AC2130"/>
  <c r="AI2129"/>
  <c r="AH2129"/>
  <c r="AG2129"/>
  <c r="AF2129"/>
  <c r="AE2129"/>
  <c r="AD2129"/>
  <c r="AC2129"/>
  <c r="AI2128"/>
  <c r="AH2128"/>
  <c r="AG2128"/>
  <c r="AF2128"/>
  <c r="AE2128"/>
  <c r="AD2128"/>
  <c r="AC2128"/>
  <c r="AI2127"/>
  <c r="AH2127"/>
  <c r="AG2127"/>
  <c r="AF2127"/>
  <c r="AE2127"/>
  <c r="AD2127"/>
  <c r="AC2127"/>
  <c r="AI2126"/>
  <c r="AH2126"/>
  <c r="AG2126"/>
  <c r="AF2126"/>
  <c r="AE2126"/>
  <c r="AD2126"/>
  <c r="AC2126"/>
  <c r="AI2125"/>
  <c r="AH2125"/>
  <c r="AG2125"/>
  <c r="AF2125"/>
  <c r="AE2125"/>
  <c r="AD2125"/>
  <c r="AC2125"/>
  <c r="AI2124"/>
  <c r="AH2124"/>
  <c r="AG2124"/>
  <c r="AF2124"/>
  <c r="AE2124"/>
  <c r="AD2124"/>
  <c r="AC2124"/>
  <c r="AI2123"/>
  <c r="AH2123"/>
  <c r="AG2123"/>
  <c r="AF2123"/>
  <c r="AE2123"/>
  <c r="AD2123"/>
  <c r="AC2123"/>
  <c r="AI2122"/>
  <c r="AH2122"/>
  <c r="AG2122"/>
  <c r="AF2122"/>
  <c r="AE2122"/>
  <c r="AD2122"/>
  <c r="AC2122"/>
  <c r="AI2121"/>
  <c r="AH2121"/>
  <c r="AG2121"/>
  <c r="AF2121"/>
  <c r="AE2121"/>
  <c r="AD2121"/>
  <c r="AC2121"/>
  <c r="AI2120"/>
  <c r="AH2120"/>
  <c r="AG2120"/>
  <c r="AF2120"/>
  <c r="AE2120"/>
  <c r="AD2120"/>
  <c r="AC2120"/>
  <c r="AI2119"/>
  <c r="AH2119"/>
  <c r="AG2119"/>
  <c r="AF2119"/>
  <c r="AE2119"/>
  <c r="AD2119"/>
  <c r="AC2119"/>
  <c r="AI2118"/>
  <c r="AH2118"/>
  <c r="AG2118"/>
  <c r="AF2118"/>
  <c r="AE2118"/>
  <c r="AD2118"/>
  <c r="AC2118"/>
  <c r="AI2117"/>
  <c r="AH2117"/>
  <c r="AG2117"/>
  <c r="AF2117"/>
  <c r="AE2117"/>
  <c r="AD2117"/>
  <c r="AC2117"/>
  <c r="AI2116"/>
  <c r="AH2116"/>
  <c r="AG2116"/>
  <c r="AF2116"/>
  <c r="AE2116"/>
  <c r="AD2116"/>
  <c r="AC2116"/>
  <c r="AI2115"/>
  <c r="AH2115"/>
  <c r="AG2115"/>
  <c r="AF2115"/>
  <c r="AE2115"/>
  <c r="AD2115"/>
  <c r="AC2115"/>
  <c r="AI2114"/>
  <c r="AH2114"/>
  <c r="AG2114"/>
  <c r="AF2114"/>
  <c r="AE2114"/>
  <c r="AD2114"/>
  <c r="AC2114"/>
  <c r="AI2113"/>
  <c r="AH2113"/>
  <c r="AG2113"/>
  <c r="AF2113"/>
  <c r="AE2113"/>
  <c r="AD2113"/>
  <c r="AC2113"/>
  <c r="AI2112"/>
  <c r="AH2112"/>
  <c r="AG2112"/>
  <c r="AF2112"/>
  <c r="AE2112"/>
  <c r="AD2112"/>
  <c r="AC2112"/>
  <c r="AI2111"/>
  <c r="AH2111"/>
  <c r="AG2111"/>
  <c r="AF2111"/>
  <c r="AE2111"/>
  <c r="AD2111"/>
  <c r="AC2111"/>
  <c r="AI2110"/>
  <c r="AH2110"/>
  <c r="AG2110"/>
  <c r="AF2110"/>
  <c r="AE2110"/>
  <c r="AD2110"/>
  <c r="AC2110"/>
  <c r="AI2109"/>
  <c r="AH2109"/>
  <c r="AG2109"/>
  <c r="AF2109"/>
  <c r="AE2109"/>
  <c r="AD2109"/>
  <c r="AC2109"/>
  <c r="AI2108"/>
  <c r="AH2108"/>
  <c r="AG2108"/>
  <c r="AF2108"/>
  <c r="AE2108"/>
  <c r="AD2108"/>
  <c r="AC2108"/>
  <c r="AI2107"/>
  <c r="AH2107"/>
  <c r="AG2107"/>
  <c r="AF2107"/>
  <c r="AE2107"/>
  <c r="AD2107"/>
  <c r="AC2107"/>
  <c r="AI2106"/>
  <c r="AH2106"/>
  <c r="AG2106"/>
  <c r="AF2106"/>
  <c r="AE2106"/>
  <c r="AD2106"/>
  <c r="AC2106"/>
  <c r="AI2105"/>
  <c r="AH2105"/>
  <c r="AG2105"/>
  <c r="AF2105"/>
  <c r="AE2105"/>
  <c r="AD2105"/>
  <c r="AC2105"/>
  <c r="AI2104"/>
  <c r="AH2104"/>
  <c r="AG2104"/>
  <c r="AF2104"/>
  <c r="AE2104"/>
  <c r="AD2104"/>
  <c r="AC2104"/>
  <c r="AI2103"/>
  <c r="AH2103"/>
  <c r="AG2103"/>
  <c r="AF2103"/>
  <c r="AE2103"/>
  <c r="AD2103"/>
  <c r="AC2103"/>
  <c r="AI2102"/>
  <c r="AH2102"/>
  <c r="AG2102"/>
  <c r="AF2102"/>
  <c r="AE2102"/>
  <c r="AD2102"/>
  <c r="AC2102"/>
  <c r="AI2101"/>
  <c r="AH2101"/>
  <c r="AG2101"/>
  <c r="AF2101"/>
  <c r="AE2101"/>
  <c r="AD2101"/>
  <c r="AC2101"/>
  <c r="AI2100"/>
  <c r="AH2100"/>
  <c r="AG2100"/>
  <c r="AF2100"/>
  <c r="AE2100"/>
  <c r="AD2100"/>
  <c r="AC2100"/>
  <c r="AI2099"/>
  <c r="AH2099"/>
  <c r="AG2099"/>
  <c r="AF2099"/>
  <c r="AE2099"/>
  <c r="AD2099"/>
  <c r="AC2099"/>
  <c r="AI2098"/>
  <c r="AH2098"/>
  <c r="AG2098"/>
  <c r="AF2098"/>
  <c r="AE2098"/>
  <c r="AD2098"/>
  <c r="AC2098"/>
  <c r="AI2097"/>
  <c r="AH2097"/>
  <c r="AG2097"/>
  <c r="AF2097"/>
  <c r="AE2097"/>
  <c r="AD2097"/>
  <c r="AC2097"/>
  <c r="AI2096"/>
  <c r="AH2096"/>
  <c r="AG2096"/>
  <c r="AF2096"/>
  <c r="AE2096"/>
  <c r="AD2096"/>
  <c r="AC2096"/>
  <c r="AI2095"/>
  <c r="AH2095"/>
  <c r="AG2095"/>
  <c r="AF2095"/>
  <c r="AE2095"/>
  <c r="AD2095"/>
  <c r="AC2095"/>
  <c r="AI2094"/>
  <c r="AH2094"/>
  <c r="AG2094"/>
  <c r="AF2094"/>
  <c r="AE2094"/>
  <c r="AD2094"/>
  <c r="AC2094"/>
  <c r="AI2093"/>
  <c r="AH2093"/>
  <c r="AG2093"/>
  <c r="AF2093"/>
  <c r="AE2093"/>
  <c r="AD2093"/>
  <c r="AC2093"/>
  <c r="AI2092"/>
  <c r="AH2092"/>
  <c r="AG2092"/>
  <c r="AF2092"/>
  <c r="AE2092"/>
  <c r="AD2092"/>
  <c r="AC2092"/>
  <c r="AI2091"/>
  <c r="AH2091"/>
  <c r="AG2091"/>
  <c r="AF2091"/>
  <c r="AE2091"/>
  <c r="AD2091"/>
  <c r="AC2091"/>
  <c r="AI2090"/>
  <c r="AH2090"/>
  <c r="AG2090"/>
  <c r="AF2090"/>
  <c r="AE2090"/>
  <c r="AD2090"/>
  <c r="AC2090"/>
  <c r="AI2089"/>
  <c r="AH2089"/>
  <c r="AG2089"/>
  <c r="AF2089"/>
  <c r="AE2089"/>
  <c r="AD2089"/>
  <c r="AC2089"/>
  <c r="AI2088"/>
  <c r="AH2088"/>
  <c r="AG2088"/>
  <c r="AF2088"/>
  <c r="AE2088"/>
  <c r="AD2088"/>
  <c r="AC2088"/>
  <c r="AI2087"/>
  <c r="AH2087"/>
  <c r="AG2087"/>
  <c r="AF2087"/>
  <c r="AE2087"/>
  <c r="AD2087"/>
  <c r="AC2087"/>
  <c r="AI2086"/>
  <c r="AH2086"/>
  <c r="AG2086"/>
  <c r="AF2086"/>
  <c r="AE2086"/>
  <c r="AD2086"/>
  <c r="AC2086"/>
  <c r="AI2085"/>
  <c r="AH2085"/>
  <c r="AG2085"/>
  <c r="AF2085"/>
  <c r="AE2085"/>
  <c r="AD2085"/>
  <c r="AC2085"/>
  <c r="AI2084"/>
  <c r="AH2084"/>
  <c r="AG2084"/>
  <c r="AF2084"/>
  <c r="AE2084"/>
  <c r="AD2084"/>
  <c r="AC2084"/>
  <c r="AI2083"/>
  <c r="AH2083"/>
  <c r="AG2083"/>
  <c r="AF2083"/>
  <c r="AE2083"/>
  <c r="AD2083"/>
  <c r="AC2083"/>
  <c r="AI2082"/>
  <c r="AH2082"/>
  <c r="AG2082"/>
  <c r="AF2082"/>
  <c r="AE2082"/>
  <c r="AD2082"/>
  <c r="AC2082"/>
  <c r="AI2081"/>
  <c r="AH2081"/>
  <c r="AG2081"/>
  <c r="AF2081"/>
  <c r="AE2081"/>
  <c r="AD2081"/>
  <c r="AC2081"/>
  <c r="AI2080"/>
  <c r="AH2080"/>
  <c r="AG2080"/>
  <c r="AF2080"/>
  <c r="AE2080"/>
  <c r="AD2080"/>
  <c r="AC2080"/>
  <c r="AI2079"/>
  <c r="AH2079"/>
  <c r="AG2079"/>
  <c r="AF2079"/>
  <c r="AE2079"/>
  <c r="AD2079"/>
  <c r="AC2079"/>
  <c r="AI2078"/>
  <c r="AH2078"/>
  <c r="AG2078"/>
  <c r="AF2078"/>
  <c r="AE2078"/>
  <c r="AD2078"/>
  <c r="AC2078"/>
  <c r="AI2077"/>
  <c r="AH2077"/>
  <c r="AG2077"/>
  <c r="AF2077"/>
  <c r="AE2077"/>
  <c r="AD2077"/>
  <c r="AC2077"/>
  <c r="AI2076"/>
  <c r="AH2076"/>
  <c r="AG2076"/>
  <c r="AF2076"/>
  <c r="AE2076"/>
  <c r="AD2076"/>
  <c r="AC2076"/>
  <c r="AI2075"/>
  <c r="AH2075"/>
  <c r="AG2075"/>
  <c r="AF2075"/>
  <c r="AE2075"/>
  <c r="AD2075"/>
  <c r="AC2075"/>
  <c r="AI2074"/>
  <c r="AH2074"/>
  <c r="AG2074"/>
  <c r="AF2074"/>
  <c r="AE2074"/>
  <c r="AD2074"/>
  <c r="AC2074"/>
  <c r="AI2073"/>
  <c r="AH2073"/>
  <c r="AG2073"/>
  <c r="AF2073"/>
  <c r="AE2073"/>
  <c r="AD2073"/>
  <c r="AC2073"/>
  <c r="AI2072"/>
  <c r="AH2072"/>
  <c r="AG2072"/>
  <c r="AF2072"/>
  <c r="AE2072"/>
  <c r="AD2072"/>
  <c r="AC2072"/>
  <c r="AI2071"/>
  <c r="AH2071"/>
  <c r="AG2071"/>
  <c r="AF2071"/>
  <c r="AE2071"/>
  <c r="AD2071"/>
  <c r="AC2071"/>
  <c r="AI2070"/>
  <c r="AH2070"/>
  <c r="AG2070"/>
  <c r="AF2070"/>
  <c r="AE2070"/>
  <c r="AD2070"/>
  <c r="AC2070"/>
  <c r="AI2069"/>
  <c r="AH2069"/>
  <c r="AG2069"/>
  <c r="AF2069"/>
  <c r="AE2069"/>
  <c r="AD2069"/>
  <c r="AC2069"/>
  <c r="AI2068"/>
  <c r="AH2068"/>
  <c r="AG2068"/>
  <c r="AF2068"/>
  <c r="AE2068"/>
  <c r="AD2068"/>
  <c r="AC2068"/>
  <c r="AI2067"/>
  <c r="AH2067"/>
  <c r="AG2067"/>
  <c r="AF2067"/>
  <c r="AE2067"/>
  <c r="AD2067"/>
  <c r="AC2067"/>
  <c r="AI2066"/>
  <c r="AH2066"/>
  <c r="AG2066"/>
  <c r="AF2066"/>
  <c r="AE2066"/>
  <c r="AD2066"/>
  <c r="AC2066"/>
  <c r="AI2065"/>
  <c r="AH2065"/>
  <c r="AG2065"/>
  <c r="AF2065"/>
  <c r="AE2065"/>
  <c r="AD2065"/>
  <c r="AC2065"/>
  <c r="AI2064"/>
  <c r="AH2064"/>
  <c r="AG2064"/>
  <c r="AF2064"/>
  <c r="AE2064"/>
  <c r="AD2064"/>
  <c r="AC2064"/>
  <c r="AI2063"/>
  <c r="AH2063"/>
  <c r="AG2063"/>
  <c r="AF2063"/>
  <c r="AE2063"/>
  <c r="AD2063"/>
  <c r="AC2063"/>
  <c r="AI2062"/>
  <c r="AH2062"/>
  <c r="AG2062"/>
  <c r="AF2062"/>
  <c r="AE2062"/>
  <c r="AD2062"/>
  <c r="AC2062"/>
  <c r="AI2061"/>
  <c r="AH2061"/>
  <c r="AG2061"/>
  <c r="AF2061"/>
  <c r="AE2061"/>
  <c r="AD2061"/>
  <c r="AC2061"/>
  <c r="AI2060"/>
  <c r="AH2060"/>
  <c r="AG2060"/>
  <c r="AF2060"/>
  <c r="AE2060"/>
  <c r="AD2060"/>
  <c r="AC2060"/>
  <c r="AI2059"/>
  <c r="AH2059"/>
  <c r="AG2059"/>
  <c r="AF2059"/>
  <c r="AE2059"/>
  <c r="AD2059"/>
  <c r="AC2059"/>
  <c r="AI2058"/>
  <c r="AH2058"/>
  <c r="AG2058"/>
  <c r="AF2058"/>
  <c r="AE2058"/>
  <c r="AD2058"/>
  <c r="AC2058"/>
  <c r="AI2057"/>
  <c r="AH2057"/>
  <c r="AG2057"/>
  <c r="AF2057"/>
  <c r="AE2057"/>
  <c r="AD2057"/>
  <c r="AC2057"/>
  <c r="AI2056"/>
  <c r="AH2056"/>
  <c r="AG2056"/>
  <c r="AF2056"/>
  <c r="AE2056"/>
  <c r="AD2056"/>
  <c r="AC2056"/>
  <c r="AI2055"/>
  <c r="AH2055"/>
  <c r="AG2055"/>
  <c r="AF2055"/>
  <c r="AE2055"/>
  <c r="AD2055"/>
  <c r="AC2055"/>
  <c r="AI2054"/>
  <c r="AH2054"/>
  <c r="AG2054"/>
  <c r="AF2054"/>
  <c r="AE2054"/>
  <c r="AD2054"/>
  <c r="AC2054"/>
  <c r="AI2053"/>
  <c r="AH2053"/>
  <c r="AG2053"/>
  <c r="AF2053"/>
  <c r="AE2053"/>
  <c r="AD2053"/>
  <c r="AC2053"/>
  <c r="AI2052"/>
  <c r="AH2052"/>
  <c r="AG2052"/>
  <c r="AF2052"/>
  <c r="AE2052"/>
  <c r="AD2052"/>
  <c r="AC2052"/>
  <c r="AI2051"/>
  <c r="AH2051"/>
  <c r="AG2051"/>
  <c r="AF2051"/>
  <c r="AE2051"/>
  <c r="AD2051"/>
  <c r="AC2051"/>
  <c r="AI2050"/>
  <c r="AH2050"/>
  <c r="AG2050"/>
  <c r="AF2050"/>
  <c r="AE2050"/>
  <c r="AD2050"/>
  <c r="AC2050"/>
  <c r="AI2049"/>
  <c r="AH2049"/>
  <c r="AG2049"/>
  <c r="AF2049"/>
  <c r="AE2049"/>
  <c r="AD2049"/>
  <c r="AC2049"/>
  <c r="AI2048"/>
  <c r="AH2048"/>
  <c r="AG2048"/>
  <c r="AF2048"/>
  <c r="AE2048"/>
  <c r="AD2048"/>
  <c r="AC2048"/>
  <c r="AI2047"/>
  <c r="AH2047"/>
  <c r="AG2047"/>
  <c r="AF2047"/>
  <c r="AE2047"/>
  <c r="AD2047"/>
  <c r="AC2047"/>
  <c r="AI2046"/>
  <c r="AH2046"/>
  <c r="AG2046"/>
  <c r="AF2046"/>
  <c r="AE2046"/>
  <c r="AD2046"/>
  <c r="AC2046"/>
  <c r="AI2045"/>
  <c r="AH2045"/>
  <c r="AG2045"/>
  <c r="AF2045"/>
  <c r="AE2045"/>
  <c r="AD2045"/>
  <c r="AC2045"/>
  <c r="AI2044"/>
  <c r="AH2044"/>
  <c r="AG2044"/>
  <c r="AF2044"/>
  <c r="AE2044"/>
  <c r="AD2044"/>
  <c r="AC2044"/>
  <c r="AI2043"/>
  <c r="AH2043"/>
  <c r="AG2043"/>
  <c r="AF2043"/>
  <c r="AE2043"/>
  <c r="AD2043"/>
  <c r="AC2043"/>
  <c r="AI2042"/>
  <c r="AH2042"/>
  <c r="AG2042"/>
  <c r="AF2042"/>
  <c r="AE2042"/>
  <c r="AD2042"/>
  <c r="AC2042"/>
  <c r="AI2041"/>
  <c r="AH2041"/>
  <c r="AG2041"/>
  <c r="AF2041"/>
  <c r="AE2041"/>
  <c r="AD2041"/>
  <c r="AC2041"/>
  <c r="AI2040"/>
  <c r="AH2040"/>
  <c r="AG2040"/>
  <c r="AF2040"/>
  <c r="AE2040"/>
  <c r="AD2040"/>
  <c r="AC2040"/>
  <c r="AI2039"/>
  <c r="AH2039"/>
  <c r="AG2039"/>
  <c r="AF2039"/>
  <c r="AE2039"/>
  <c r="AD2039"/>
  <c r="AC2039"/>
  <c r="AI2038"/>
  <c r="AH2038"/>
  <c r="AG2038"/>
  <c r="AF2038"/>
  <c r="AE2038"/>
  <c r="AD2038"/>
  <c r="AC2038"/>
  <c r="AI2037"/>
  <c r="AH2037"/>
  <c r="AG2037"/>
  <c r="AF2037"/>
  <c r="AE2037"/>
  <c r="AD2037"/>
  <c r="AC2037"/>
  <c r="AI2036"/>
  <c r="AH2036"/>
  <c r="AG2036"/>
  <c r="AF2036"/>
  <c r="AE2036"/>
  <c r="AD2036"/>
  <c r="AC2036"/>
  <c r="AI2035"/>
  <c r="AH2035"/>
  <c r="AG2035"/>
  <c r="AF2035"/>
  <c r="AE2035"/>
  <c r="AD2035"/>
  <c r="AC2035"/>
  <c r="AI2034"/>
  <c r="AH2034"/>
  <c r="AG2034"/>
  <c r="AF2034"/>
  <c r="AE2034"/>
  <c r="AD2034"/>
  <c r="AC2034"/>
  <c r="AI2033"/>
  <c r="AH2033"/>
  <c r="AG2033"/>
  <c r="AF2033"/>
  <c r="AE2033"/>
  <c r="AD2033"/>
  <c r="AC2033"/>
  <c r="AI2032"/>
  <c r="AH2032"/>
  <c r="AG2032"/>
  <c r="AF2032"/>
  <c r="AE2032"/>
  <c r="AD2032"/>
  <c r="AC2032"/>
  <c r="AI2031"/>
  <c r="AH2031"/>
  <c r="AG2031"/>
  <c r="AF2031"/>
  <c r="AE2031"/>
  <c r="AD2031"/>
  <c r="AC2031"/>
  <c r="AI2030"/>
  <c r="AH2030"/>
  <c r="AG2030"/>
  <c r="AF2030"/>
  <c r="AE2030"/>
  <c r="AD2030"/>
  <c r="AC2030"/>
  <c r="AI2029"/>
  <c r="AH2029"/>
  <c r="AG2029"/>
  <c r="AF2029"/>
  <c r="AE2029"/>
  <c r="AD2029"/>
  <c r="AC2029"/>
  <c r="AI2028"/>
  <c r="AH2028"/>
  <c r="AG2028"/>
  <c r="AF2028"/>
  <c r="AE2028"/>
  <c r="AD2028"/>
  <c r="AC2028"/>
  <c r="AI2027"/>
  <c r="AH2027"/>
  <c r="AG2027"/>
  <c r="AF2027"/>
  <c r="AE2027"/>
  <c r="AD2027"/>
  <c r="AC2027"/>
  <c r="AI2026"/>
  <c r="AH2026"/>
  <c r="AG2026"/>
  <c r="AF2026"/>
  <c r="AE2026"/>
  <c r="AD2026"/>
  <c r="AC2026"/>
  <c r="AI2025"/>
  <c r="AH2025"/>
  <c r="AG2025"/>
  <c r="AF2025"/>
  <c r="AE2025"/>
  <c r="AD2025"/>
  <c r="AC2025"/>
  <c r="AI2024"/>
  <c r="AH2024"/>
  <c r="AG2024"/>
  <c r="AF2024"/>
  <c r="AE2024"/>
  <c r="AD2024"/>
  <c r="AC2024"/>
  <c r="AI2023"/>
  <c r="AH2023"/>
  <c r="AG2023"/>
  <c r="AF2023"/>
  <c r="AE2023"/>
  <c r="AD2023"/>
  <c r="AC2023"/>
  <c r="AI2022"/>
  <c r="AH2022"/>
  <c r="AG2022"/>
  <c r="AF2022"/>
  <c r="AE2022"/>
  <c r="AD2022"/>
  <c r="AC2022"/>
  <c r="AI2021"/>
  <c r="AH2021"/>
  <c r="AG2021"/>
  <c r="AF2021"/>
  <c r="AE2021"/>
  <c r="AD2021"/>
  <c r="AC2021"/>
  <c r="AI2020"/>
  <c r="AH2020"/>
  <c r="AG2020"/>
  <c r="AF2020"/>
  <c r="AE2020"/>
  <c r="AD2020"/>
  <c r="AC2020"/>
  <c r="AI2019"/>
  <c r="AH2019"/>
  <c r="AG2019"/>
  <c r="AF2019"/>
  <c r="AE2019"/>
  <c r="AD2019"/>
  <c r="AC2019"/>
  <c r="AI2018"/>
  <c r="AH2018"/>
  <c r="AG2018"/>
  <c r="AF2018"/>
  <c r="AE2018"/>
  <c r="AD2018"/>
  <c r="AC2018"/>
  <c r="AI2017"/>
  <c r="AH2017"/>
  <c r="AG2017"/>
  <c r="AF2017"/>
  <c r="AE2017"/>
  <c r="AD2017"/>
  <c r="AC2017"/>
  <c r="AI2016"/>
  <c r="AH2016"/>
  <c r="AG2016"/>
  <c r="AF2016"/>
  <c r="AE2016"/>
  <c r="AD2016"/>
  <c r="AC2016"/>
  <c r="AI2015"/>
  <c r="AH2015"/>
  <c r="AG2015"/>
  <c r="AF2015"/>
  <c r="AE2015"/>
  <c r="AD2015"/>
  <c r="AC2015"/>
  <c r="AI2014"/>
  <c r="AH2014"/>
  <c r="AG2014"/>
  <c r="AF2014"/>
  <c r="AE2014"/>
  <c r="AD2014"/>
  <c r="AC2014"/>
  <c r="AI2013"/>
  <c r="AH2013"/>
  <c r="AG2013"/>
  <c r="AF2013"/>
  <c r="AE2013"/>
  <c r="AD2013"/>
  <c r="AC2013"/>
  <c r="AI2012"/>
  <c r="AH2012"/>
  <c r="AG2012"/>
  <c r="AF2012"/>
  <c r="AE2012"/>
  <c r="AD2012"/>
  <c r="AC2012"/>
  <c r="AI2011"/>
  <c r="AH2011"/>
  <c r="AG2011"/>
  <c r="AF2011"/>
  <c r="AE2011"/>
  <c r="AD2011"/>
  <c r="AC2011"/>
  <c r="AI2010"/>
  <c r="AH2010"/>
  <c r="AG2010"/>
  <c r="AF2010"/>
  <c r="AE2010"/>
  <c r="AD2010"/>
  <c r="AC2010"/>
  <c r="AI2009"/>
  <c r="AH2009"/>
  <c r="AG2009"/>
  <c r="AF2009"/>
  <c r="AE2009"/>
  <c r="AD2009"/>
  <c r="AC2009"/>
  <c r="AI2008"/>
  <c r="AH2008"/>
  <c r="AG2008"/>
  <c r="AF2008"/>
  <c r="AE2008"/>
  <c r="AD2008"/>
  <c r="AC2008"/>
  <c r="AI2007"/>
  <c r="AH2007"/>
  <c r="AG2007"/>
  <c r="AF2007"/>
  <c r="AE2007"/>
  <c r="AD2007"/>
  <c r="AC2007"/>
  <c r="AI2006"/>
  <c r="AH2006"/>
  <c r="AG2006"/>
  <c r="AF2006"/>
  <c r="AE2006"/>
  <c r="AD2006"/>
  <c r="AC2006"/>
  <c r="AI2005"/>
  <c r="AH2005"/>
  <c r="AG2005"/>
  <c r="AF2005"/>
  <c r="AE2005"/>
  <c r="AD2005"/>
  <c r="AC2005"/>
  <c r="AI2004"/>
  <c r="AH2004"/>
  <c r="AG2004"/>
  <c r="AF2004"/>
  <c r="AE2004"/>
  <c r="AD2004"/>
  <c r="AC2004"/>
  <c r="AI2003"/>
  <c r="AH2003"/>
  <c r="AG2003"/>
  <c r="AF2003"/>
  <c r="AE2003"/>
  <c r="AD2003"/>
  <c r="AC2003"/>
  <c r="AI2002"/>
  <c r="AH2002"/>
  <c r="AG2002"/>
  <c r="AF2002"/>
  <c r="AE2002"/>
  <c r="AD2002"/>
  <c r="AC2002"/>
  <c r="AI2001"/>
  <c r="AH2001"/>
  <c r="AG2001"/>
  <c r="AF2001"/>
  <c r="AE2001"/>
  <c r="AD2001"/>
  <c r="AC2001"/>
  <c r="AI2000"/>
  <c r="AH2000"/>
  <c r="AG2000"/>
  <c r="AF2000"/>
  <c r="AE2000"/>
  <c r="AD2000"/>
  <c r="AC2000"/>
  <c r="AI1999"/>
  <c r="AH1999"/>
  <c r="AG1999"/>
  <c r="AF1999"/>
  <c r="AE1999"/>
  <c r="AD1999"/>
  <c r="AC1999"/>
  <c r="AI1998"/>
  <c r="AH1998"/>
  <c r="AG1998"/>
  <c r="AF1998"/>
  <c r="AE1998"/>
  <c r="AD1998"/>
  <c r="AC1998"/>
  <c r="AI1997"/>
  <c r="AH1997"/>
  <c r="AG1997"/>
  <c r="AF1997"/>
  <c r="AE1997"/>
  <c r="AD1997"/>
  <c r="AC1997"/>
  <c r="AI1996"/>
  <c r="AH1996"/>
  <c r="AG1996"/>
  <c r="AF1996"/>
  <c r="AE1996"/>
  <c r="AD1996"/>
  <c r="AC1996"/>
  <c r="AI1995"/>
  <c r="AH1995"/>
  <c r="AG1995"/>
  <c r="AF1995"/>
  <c r="AE1995"/>
  <c r="AD1995"/>
  <c r="AC1995"/>
  <c r="AI1994"/>
  <c r="AH1994"/>
  <c r="AG1994"/>
  <c r="AF1994"/>
  <c r="AE1994"/>
  <c r="AD1994"/>
  <c r="AC1994"/>
  <c r="AI1993"/>
  <c r="AH1993"/>
  <c r="AG1993"/>
  <c r="AF1993"/>
  <c r="AE1993"/>
  <c r="AD1993"/>
  <c r="AC1993"/>
  <c r="AI1992"/>
  <c r="AH1992"/>
  <c r="AG1992"/>
  <c r="AF1992"/>
  <c r="AE1992"/>
  <c r="AD1992"/>
  <c r="AC1992"/>
  <c r="AI1991"/>
  <c r="AH1991"/>
  <c r="AG1991"/>
  <c r="AF1991"/>
  <c r="AE1991"/>
  <c r="AD1991"/>
  <c r="AC1991"/>
  <c r="AI1990"/>
  <c r="AH1990"/>
  <c r="AG1990"/>
  <c r="AF1990"/>
  <c r="AE1990"/>
  <c r="AD1990"/>
  <c r="AC1990"/>
  <c r="AI1989"/>
  <c r="AH1989"/>
  <c r="AG1989"/>
  <c r="AF1989"/>
  <c r="AE1989"/>
  <c r="AD1989"/>
  <c r="AC1989"/>
  <c r="AI1988"/>
  <c r="AH1988"/>
  <c r="AG1988"/>
  <c r="AF1988"/>
  <c r="AE1988"/>
  <c r="AD1988"/>
  <c r="AC1988"/>
  <c r="AI1987"/>
  <c r="AH1987"/>
  <c r="AG1987"/>
  <c r="AF1987"/>
  <c r="AE1987"/>
  <c r="AD1987"/>
  <c r="AC1987"/>
  <c r="AI1986"/>
  <c r="AH1986"/>
  <c r="AG1986"/>
  <c r="AF1986"/>
  <c r="AE1986"/>
  <c r="AD1986"/>
  <c r="AC1986"/>
  <c r="AI1985"/>
  <c r="AH1985"/>
  <c r="AG1985"/>
  <c r="AF1985"/>
  <c r="AE1985"/>
  <c r="AD1985"/>
  <c r="AC1985"/>
  <c r="AI1984"/>
  <c r="AH1984"/>
  <c r="AG1984"/>
  <c r="AF1984"/>
  <c r="AE1984"/>
  <c r="AD1984"/>
  <c r="AC1984"/>
  <c r="AI1983"/>
  <c r="AH1983"/>
  <c r="AG1983"/>
  <c r="AF1983"/>
  <c r="AE1983"/>
  <c r="AD1983"/>
  <c r="AC1983"/>
  <c r="AI1982"/>
  <c r="AH1982"/>
  <c r="AG1982"/>
  <c r="AF1982"/>
  <c r="AE1982"/>
  <c r="AD1982"/>
  <c r="AC1982"/>
  <c r="AI1981"/>
  <c r="AH1981"/>
  <c r="AG1981"/>
  <c r="AF1981"/>
  <c r="AE1981"/>
  <c r="AD1981"/>
  <c r="AC1981"/>
  <c r="AI1980"/>
  <c r="AH1980"/>
  <c r="AG1980"/>
  <c r="AF1980"/>
  <c r="AE1980"/>
  <c r="AD1980"/>
  <c r="AC1980"/>
  <c r="AI1979"/>
  <c r="AH1979"/>
  <c r="AG1979"/>
  <c r="AF1979"/>
  <c r="AE1979"/>
  <c r="AD1979"/>
  <c r="AC1979"/>
  <c r="AI1978"/>
  <c r="AH1978"/>
  <c r="AG1978"/>
  <c r="AF1978"/>
  <c r="AE1978"/>
  <c r="AD1978"/>
  <c r="AC1978"/>
  <c r="AI1977"/>
  <c r="AH1977"/>
  <c r="AG1977"/>
  <c r="AF1977"/>
  <c r="AE1977"/>
  <c r="AD1977"/>
  <c r="AC1977"/>
  <c r="AI1976"/>
  <c r="AH1976"/>
  <c r="AG1976"/>
  <c r="AF1976"/>
  <c r="AE1976"/>
  <c r="AD1976"/>
  <c r="AC1976"/>
  <c r="AI1975"/>
  <c r="AH1975"/>
  <c r="AG1975"/>
  <c r="AF1975"/>
  <c r="AE1975"/>
  <c r="AD1975"/>
  <c r="AC1975"/>
  <c r="AI1974"/>
  <c r="AH1974"/>
  <c r="AG1974"/>
  <c r="AF1974"/>
  <c r="AE1974"/>
  <c r="AD1974"/>
  <c r="AC1974"/>
  <c r="AI1973"/>
  <c r="AH1973"/>
  <c r="AG1973"/>
  <c r="AF1973"/>
  <c r="AE1973"/>
  <c r="AD1973"/>
  <c r="AC1973"/>
  <c r="AI1972"/>
  <c r="AH1972"/>
  <c r="AG1972"/>
  <c r="AF1972"/>
  <c r="AE1972"/>
  <c r="AD1972"/>
  <c r="AC1972"/>
  <c r="AI1971"/>
  <c r="AH1971"/>
  <c r="AG1971"/>
  <c r="AF1971"/>
  <c r="AE1971"/>
  <c r="AD1971"/>
  <c r="AC1971"/>
  <c r="AI1970"/>
  <c r="AH1970"/>
  <c r="AG1970"/>
  <c r="AF1970"/>
  <c r="AE1970"/>
  <c r="AD1970"/>
  <c r="AC1970"/>
  <c r="AI1969"/>
  <c r="AH1969"/>
  <c r="AG1969"/>
  <c r="AF1969"/>
  <c r="AE1969"/>
  <c r="AD1969"/>
  <c r="AC1969"/>
  <c r="AI1968"/>
  <c r="AH1968"/>
  <c r="AG1968"/>
  <c r="AF1968"/>
  <c r="AE1968"/>
  <c r="AD1968"/>
  <c r="AC1968"/>
  <c r="AI1967"/>
  <c r="AH1967"/>
  <c r="AG1967"/>
  <c r="AF1967"/>
  <c r="AE1967"/>
  <c r="AD1967"/>
  <c r="AC1967"/>
  <c r="AI1966"/>
  <c r="AH1966"/>
  <c r="AG1966"/>
  <c r="AF1966"/>
  <c r="AE1966"/>
  <c r="AD1966"/>
  <c r="AC1966"/>
  <c r="AI1965"/>
  <c r="AH1965"/>
  <c r="AG1965"/>
  <c r="AF1965"/>
  <c r="AE1965"/>
  <c r="AD1965"/>
  <c r="AC1965"/>
  <c r="AI1964"/>
  <c r="AH1964"/>
  <c r="AG1964"/>
  <c r="AF1964"/>
  <c r="AE1964"/>
  <c r="AD1964"/>
  <c r="AC1964"/>
  <c r="AI1963"/>
  <c r="AH1963"/>
  <c r="AG1963"/>
  <c r="AF1963"/>
  <c r="AE1963"/>
  <c r="AD1963"/>
  <c r="AC1963"/>
  <c r="AI1962"/>
  <c r="AH1962"/>
  <c r="AG1962"/>
  <c r="AF1962"/>
  <c r="AE1962"/>
  <c r="AD1962"/>
  <c r="AC1962"/>
  <c r="AI1961"/>
  <c r="AH1961"/>
  <c r="AG1961"/>
  <c r="AF1961"/>
  <c r="AE1961"/>
  <c r="AD1961"/>
  <c r="AC1961"/>
  <c r="AI1960"/>
  <c r="AH1960"/>
  <c r="AG1960"/>
  <c r="AF1960"/>
  <c r="AE1960"/>
  <c r="AD1960"/>
  <c r="AC1960"/>
  <c r="AI1959"/>
  <c r="AH1959"/>
  <c r="AG1959"/>
  <c r="AF1959"/>
  <c r="AE1959"/>
  <c r="AD1959"/>
  <c r="AC1959"/>
  <c r="AI1958"/>
  <c r="AH1958"/>
  <c r="AG1958"/>
  <c r="AF1958"/>
  <c r="AE1958"/>
  <c r="AD1958"/>
  <c r="AC1958"/>
  <c r="AI1957"/>
  <c r="AH1957"/>
  <c r="AG1957"/>
  <c r="AF1957"/>
  <c r="AE1957"/>
  <c r="AD1957"/>
  <c r="AC1957"/>
  <c r="AI1956"/>
  <c r="AH1956"/>
  <c r="AG1956"/>
  <c r="AF1956"/>
  <c r="AE1956"/>
  <c r="AD1956"/>
  <c r="AC1956"/>
  <c r="AI1955"/>
  <c r="AH1955"/>
  <c r="AG1955"/>
  <c r="AF1955"/>
  <c r="AE1955"/>
  <c r="AD1955"/>
  <c r="AC1955"/>
  <c r="AI1954"/>
  <c r="AH1954"/>
  <c r="AG1954"/>
  <c r="AF1954"/>
  <c r="AE1954"/>
  <c r="AD1954"/>
  <c r="AC1954"/>
  <c r="AI1953"/>
  <c r="AH1953"/>
  <c r="AG1953"/>
  <c r="AF1953"/>
  <c r="AE1953"/>
  <c r="AD1953"/>
  <c r="AC1953"/>
  <c r="AI1952"/>
  <c r="AH1952"/>
  <c r="AG1952"/>
  <c r="AF1952"/>
  <c r="AE1952"/>
  <c r="AD1952"/>
  <c r="AC1952"/>
  <c r="AI1951"/>
  <c r="AH1951"/>
  <c r="AG1951"/>
  <c r="AF1951"/>
  <c r="AE1951"/>
  <c r="AD1951"/>
  <c r="AC1951"/>
  <c r="AI1950"/>
  <c r="AH1950"/>
  <c r="AG1950"/>
  <c r="AF1950"/>
  <c r="AE1950"/>
  <c r="AD1950"/>
  <c r="AC1950"/>
  <c r="AI1949"/>
  <c r="AH1949"/>
  <c r="AG1949"/>
  <c r="AF1949"/>
  <c r="AE1949"/>
  <c r="AD1949"/>
  <c r="AC1949"/>
  <c r="AI1948"/>
  <c r="AH1948"/>
  <c r="AG1948"/>
  <c r="AF1948"/>
  <c r="AE1948"/>
  <c r="AD1948"/>
  <c r="AC1948"/>
  <c r="AI1947"/>
  <c r="AH1947"/>
  <c r="AG1947"/>
  <c r="AF1947"/>
  <c r="AE1947"/>
  <c r="AD1947"/>
  <c r="AC1947"/>
  <c r="AI1946"/>
  <c r="AH1946"/>
  <c r="AG1946"/>
  <c r="AF1946"/>
  <c r="AE1946"/>
  <c r="AD1946"/>
  <c r="AC1946"/>
  <c r="AI1945"/>
  <c r="AH1945"/>
  <c r="AG1945"/>
  <c r="AF1945"/>
  <c r="AE1945"/>
  <c r="AD1945"/>
  <c r="AC1945"/>
  <c r="AI1944"/>
  <c r="AH1944"/>
  <c r="AG1944"/>
  <c r="AF1944"/>
  <c r="AE1944"/>
  <c r="AD1944"/>
  <c r="AC1944"/>
  <c r="AI1943"/>
  <c r="AH1943"/>
  <c r="AG1943"/>
  <c r="AF1943"/>
  <c r="AE1943"/>
  <c r="AD1943"/>
  <c r="AC1943"/>
  <c r="AI1942"/>
  <c r="AH1942"/>
  <c r="AG1942"/>
  <c r="AF1942"/>
  <c r="AE1942"/>
  <c r="AD1942"/>
  <c r="AC1942"/>
  <c r="AI1941"/>
  <c r="AH1941"/>
  <c r="AG1941"/>
  <c r="AF1941"/>
  <c r="AE1941"/>
  <c r="AD1941"/>
  <c r="AC1941"/>
  <c r="AI1940"/>
  <c r="AH1940"/>
  <c r="AG1940"/>
  <c r="AF1940"/>
  <c r="AE1940"/>
  <c r="AD1940"/>
  <c r="AC1940"/>
  <c r="AI1939"/>
  <c r="AH1939"/>
  <c r="AG1939"/>
  <c r="AF1939"/>
  <c r="AE1939"/>
  <c r="AD1939"/>
  <c r="AC1939"/>
  <c r="AI1938"/>
  <c r="AH1938"/>
  <c r="AG1938"/>
  <c r="AF1938"/>
  <c r="AE1938"/>
  <c r="AD1938"/>
  <c r="AC1938"/>
  <c r="AI1937"/>
  <c r="AH1937"/>
  <c r="AG1937"/>
  <c r="AF1937"/>
  <c r="AE1937"/>
  <c r="AD1937"/>
  <c r="AC1937"/>
  <c r="AI1936"/>
  <c r="AH1936"/>
  <c r="AG1936"/>
  <c r="AF1936"/>
  <c r="AE1936"/>
  <c r="AD1936"/>
  <c r="AC1936"/>
  <c r="AI1935"/>
  <c r="AH1935"/>
  <c r="AG1935"/>
  <c r="AF1935"/>
  <c r="AE1935"/>
  <c r="AD1935"/>
  <c r="AC1935"/>
  <c r="AI1934"/>
  <c r="AH1934"/>
  <c r="AG1934"/>
  <c r="AF1934"/>
  <c r="AE1934"/>
  <c r="AD1934"/>
  <c r="AC1934"/>
  <c r="AI1933"/>
  <c r="AH1933"/>
  <c r="AG1933"/>
  <c r="AF1933"/>
  <c r="AE1933"/>
  <c r="AD1933"/>
  <c r="AC1933"/>
  <c r="AI1932"/>
  <c r="AH1932"/>
  <c r="AG1932"/>
  <c r="AF1932"/>
  <c r="AE1932"/>
  <c r="AD1932"/>
  <c r="AC1932"/>
  <c r="AI1931"/>
  <c r="AH1931"/>
  <c r="AG1931"/>
  <c r="AF1931"/>
  <c r="AE1931"/>
  <c r="AD1931"/>
  <c r="AC1931"/>
  <c r="AI1930"/>
  <c r="AH1930"/>
  <c r="AG1930"/>
  <c r="AF1930"/>
  <c r="AE1930"/>
  <c r="AD1930"/>
  <c r="AC1930"/>
  <c r="AI1929"/>
  <c r="AH1929"/>
  <c r="AG1929"/>
  <c r="AF1929"/>
  <c r="AE1929"/>
  <c r="AD1929"/>
  <c r="AC1929"/>
  <c r="AI1928"/>
  <c r="AH1928"/>
  <c r="AG1928"/>
  <c r="AF1928"/>
  <c r="AE1928"/>
  <c r="AD1928"/>
  <c r="AC1928"/>
  <c r="AI1927"/>
  <c r="AH1927"/>
  <c r="AG1927"/>
  <c r="AF1927"/>
  <c r="AE1927"/>
  <c r="AD1927"/>
  <c r="AC1927"/>
  <c r="AI1926"/>
  <c r="AH1926"/>
  <c r="AG1926"/>
  <c r="AF1926"/>
  <c r="AE1926"/>
  <c r="AD1926"/>
  <c r="AC1926"/>
  <c r="AI1925"/>
  <c r="AH1925"/>
  <c r="AG1925"/>
  <c r="AF1925"/>
  <c r="AE1925"/>
  <c r="AD1925"/>
  <c r="AC1925"/>
  <c r="AI1924"/>
  <c r="AH1924"/>
  <c r="AG1924"/>
  <c r="AF1924"/>
  <c r="AE1924"/>
  <c r="AD1924"/>
  <c r="AC1924"/>
  <c r="AI1923"/>
  <c r="AH1923"/>
  <c r="AG1923"/>
  <c r="AF1923"/>
  <c r="AE1923"/>
  <c r="AD1923"/>
  <c r="AC1923"/>
  <c r="AI1922"/>
  <c r="AH1922"/>
  <c r="AG1922"/>
  <c r="AF1922"/>
  <c r="AE1922"/>
  <c r="AD1922"/>
  <c r="AC1922"/>
  <c r="AI1921"/>
  <c r="AH1921"/>
  <c r="AG1921"/>
  <c r="AF1921"/>
  <c r="AE1921"/>
  <c r="AD1921"/>
  <c r="AC1921"/>
  <c r="AI1920"/>
  <c r="AH1920"/>
  <c r="AG1920"/>
  <c r="AF1920"/>
  <c r="AE1920"/>
  <c r="AD1920"/>
  <c r="AC1920"/>
  <c r="AI1919"/>
  <c r="AH1919"/>
  <c r="AG1919"/>
  <c r="AF1919"/>
  <c r="AE1919"/>
  <c r="AD1919"/>
  <c r="AC1919"/>
  <c r="AI1918"/>
  <c r="AH1918"/>
  <c r="AG1918"/>
  <c r="AF1918"/>
  <c r="AE1918"/>
  <c r="AD1918"/>
  <c r="AC1918"/>
  <c r="AI1917"/>
  <c r="AH1917"/>
  <c r="AG1917"/>
  <c r="AF1917"/>
  <c r="AE1917"/>
  <c r="AD1917"/>
  <c r="AC1917"/>
  <c r="AI1916"/>
  <c r="AH1916"/>
  <c r="AG1916"/>
  <c r="AF1916"/>
  <c r="AE1916"/>
  <c r="AD1916"/>
  <c r="AC1916"/>
  <c r="AI1915"/>
  <c r="AH1915"/>
  <c r="AG1915"/>
  <c r="AF1915"/>
  <c r="AE1915"/>
  <c r="AD1915"/>
  <c r="AC1915"/>
  <c r="AI1914"/>
  <c r="AH1914"/>
  <c r="AG1914"/>
  <c r="AF1914"/>
  <c r="AE1914"/>
  <c r="AD1914"/>
  <c r="AC1914"/>
  <c r="AI1913"/>
  <c r="AH1913"/>
  <c r="AG1913"/>
  <c r="AF1913"/>
  <c r="AE1913"/>
  <c r="AD1913"/>
  <c r="AC1913"/>
  <c r="AI1912"/>
  <c r="AH1912"/>
  <c r="AG1912"/>
  <c r="AF1912"/>
  <c r="AE1912"/>
  <c r="AD1912"/>
  <c r="AC1912"/>
  <c r="AI1911"/>
  <c r="AH1911"/>
  <c r="AG1911"/>
  <c r="AF1911"/>
  <c r="AE1911"/>
  <c r="AD1911"/>
  <c r="AC1911"/>
  <c r="AI1910"/>
  <c r="AH1910"/>
  <c r="AG1910"/>
  <c r="AF1910"/>
  <c r="AE1910"/>
  <c r="AD1910"/>
  <c r="AC1910"/>
  <c r="AI1909"/>
  <c r="AH1909"/>
  <c r="AG1909"/>
  <c r="AF1909"/>
  <c r="AE1909"/>
  <c r="AD1909"/>
  <c r="AC1909"/>
  <c r="AI1908"/>
  <c r="AH1908"/>
  <c r="AG1908"/>
  <c r="AF1908"/>
  <c r="AE1908"/>
  <c r="AD1908"/>
  <c r="AC1908"/>
  <c r="AI1907"/>
  <c r="AH1907"/>
  <c r="AG1907"/>
  <c r="AF1907"/>
  <c r="AE1907"/>
  <c r="AD1907"/>
  <c r="AC1907"/>
  <c r="AI1906"/>
  <c r="AH1906"/>
  <c r="AG1906"/>
  <c r="AF1906"/>
  <c r="AE1906"/>
  <c r="AD1906"/>
  <c r="AC1906"/>
  <c r="AI1905"/>
  <c r="AH1905"/>
  <c r="AG1905"/>
  <c r="AF1905"/>
  <c r="AE1905"/>
  <c r="AD1905"/>
  <c r="AC1905"/>
  <c r="AI1904"/>
  <c r="AH1904"/>
  <c r="AG1904"/>
  <c r="AF1904"/>
  <c r="AE1904"/>
  <c r="AD1904"/>
  <c r="AC1904"/>
  <c r="AI1903"/>
  <c r="AH1903"/>
  <c r="AG1903"/>
  <c r="AF1903"/>
  <c r="AE1903"/>
  <c r="AD1903"/>
  <c r="AC1903"/>
  <c r="AI1902"/>
  <c r="AH1902"/>
  <c r="AG1902"/>
  <c r="AF1902"/>
  <c r="AE1902"/>
  <c r="AD1902"/>
  <c r="AC1902"/>
  <c r="AI1901"/>
  <c r="AH1901"/>
  <c r="AG1901"/>
  <c r="AF1901"/>
  <c r="AE1901"/>
  <c r="AD1901"/>
  <c r="AC1901"/>
  <c r="AI1900"/>
  <c r="AH1900"/>
  <c r="AG1900"/>
  <c r="AF1900"/>
  <c r="AE1900"/>
  <c r="AD1900"/>
  <c r="AC1900"/>
  <c r="AI1899"/>
  <c r="AH1899"/>
  <c r="AG1899"/>
  <c r="AF1899"/>
  <c r="AE1899"/>
  <c r="AD1899"/>
  <c r="AC1899"/>
  <c r="AI1898"/>
  <c r="AH1898"/>
  <c r="AG1898"/>
  <c r="AF1898"/>
  <c r="AE1898"/>
  <c r="AD1898"/>
  <c r="AC1898"/>
  <c r="AI1897"/>
  <c r="AH1897"/>
  <c r="AG1897"/>
  <c r="AF1897"/>
  <c r="AE1897"/>
  <c r="AD1897"/>
  <c r="AC1897"/>
  <c r="AI1896"/>
  <c r="AH1896"/>
  <c r="AG1896"/>
  <c r="AF1896"/>
  <c r="AE1896"/>
  <c r="AD1896"/>
  <c r="AC1896"/>
  <c r="AI1895"/>
  <c r="AH1895"/>
  <c r="AG1895"/>
  <c r="AF1895"/>
  <c r="AE1895"/>
  <c r="AD1895"/>
  <c r="AC1895"/>
  <c r="AI1894"/>
  <c r="AH1894"/>
  <c r="AG1894"/>
  <c r="AF1894"/>
  <c r="AE1894"/>
  <c r="AD1894"/>
  <c r="AC1894"/>
  <c r="AI1893"/>
  <c r="AH1893"/>
  <c r="AG1893"/>
  <c r="AF1893"/>
  <c r="AE1893"/>
  <c r="AD1893"/>
  <c r="AC1893"/>
  <c r="AI1892"/>
  <c r="AH1892"/>
  <c r="AG1892"/>
  <c r="AF1892"/>
  <c r="AE1892"/>
  <c r="AD1892"/>
  <c r="AC1892"/>
  <c r="AI1891"/>
  <c r="AH1891"/>
  <c r="AG1891"/>
  <c r="AF1891"/>
  <c r="AE1891"/>
  <c r="AD1891"/>
  <c r="AC1891"/>
  <c r="AI1890"/>
  <c r="AH1890"/>
  <c r="AG1890"/>
  <c r="AF1890"/>
  <c r="AE1890"/>
  <c r="AD1890"/>
  <c r="AC1890"/>
  <c r="AI1889"/>
  <c r="AH1889"/>
  <c r="AG1889"/>
  <c r="AF1889"/>
  <c r="AE1889"/>
  <c r="AD1889"/>
  <c r="AC1889"/>
  <c r="AI1888"/>
  <c r="AH1888"/>
  <c r="AG1888"/>
  <c r="AF1888"/>
  <c r="AE1888"/>
  <c r="AD1888"/>
  <c r="AC1888"/>
  <c r="AI1887"/>
  <c r="AH1887"/>
  <c r="AG1887"/>
  <c r="AF1887"/>
  <c r="AE1887"/>
  <c r="AD1887"/>
  <c r="AC1887"/>
  <c r="AI1886"/>
  <c r="AH1886"/>
  <c r="AG1886"/>
  <c r="AF1886"/>
  <c r="AE1886"/>
  <c r="AD1886"/>
  <c r="AC1886"/>
  <c r="AI1885"/>
  <c r="AH1885"/>
  <c r="AG1885"/>
  <c r="AF1885"/>
  <c r="AE1885"/>
  <c r="AD1885"/>
  <c r="AC1885"/>
  <c r="AI1884"/>
  <c r="AH1884"/>
  <c r="AG1884"/>
  <c r="AF1884"/>
  <c r="AE1884"/>
  <c r="AD1884"/>
  <c r="AC1884"/>
  <c r="AI1883"/>
  <c r="AH1883"/>
  <c r="AG1883"/>
  <c r="AF1883"/>
  <c r="AE1883"/>
  <c r="AD1883"/>
  <c r="AC1883"/>
  <c r="AI1882"/>
  <c r="AH1882"/>
  <c r="AG1882"/>
  <c r="AF1882"/>
  <c r="AE1882"/>
  <c r="AD1882"/>
  <c r="AC1882"/>
  <c r="AI1881"/>
  <c r="AH1881"/>
  <c r="AG1881"/>
  <c r="AF1881"/>
  <c r="AE1881"/>
  <c r="AD1881"/>
  <c r="AC1881"/>
  <c r="AI1880"/>
  <c r="AH1880"/>
  <c r="AG1880"/>
  <c r="AF1880"/>
  <c r="AE1880"/>
  <c r="AD1880"/>
  <c r="AC1880"/>
  <c r="AI1879"/>
  <c r="AH1879"/>
  <c r="AG1879"/>
  <c r="AF1879"/>
  <c r="AE1879"/>
  <c r="AD1879"/>
  <c r="AC1879"/>
  <c r="AI1878"/>
  <c r="AH1878"/>
  <c r="AG1878"/>
  <c r="AF1878"/>
  <c r="AE1878"/>
  <c r="AD1878"/>
  <c r="AC1878"/>
  <c r="AI1877"/>
  <c r="AH1877"/>
  <c r="AG1877"/>
  <c r="AF1877"/>
  <c r="AE1877"/>
  <c r="AD1877"/>
  <c r="AC1877"/>
  <c r="AI1876"/>
  <c r="AH1876"/>
  <c r="AG1876"/>
  <c r="AF1876"/>
  <c r="AE1876"/>
  <c r="AD1876"/>
  <c r="AC1876"/>
  <c r="AI1875"/>
  <c r="AH1875"/>
  <c r="AG1875"/>
  <c r="AF1875"/>
  <c r="AE1875"/>
  <c r="AD1875"/>
  <c r="AC1875"/>
  <c r="AI1874"/>
  <c r="AH1874"/>
  <c r="AG1874"/>
  <c r="AF1874"/>
  <c r="AE1874"/>
  <c r="AD1874"/>
  <c r="AC1874"/>
  <c r="AI1873"/>
  <c r="AH1873"/>
  <c r="AG1873"/>
  <c r="AF1873"/>
  <c r="AE1873"/>
  <c r="AD1873"/>
  <c r="AC1873"/>
  <c r="AI1872"/>
  <c r="AH1872"/>
  <c r="AG1872"/>
  <c r="AF1872"/>
  <c r="AE1872"/>
  <c r="AD1872"/>
  <c r="AC1872"/>
  <c r="AI1871"/>
  <c r="AH1871"/>
  <c r="AG1871"/>
  <c r="AF1871"/>
  <c r="AE1871"/>
  <c r="AD1871"/>
  <c r="AC1871"/>
  <c r="AI1870"/>
  <c r="AH1870"/>
  <c r="AG1870"/>
  <c r="AF1870"/>
  <c r="AE1870"/>
  <c r="AD1870"/>
  <c r="AC1870"/>
  <c r="AI1869"/>
  <c r="AH1869"/>
  <c r="AG1869"/>
  <c r="AF1869"/>
  <c r="AE1869"/>
  <c r="AD1869"/>
  <c r="AC1869"/>
  <c r="AI1868"/>
  <c r="AH1868"/>
  <c r="AG1868"/>
  <c r="AF1868"/>
  <c r="AE1868"/>
  <c r="AD1868"/>
  <c r="AC1868"/>
  <c r="AI1867"/>
  <c r="AH1867"/>
  <c r="AG1867"/>
  <c r="AF1867"/>
  <c r="AE1867"/>
  <c r="AD1867"/>
  <c r="AC1867"/>
  <c r="AI1866"/>
  <c r="AH1866"/>
  <c r="AG1866"/>
  <c r="AF1866"/>
  <c r="AE1866"/>
  <c r="AD1866"/>
  <c r="AC1866"/>
  <c r="AI1865"/>
  <c r="AH1865"/>
  <c r="AG1865"/>
  <c r="AF1865"/>
  <c r="AE1865"/>
  <c r="AD1865"/>
  <c r="AC1865"/>
  <c r="AI1864"/>
  <c r="AH1864"/>
  <c r="AG1864"/>
  <c r="AF1864"/>
  <c r="AE1864"/>
  <c r="AD1864"/>
  <c r="AC1864"/>
  <c r="AI1863"/>
  <c r="AH1863"/>
  <c r="AG1863"/>
  <c r="AF1863"/>
  <c r="AE1863"/>
  <c r="AD1863"/>
  <c r="AC1863"/>
  <c r="AI1862"/>
  <c r="AH1862"/>
  <c r="AG1862"/>
  <c r="AF1862"/>
  <c r="AE1862"/>
  <c r="AD1862"/>
  <c r="AC1862"/>
  <c r="AI1861"/>
  <c r="AH1861"/>
  <c r="AG1861"/>
  <c r="AF1861"/>
  <c r="AE1861"/>
  <c r="AD1861"/>
  <c r="AC1861"/>
  <c r="AI1860"/>
  <c r="AH1860"/>
  <c r="AG1860"/>
  <c r="AF1860"/>
  <c r="AE1860"/>
  <c r="AD1860"/>
  <c r="AC1860"/>
  <c r="AI1859"/>
  <c r="AH1859"/>
  <c r="AG1859"/>
  <c r="AF1859"/>
  <c r="AE1859"/>
  <c r="AD1859"/>
  <c r="AC1859"/>
  <c r="AI1858"/>
  <c r="AH1858"/>
  <c r="AG1858"/>
  <c r="AF1858"/>
  <c r="AE1858"/>
  <c r="AD1858"/>
  <c r="AC1858"/>
  <c r="AI1857"/>
  <c r="AH1857"/>
  <c r="AG1857"/>
  <c r="AF1857"/>
  <c r="AE1857"/>
  <c r="AD1857"/>
  <c r="AC1857"/>
  <c r="AI1856"/>
  <c r="AH1856"/>
  <c r="AG1856"/>
  <c r="AF1856"/>
  <c r="AE1856"/>
  <c r="AD1856"/>
  <c r="AC1856"/>
  <c r="AI1855"/>
  <c r="AH1855"/>
  <c r="AG1855"/>
  <c r="AF1855"/>
  <c r="AE1855"/>
  <c r="AD1855"/>
  <c r="AC1855"/>
  <c r="AI1854"/>
  <c r="AH1854"/>
  <c r="AG1854"/>
  <c r="AF1854"/>
  <c r="AE1854"/>
  <c r="AD1854"/>
  <c r="AC1854"/>
  <c r="AI1853"/>
  <c r="AH1853"/>
  <c r="AG1853"/>
  <c r="AF1853"/>
  <c r="AE1853"/>
  <c r="AD1853"/>
  <c r="AC1853"/>
  <c r="AI1852"/>
  <c r="AH1852"/>
  <c r="AG1852"/>
  <c r="AF1852"/>
  <c r="AE1852"/>
  <c r="AD1852"/>
  <c r="AC1852"/>
  <c r="AI1851"/>
  <c r="AH1851"/>
  <c r="AG1851"/>
  <c r="AF1851"/>
  <c r="AE1851"/>
  <c r="AD1851"/>
  <c r="AC1851"/>
  <c r="AI1850"/>
  <c r="AH1850"/>
  <c r="AG1850"/>
  <c r="AF1850"/>
  <c r="AE1850"/>
  <c r="AD1850"/>
  <c r="AC1850"/>
  <c r="AI1849"/>
  <c r="AH1849"/>
  <c r="AG1849"/>
  <c r="AF1849"/>
  <c r="AE1849"/>
  <c r="AD1849"/>
  <c r="AC1849"/>
  <c r="AI1848"/>
  <c r="AH1848"/>
  <c r="AG1848"/>
  <c r="AF1848"/>
  <c r="AE1848"/>
  <c r="AD1848"/>
  <c r="AC1848"/>
  <c r="AI1847"/>
  <c r="AH1847"/>
  <c r="AG1847"/>
  <c r="AF1847"/>
  <c r="AE1847"/>
  <c r="AD1847"/>
  <c r="AC1847"/>
  <c r="AI1846"/>
  <c r="AH1846"/>
  <c r="AG1846"/>
  <c r="AF1846"/>
  <c r="AE1846"/>
  <c r="AD1846"/>
  <c r="AC1846"/>
  <c r="AI1845"/>
  <c r="AH1845"/>
  <c r="AG1845"/>
  <c r="AF1845"/>
  <c r="AE1845"/>
  <c r="AD1845"/>
  <c r="AC1845"/>
  <c r="AI1844"/>
  <c r="AH1844"/>
  <c r="AG1844"/>
  <c r="AF1844"/>
  <c r="AE1844"/>
  <c r="AD1844"/>
  <c r="AC1844"/>
  <c r="AI1843"/>
  <c r="AH1843"/>
  <c r="AG1843"/>
  <c r="AF1843"/>
  <c r="AE1843"/>
  <c r="AD1843"/>
  <c r="AC1843"/>
  <c r="AI1842"/>
  <c r="AH1842"/>
  <c r="AG1842"/>
  <c r="AF1842"/>
  <c r="AE1842"/>
  <c r="AD1842"/>
  <c r="AC1842"/>
  <c r="AI1841"/>
  <c r="AH1841"/>
  <c r="AG1841"/>
  <c r="AF1841"/>
  <c r="AE1841"/>
  <c r="AD1841"/>
  <c r="AC1841"/>
  <c r="AI1840"/>
  <c r="AH1840"/>
  <c r="AG1840"/>
  <c r="AF1840"/>
  <c r="AE1840"/>
  <c r="AD1840"/>
  <c r="AC1840"/>
  <c r="AI1839"/>
  <c r="AH1839"/>
  <c r="AG1839"/>
  <c r="AF1839"/>
  <c r="AE1839"/>
  <c r="AD1839"/>
  <c r="AC1839"/>
  <c r="AI1838"/>
  <c r="AH1838"/>
  <c r="AG1838"/>
  <c r="AF1838"/>
  <c r="AE1838"/>
  <c r="AD1838"/>
  <c r="AC1838"/>
  <c r="AI1837"/>
  <c r="AH1837"/>
  <c r="AG1837"/>
  <c r="AF1837"/>
  <c r="AE1837"/>
  <c r="AD1837"/>
  <c r="AC1837"/>
  <c r="AI1836"/>
  <c r="AH1836"/>
  <c r="AG1836"/>
  <c r="AF1836"/>
  <c r="AE1836"/>
  <c r="AD1836"/>
  <c r="AC1836"/>
  <c r="AI1835"/>
  <c r="AH1835"/>
  <c r="AG1835"/>
  <c r="AF1835"/>
  <c r="AE1835"/>
  <c r="AD1835"/>
  <c r="AC1835"/>
  <c r="AI1834"/>
  <c r="AH1834"/>
  <c r="AG1834"/>
  <c r="AF1834"/>
  <c r="AE1834"/>
  <c r="AD1834"/>
  <c r="AC1834"/>
  <c r="AI1833"/>
  <c r="AH1833"/>
  <c r="AG1833"/>
  <c r="AF1833"/>
  <c r="AE1833"/>
  <c r="AD1833"/>
  <c r="AC1833"/>
  <c r="AI1832"/>
  <c r="AH1832"/>
  <c r="AG1832"/>
  <c r="AF1832"/>
  <c r="AE1832"/>
  <c r="AD1832"/>
  <c r="AC1832"/>
  <c r="AI1831"/>
  <c r="AH1831"/>
  <c r="AG1831"/>
  <c r="AF1831"/>
  <c r="AE1831"/>
  <c r="AD1831"/>
  <c r="AC1831"/>
  <c r="AI1830"/>
  <c r="AH1830"/>
  <c r="AG1830"/>
  <c r="AF1830"/>
  <c r="AE1830"/>
  <c r="AD1830"/>
  <c r="AC1830"/>
  <c r="AI1829"/>
  <c r="AH1829"/>
  <c r="AG1829"/>
  <c r="AF1829"/>
  <c r="AE1829"/>
  <c r="AD1829"/>
  <c r="AC1829"/>
  <c r="AI1828"/>
  <c r="AH1828"/>
  <c r="AG1828"/>
  <c r="AF1828"/>
  <c r="AE1828"/>
  <c r="AD1828"/>
  <c r="AC1828"/>
  <c r="AI1827"/>
  <c r="AH1827"/>
  <c r="AG1827"/>
  <c r="AF1827"/>
  <c r="AE1827"/>
  <c r="AD1827"/>
  <c r="AC1827"/>
  <c r="AI1826"/>
  <c r="AH1826"/>
  <c r="AG1826"/>
  <c r="AF1826"/>
  <c r="AE1826"/>
  <c r="AD1826"/>
  <c r="AC1826"/>
  <c r="AI1825"/>
  <c r="AH1825"/>
  <c r="AG1825"/>
  <c r="AF1825"/>
  <c r="AE1825"/>
  <c r="AD1825"/>
  <c r="AC1825"/>
  <c r="AI1824"/>
  <c r="AH1824"/>
  <c r="AG1824"/>
  <c r="AF1824"/>
  <c r="AE1824"/>
  <c r="AD1824"/>
  <c r="AC1824"/>
  <c r="AI1823"/>
  <c r="AH1823"/>
  <c r="AG1823"/>
  <c r="AF1823"/>
  <c r="AE1823"/>
  <c r="AD1823"/>
  <c r="AC1823"/>
  <c r="AI1822"/>
  <c r="AH1822"/>
  <c r="AG1822"/>
  <c r="AF1822"/>
  <c r="AE1822"/>
  <c r="AD1822"/>
  <c r="AC1822"/>
  <c r="AI1821"/>
  <c r="AH1821"/>
  <c r="AG1821"/>
  <c r="AF1821"/>
  <c r="AE1821"/>
  <c r="AD1821"/>
  <c r="AC1821"/>
  <c r="AI1820"/>
  <c r="AH1820"/>
  <c r="AG1820"/>
  <c r="AF1820"/>
  <c r="AE1820"/>
  <c r="AD1820"/>
  <c r="AC1820"/>
  <c r="AI1819"/>
  <c r="AH1819"/>
  <c r="AG1819"/>
  <c r="AF1819"/>
  <c r="AE1819"/>
  <c r="AD1819"/>
  <c r="AC1819"/>
  <c r="AI1818"/>
  <c r="AH1818"/>
  <c r="AG1818"/>
  <c r="AF1818"/>
  <c r="AE1818"/>
  <c r="AD1818"/>
  <c r="AC1818"/>
  <c r="AI1817"/>
  <c r="AH1817"/>
  <c r="AG1817"/>
  <c r="AF1817"/>
  <c r="AE1817"/>
  <c r="AD1817"/>
  <c r="AC1817"/>
  <c r="AI1816"/>
  <c r="AH1816"/>
  <c r="AG1816"/>
  <c r="AF1816"/>
  <c r="AE1816"/>
  <c r="AD1816"/>
  <c r="AC1816"/>
  <c r="AI1815"/>
  <c r="AH1815"/>
  <c r="AG1815"/>
  <c r="AF1815"/>
  <c r="AE1815"/>
  <c r="AD1815"/>
  <c r="AC1815"/>
  <c r="AI1814"/>
  <c r="AH1814"/>
  <c r="AG1814"/>
  <c r="AF1814"/>
  <c r="AE1814"/>
  <c r="AD1814"/>
  <c r="AC1814"/>
  <c r="AI1813"/>
  <c r="AH1813"/>
  <c r="AG1813"/>
  <c r="AF1813"/>
  <c r="AE1813"/>
  <c r="AD1813"/>
  <c r="AC1813"/>
  <c r="AI1812"/>
  <c r="AH1812"/>
  <c r="AG1812"/>
  <c r="AF1812"/>
  <c r="AE1812"/>
  <c r="AD1812"/>
  <c r="AC1812"/>
  <c r="AI1811"/>
  <c r="AH1811"/>
  <c r="AG1811"/>
  <c r="AF1811"/>
  <c r="AE1811"/>
  <c r="AD1811"/>
  <c r="AC1811"/>
  <c r="AI1810"/>
  <c r="AH1810"/>
  <c r="AG1810"/>
  <c r="AF1810"/>
  <c r="AE1810"/>
  <c r="AD1810"/>
  <c r="AC1810"/>
  <c r="AI1809"/>
  <c r="AH1809"/>
  <c r="AG1809"/>
  <c r="AF1809"/>
  <c r="AE1809"/>
  <c r="AD1809"/>
  <c r="AC1809"/>
  <c r="AI1808"/>
  <c r="AH1808"/>
  <c r="AG1808"/>
  <c r="AF1808"/>
  <c r="AE1808"/>
  <c r="AD1808"/>
  <c r="AC1808"/>
  <c r="AI1807"/>
  <c r="AH1807"/>
  <c r="AG1807"/>
  <c r="AF1807"/>
  <c r="AE1807"/>
  <c r="AD1807"/>
  <c r="AC1807"/>
  <c r="AI1806"/>
  <c r="AH1806"/>
  <c r="AG1806"/>
  <c r="AF1806"/>
  <c r="AE1806"/>
  <c r="AD1806"/>
  <c r="AC1806"/>
  <c r="AI1805"/>
  <c r="AH1805"/>
  <c r="AG1805"/>
  <c r="AF1805"/>
  <c r="AE1805"/>
  <c r="AD1805"/>
  <c r="AC1805"/>
  <c r="AI1804"/>
  <c r="AH1804"/>
  <c r="AG1804"/>
  <c r="AF1804"/>
  <c r="AE1804"/>
  <c r="AD1804"/>
  <c r="AC1804"/>
  <c r="AI1803"/>
  <c r="AH1803"/>
  <c r="AG1803"/>
  <c r="AF1803"/>
  <c r="AE1803"/>
  <c r="AD1803"/>
  <c r="AC1803"/>
  <c r="AI1802"/>
  <c r="AH1802"/>
  <c r="AG1802"/>
  <c r="AF1802"/>
  <c r="AE1802"/>
  <c r="AD1802"/>
  <c r="AC1802"/>
  <c r="AI1801"/>
  <c r="AH1801"/>
  <c r="AG1801"/>
  <c r="AF1801"/>
  <c r="AE1801"/>
  <c r="AD1801"/>
  <c r="AC1801"/>
  <c r="AI1800"/>
  <c r="AH1800"/>
  <c r="AG1800"/>
  <c r="AF1800"/>
  <c r="AE1800"/>
  <c r="AD1800"/>
  <c r="AC1800"/>
  <c r="AI1799"/>
  <c r="AH1799"/>
  <c r="AG1799"/>
  <c r="AF1799"/>
  <c r="AE1799"/>
  <c r="AD1799"/>
  <c r="AC1799"/>
  <c r="AI1798"/>
  <c r="AH1798"/>
  <c r="AG1798"/>
  <c r="AF1798"/>
  <c r="AE1798"/>
  <c r="AD1798"/>
  <c r="AC1798"/>
  <c r="AI1797"/>
  <c r="AH1797"/>
  <c r="AG1797"/>
  <c r="AF1797"/>
  <c r="AE1797"/>
  <c r="AD1797"/>
  <c r="AC1797"/>
  <c r="AI1796"/>
  <c r="AH1796"/>
  <c r="AG1796"/>
  <c r="AF1796"/>
  <c r="AE1796"/>
  <c r="AD1796"/>
  <c r="AC1796"/>
  <c r="AI1795"/>
  <c r="AH1795"/>
  <c r="AG1795"/>
  <c r="AF1795"/>
  <c r="AE1795"/>
  <c r="AD1795"/>
  <c r="AC1795"/>
  <c r="AI1794"/>
  <c r="AH1794"/>
  <c r="AG1794"/>
  <c r="AF1794"/>
  <c r="AE1794"/>
  <c r="AD1794"/>
  <c r="AC1794"/>
  <c r="AI1793"/>
  <c r="AH1793"/>
  <c r="AG1793"/>
  <c r="AF1793"/>
  <c r="AE1793"/>
  <c r="AD1793"/>
  <c r="AC1793"/>
  <c r="AI1792"/>
  <c r="AH1792"/>
  <c r="AG1792"/>
  <c r="AF1792"/>
  <c r="AE1792"/>
  <c r="AD1792"/>
  <c r="AC1792"/>
  <c r="AI1791"/>
  <c r="AH1791"/>
  <c r="AG1791"/>
  <c r="AF1791"/>
  <c r="AE1791"/>
  <c r="AD1791"/>
  <c r="AC1791"/>
  <c r="AI1790"/>
  <c r="AH1790"/>
  <c r="AG1790"/>
  <c r="AF1790"/>
  <c r="AE1790"/>
  <c r="AD1790"/>
  <c r="AC1790"/>
  <c r="AI1789"/>
  <c r="AH1789"/>
  <c r="AG1789"/>
  <c r="AF1789"/>
  <c r="AE1789"/>
  <c r="AD1789"/>
  <c r="AC1789"/>
  <c r="AI1788"/>
  <c r="AH1788"/>
  <c r="AG1788"/>
  <c r="AF1788"/>
  <c r="AE1788"/>
  <c r="AD1788"/>
  <c r="AC1788"/>
  <c r="AI1787"/>
  <c r="AH1787"/>
  <c r="AG1787"/>
  <c r="AF1787"/>
  <c r="AE1787"/>
  <c r="AD1787"/>
  <c r="AC1787"/>
  <c r="AI1786"/>
  <c r="AH1786"/>
  <c r="AG1786"/>
  <c r="AF1786"/>
  <c r="AE1786"/>
  <c r="AD1786"/>
  <c r="AC1786"/>
  <c r="AI1785"/>
  <c r="AH1785"/>
  <c r="AG1785"/>
  <c r="AF1785"/>
  <c r="AE1785"/>
  <c r="AD1785"/>
  <c r="AC1785"/>
  <c r="AI1784"/>
  <c r="AH1784"/>
  <c r="AG1784"/>
  <c r="AF1784"/>
  <c r="AE1784"/>
  <c r="AD1784"/>
  <c r="AC1784"/>
  <c r="AI1783"/>
  <c r="AH1783"/>
  <c r="AG1783"/>
  <c r="AF1783"/>
  <c r="AE1783"/>
  <c r="AD1783"/>
  <c r="AC1783"/>
  <c r="AI1782"/>
  <c r="AH1782"/>
  <c r="AG1782"/>
  <c r="AF1782"/>
  <c r="AE1782"/>
  <c r="AD1782"/>
  <c r="AC1782"/>
  <c r="AI1781"/>
  <c r="AH1781"/>
  <c r="AG1781"/>
  <c r="AF1781"/>
  <c r="AE1781"/>
  <c r="AD1781"/>
  <c r="AC1781"/>
  <c r="AI1780"/>
  <c r="AH1780"/>
  <c r="AG1780"/>
  <c r="AF1780"/>
  <c r="AE1780"/>
  <c r="AD1780"/>
  <c r="AC1780"/>
  <c r="AI1779"/>
  <c r="AH1779"/>
  <c r="AG1779"/>
  <c r="AF1779"/>
  <c r="AE1779"/>
  <c r="AD1779"/>
  <c r="AC1779"/>
  <c r="AI1778"/>
  <c r="AH1778"/>
  <c r="AG1778"/>
  <c r="AF1778"/>
  <c r="AE1778"/>
  <c r="AD1778"/>
  <c r="AC1778"/>
  <c r="AI1777"/>
  <c r="AH1777"/>
  <c r="AG1777"/>
  <c r="AF1777"/>
  <c r="AE1777"/>
  <c r="AD1777"/>
  <c r="AC1777"/>
  <c r="AI1776"/>
  <c r="AH1776"/>
  <c r="AG1776"/>
  <c r="AF1776"/>
  <c r="AE1776"/>
  <c r="AD1776"/>
  <c r="AC1776"/>
  <c r="AI1775"/>
  <c r="AH1775"/>
  <c r="AG1775"/>
  <c r="AF1775"/>
  <c r="AE1775"/>
  <c r="AD1775"/>
  <c r="AC1775"/>
  <c r="AI1774"/>
  <c r="AH1774"/>
  <c r="AG1774"/>
  <c r="AF1774"/>
  <c r="AE1774"/>
  <c r="AD1774"/>
  <c r="AC1774"/>
  <c r="AI1773"/>
  <c r="AH1773"/>
  <c r="AG1773"/>
  <c r="AF1773"/>
  <c r="AE1773"/>
  <c r="AD1773"/>
  <c r="AC1773"/>
  <c r="AI1772"/>
  <c r="AH1772"/>
  <c r="AG1772"/>
  <c r="AF1772"/>
  <c r="AE1772"/>
  <c r="AD1772"/>
  <c r="AC1772"/>
  <c r="AI1771"/>
  <c r="AH1771"/>
  <c r="AG1771"/>
  <c r="AF1771"/>
  <c r="AE1771"/>
  <c r="AD1771"/>
  <c r="AC1771"/>
  <c r="AI1770"/>
  <c r="AH1770"/>
  <c r="AG1770"/>
  <c r="AF1770"/>
  <c r="AE1770"/>
  <c r="AD1770"/>
  <c r="AC1770"/>
  <c r="AI1769"/>
  <c r="AH1769"/>
  <c r="AG1769"/>
  <c r="AF1769"/>
  <c r="AE1769"/>
  <c r="AD1769"/>
  <c r="AC1769"/>
  <c r="AI1768"/>
  <c r="AH1768"/>
  <c r="AG1768"/>
  <c r="AF1768"/>
  <c r="AE1768"/>
  <c r="AD1768"/>
  <c r="AC1768"/>
  <c r="AI1767"/>
  <c r="AH1767"/>
  <c r="AG1767"/>
  <c r="AF1767"/>
  <c r="AE1767"/>
  <c r="AD1767"/>
  <c r="AC1767"/>
  <c r="AI1766"/>
  <c r="AH1766"/>
  <c r="AG1766"/>
  <c r="AF1766"/>
  <c r="AE1766"/>
  <c r="AD1766"/>
  <c r="AC1766"/>
  <c r="AI1765"/>
  <c r="AH1765"/>
  <c r="AG1765"/>
  <c r="AF1765"/>
  <c r="AE1765"/>
  <c r="AD1765"/>
  <c r="AC1765"/>
  <c r="AI1764"/>
  <c r="AH1764"/>
  <c r="AG1764"/>
  <c r="AF1764"/>
  <c r="AE1764"/>
  <c r="AD1764"/>
  <c r="AC1764"/>
  <c r="AI1763"/>
  <c r="AH1763"/>
  <c r="AG1763"/>
  <c r="AF1763"/>
  <c r="AE1763"/>
  <c r="AD1763"/>
  <c r="AC1763"/>
  <c r="AI1762"/>
  <c r="AH1762"/>
  <c r="AG1762"/>
  <c r="AF1762"/>
  <c r="AE1762"/>
  <c r="AD1762"/>
  <c r="AC1762"/>
  <c r="AI1761"/>
  <c r="AH1761"/>
  <c r="AG1761"/>
  <c r="AF1761"/>
  <c r="AE1761"/>
  <c r="AD1761"/>
  <c r="AC1761"/>
  <c r="AI1760"/>
  <c r="AH1760"/>
  <c r="AG1760"/>
  <c r="AF1760"/>
  <c r="AE1760"/>
  <c r="AD1760"/>
  <c r="AC1760"/>
  <c r="AI1759"/>
  <c r="AH1759"/>
  <c r="AG1759"/>
  <c r="AF1759"/>
  <c r="AE1759"/>
  <c r="AD1759"/>
  <c r="AC1759"/>
  <c r="AI1758"/>
  <c r="AH1758"/>
  <c r="AG1758"/>
  <c r="AF1758"/>
  <c r="AE1758"/>
  <c r="AD1758"/>
  <c r="AC1758"/>
  <c r="AI1757"/>
  <c r="AH1757"/>
  <c r="AG1757"/>
  <c r="AF1757"/>
  <c r="AE1757"/>
  <c r="AD1757"/>
  <c r="AC1757"/>
  <c r="AI1756"/>
  <c r="AH1756"/>
  <c r="AG1756"/>
  <c r="AF1756"/>
  <c r="AE1756"/>
  <c r="AD1756"/>
  <c r="AC1756"/>
  <c r="AI1755"/>
  <c r="AH1755"/>
  <c r="AG1755"/>
  <c r="AF1755"/>
  <c r="AE1755"/>
  <c r="AD1755"/>
  <c r="AC1755"/>
  <c r="AI1754"/>
  <c r="AH1754"/>
  <c r="AG1754"/>
  <c r="AF1754"/>
  <c r="AE1754"/>
  <c r="AD1754"/>
  <c r="AC1754"/>
  <c r="AI1753"/>
  <c r="AH1753"/>
  <c r="AG1753"/>
  <c r="AF1753"/>
  <c r="AE1753"/>
  <c r="AD1753"/>
  <c r="AC1753"/>
  <c r="AI1752"/>
  <c r="AH1752"/>
  <c r="AG1752"/>
  <c r="AF1752"/>
  <c r="AE1752"/>
  <c r="AD1752"/>
  <c r="AC1752"/>
  <c r="AI1751"/>
  <c r="AH1751"/>
  <c r="AG1751"/>
  <c r="AF1751"/>
  <c r="AE1751"/>
  <c r="AD1751"/>
  <c r="AC1751"/>
  <c r="AI1750"/>
  <c r="AH1750"/>
  <c r="AG1750"/>
  <c r="AF1750"/>
  <c r="AE1750"/>
  <c r="AD1750"/>
  <c r="AC1750"/>
  <c r="AI1749"/>
  <c r="AH1749"/>
  <c r="AG1749"/>
  <c r="AF1749"/>
  <c r="AE1749"/>
  <c r="AD1749"/>
  <c r="AC1749"/>
  <c r="AI1748"/>
  <c r="AH1748"/>
  <c r="AG1748"/>
  <c r="AF1748"/>
  <c r="AE1748"/>
  <c r="AD1748"/>
  <c r="AC1748"/>
  <c r="AI1747"/>
  <c r="AH1747"/>
  <c r="AG1747"/>
  <c r="AF1747"/>
  <c r="AE1747"/>
  <c r="AD1747"/>
  <c r="AC1747"/>
  <c r="AI1746"/>
  <c r="AH1746"/>
  <c r="AG1746"/>
  <c r="AF1746"/>
  <c r="AE1746"/>
  <c r="AD1746"/>
  <c r="AC1746"/>
  <c r="AI1745"/>
  <c r="AH1745"/>
  <c r="AG1745"/>
  <c r="AF1745"/>
  <c r="AE1745"/>
  <c r="AD1745"/>
  <c r="AC1745"/>
  <c r="AI1744"/>
  <c r="AH1744"/>
  <c r="AG1744"/>
  <c r="AF1744"/>
  <c r="AE1744"/>
  <c r="AD1744"/>
  <c r="AC1744"/>
  <c r="AI1743"/>
  <c r="AH1743"/>
  <c r="AG1743"/>
  <c r="AF1743"/>
  <c r="AE1743"/>
  <c r="AD1743"/>
  <c r="AC1743"/>
  <c r="AI1742"/>
  <c r="AH1742"/>
  <c r="AG1742"/>
  <c r="AF1742"/>
  <c r="AE1742"/>
  <c r="AD1742"/>
  <c r="AC1742"/>
  <c r="AI1741"/>
  <c r="AH1741"/>
  <c r="AG1741"/>
  <c r="AF1741"/>
  <c r="AE1741"/>
  <c r="AD1741"/>
  <c r="AC1741"/>
  <c r="AI1740"/>
  <c r="AH1740"/>
  <c r="AG1740"/>
  <c r="AF1740"/>
  <c r="AE1740"/>
  <c r="AD1740"/>
  <c r="AC1740"/>
  <c r="AI1739"/>
  <c r="AH1739"/>
  <c r="AG1739"/>
  <c r="AF1739"/>
  <c r="AE1739"/>
  <c r="AD1739"/>
  <c r="AC1739"/>
  <c r="AI1738"/>
  <c r="AH1738"/>
  <c r="AG1738"/>
  <c r="AF1738"/>
  <c r="AE1738"/>
  <c r="AD1738"/>
  <c r="AC1738"/>
  <c r="AI1737"/>
  <c r="AH1737"/>
  <c r="AG1737"/>
  <c r="AF1737"/>
  <c r="AE1737"/>
  <c r="AD1737"/>
  <c r="AC1737"/>
  <c r="AI1736"/>
  <c r="AH1736"/>
  <c r="AG1736"/>
  <c r="AF1736"/>
  <c r="AE1736"/>
  <c r="AD1736"/>
  <c r="AC1736"/>
  <c r="AI1735"/>
  <c r="AH1735"/>
  <c r="AG1735"/>
  <c r="AF1735"/>
  <c r="AE1735"/>
  <c r="AD1735"/>
  <c r="AC1735"/>
  <c r="AI1734"/>
  <c r="AH1734"/>
  <c r="AG1734"/>
  <c r="AF1734"/>
  <c r="AE1734"/>
  <c r="AD1734"/>
  <c r="AC1734"/>
  <c r="AI1733"/>
  <c r="AH1733"/>
  <c r="AG1733"/>
  <c r="AF1733"/>
  <c r="AE1733"/>
  <c r="AD1733"/>
  <c r="AC1733"/>
  <c r="AI1732"/>
  <c r="AH1732"/>
  <c r="AG1732"/>
  <c r="AF1732"/>
  <c r="AE1732"/>
  <c r="AD1732"/>
  <c r="AC1732"/>
  <c r="AI1731"/>
  <c r="AH1731"/>
  <c r="AG1731"/>
  <c r="AF1731"/>
  <c r="AE1731"/>
  <c r="AD1731"/>
  <c r="AC1731"/>
  <c r="AI1730"/>
  <c r="AH1730"/>
  <c r="AG1730"/>
  <c r="AF1730"/>
  <c r="AE1730"/>
  <c r="AD1730"/>
  <c r="AC1730"/>
  <c r="AI1729"/>
  <c r="AH1729"/>
  <c r="AG1729"/>
  <c r="AF1729"/>
  <c r="AE1729"/>
  <c r="AD1729"/>
  <c r="AC1729"/>
  <c r="AI1728"/>
  <c r="AH1728"/>
  <c r="AG1728"/>
  <c r="AF1728"/>
  <c r="AE1728"/>
  <c r="AD1728"/>
  <c r="AC1728"/>
  <c r="AI1727"/>
  <c r="AH1727"/>
  <c r="AG1727"/>
  <c r="AF1727"/>
  <c r="AE1727"/>
  <c r="AD1727"/>
  <c r="AC1727"/>
  <c r="AI1726"/>
  <c r="AH1726"/>
  <c r="AG1726"/>
  <c r="AF1726"/>
  <c r="AE1726"/>
  <c r="AD1726"/>
  <c r="AC1726"/>
  <c r="AI1725"/>
  <c r="AH1725"/>
  <c r="AG1725"/>
  <c r="AF1725"/>
  <c r="AE1725"/>
  <c r="AD1725"/>
  <c r="AC1725"/>
  <c r="AI1724"/>
  <c r="AH1724"/>
  <c r="AG1724"/>
  <c r="AF1724"/>
  <c r="AE1724"/>
  <c r="AD1724"/>
  <c r="AC1724"/>
  <c r="AI1723"/>
  <c r="AH1723"/>
  <c r="AG1723"/>
  <c r="AF1723"/>
  <c r="AE1723"/>
  <c r="AD1723"/>
  <c r="AC1723"/>
  <c r="AI1722"/>
  <c r="AH1722"/>
  <c r="AG1722"/>
  <c r="AF1722"/>
  <c r="AE1722"/>
  <c r="AD1722"/>
  <c r="AC1722"/>
  <c r="AI1721"/>
  <c r="AH1721"/>
  <c r="AG1721"/>
  <c r="AF1721"/>
  <c r="AE1721"/>
  <c r="AD1721"/>
  <c r="AC1721"/>
  <c r="AI1720"/>
  <c r="AH1720"/>
  <c r="AG1720"/>
  <c r="AF1720"/>
  <c r="AE1720"/>
  <c r="AD1720"/>
  <c r="AC1720"/>
  <c r="AI1719"/>
  <c r="AH1719"/>
  <c r="AG1719"/>
  <c r="AF1719"/>
  <c r="AE1719"/>
  <c r="AD1719"/>
  <c r="AC1719"/>
  <c r="AI1718"/>
  <c r="AH1718"/>
  <c r="AG1718"/>
  <c r="AF1718"/>
  <c r="AE1718"/>
  <c r="AD1718"/>
  <c r="AC1718"/>
  <c r="AI1717"/>
  <c r="AH1717"/>
  <c r="AG1717"/>
  <c r="AF1717"/>
  <c r="AE1717"/>
  <c r="AD1717"/>
  <c r="AC1717"/>
  <c r="AI1716"/>
  <c r="AH1716"/>
  <c r="AG1716"/>
  <c r="AF1716"/>
  <c r="AE1716"/>
  <c r="AD1716"/>
  <c r="AC1716"/>
  <c r="AI1715"/>
  <c r="AH1715"/>
  <c r="AG1715"/>
  <c r="AF1715"/>
  <c r="AE1715"/>
  <c r="AD1715"/>
  <c r="AC1715"/>
  <c r="AI1714"/>
  <c r="AH1714"/>
  <c r="AG1714"/>
  <c r="AF1714"/>
  <c r="AE1714"/>
  <c r="AD1714"/>
  <c r="AC1714"/>
  <c r="AI1713"/>
  <c r="AH1713"/>
  <c r="AG1713"/>
  <c r="AF1713"/>
  <c r="AE1713"/>
  <c r="AD1713"/>
  <c r="AC1713"/>
  <c r="AI1712"/>
  <c r="AH1712"/>
  <c r="AG1712"/>
  <c r="AF1712"/>
  <c r="AE1712"/>
  <c r="AD1712"/>
  <c r="AC1712"/>
  <c r="AI1711"/>
  <c r="AH1711"/>
  <c r="AG1711"/>
  <c r="AF1711"/>
  <c r="AE1711"/>
  <c r="AD1711"/>
  <c r="AC1711"/>
  <c r="AI1710"/>
  <c r="AH1710"/>
  <c r="AG1710"/>
  <c r="AF1710"/>
  <c r="AE1710"/>
  <c r="AD1710"/>
  <c r="AC1710"/>
  <c r="AI1709"/>
  <c r="AH1709"/>
  <c r="AG1709"/>
  <c r="AF1709"/>
  <c r="AE1709"/>
  <c r="AD1709"/>
  <c r="AC1709"/>
  <c r="AI1708"/>
  <c r="AH1708"/>
  <c r="AG1708"/>
  <c r="AF1708"/>
  <c r="AE1708"/>
  <c r="AD1708"/>
  <c r="AC1708"/>
  <c r="AI1707"/>
  <c r="AH1707"/>
  <c r="AG1707"/>
  <c r="AF1707"/>
  <c r="AE1707"/>
  <c r="AD1707"/>
  <c r="AC1707"/>
  <c r="AI1706"/>
  <c r="AH1706"/>
  <c r="AG1706"/>
  <c r="AF1706"/>
  <c r="AE1706"/>
  <c r="AD1706"/>
  <c r="AC1706"/>
  <c r="AI1705"/>
  <c r="AH1705"/>
  <c r="AG1705"/>
  <c r="AF1705"/>
  <c r="AE1705"/>
  <c r="AD1705"/>
  <c r="AC1705"/>
  <c r="AI1704"/>
  <c r="AH1704"/>
  <c r="AG1704"/>
  <c r="AF1704"/>
  <c r="AE1704"/>
  <c r="AD1704"/>
  <c r="AC1704"/>
  <c r="AI1703"/>
  <c r="AH1703"/>
  <c r="AG1703"/>
  <c r="AF1703"/>
  <c r="AE1703"/>
  <c r="AD1703"/>
  <c r="AC1703"/>
  <c r="AI1702"/>
  <c r="AH1702"/>
  <c r="AG1702"/>
  <c r="AF1702"/>
  <c r="AE1702"/>
  <c r="AD1702"/>
  <c r="AC1702"/>
  <c r="AI1701"/>
  <c r="AH1701"/>
  <c r="AG1701"/>
  <c r="AF1701"/>
  <c r="AE1701"/>
  <c r="AD1701"/>
  <c r="AC1701"/>
  <c r="AI1700"/>
  <c r="AH1700"/>
  <c r="AG1700"/>
  <c r="AF1700"/>
  <c r="AE1700"/>
  <c r="AD1700"/>
  <c r="AC1700"/>
  <c r="AI1699"/>
  <c r="AH1699"/>
  <c r="AG1699"/>
  <c r="AF1699"/>
  <c r="AE1699"/>
  <c r="AD1699"/>
  <c r="AC1699"/>
  <c r="AI1698"/>
  <c r="AH1698"/>
  <c r="AG1698"/>
  <c r="AF1698"/>
  <c r="AE1698"/>
  <c r="AD1698"/>
  <c r="AC1698"/>
  <c r="AI1697"/>
  <c r="AH1697"/>
  <c r="AG1697"/>
  <c r="AF1697"/>
  <c r="AE1697"/>
  <c r="AD1697"/>
  <c r="AC1697"/>
  <c r="AI1696"/>
  <c r="AH1696"/>
  <c r="AG1696"/>
  <c r="AF1696"/>
  <c r="AE1696"/>
  <c r="AD1696"/>
  <c r="AC1696"/>
  <c r="AI1695"/>
  <c r="AH1695"/>
  <c r="AG1695"/>
  <c r="AF1695"/>
  <c r="AE1695"/>
  <c r="AD1695"/>
  <c r="AC1695"/>
  <c r="AI1694"/>
  <c r="AH1694"/>
  <c r="AG1694"/>
  <c r="AF1694"/>
  <c r="AE1694"/>
  <c r="AD1694"/>
  <c r="AC1694"/>
  <c r="AI1693"/>
  <c r="AH1693"/>
  <c r="AG1693"/>
  <c r="AF1693"/>
  <c r="AE1693"/>
  <c r="AD1693"/>
  <c r="AC1693"/>
  <c r="AI1692"/>
  <c r="AH1692"/>
  <c r="AG1692"/>
  <c r="AF1692"/>
  <c r="AE1692"/>
  <c r="AD1692"/>
  <c r="AC1692"/>
  <c r="AI1691"/>
  <c r="AH1691"/>
  <c r="AG1691"/>
  <c r="AF1691"/>
  <c r="AE1691"/>
  <c r="AD1691"/>
  <c r="AC1691"/>
  <c r="AI1690"/>
  <c r="AH1690"/>
  <c r="AG1690"/>
  <c r="AF1690"/>
  <c r="AE1690"/>
  <c r="AD1690"/>
  <c r="AC1690"/>
  <c r="AI1689"/>
  <c r="AH1689"/>
  <c r="AG1689"/>
  <c r="AF1689"/>
  <c r="AE1689"/>
  <c r="AD1689"/>
  <c r="AC1689"/>
  <c r="AI1688"/>
  <c r="AH1688"/>
  <c r="AG1688"/>
  <c r="AF1688"/>
  <c r="AE1688"/>
  <c r="AD1688"/>
  <c r="AC1688"/>
  <c r="AI1687"/>
  <c r="AH1687"/>
  <c r="AG1687"/>
  <c r="AF1687"/>
  <c r="AE1687"/>
  <c r="AD1687"/>
  <c r="AC1687"/>
  <c r="AI1686"/>
  <c r="AH1686"/>
  <c r="AG1686"/>
  <c r="AF1686"/>
  <c r="AE1686"/>
  <c r="AD1686"/>
  <c r="AC1686"/>
  <c r="AI1685"/>
  <c r="AH1685"/>
  <c r="AG1685"/>
  <c r="AF1685"/>
  <c r="AE1685"/>
  <c r="AD1685"/>
  <c r="AC1685"/>
  <c r="AI1684"/>
  <c r="AH1684"/>
  <c r="AG1684"/>
  <c r="AF1684"/>
  <c r="AE1684"/>
  <c r="AD1684"/>
  <c r="AC1684"/>
  <c r="AI1683"/>
  <c r="AH1683"/>
  <c r="AG1683"/>
  <c r="AF1683"/>
  <c r="AE1683"/>
  <c r="AD1683"/>
  <c r="AC1683"/>
  <c r="AI1682"/>
  <c r="AH1682"/>
  <c r="AG1682"/>
  <c r="AF1682"/>
  <c r="AE1682"/>
  <c r="AD1682"/>
  <c r="AC1682"/>
  <c r="AI1681"/>
  <c r="AH1681"/>
  <c r="AG1681"/>
  <c r="AF1681"/>
  <c r="AE1681"/>
  <c r="AD1681"/>
  <c r="AC1681"/>
  <c r="AI1680"/>
  <c r="AH1680"/>
  <c r="AG1680"/>
  <c r="AF1680"/>
  <c r="AE1680"/>
  <c r="AD1680"/>
  <c r="AC1680"/>
  <c r="AI1679"/>
  <c r="AH1679"/>
  <c r="AG1679"/>
  <c r="AF1679"/>
  <c r="AE1679"/>
  <c r="AD1679"/>
  <c r="AC1679"/>
  <c r="AI1678"/>
  <c r="AH1678"/>
  <c r="AG1678"/>
  <c r="AF1678"/>
  <c r="AE1678"/>
  <c r="AD1678"/>
  <c r="AC1678"/>
  <c r="AI1677"/>
  <c r="AH1677"/>
  <c r="AG1677"/>
  <c r="AF1677"/>
  <c r="AE1677"/>
  <c r="AD1677"/>
  <c r="AC1677"/>
  <c r="AI1676"/>
  <c r="AH1676"/>
  <c r="AG1676"/>
  <c r="AF1676"/>
  <c r="AE1676"/>
  <c r="AD1676"/>
  <c r="AC1676"/>
  <c r="AI1675"/>
  <c r="AH1675"/>
  <c r="AG1675"/>
  <c r="AF1675"/>
  <c r="AE1675"/>
  <c r="AD1675"/>
  <c r="AC1675"/>
  <c r="AI1674"/>
  <c r="AH1674"/>
  <c r="AG1674"/>
  <c r="AF1674"/>
  <c r="AE1674"/>
  <c r="AD1674"/>
  <c r="AC1674"/>
  <c r="AI1673"/>
  <c r="AH1673"/>
  <c r="AG1673"/>
  <c r="AF1673"/>
  <c r="AE1673"/>
  <c r="AD1673"/>
  <c r="AC1673"/>
  <c r="AI1672"/>
  <c r="AH1672"/>
  <c r="AG1672"/>
  <c r="AF1672"/>
  <c r="AE1672"/>
  <c r="AD1672"/>
  <c r="AC1672"/>
  <c r="AI1671"/>
  <c r="AH1671"/>
  <c r="AG1671"/>
  <c r="AF1671"/>
  <c r="AE1671"/>
  <c r="AD1671"/>
  <c r="AC1671"/>
  <c r="AI1670"/>
  <c r="AH1670"/>
  <c r="AG1670"/>
  <c r="AF1670"/>
  <c r="AE1670"/>
  <c r="AD1670"/>
  <c r="AC1670"/>
  <c r="AI1669"/>
  <c r="AH1669"/>
  <c r="AG1669"/>
  <c r="AF1669"/>
  <c r="AE1669"/>
  <c r="AD1669"/>
  <c r="AC1669"/>
  <c r="AI1668"/>
  <c r="AH1668"/>
  <c r="AG1668"/>
  <c r="AF1668"/>
  <c r="AE1668"/>
  <c r="AD1668"/>
  <c r="AC1668"/>
  <c r="AI1667"/>
  <c r="AH1667"/>
  <c r="AG1667"/>
  <c r="AF1667"/>
  <c r="AE1667"/>
  <c r="AD1667"/>
  <c r="AC1667"/>
  <c r="AI1666"/>
  <c r="AH1666"/>
  <c r="AG1666"/>
  <c r="AF1666"/>
  <c r="AE1666"/>
  <c r="AD1666"/>
  <c r="AC1666"/>
  <c r="AI1665"/>
  <c r="AH1665"/>
  <c r="AG1665"/>
  <c r="AF1665"/>
  <c r="AE1665"/>
  <c r="AD1665"/>
  <c r="AC1665"/>
  <c r="AI1664"/>
  <c r="AH1664"/>
  <c r="AG1664"/>
  <c r="AF1664"/>
  <c r="AE1664"/>
  <c r="AD1664"/>
  <c r="AC1664"/>
  <c r="AI1663"/>
  <c r="AH1663"/>
  <c r="AG1663"/>
  <c r="AF1663"/>
  <c r="AE1663"/>
  <c r="AD1663"/>
  <c r="AC1663"/>
  <c r="AI1662"/>
  <c r="AH1662"/>
  <c r="AG1662"/>
  <c r="AF1662"/>
  <c r="AE1662"/>
  <c r="AD1662"/>
  <c r="AC1662"/>
  <c r="AI1661"/>
  <c r="AH1661"/>
  <c r="AG1661"/>
  <c r="AF1661"/>
  <c r="AE1661"/>
  <c r="AD1661"/>
  <c r="AC1661"/>
  <c r="AI1660"/>
  <c r="AH1660"/>
  <c r="AG1660"/>
  <c r="AF1660"/>
  <c r="AE1660"/>
  <c r="AD1660"/>
  <c r="AC1660"/>
  <c r="AI1659"/>
  <c r="AH1659"/>
  <c r="AG1659"/>
  <c r="AF1659"/>
  <c r="AE1659"/>
  <c r="AD1659"/>
  <c r="AC1659"/>
  <c r="AI1658"/>
  <c r="AH1658"/>
  <c r="AG1658"/>
  <c r="AF1658"/>
  <c r="AE1658"/>
  <c r="AD1658"/>
  <c r="AC1658"/>
  <c r="AI1657"/>
  <c r="AH1657"/>
  <c r="AG1657"/>
  <c r="AF1657"/>
  <c r="AE1657"/>
  <c r="AD1657"/>
  <c r="AC1657"/>
  <c r="AI1656"/>
  <c r="AH1656"/>
  <c r="AG1656"/>
  <c r="AF1656"/>
  <c r="AE1656"/>
  <c r="AD1656"/>
  <c r="AC1656"/>
  <c r="AI1655"/>
  <c r="AH1655"/>
  <c r="AG1655"/>
  <c r="AF1655"/>
  <c r="AE1655"/>
  <c r="AD1655"/>
  <c r="AC1655"/>
  <c r="AI1654"/>
  <c r="AH1654"/>
  <c r="AG1654"/>
  <c r="AF1654"/>
  <c r="AE1654"/>
  <c r="AD1654"/>
  <c r="AC1654"/>
  <c r="AI1653"/>
  <c r="AH1653"/>
  <c r="AG1653"/>
  <c r="AF1653"/>
  <c r="AE1653"/>
  <c r="AD1653"/>
  <c r="AC1653"/>
  <c r="AI1652"/>
  <c r="AH1652"/>
  <c r="AG1652"/>
  <c r="AF1652"/>
  <c r="AE1652"/>
  <c r="AD1652"/>
  <c r="AC1652"/>
  <c r="AI1651"/>
  <c r="AH1651"/>
  <c r="AG1651"/>
  <c r="AF1651"/>
  <c r="AE1651"/>
  <c r="AD1651"/>
  <c r="AC1651"/>
  <c r="AI1650"/>
  <c r="AH1650"/>
  <c r="AG1650"/>
  <c r="AF1650"/>
  <c r="AE1650"/>
  <c r="AD1650"/>
  <c r="AC1650"/>
  <c r="AI1649"/>
  <c r="AH1649"/>
  <c r="AG1649"/>
  <c r="AF1649"/>
  <c r="AE1649"/>
  <c r="AD1649"/>
  <c r="AC1649"/>
  <c r="AI1648"/>
  <c r="AH1648"/>
  <c r="AG1648"/>
  <c r="AF1648"/>
  <c r="AE1648"/>
  <c r="AD1648"/>
  <c r="AC1648"/>
  <c r="AI1647"/>
  <c r="AH1647"/>
  <c r="AG1647"/>
  <c r="AF1647"/>
  <c r="AE1647"/>
  <c r="AD1647"/>
  <c r="AC1647"/>
  <c r="AI1646"/>
  <c r="AH1646"/>
  <c r="AG1646"/>
  <c r="AF1646"/>
  <c r="AE1646"/>
  <c r="AD1646"/>
  <c r="AC1646"/>
  <c r="AI1645"/>
  <c r="AH1645"/>
  <c r="AG1645"/>
  <c r="AF1645"/>
  <c r="AE1645"/>
  <c r="AD1645"/>
  <c r="AC1645"/>
  <c r="AI1644"/>
  <c r="AH1644"/>
  <c r="AG1644"/>
  <c r="AF1644"/>
  <c r="AE1644"/>
  <c r="AD1644"/>
  <c r="AC1644"/>
  <c r="AI1643"/>
  <c r="AH1643"/>
  <c r="AG1643"/>
  <c r="AF1643"/>
  <c r="AE1643"/>
  <c r="AD1643"/>
  <c r="AC1643"/>
  <c r="AI1642"/>
  <c r="AH1642"/>
  <c r="AG1642"/>
  <c r="AF1642"/>
  <c r="AE1642"/>
  <c r="AD1642"/>
  <c r="AC1642"/>
  <c r="AI1641"/>
  <c r="AH1641"/>
  <c r="AG1641"/>
  <c r="AF1641"/>
  <c r="AE1641"/>
  <c r="AD1641"/>
  <c r="AC1641"/>
  <c r="AI1640"/>
  <c r="AH1640"/>
  <c r="AG1640"/>
  <c r="AF1640"/>
  <c r="AE1640"/>
  <c r="AD1640"/>
  <c r="AC1640"/>
  <c r="AI1639"/>
  <c r="AH1639"/>
  <c r="AG1639"/>
  <c r="AF1639"/>
  <c r="AE1639"/>
  <c r="AD1639"/>
  <c r="AC1639"/>
  <c r="AI1638"/>
  <c r="AH1638"/>
  <c r="AG1638"/>
  <c r="AF1638"/>
  <c r="AE1638"/>
  <c r="AD1638"/>
  <c r="AC1638"/>
  <c r="AI1637"/>
  <c r="AH1637"/>
  <c r="AG1637"/>
  <c r="AF1637"/>
  <c r="AE1637"/>
  <c r="AD1637"/>
  <c r="AC1637"/>
  <c r="AI1636"/>
  <c r="AH1636"/>
  <c r="AG1636"/>
  <c r="AF1636"/>
  <c r="AE1636"/>
  <c r="AD1636"/>
  <c r="AC1636"/>
  <c r="AI1635"/>
  <c r="AH1635"/>
  <c r="AG1635"/>
  <c r="AF1635"/>
  <c r="AE1635"/>
  <c r="AD1635"/>
  <c r="AC1635"/>
  <c r="AI1634"/>
  <c r="AH1634"/>
  <c r="AG1634"/>
  <c r="AF1634"/>
  <c r="AE1634"/>
  <c r="AD1634"/>
  <c r="AC1634"/>
  <c r="AI1633"/>
  <c r="AH1633"/>
  <c r="AG1633"/>
  <c r="AF1633"/>
  <c r="AE1633"/>
  <c r="AD1633"/>
  <c r="AC1633"/>
  <c r="AI1632"/>
  <c r="AH1632"/>
  <c r="AG1632"/>
  <c r="AF1632"/>
  <c r="AE1632"/>
  <c r="AD1632"/>
  <c r="AC1632"/>
  <c r="AI1631"/>
  <c r="AH1631"/>
  <c r="AG1631"/>
  <c r="AF1631"/>
  <c r="AE1631"/>
  <c r="AD1631"/>
  <c r="AC1631"/>
  <c r="AI1630"/>
  <c r="AH1630"/>
  <c r="AG1630"/>
  <c r="AF1630"/>
  <c r="AE1630"/>
  <c r="AD1630"/>
  <c r="AC1630"/>
  <c r="AI1629"/>
  <c r="AH1629"/>
  <c r="AG1629"/>
  <c r="AF1629"/>
  <c r="AE1629"/>
  <c r="AD1629"/>
  <c r="AC1629"/>
  <c r="AI1628"/>
  <c r="AH1628"/>
  <c r="AG1628"/>
  <c r="AF1628"/>
  <c r="AE1628"/>
  <c r="AD1628"/>
  <c r="AC1628"/>
  <c r="AI1627"/>
  <c r="AH1627"/>
  <c r="AG1627"/>
  <c r="AF1627"/>
  <c r="AE1627"/>
  <c r="AD1627"/>
  <c r="AC1627"/>
  <c r="AI1626"/>
  <c r="AH1626"/>
  <c r="AG1626"/>
  <c r="AF1626"/>
  <c r="AE1626"/>
  <c r="AD1626"/>
  <c r="AC1626"/>
  <c r="AI1625"/>
  <c r="AH1625"/>
  <c r="AG1625"/>
  <c r="AF1625"/>
  <c r="AE1625"/>
  <c r="AD1625"/>
  <c r="AC1625"/>
  <c r="AI1624"/>
  <c r="AH1624"/>
  <c r="AG1624"/>
  <c r="AF1624"/>
  <c r="AE1624"/>
  <c r="AD1624"/>
  <c r="AC1624"/>
  <c r="AI1623"/>
  <c r="AH1623"/>
  <c r="AG1623"/>
  <c r="AF1623"/>
  <c r="AE1623"/>
  <c r="AD1623"/>
  <c r="AC1623"/>
  <c r="AI1622"/>
  <c r="AH1622"/>
  <c r="AG1622"/>
  <c r="AF1622"/>
  <c r="AE1622"/>
  <c r="AD1622"/>
  <c r="AC1622"/>
  <c r="AI1621"/>
  <c r="AH1621"/>
  <c r="AG1621"/>
  <c r="AF1621"/>
  <c r="AE1621"/>
  <c r="AD1621"/>
  <c r="AC1621"/>
  <c r="AI1620"/>
  <c r="AH1620"/>
  <c r="AG1620"/>
  <c r="AF1620"/>
  <c r="AE1620"/>
  <c r="AD1620"/>
  <c r="AC1620"/>
  <c r="AI1619"/>
  <c r="AH1619"/>
  <c r="AG1619"/>
  <c r="AF1619"/>
  <c r="AE1619"/>
  <c r="AD1619"/>
  <c r="AC1619"/>
  <c r="AI1618"/>
  <c r="AH1618"/>
  <c r="AG1618"/>
  <c r="AF1618"/>
  <c r="AE1618"/>
  <c r="AD1618"/>
  <c r="AC1618"/>
  <c r="AI1617"/>
  <c r="AH1617"/>
  <c r="AG1617"/>
  <c r="AF1617"/>
  <c r="AE1617"/>
  <c r="AD1617"/>
  <c r="AC1617"/>
  <c r="AI1616"/>
  <c r="AH1616"/>
  <c r="AG1616"/>
  <c r="AF1616"/>
  <c r="AE1616"/>
  <c r="AD1616"/>
  <c r="AC1616"/>
  <c r="AI1615"/>
  <c r="AH1615"/>
  <c r="AG1615"/>
  <c r="AF1615"/>
  <c r="AE1615"/>
  <c r="AD1615"/>
  <c r="AC1615"/>
  <c r="AI1614"/>
  <c r="AH1614"/>
  <c r="AG1614"/>
  <c r="AF1614"/>
  <c r="AE1614"/>
  <c r="AD1614"/>
  <c r="AC1614"/>
  <c r="AI1613"/>
  <c r="AH1613"/>
  <c r="AG1613"/>
  <c r="AF1613"/>
  <c r="AE1613"/>
  <c r="AD1613"/>
  <c r="AC1613"/>
  <c r="AI1612"/>
  <c r="AH1612"/>
  <c r="AG1612"/>
  <c r="AF1612"/>
  <c r="AE1612"/>
  <c r="AD1612"/>
  <c r="AC1612"/>
  <c r="AI1611"/>
  <c r="AH1611"/>
  <c r="AG1611"/>
  <c r="AF1611"/>
  <c r="AE1611"/>
  <c r="AD1611"/>
  <c r="AC1611"/>
  <c r="AI1610"/>
  <c r="AH1610"/>
  <c r="AG1610"/>
  <c r="AF1610"/>
  <c r="AE1610"/>
  <c r="AD1610"/>
  <c r="AC1610"/>
  <c r="AI1609"/>
  <c r="AH1609"/>
  <c r="AG1609"/>
  <c r="AF1609"/>
  <c r="AE1609"/>
  <c r="AD1609"/>
  <c r="AC1609"/>
  <c r="AI1608"/>
  <c r="AH1608"/>
  <c r="AG1608"/>
  <c r="AF1608"/>
  <c r="AE1608"/>
  <c r="AD1608"/>
  <c r="AC1608"/>
  <c r="AI1607"/>
  <c r="AH1607"/>
  <c r="AG1607"/>
  <c r="AF1607"/>
  <c r="AE1607"/>
  <c r="AD1607"/>
  <c r="AC1607"/>
  <c r="AI1606"/>
  <c r="AH1606"/>
  <c r="AG1606"/>
  <c r="AF1606"/>
  <c r="AE1606"/>
  <c r="AD1606"/>
  <c r="AC1606"/>
  <c r="AI1605"/>
  <c r="AH1605"/>
  <c r="AG1605"/>
  <c r="AF1605"/>
  <c r="AE1605"/>
  <c r="AD1605"/>
  <c r="AC1605"/>
  <c r="AI1604"/>
  <c r="AH1604"/>
  <c r="AG1604"/>
  <c r="AF1604"/>
  <c r="AE1604"/>
  <c r="AD1604"/>
  <c r="AC1604"/>
  <c r="AI1603"/>
  <c r="AH1603"/>
  <c r="AG1603"/>
  <c r="AF1603"/>
  <c r="AE1603"/>
  <c r="AD1603"/>
  <c r="AC1603"/>
  <c r="AI1602"/>
  <c r="AH1602"/>
  <c r="AG1602"/>
  <c r="AF1602"/>
  <c r="AE1602"/>
  <c r="AD1602"/>
  <c r="AC1602"/>
  <c r="AI1601"/>
  <c r="AH1601"/>
  <c r="AG1601"/>
  <c r="AF1601"/>
  <c r="AE1601"/>
  <c r="AD1601"/>
  <c r="AC1601"/>
  <c r="AI1600"/>
  <c r="AH1600"/>
  <c r="AG1600"/>
  <c r="AF1600"/>
  <c r="AE1600"/>
  <c r="AD1600"/>
  <c r="AC1600"/>
  <c r="AI1599"/>
  <c r="AH1599"/>
  <c r="AG1599"/>
  <c r="AF1599"/>
  <c r="AE1599"/>
  <c r="AD1599"/>
  <c r="AC1599"/>
  <c r="AI1598"/>
  <c r="AH1598"/>
  <c r="AG1598"/>
  <c r="AF1598"/>
  <c r="AE1598"/>
  <c r="AD1598"/>
  <c r="AC1598"/>
  <c r="AI1597"/>
  <c r="AH1597"/>
  <c r="AG1597"/>
  <c r="AF1597"/>
  <c r="AE1597"/>
  <c r="AD1597"/>
  <c r="AC1597"/>
  <c r="AI1596"/>
  <c r="AH1596"/>
  <c r="AG1596"/>
  <c r="AF1596"/>
  <c r="AE1596"/>
  <c r="AD1596"/>
  <c r="AC1596"/>
  <c r="AI1595"/>
  <c r="AH1595"/>
  <c r="AG1595"/>
  <c r="AF1595"/>
  <c r="AE1595"/>
  <c r="AD1595"/>
  <c r="AC1595"/>
  <c r="AI1594"/>
  <c r="AH1594"/>
  <c r="AG1594"/>
  <c r="AF1594"/>
  <c r="AE1594"/>
  <c r="AD1594"/>
  <c r="AC1594"/>
  <c r="AI1593"/>
  <c r="AH1593"/>
  <c r="AG1593"/>
  <c r="AF1593"/>
  <c r="AE1593"/>
  <c r="AD1593"/>
  <c r="AC1593"/>
  <c r="AI1592"/>
  <c r="AH1592"/>
  <c r="AG1592"/>
  <c r="AF1592"/>
  <c r="AE1592"/>
  <c r="AD1592"/>
  <c r="AC1592"/>
  <c r="AI1591"/>
  <c r="AH1591"/>
  <c r="AG1591"/>
  <c r="AF1591"/>
  <c r="AE1591"/>
  <c r="AD1591"/>
  <c r="AC1591"/>
  <c r="AI1590"/>
  <c r="AH1590"/>
  <c r="AG1590"/>
  <c r="AF1590"/>
  <c r="AE1590"/>
  <c r="AD1590"/>
  <c r="AC1590"/>
  <c r="AI1589"/>
  <c r="AH1589"/>
  <c r="AG1589"/>
  <c r="AF1589"/>
  <c r="AE1589"/>
  <c r="AD1589"/>
  <c r="AC1589"/>
  <c r="AI1588"/>
  <c r="AH1588"/>
  <c r="AG1588"/>
  <c r="AF1588"/>
  <c r="AE1588"/>
  <c r="AD1588"/>
  <c r="AC1588"/>
  <c r="AI1587"/>
  <c r="AH1587"/>
  <c r="AG1587"/>
  <c r="AF1587"/>
  <c r="AE1587"/>
  <c r="AD1587"/>
  <c r="AC1587"/>
  <c r="AI1586"/>
  <c r="AH1586"/>
  <c r="AG1586"/>
  <c r="AF1586"/>
  <c r="AE1586"/>
  <c r="AD1586"/>
  <c r="AC1586"/>
  <c r="AI1585"/>
  <c r="AH1585"/>
  <c r="AG1585"/>
  <c r="AF1585"/>
  <c r="AE1585"/>
  <c r="AD1585"/>
  <c r="AC1585"/>
  <c r="AI1584"/>
  <c r="AH1584"/>
  <c r="AG1584"/>
  <c r="AF1584"/>
  <c r="AE1584"/>
  <c r="AD1584"/>
  <c r="AC1584"/>
  <c r="AI1583"/>
  <c r="AH1583"/>
  <c r="AG1583"/>
  <c r="AF1583"/>
  <c r="AE1583"/>
  <c r="AD1583"/>
  <c r="AC1583"/>
  <c r="AI1582"/>
  <c r="AH1582"/>
  <c r="AG1582"/>
  <c r="AF1582"/>
  <c r="AE1582"/>
  <c r="AD1582"/>
  <c r="AC1582"/>
  <c r="AI1581"/>
  <c r="AH1581"/>
  <c r="AG1581"/>
  <c r="AF1581"/>
  <c r="AE1581"/>
  <c r="AD1581"/>
  <c r="AC1581"/>
  <c r="AI1580"/>
  <c r="AH1580"/>
  <c r="AG1580"/>
  <c r="AF1580"/>
  <c r="AE1580"/>
  <c r="AD1580"/>
  <c r="AC1580"/>
  <c r="AI1579"/>
  <c r="AH1579"/>
  <c r="AG1579"/>
  <c r="AF1579"/>
  <c r="AE1579"/>
  <c r="AD1579"/>
  <c r="AC1579"/>
  <c r="AI1578"/>
  <c r="AH1578"/>
  <c r="AG1578"/>
  <c r="AF1578"/>
  <c r="AE1578"/>
  <c r="AD1578"/>
  <c r="AC1578"/>
  <c r="AI1577"/>
  <c r="AH1577"/>
  <c r="AG1577"/>
  <c r="AF1577"/>
  <c r="AE1577"/>
  <c r="AD1577"/>
  <c r="AC1577"/>
  <c r="AI1576"/>
  <c r="AH1576"/>
  <c r="AG1576"/>
  <c r="AF1576"/>
  <c r="AE1576"/>
  <c r="AD1576"/>
  <c r="AC1576"/>
  <c r="AI1575"/>
  <c r="AH1575"/>
  <c r="AG1575"/>
  <c r="AF1575"/>
  <c r="AE1575"/>
  <c r="AD1575"/>
  <c r="AC1575"/>
  <c r="AI1574"/>
  <c r="AH1574"/>
  <c r="AG1574"/>
  <c r="AF1574"/>
  <c r="AE1574"/>
  <c r="AD1574"/>
  <c r="AC1574"/>
  <c r="AI1573"/>
  <c r="AH1573"/>
  <c r="AG1573"/>
  <c r="AF1573"/>
  <c r="AE1573"/>
  <c r="AD1573"/>
  <c r="AC1573"/>
  <c r="AI1572"/>
  <c r="AH1572"/>
  <c r="AG1572"/>
  <c r="AF1572"/>
  <c r="AE1572"/>
  <c r="AD1572"/>
  <c r="AC1572"/>
  <c r="AI1571"/>
  <c r="AH1571"/>
  <c r="AG1571"/>
  <c r="AF1571"/>
  <c r="AE1571"/>
  <c r="AD1571"/>
  <c r="AC1571"/>
  <c r="AI1570"/>
  <c r="AH1570"/>
  <c r="AG1570"/>
  <c r="AF1570"/>
  <c r="AE1570"/>
  <c r="AD1570"/>
  <c r="AC1570"/>
  <c r="AI1569"/>
  <c r="AH1569"/>
  <c r="AG1569"/>
  <c r="AF1569"/>
  <c r="AE1569"/>
  <c r="AD1569"/>
  <c r="AC1569"/>
  <c r="AI1568"/>
  <c r="AH1568"/>
  <c r="AG1568"/>
  <c r="AF1568"/>
  <c r="AE1568"/>
  <c r="AD1568"/>
  <c r="AC1568"/>
  <c r="AI1567"/>
  <c r="AH1567"/>
  <c r="AG1567"/>
  <c r="AF1567"/>
  <c r="AE1567"/>
  <c r="AD1567"/>
  <c r="AC1567"/>
  <c r="AI1566"/>
  <c r="AH1566"/>
  <c r="AG1566"/>
  <c r="AF1566"/>
  <c r="AE1566"/>
  <c r="AD1566"/>
  <c r="AC1566"/>
  <c r="AI1565"/>
  <c r="AH1565"/>
  <c r="AG1565"/>
  <c r="AF1565"/>
  <c r="AE1565"/>
  <c r="AD1565"/>
  <c r="AC1565"/>
  <c r="AI1564"/>
  <c r="AH1564"/>
  <c r="AG1564"/>
  <c r="AF1564"/>
  <c r="AE1564"/>
  <c r="AD1564"/>
  <c r="AC1564"/>
  <c r="AI1563"/>
  <c r="AH1563"/>
  <c r="AG1563"/>
  <c r="AF1563"/>
  <c r="AE1563"/>
  <c r="AD1563"/>
  <c r="AC1563"/>
  <c r="AI1562"/>
  <c r="AH1562"/>
  <c r="AG1562"/>
  <c r="AF1562"/>
  <c r="AE1562"/>
  <c r="AD1562"/>
  <c r="AC1562"/>
  <c r="AI1561"/>
  <c r="AH1561"/>
  <c r="AG1561"/>
  <c r="AF1561"/>
  <c r="AE1561"/>
  <c r="AD1561"/>
  <c r="AC1561"/>
  <c r="AI1560"/>
  <c r="AH1560"/>
  <c r="AG1560"/>
  <c r="AF1560"/>
  <c r="AE1560"/>
  <c r="AD1560"/>
  <c r="AC1560"/>
  <c r="AI1559"/>
  <c r="AH1559"/>
  <c r="AG1559"/>
  <c r="AF1559"/>
  <c r="AE1559"/>
  <c r="AD1559"/>
  <c r="AC1559"/>
  <c r="AI1558"/>
  <c r="AH1558"/>
  <c r="AG1558"/>
  <c r="AF1558"/>
  <c r="AE1558"/>
  <c r="AD1558"/>
  <c r="AC1558"/>
  <c r="AI1557"/>
  <c r="AH1557"/>
  <c r="AG1557"/>
  <c r="AF1557"/>
  <c r="AE1557"/>
  <c r="AD1557"/>
  <c r="AC1557"/>
  <c r="AI1556"/>
  <c r="AH1556"/>
  <c r="AG1556"/>
  <c r="AF1556"/>
  <c r="AE1556"/>
  <c r="AD1556"/>
  <c r="AC1556"/>
  <c r="AI1555"/>
  <c r="AH1555"/>
  <c r="AG1555"/>
  <c r="AF1555"/>
  <c r="AE1555"/>
  <c r="AD1555"/>
  <c r="AC1555"/>
  <c r="AI1554"/>
  <c r="AH1554"/>
  <c r="AG1554"/>
  <c r="AF1554"/>
  <c r="AE1554"/>
  <c r="AD1554"/>
  <c r="AC1554"/>
  <c r="AI1553"/>
  <c r="AH1553"/>
  <c r="AG1553"/>
  <c r="AF1553"/>
  <c r="AE1553"/>
  <c r="AD1553"/>
  <c r="AC1553"/>
  <c r="AI1552"/>
  <c r="AH1552"/>
  <c r="AG1552"/>
  <c r="AF1552"/>
  <c r="AE1552"/>
  <c r="AD1552"/>
  <c r="AC1552"/>
  <c r="AI1551"/>
  <c r="AH1551"/>
  <c r="AG1551"/>
  <c r="AF1551"/>
  <c r="AE1551"/>
  <c r="AD1551"/>
  <c r="AC1551"/>
  <c r="AI1550"/>
  <c r="AH1550"/>
  <c r="AG1550"/>
  <c r="AF1550"/>
  <c r="AE1550"/>
  <c r="AD1550"/>
  <c r="AC1550"/>
  <c r="AI1549"/>
  <c r="AH1549"/>
  <c r="AG1549"/>
  <c r="AF1549"/>
  <c r="AE1549"/>
  <c r="AD1549"/>
  <c r="AC1549"/>
  <c r="AI1548"/>
  <c r="AH1548"/>
  <c r="AG1548"/>
  <c r="AF1548"/>
  <c r="AE1548"/>
  <c r="AD1548"/>
  <c r="AC1548"/>
  <c r="AI1547"/>
  <c r="AH1547"/>
  <c r="AG1547"/>
  <c r="AF1547"/>
  <c r="AE1547"/>
  <c r="AD1547"/>
  <c r="AC1547"/>
  <c r="AI1546"/>
  <c r="AH1546"/>
  <c r="AG1546"/>
  <c r="AF1546"/>
  <c r="AE1546"/>
  <c r="AD1546"/>
  <c r="AC1546"/>
  <c r="AI1545"/>
  <c r="AH1545"/>
  <c r="AG1545"/>
  <c r="AF1545"/>
  <c r="AE1545"/>
  <c r="AD1545"/>
  <c r="AC1545"/>
  <c r="AI1544"/>
  <c r="AH1544"/>
  <c r="AG1544"/>
  <c r="AF1544"/>
  <c r="AE1544"/>
  <c r="AD1544"/>
  <c r="AC1544"/>
  <c r="AI1543"/>
  <c r="AH1543"/>
  <c r="AG1543"/>
  <c r="AF1543"/>
  <c r="AE1543"/>
  <c r="AD1543"/>
  <c r="AC1543"/>
  <c r="AI1542"/>
  <c r="AH1542"/>
  <c r="AG1542"/>
  <c r="AF1542"/>
  <c r="AE1542"/>
  <c r="AD1542"/>
  <c r="AC1542"/>
  <c r="AI1541"/>
  <c r="AH1541"/>
  <c r="AG1541"/>
  <c r="AF1541"/>
  <c r="AE1541"/>
  <c r="AD1541"/>
  <c r="AC1541"/>
  <c r="AI1540"/>
  <c r="AH1540"/>
  <c r="AG1540"/>
  <c r="AF1540"/>
  <c r="AE1540"/>
  <c r="AD1540"/>
  <c r="AC1540"/>
  <c r="AI1539"/>
  <c r="AH1539"/>
  <c r="AG1539"/>
  <c r="AF1539"/>
  <c r="AE1539"/>
  <c r="AD1539"/>
  <c r="AC1539"/>
  <c r="AI1538"/>
  <c r="AH1538"/>
  <c r="AG1538"/>
  <c r="AF1538"/>
  <c r="AE1538"/>
  <c r="AD1538"/>
  <c r="AC1538"/>
  <c r="AI1537"/>
  <c r="AH1537"/>
  <c r="AG1537"/>
  <c r="AF1537"/>
  <c r="AE1537"/>
  <c r="AD1537"/>
  <c r="AC1537"/>
  <c r="AI1536"/>
  <c r="AH1536"/>
  <c r="AG1536"/>
  <c r="AF1536"/>
  <c r="AE1536"/>
  <c r="AD1536"/>
  <c r="AC1536"/>
  <c r="AI1535"/>
  <c r="AH1535"/>
  <c r="AG1535"/>
  <c r="AF1535"/>
  <c r="AE1535"/>
  <c r="AD1535"/>
  <c r="AC1535"/>
  <c r="AI1534"/>
  <c r="AH1534"/>
  <c r="AG1534"/>
  <c r="AF1534"/>
  <c r="AE1534"/>
  <c r="AD1534"/>
  <c r="AC1534"/>
  <c r="AI1533"/>
  <c r="AH1533"/>
  <c r="AG1533"/>
  <c r="AF1533"/>
  <c r="AE1533"/>
  <c r="AD1533"/>
  <c r="AC1533"/>
  <c r="AI1532"/>
  <c r="AH1532"/>
  <c r="AG1532"/>
  <c r="AF1532"/>
  <c r="AE1532"/>
  <c r="AD1532"/>
  <c r="AC1532"/>
  <c r="AI1531"/>
  <c r="AH1531"/>
  <c r="AG1531"/>
  <c r="AF1531"/>
  <c r="AE1531"/>
  <c r="AD1531"/>
  <c r="AC1531"/>
  <c r="AI1530"/>
  <c r="AH1530"/>
  <c r="AG1530"/>
  <c r="AF1530"/>
  <c r="AE1530"/>
  <c r="AD1530"/>
  <c r="AC1530"/>
  <c r="AI1529"/>
  <c r="AH1529"/>
  <c r="AG1529"/>
  <c r="AF1529"/>
  <c r="AE1529"/>
  <c r="AD1529"/>
  <c r="AC1529"/>
  <c r="AI1528"/>
  <c r="AH1528"/>
  <c r="AG1528"/>
  <c r="AF1528"/>
  <c r="AE1528"/>
  <c r="AD1528"/>
  <c r="AC1528"/>
  <c r="AI1527"/>
  <c r="AH1527"/>
  <c r="AG1527"/>
  <c r="AF1527"/>
  <c r="AE1527"/>
  <c r="AD1527"/>
  <c r="AC1527"/>
  <c r="AI1526"/>
  <c r="AH1526"/>
  <c r="AG1526"/>
  <c r="AF1526"/>
  <c r="AE1526"/>
  <c r="AD1526"/>
  <c r="AC1526"/>
  <c r="AI1525"/>
  <c r="AH1525"/>
  <c r="AG1525"/>
  <c r="AF1525"/>
  <c r="AE1525"/>
  <c r="AD1525"/>
  <c r="AC1525"/>
  <c r="AI1524"/>
  <c r="AH1524"/>
  <c r="AG1524"/>
  <c r="AF1524"/>
  <c r="AE1524"/>
  <c r="AD1524"/>
  <c r="AC1524"/>
  <c r="AI1523"/>
  <c r="AH1523"/>
  <c r="AG1523"/>
  <c r="AF1523"/>
  <c r="AE1523"/>
  <c r="AD1523"/>
  <c r="AC1523"/>
  <c r="AI1522"/>
  <c r="AH1522"/>
  <c r="AG1522"/>
  <c r="AF1522"/>
  <c r="AE1522"/>
  <c r="AD1522"/>
  <c r="AC1522"/>
  <c r="AI1521"/>
  <c r="AH1521"/>
  <c r="AG1521"/>
  <c r="AF1521"/>
  <c r="AE1521"/>
  <c r="AD1521"/>
  <c r="AC1521"/>
  <c r="AI1520"/>
  <c r="AH1520"/>
  <c r="AG1520"/>
  <c r="AF1520"/>
  <c r="AE1520"/>
  <c r="AD1520"/>
  <c r="AC1520"/>
  <c r="AI1519"/>
  <c r="AH1519"/>
  <c r="AG1519"/>
  <c r="AF1519"/>
  <c r="AE1519"/>
  <c r="AD1519"/>
  <c r="AC1519"/>
  <c r="AI1518"/>
  <c r="AH1518"/>
  <c r="AG1518"/>
  <c r="AF1518"/>
  <c r="AE1518"/>
  <c r="AD1518"/>
  <c r="AC1518"/>
  <c r="AI1517"/>
  <c r="AH1517"/>
  <c r="AG1517"/>
  <c r="AF1517"/>
  <c r="AE1517"/>
  <c r="AD1517"/>
  <c r="AC1517"/>
  <c r="AI1516"/>
  <c r="AH1516"/>
  <c r="AG1516"/>
  <c r="AF1516"/>
  <c r="AE1516"/>
  <c r="AD1516"/>
  <c r="AC1516"/>
  <c r="AI1515"/>
  <c r="AH1515"/>
  <c r="AG1515"/>
  <c r="AF1515"/>
  <c r="AE1515"/>
  <c r="AD1515"/>
  <c r="AC1515"/>
  <c r="AI1514"/>
  <c r="AH1514"/>
  <c r="AG1514"/>
  <c r="AF1514"/>
  <c r="AE1514"/>
  <c r="AD1514"/>
  <c r="AC1514"/>
  <c r="AI1513"/>
  <c r="AH1513"/>
  <c r="AG1513"/>
  <c r="AF1513"/>
  <c r="AE1513"/>
  <c r="AD1513"/>
  <c r="AC1513"/>
  <c r="AI1512"/>
  <c r="AH1512"/>
  <c r="AG1512"/>
  <c r="AF1512"/>
  <c r="AE1512"/>
  <c r="AD1512"/>
  <c r="AC1512"/>
  <c r="AI1511"/>
  <c r="AH1511"/>
  <c r="AG1511"/>
  <c r="AF1511"/>
  <c r="AE1511"/>
  <c r="AD1511"/>
  <c r="AC1511"/>
  <c r="AI1510"/>
  <c r="AH1510"/>
  <c r="AG1510"/>
  <c r="AF1510"/>
  <c r="AE1510"/>
  <c r="AD1510"/>
  <c r="AC1510"/>
  <c r="AI1509"/>
  <c r="AH1509"/>
  <c r="AG1509"/>
  <c r="AF1509"/>
  <c r="AE1509"/>
  <c r="AD1509"/>
  <c r="AC1509"/>
  <c r="AI1508"/>
  <c r="AH1508"/>
  <c r="AG1508"/>
  <c r="AF1508"/>
  <c r="AE1508"/>
  <c r="AD1508"/>
  <c r="AC1508"/>
  <c r="AI1507"/>
  <c r="AH1507"/>
  <c r="AG1507"/>
  <c r="AF1507"/>
  <c r="AE1507"/>
  <c r="AD1507"/>
  <c r="AC1507"/>
  <c r="AI1506"/>
  <c r="AH1506"/>
  <c r="AG1506"/>
  <c r="AF1506"/>
  <c r="AE1506"/>
  <c r="AD1506"/>
  <c r="AC1506"/>
  <c r="AI1505"/>
  <c r="AH1505"/>
  <c r="AG1505"/>
  <c r="AF1505"/>
  <c r="AE1505"/>
  <c r="AD1505"/>
  <c r="AC1505"/>
  <c r="AI1504"/>
  <c r="AH1504"/>
  <c r="AG1504"/>
  <c r="AF1504"/>
  <c r="AE1504"/>
  <c r="AD1504"/>
  <c r="AC1504"/>
  <c r="AI1503"/>
  <c r="AH1503"/>
  <c r="AG1503"/>
  <c r="AF1503"/>
  <c r="AE1503"/>
  <c r="AD1503"/>
  <c r="AC1503"/>
  <c r="AI1502"/>
  <c r="AH1502"/>
  <c r="AG1502"/>
  <c r="AF1502"/>
  <c r="AE1502"/>
  <c r="AD1502"/>
  <c r="AC1502"/>
  <c r="AI1501"/>
  <c r="AH1501"/>
  <c r="AG1501"/>
  <c r="AF1501"/>
  <c r="AE1501"/>
  <c r="AD1501"/>
  <c r="AC1501"/>
  <c r="AI1500"/>
  <c r="AH1500"/>
  <c r="AG1500"/>
  <c r="AF1500"/>
  <c r="AE1500"/>
  <c r="AD1500"/>
  <c r="AC1500"/>
  <c r="AI1499"/>
  <c r="AH1499"/>
  <c r="AG1499"/>
  <c r="AF1499"/>
  <c r="AE1499"/>
  <c r="AD1499"/>
  <c r="AC1499"/>
  <c r="AI1498"/>
  <c r="AH1498"/>
  <c r="AG1498"/>
  <c r="AF1498"/>
  <c r="AE1498"/>
  <c r="AD1498"/>
  <c r="AC1498"/>
  <c r="AI1497"/>
  <c r="AH1497"/>
  <c r="AG1497"/>
  <c r="AF1497"/>
  <c r="AE1497"/>
  <c r="AD1497"/>
  <c r="AC1497"/>
  <c r="AI1496"/>
  <c r="AH1496"/>
  <c r="AG1496"/>
  <c r="AF1496"/>
  <c r="AE1496"/>
  <c r="AD1496"/>
  <c r="AC1496"/>
  <c r="AI1495"/>
  <c r="AH1495"/>
  <c r="AG1495"/>
  <c r="AF1495"/>
  <c r="AE1495"/>
  <c r="AD1495"/>
  <c r="AC1495"/>
  <c r="AI1494"/>
  <c r="AH1494"/>
  <c r="AG1494"/>
  <c r="AF1494"/>
  <c r="AE1494"/>
  <c r="AD1494"/>
  <c r="AC1494"/>
  <c r="AI1493"/>
  <c r="AH1493"/>
  <c r="AG1493"/>
  <c r="AF1493"/>
  <c r="AE1493"/>
  <c r="AD1493"/>
  <c r="AC1493"/>
  <c r="AI1492"/>
  <c r="AH1492"/>
  <c r="AG1492"/>
  <c r="AF1492"/>
  <c r="AE1492"/>
  <c r="AD1492"/>
  <c r="AC1492"/>
  <c r="AI1491"/>
  <c r="AH1491"/>
  <c r="AG1491"/>
  <c r="AF1491"/>
  <c r="AE1491"/>
  <c r="AD1491"/>
  <c r="AC1491"/>
  <c r="AI1490"/>
  <c r="AH1490"/>
  <c r="AG1490"/>
  <c r="AF1490"/>
  <c r="AE1490"/>
  <c r="AD1490"/>
  <c r="AC1490"/>
  <c r="AI1489"/>
  <c r="AH1489"/>
  <c r="AG1489"/>
  <c r="AF1489"/>
  <c r="AE1489"/>
  <c r="AD1489"/>
  <c r="AC1489"/>
  <c r="AI1488"/>
  <c r="AH1488"/>
  <c r="AG1488"/>
  <c r="AF1488"/>
  <c r="AE1488"/>
  <c r="AD1488"/>
  <c r="AC1488"/>
  <c r="AI1487"/>
  <c r="AH1487"/>
  <c r="AG1487"/>
  <c r="AF1487"/>
  <c r="AE1487"/>
  <c r="AD1487"/>
  <c r="AC1487"/>
  <c r="AI1486"/>
  <c r="AH1486"/>
  <c r="AG1486"/>
  <c r="AF1486"/>
  <c r="AE1486"/>
  <c r="AD1486"/>
  <c r="AC1486"/>
  <c r="AI1485"/>
  <c r="AH1485"/>
  <c r="AG1485"/>
  <c r="AF1485"/>
  <c r="AE1485"/>
  <c r="AD1485"/>
  <c r="AC1485"/>
  <c r="AI1484"/>
  <c r="AH1484"/>
  <c r="AG1484"/>
  <c r="AF1484"/>
  <c r="AE1484"/>
  <c r="AD1484"/>
  <c r="AC1484"/>
  <c r="AI1483"/>
  <c r="AH1483"/>
  <c r="AG1483"/>
  <c r="AF1483"/>
  <c r="AE1483"/>
  <c r="AD1483"/>
  <c r="AC1483"/>
  <c r="AI1482"/>
  <c r="AH1482"/>
  <c r="AG1482"/>
  <c r="AF1482"/>
  <c r="AE1482"/>
  <c r="AD1482"/>
  <c r="AC1482"/>
  <c r="AI1481"/>
  <c r="AH1481"/>
  <c r="AG1481"/>
  <c r="AF1481"/>
  <c r="AE1481"/>
  <c r="AD1481"/>
  <c r="AC1481"/>
  <c r="AI1480"/>
  <c r="AH1480"/>
  <c r="AG1480"/>
  <c r="AF1480"/>
  <c r="AE1480"/>
  <c r="AD1480"/>
  <c r="AC1480"/>
  <c r="AI1479"/>
  <c r="AH1479"/>
  <c r="AG1479"/>
  <c r="AF1479"/>
  <c r="AE1479"/>
  <c r="AD1479"/>
  <c r="AC1479"/>
  <c r="AI1478"/>
  <c r="AH1478"/>
  <c r="AG1478"/>
  <c r="AF1478"/>
  <c r="AE1478"/>
  <c r="AD1478"/>
  <c r="AC1478"/>
  <c r="AI1477"/>
  <c r="AH1477"/>
  <c r="AG1477"/>
  <c r="AF1477"/>
  <c r="AE1477"/>
  <c r="AD1477"/>
  <c r="AC1477"/>
  <c r="AI1476"/>
  <c r="AH1476"/>
  <c r="AG1476"/>
  <c r="AF1476"/>
  <c r="AE1476"/>
  <c r="AD1476"/>
  <c r="AC1476"/>
  <c r="AI1475"/>
  <c r="AH1475"/>
  <c r="AG1475"/>
  <c r="AF1475"/>
  <c r="AE1475"/>
  <c r="AD1475"/>
  <c r="AC1475"/>
  <c r="AI1474"/>
  <c r="AH1474"/>
  <c r="AG1474"/>
  <c r="AF1474"/>
  <c r="AE1474"/>
  <c r="AD1474"/>
  <c r="AC1474"/>
  <c r="AI1473"/>
  <c r="AH1473"/>
  <c r="AG1473"/>
  <c r="AF1473"/>
  <c r="AE1473"/>
  <c r="AD1473"/>
  <c r="AC1473"/>
  <c r="AI1472"/>
  <c r="AH1472"/>
  <c r="AG1472"/>
  <c r="AF1472"/>
  <c r="AE1472"/>
  <c r="AD1472"/>
  <c r="AC1472"/>
  <c r="AI1471"/>
  <c r="AH1471"/>
  <c r="AG1471"/>
  <c r="AF1471"/>
  <c r="AE1471"/>
  <c r="AD1471"/>
  <c r="AC1471"/>
  <c r="AI1470"/>
  <c r="AH1470"/>
  <c r="AG1470"/>
  <c r="AF1470"/>
  <c r="AE1470"/>
  <c r="AD1470"/>
  <c r="AC1470"/>
  <c r="AI1469"/>
  <c r="AH1469"/>
  <c r="AG1469"/>
  <c r="AF1469"/>
  <c r="AE1469"/>
  <c r="AD1469"/>
  <c r="AC1469"/>
  <c r="AI1468"/>
  <c r="AH1468"/>
  <c r="AG1468"/>
  <c r="AF1468"/>
  <c r="AE1468"/>
  <c r="AD1468"/>
  <c r="AC1468"/>
  <c r="AI1467"/>
  <c r="AH1467"/>
  <c r="AG1467"/>
  <c r="AF1467"/>
  <c r="AE1467"/>
  <c r="AD1467"/>
  <c r="AC1467"/>
  <c r="AI1466"/>
  <c r="AH1466"/>
  <c r="AG1466"/>
  <c r="AF1466"/>
  <c r="AE1466"/>
  <c r="AD1466"/>
  <c r="AC1466"/>
  <c r="AI1465"/>
  <c r="AH1465"/>
  <c r="AG1465"/>
  <c r="AF1465"/>
  <c r="AE1465"/>
  <c r="AD1465"/>
  <c r="AC1465"/>
  <c r="AI1464"/>
  <c r="AH1464"/>
  <c r="AG1464"/>
  <c r="AF1464"/>
  <c r="AE1464"/>
  <c r="AD1464"/>
  <c r="AC1464"/>
  <c r="AI1463"/>
  <c r="AH1463"/>
  <c r="AG1463"/>
  <c r="AF1463"/>
  <c r="AE1463"/>
  <c r="AD1463"/>
  <c r="AC1463"/>
  <c r="AI1462"/>
  <c r="AH1462"/>
  <c r="AG1462"/>
  <c r="AF1462"/>
  <c r="AE1462"/>
  <c r="AD1462"/>
  <c r="AC1462"/>
  <c r="AI1461"/>
  <c r="AH1461"/>
  <c r="AG1461"/>
  <c r="AF1461"/>
  <c r="AE1461"/>
  <c r="AD1461"/>
  <c r="AC1461"/>
  <c r="AI1460"/>
  <c r="AH1460"/>
  <c r="AG1460"/>
  <c r="AF1460"/>
  <c r="AE1460"/>
  <c r="AD1460"/>
  <c r="AC1460"/>
  <c r="AI1459"/>
  <c r="AH1459"/>
  <c r="AG1459"/>
  <c r="AF1459"/>
  <c r="AE1459"/>
  <c r="AD1459"/>
  <c r="AC1459"/>
  <c r="AI1458"/>
  <c r="AH1458"/>
  <c r="AG1458"/>
  <c r="AF1458"/>
  <c r="AE1458"/>
  <c r="AD1458"/>
  <c r="AC1458"/>
  <c r="AI1457"/>
  <c r="AH1457"/>
  <c r="AG1457"/>
  <c r="AF1457"/>
  <c r="AE1457"/>
  <c r="AD1457"/>
  <c r="AC1457"/>
  <c r="AI1456"/>
  <c r="AH1456"/>
  <c r="AG1456"/>
  <c r="AF1456"/>
  <c r="AE1456"/>
  <c r="AD1456"/>
  <c r="AC1456"/>
  <c r="AI1455"/>
  <c r="AH1455"/>
  <c r="AG1455"/>
  <c r="AF1455"/>
  <c r="AE1455"/>
  <c r="AD1455"/>
  <c r="AC1455"/>
  <c r="AI1454"/>
  <c r="AH1454"/>
  <c r="AG1454"/>
  <c r="AF1454"/>
  <c r="AE1454"/>
  <c r="AD1454"/>
  <c r="AC1454"/>
  <c r="AI1453"/>
  <c r="AH1453"/>
  <c r="AG1453"/>
  <c r="AF1453"/>
  <c r="AE1453"/>
  <c r="AD1453"/>
  <c r="AC1453"/>
  <c r="AI1452"/>
  <c r="AH1452"/>
  <c r="AG1452"/>
  <c r="AF1452"/>
  <c r="AE1452"/>
  <c r="AD1452"/>
  <c r="AC1452"/>
  <c r="AI1451"/>
  <c r="AH1451"/>
  <c r="AG1451"/>
  <c r="AF1451"/>
  <c r="AE1451"/>
  <c r="AD1451"/>
  <c r="AC1451"/>
  <c r="AI1450"/>
  <c r="AH1450"/>
  <c r="AG1450"/>
  <c r="AF1450"/>
  <c r="AE1450"/>
  <c r="AD1450"/>
  <c r="AC1450"/>
  <c r="AI1449"/>
  <c r="AH1449"/>
  <c r="AG1449"/>
  <c r="AF1449"/>
  <c r="AE1449"/>
  <c r="AD1449"/>
  <c r="AC1449"/>
  <c r="AI1448"/>
  <c r="AH1448"/>
  <c r="AG1448"/>
  <c r="AF1448"/>
  <c r="AE1448"/>
  <c r="AD1448"/>
  <c r="AC1448"/>
  <c r="AI1447"/>
  <c r="AH1447"/>
  <c r="AG1447"/>
  <c r="AF1447"/>
  <c r="AE1447"/>
  <c r="AD1447"/>
  <c r="AC1447"/>
  <c r="AI1446"/>
  <c r="AH1446"/>
  <c r="AG1446"/>
  <c r="AF1446"/>
  <c r="AE1446"/>
  <c r="AD1446"/>
  <c r="AC1446"/>
  <c r="AI1445"/>
  <c r="AH1445"/>
  <c r="AG1445"/>
  <c r="AF1445"/>
  <c r="AE1445"/>
  <c r="AD1445"/>
  <c r="AC1445"/>
  <c r="AI1444"/>
  <c r="AH1444"/>
  <c r="AG1444"/>
  <c r="AF1444"/>
  <c r="AE1444"/>
  <c r="AD1444"/>
  <c r="AC1444"/>
  <c r="AI1443"/>
  <c r="AH1443"/>
  <c r="AG1443"/>
  <c r="AF1443"/>
  <c r="AE1443"/>
  <c r="AD1443"/>
  <c r="AC1443"/>
  <c r="AI1442"/>
  <c r="AH1442"/>
  <c r="AG1442"/>
  <c r="AF1442"/>
  <c r="AE1442"/>
  <c r="AD1442"/>
  <c r="AC1442"/>
  <c r="AI1441"/>
  <c r="AH1441"/>
  <c r="AG1441"/>
  <c r="AF1441"/>
  <c r="AE1441"/>
  <c r="AD1441"/>
  <c r="AC1441"/>
  <c r="AI1440"/>
  <c r="AH1440"/>
  <c r="AG1440"/>
  <c r="AF1440"/>
  <c r="AE1440"/>
  <c r="AD1440"/>
  <c r="AC1440"/>
  <c r="AI1439"/>
  <c r="AH1439"/>
  <c r="AG1439"/>
  <c r="AF1439"/>
  <c r="AE1439"/>
  <c r="AD1439"/>
  <c r="AC1439"/>
  <c r="AI1438"/>
  <c r="AH1438"/>
  <c r="AG1438"/>
  <c r="AF1438"/>
  <c r="AE1438"/>
  <c r="AD1438"/>
  <c r="AC1438"/>
  <c r="AI1437"/>
  <c r="AH1437"/>
  <c r="AG1437"/>
  <c r="AF1437"/>
  <c r="AE1437"/>
  <c r="AD1437"/>
  <c r="AC1437"/>
  <c r="AI1436"/>
  <c r="AH1436"/>
  <c r="AG1436"/>
  <c r="AF1436"/>
  <c r="AE1436"/>
  <c r="AD1436"/>
  <c r="AC1436"/>
  <c r="AI1435"/>
  <c r="AH1435"/>
  <c r="AG1435"/>
  <c r="AF1435"/>
  <c r="AE1435"/>
  <c r="AD1435"/>
  <c r="AC1435"/>
  <c r="AI1434"/>
  <c r="AH1434"/>
  <c r="AG1434"/>
  <c r="AF1434"/>
  <c r="AE1434"/>
  <c r="AD1434"/>
  <c r="AC1434"/>
  <c r="AI1433"/>
  <c r="AH1433"/>
  <c r="AG1433"/>
  <c r="AF1433"/>
  <c r="AE1433"/>
  <c r="AD1433"/>
  <c r="AC1433"/>
  <c r="AI1432"/>
  <c r="AH1432"/>
  <c r="AG1432"/>
  <c r="AF1432"/>
  <c r="AE1432"/>
  <c r="AD1432"/>
  <c r="AC1432"/>
  <c r="AI1431"/>
  <c r="AH1431"/>
  <c r="AG1431"/>
  <c r="AF1431"/>
  <c r="AE1431"/>
  <c r="AD1431"/>
  <c r="AC1431"/>
  <c r="AI1430"/>
  <c r="AH1430"/>
  <c r="AG1430"/>
  <c r="AF1430"/>
  <c r="AE1430"/>
  <c r="AD1430"/>
  <c r="AC1430"/>
  <c r="AI1429"/>
  <c r="AH1429"/>
  <c r="AG1429"/>
  <c r="AF1429"/>
  <c r="AE1429"/>
  <c r="AD1429"/>
  <c r="AC1429"/>
  <c r="AI1428"/>
  <c r="AH1428"/>
  <c r="AG1428"/>
  <c r="AF1428"/>
  <c r="AE1428"/>
  <c r="AD1428"/>
  <c r="AC1428"/>
  <c r="AI1427"/>
  <c r="AH1427"/>
  <c r="AG1427"/>
  <c r="AF1427"/>
  <c r="AE1427"/>
  <c r="AD1427"/>
  <c r="AC1427"/>
  <c r="AI1426"/>
  <c r="AH1426"/>
  <c r="AG1426"/>
  <c r="AF1426"/>
  <c r="AE1426"/>
  <c r="AD1426"/>
  <c r="AC1426"/>
  <c r="AI1425"/>
  <c r="AH1425"/>
  <c r="AG1425"/>
  <c r="AF1425"/>
  <c r="AE1425"/>
  <c r="AD1425"/>
  <c r="AC1425"/>
  <c r="AI1424"/>
  <c r="AH1424"/>
  <c r="AG1424"/>
  <c r="AF1424"/>
  <c r="AE1424"/>
  <c r="AD1424"/>
  <c r="AC1424"/>
  <c r="AI1423"/>
  <c r="AH1423"/>
  <c r="AG1423"/>
  <c r="AF1423"/>
  <c r="AE1423"/>
  <c r="AD1423"/>
  <c r="AC1423"/>
  <c r="AI1422"/>
  <c r="AH1422"/>
  <c r="AG1422"/>
  <c r="AF1422"/>
  <c r="AE1422"/>
  <c r="AD1422"/>
  <c r="AC1422"/>
  <c r="AI1421"/>
  <c r="AH1421"/>
  <c r="AG1421"/>
  <c r="AF1421"/>
  <c r="AE1421"/>
  <c r="AD1421"/>
  <c r="AC1421"/>
  <c r="AI1420"/>
  <c r="AH1420"/>
  <c r="AG1420"/>
  <c r="AF1420"/>
  <c r="AE1420"/>
  <c r="AD1420"/>
  <c r="AC1420"/>
  <c r="AI1419"/>
  <c r="AH1419"/>
  <c r="AG1419"/>
  <c r="AF1419"/>
  <c r="AE1419"/>
  <c r="AD1419"/>
  <c r="AC1419"/>
  <c r="AI1418"/>
  <c r="AH1418"/>
  <c r="AG1418"/>
  <c r="AF1418"/>
  <c r="AE1418"/>
  <c r="AD1418"/>
  <c r="AC1418"/>
  <c r="AI1417"/>
  <c r="AH1417"/>
  <c r="AG1417"/>
  <c r="AF1417"/>
  <c r="AE1417"/>
  <c r="AD1417"/>
  <c r="AC1417"/>
  <c r="AI1416"/>
  <c r="AH1416"/>
  <c r="AG1416"/>
  <c r="AF1416"/>
  <c r="AE1416"/>
  <c r="AD1416"/>
  <c r="AC1416"/>
  <c r="AI1415"/>
  <c r="AH1415"/>
  <c r="AG1415"/>
  <c r="AF1415"/>
  <c r="AE1415"/>
  <c r="AD1415"/>
  <c r="AC1415"/>
  <c r="AI1414"/>
  <c r="AH1414"/>
  <c r="AG1414"/>
  <c r="AF1414"/>
  <c r="AE1414"/>
  <c r="AD1414"/>
  <c r="AC1414"/>
  <c r="AI1413"/>
  <c r="AH1413"/>
  <c r="AG1413"/>
  <c r="AF1413"/>
  <c r="AE1413"/>
  <c r="AD1413"/>
  <c r="AC1413"/>
  <c r="AI1412"/>
  <c r="AH1412"/>
  <c r="AG1412"/>
  <c r="AF1412"/>
  <c r="AE1412"/>
  <c r="AD1412"/>
  <c r="AC1412"/>
  <c r="AI1411"/>
  <c r="AH1411"/>
  <c r="AG1411"/>
  <c r="AF1411"/>
  <c r="AE1411"/>
  <c r="AD1411"/>
  <c r="AC1411"/>
  <c r="AI1410"/>
  <c r="AH1410"/>
  <c r="AG1410"/>
  <c r="AF1410"/>
  <c r="AE1410"/>
  <c r="AD1410"/>
  <c r="AC1410"/>
  <c r="AI1409"/>
  <c r="AH1409"/>
  <c r="AG1409"/>
  <c r="AF1409"/>
  <c r="AE1409"/>
  <c r="AD1409"/>
  <c r="AC1409"/>
  <c r="AI1408"/>
  <c r="AH1408"/>
  <c r="AG1408"/>
  <c r="AF1408"/>
  <c r="AE1408"/>
  <c r="AD1408"/>
  <c r="AC1408"/>
  <c r="AI1407"/>
  <c r="AH1407"/>
  <c r="AG1407"/>
  <c r="AF1407"/>
  <c r="AE1407"/>
  <c r="AD1407"/>
  <c r="AC1407"/>
  <c r="AI1406"/>
  <c r="AH1406"/>
  <c r="AG1406"/>
  <c r="AF1406"/>
  <c r="AE1406"/>
  <c r="AD1406"/>
  <c r="AC1406"/>
  <c r="AI1405"/>
  <c r="AH1405"/>
  <c r="AG1405"/>
  <c r="AF1405"/>
  <c r="AE1405"/>
  <c r="AD1405"/>
  <c r="AC1405"/>
  <c r="AI1404"/>
  <c r="AH1404"/>
  <c r="AG1404"/>
  <c r="AF1404"/>
  <c r="AE1404"/>
  <c r="AD1404"/>
  <c r="AC1404"/>
  <c r="AI1403"/>
  <c r="AH1403"/>
  <c r="AG1403"/>
  <c r="AF1403"/>
  <c r="AE1403"/>
  <c r="AD1403"/>
  <c r="AC1403"/>
  <c r="AI1402"/>
  <c r="AH1402"/>
  <c r="AG1402"/>
  <c r="AF1402"/>
  <c r="AE1402"/>
  <c r="AD1402"/>
  <c r="AC1402"/>
  <c r="AI1401"/>
  <c r="AH1401"/>
  <c r="AG1401"/>
  <c r="AF1401"/>
  <c r="AE1401"/>
  <c r="AD1401"/>
  <c r="AC1401"/>
  <c r="AI1400"/>
  <c r="AH1400"/>
  <c r="AG1400"/>
  <c r="AF1400"/>
  <c r="AE1400"/>
  <c r="AD1400"/>
  <c r="AC1400"/>
  <c r="AI1399"/>
  <c r="AH1399"/>
  <c r="AG1399"/>
  <c r="AF1399"/>
  <c r="AE1399"/>
  <c r="AD1399"/>
  <c r="AC1399"/>
  <c r="AI1398"/>
  <c r="AH1398"/>
  <c r="AG1398"/>
  <c r="AF1398"/>
  <c r="AE1398"/>
  <c r="AD1398"/>
  <c r="AC1398"/>
  <c r="AI1397"/>
  <c r="AH1397"/>
  <c r="AG1397"/>
  <c r="AF1397"/>
  <c r="AE1397"/>
  <c r="AD1397"/>
  <c r="AC1397"/>
  <c r="AI1396"/>
  <c r="AH1396"/>
  <c r="AG1396"/>
  <c r="AF1396"/>
  <c r="AE1396"/>
  <c r="AD1396"/>
  <c r="AC1396"/>
  <c r="AI1395"/>
  <c r="AH1395"/>
  <c r="AG1395"/>
  <c r="AF1395"/>
  <c r="AE1395"/>
  <c r="AD1395"/>
  <c r="AC1395"/>
  <c r="AI1394"/>
  <c r="AH1394"/>
  <c r="AG1394"/>
  <c r="AF1394"/>
  <c r="AE1394"/>
  <c r="AD1394"/>
  <c r="AC1394"/>
  <c r="AI1393"/>
  <c r="AH1393"/>
  <c r="AG1393"/>
  <c r="AF1393"/>
  <c r="AE1393"/>
  <c r="AD1393"/>
  <c r="AC1393"/>
  <c r="AI1392"/>
  <c r="AH1392"/>
  <c r="AG1392"/>
  <c r="AF1392"/>
  <c r="AE1392"/>
  <c r="AD1392"/>
  <c r="AC1392"/>
  <c r="AI1391"/>
  <c r="AH1391"/>
  <c r="AG1391"/>
  <c r="AF1391"/>
  <c r="AE1391"/>
  <c r="AD1391"/>
  <c r="AC1391"/>
  <c r="AI1390"/>
  <c r="AH1390"/>
  <c r="AG1390"/>
  <c r="AF1390"/>
  <c r="AE1390"/>
  <c r="AD1390"/>
  <c r="AC1390"/>
  <c r="AI1389"/>
  <c r="AH1389"/>
  <c r="AG1389"/>
  <c r="AF1389"/>
  <c r="AE1389"/>
  <c r="AD1389"/>
  <c r="AC1389"/>
  <c r="AI1388"/>
  <c r="AH1388"/>
  <c r="AG1388"/>
  <c r="AF1388"/>
  <c r="AE1388"/>
  <c r="AD1388"/>
  <c r="AC1388"/>
  <c r="AI1387"/>
  <c r="AH1387"/>
  <c r="AG1387"/>
  <c r="AF1387"/>
  <c r="AE1387"/>
  <c r="AD1387"/>
  <c r="AC1387"/>
  <c r="AI1386"/>
  <c r="AH1386"/>
  <c r="AG1386"/>
  <c r="AF1386"/>
  <c r="AE1386"/>
  <c r="AD1386"/>
  <c r="AC1386"/>
  <c r="AI1385"/>
  <c r="AH1385"/>
  <c r="AG1385"/>
  <c r="AF1385"/>
  <c r="AE1385"/>
  <c r="AD1385"/>
  <c r="AC1385"/>
  <c r="AI1384"/>
  <c r="AH1384"/>
  <c r="AG1384"/>
  <c r="AF1384"/>
  <c r="AE1384"/>
  <c r="AD1384"/>
  <c r="AC1384"/>
  <c r="AI1383"/>
  <c r="AH1383"/>
  <c r="AG1383"/>
  <c r="AF1383"/>
  <c r="AE1383"/>
  <c r="AD1383"/>
  <c r="AC1383"/>
  <c r="AI1382"/>
  <c r="AH1382"/>
  <c r="AG1382"/>
  <c r="AF1382"/>
  <c r="AE1382"/>
  <c r="AD1382"/>
  <c r="AC1382"/>
  <c r="AI1381"/>
  <c r="AH1381"/>
  <c r="AG1381"/>
  <c r="AF1381"/>
  <c r="AE1381"/>
  <c r="AD1381"/>
  <c r="AC1381"/>
  <c r="AI1380"/>
  <c r="AH1380"/>
  <c r="AG1380"/>
  <c r="AF1380"/>
  <c r="AE1380"/>
  <c r="AD1380"/>
  <c r="AC1380"/>
  <c r="AI1379"/>
  <c r="AH1379"/>
  <c r="AG1379"/>
  <c r="AF1379"/>
  <c r="AE1379"/>
  <c r="AD1379"/>
  <c r="AC1379"/>
  <c r="AI1378"/>
  <c r="AH1378"/>
  <c r="AG1378"/>
  <c r="AF1378"/>
  <c r="AE1378"/>
  <c r="AD1378"/>
  <c r="AC1378"/>
  <c r="AI1377"/>
  <c r="AH1377"/>
  <c r="AG1377"/>
  <c r="AF1377"/>
  <c r="AE1377"/>
  <c r="AD1377"/>
  <c r="AC1377"/>
  <c r="AI1376"/>
  <c r="AH1376"/>
  <c r="AG1376"/>
  <c r="AF1376"/>
  <c r="AE1376"/>
  <c r="AD1376"/>
  <c r="AC1376"/>
  <c r="AI1375"/>
  <c r="AH1375"/>
  <c r="AG1375"/>
  <c r="AF1375"/>
  <c r="AE1375"/>
  <c r="AD1375"/>
  <c r="AC1375"/>
  <c r="AI1374"/>
  <c r="AH1374"/>
  <c r="AG1374"/>
  <c r="AF1374"/>
  <c r="AE1374"/>
  <c r="AD1374"/>
  <c r="AC1374"/>
  <c r="AI1373"/>
  <c r="AH1373"/>
  <c r="AG1373"/>
  <c r="AF1373"/>
  <c r="AE1373"/>
  <c r="AD1373"/>
  <c r="AC1373"/>
  <c r="AI1372"/>
  <c r="AH1372"/>
  <c r="AG1372"/>
  <c r="AF1372"/>
  <c r="AE1372"/>
  <c r="AD1372"/>
  <c r="AC1372"/>
  <c r="AI1371"/>
  <c r="AH1371"/>
  <c r="AG1371"/>
  <c r="AF1371"/>
  <c r="AE1371"/>
  <c r="AD1371"/>
  <c r="AC1371"/>
  <c r="AI1370"/>
  <c r="AH1370"/>
  <c r="AG1370"/>
  <c r="AF1370"/>
  <c r="AE1370"/>
  <c r="AD1370"/>
  <c r="AC1370"/>
  <c r="AI1369"/>
  <c r="AH1369"/>
  <c r="AG1369"/>
  <c r="AF1369"/>
  <c r="AE1369"/>
  <c r="AD1369"/>
  <c r="AC1369"/>
  <c r="AI1368"/>
  <c r="AH1368"/>
  <c r="AG1368"/>
  <c r="AF1368"/>
  <c r="AE1368"/>
  <c r="AD1368"/>
  <c r="AC1368"/>
  <c r="AI1367"/>
  <c r="AH1367"/>
  <c r="AG1367"/>
  <c r="AF1367"/>
  <c r="AE1367"/>
  <c r="AD1367"/>
  <c r="AC1367"/>
  <c r="AI1366"/>
  <c r="AH1366"/>
  <c r="AG1366"/>
  <c r="AF1366"/>
  <c r="AE1366"/>
  <c r="AD1366"/>
  <c r="AC1366"/>
  <c r="AI1365"/>
  <c r="AH1365"/>
  <c r="AG1365"/>
  <c r="AF1365"/>
  <c r="AE1365"/>
  <c r="AD1365"/>
  <c r="AC1365"/>
  <c r="AI1364"/>
  <c r="AH1364"/>
  <c r="AG1364"/>
  <c r="AF1364"/>
  <c r="AE1364"/>
  <c r="AD1364"/>
  <c r="AC1364"/>
  <c r="AI1363"/>
  <c r="AH1363"/>
  <c r="AG1363"/>
  <c r="AF1363"/>
  <c r="AE1363"/>
  <c r="AD1363"/>
  <c r="AC1363"/>
  <c r="AI1362"/>
  <c r="AH1362"/>
  <c r="AG1362"/>
  <c r="AF1362"/>
  <c r="AE1362"/>
  <c r="AD1362"/>
  <c r="AC1362"/>
  <c r="AI1361"/>
  <c r="AH1361"/>
  <c r="AG1361"/>
  <c r="AF1361"/>
  <c r="AE1361"/>
  <c r="AD1361"/>
  <c r="AC1361"/>
  <c r="AI1360"/>
  <c r="AH1360"/>
  <c r="AG1360"/>
  <c r="AF1360"/>
  <c r="AE1360"/>
  <c r="AD1360"/>
  <c r="AC1360"/>
  <c r="AI1359"/>
  <c r="AH1359"/>
  <c r="AG1359"/>
  <c r="AF1359"/>
  <c r="AE1359"/>
  <c r="AD1359"/>
  <c r="AC1359"/>
  <c r="AI1358"/>
  <c r="AH1358"/>
  <c r="AG1358"/>
  <c r="AF1358"/>
  <c r="AE1358"/>
  <c r="AD1358"/>
  <c r="AC1358"/>
  <c r="AI1357"/>
  <c r="AH1357"/>
  <c r="AG1357"/>
  <c r="AF1357"/>
  <c r="AE1357"/>
  <c r="AD1357"/>
  <c r="AC1357"/>
  <c r="AI1356"/>
  <c r="AH1356"/>
  <c r="AG1356"/>
  <c r="AF1356"/>
  <c r="AE1356"/>
  <c r="AD1356"/>
  <c r="AC1356"/>
  <c r="AI1355"/>
  <c r="AH1355"/>
  <c r="AG1355"/>
  <c r="AF1355"/>
  <c r="AE1355"/>
  <c r="AD1355"/>
  <c r="AC1355"/>
  <c r="AI1354"/>
  <c r="AH1354"/>
  <c r="AG1354"/>
  <c r="AF1354"/>
  <c r="AE1354"/>
  <c r="AD1354"/>
  <c r="AC1354"/>
  <c r="AI1353"/>
  <c r="AH1353"/>
  <c r="AG1353"/>
  <c r="AF1353"/>
  <c r="AE1353"/>
  <c r="AD1353"/>
  <c r="AC1353"/>
  <c r="AI1352"/>
  <c r="AH1352"/>
  <c r="AG1352"/>
  <c r="AF1352"/>
  <c r="AE1352"/>
  <c r="AD1352"/>
  <c r="AC1352"/>
  <c r="AI1351"/>
  <c r="AH1351"/>
  <c r="AG1351"/>
  <c r="AF1351"/>
  <c r="AE1351"/>
  <c r="AD1351"/>
  <c r="AC1351"/>
  <c r="AI1350"/>
  <c r="AH1350"/>
  <c r="AG1350"/>
  <c r="AF1350"/>
  <c r="AE1350"/>
  <c r="AD1350"/>
  <c r="AC1350"/>
  <c r="AI1349"/>
  <c r="AH1349"/>
  <c r="AG1349"/>
  <c r="AF1349"/>
  <c r="AE1349"/>
  <c r="AD1349"/>
  <c r="AC1349"/>
  <c r="AI1348"/>
  <c r="AH1348"/>
  <c r="AG1348"/>
  <c r="AF1348"/>
  <c r="AE1348"/>
  <c r="AD1348"/>
  <c r="AC1348"/>
  <c r="AI1347"/>
  <c r="AH1347"/>
  <c r="AG1347"/>
  <c r="AF1347"/>
  <c r="AE1347"/>
  <c r="AD1347"/>
  <c r="AC1347"/>
  <c r="AI1346"/>
  <c r="AH1346"/>
  <c r="AG1346"/>
  <c r="AF1346"/>
  <c r="AE1346"/>
  <c r="AD1346"/>
  <c r="AC1346"/>
  <c r="AI1345"/>
  <c r="AH1345"/>
  <c r="AG1345"/>
  <c r="AF1345"/>
  <c r="AE1345"/>
  <c r="AD1345"/>
  <c r="AC1345"/>
  <c r="AI1344"/>
  <c r="AH1344"/>
  <c r="AG1344"/>
  <c r="AF1344"/>
  <c r="AE1344"/>
  <c r="AD1344"/>
  <c r="AC1344"/>
  <c r="AI1343"/>
  <c r="AH1343"/>
  <c r="AG1343"/>
  <c r="AF1343"/>
  <c r="AE1343"/>
  <c r="AD1343"/>
  <c r="AC1343"/>
  <c r="AI1342"/>
  <c r="AH1342"/>
  <c r="AG1342"/>
  <c r="AF1342"/>
  <c r="AE1342"/>
  <c r="AD1342"/>
  <c r="AC1342"/>
  <c r="AI1341"/>
  <c r="AH1341"/>
  <c r="AG1341"/>
  <c r="AF1341"/>
  <c r="AE1341"/>
  <c r="AD1341"/>
  <c r="AC1341"/>
  <c r="AI1340"/>
  <c r="AH1340"/>
  <c r="AG1340"/>
  <c r="AF1340"/>
  <c r="AE1340"/>
  <c r="AD1340"/>
  <c r="AC1340"/>
  <c r="AI1339"/>
  <c r="AH1339"/>
  <c r="AG1339"/>
  <c r="AF1339"/>
  <c r="AE1339"/>
  <c r="AD1339"/>
  <c r="AC1339"/>
  <c r="AI1338"/>
  <c r="AH1338"/>
  <c r="AG1338"/>
  <c r="AF1338"/>
  <c r="AE1338"/>
  <c r="AD1338"/>
  <c r="AC1338"/>
  <c r="AI1337"/>
  <c r="AH1337"/>
  <c r="AG1337"/>
  <c r="AF1337"/>
  <c r="AE1337"/>
  <c r="AD1337"/>
  <c r="AC1337"/>
  <c r="AI1336"/>
  <c r="AH1336"/>
  <c r="AG1336"/>
  <c r="AF1336"/>
  <c r="AE1336"/>
  <c r="AD1336"/>
  <c r="AC1336"/>
  <c r="AI1335"/>
  <c r="AH1335"/>
  <c r="AG1335"/>
  <c r="AF1335"/>
  <c r="AE1335"/>
  <c r="AD1335"/>
  <c r="AC1335"/>
  <c r="AI1334"/>
  <c r="AH1334"/>
  <c r="AG1334"/>
  <c r="AF1334"/>
  <c r="AE1334"/>
  <c r="AD1334"/>
  <c r="AC1334"/>
  <c r="AI1333"/>
  <c r="AH1333"/>
  <c r="AG1333"/>
  <c r="AF1333"/>
  <c r="AE1333"/>
  <c r="AD1333"/>
  <c r="AC1333"/>
  <c r="AI1332"/>
  <c r="AH1332"/>
  <c r="AG1332"/>
  <c r="AF1332"/>
  <c r="AE1332"/>
  <c r="AD1332"/>
  <c r="AC1332"/>
  <c r="AI1331"/>
  <c r="AH1331"/>
  <c r="AG1331"/>
  <c r="AF1331"/>
  <c r="AE1331"/>
  <c r="AD1331"/>
  <c r="AC1331"/>
  <c r="AI1330"/>
  <c r="AH1330"/>
  <c r="AG1330"/>
  <c r="AF1330"/>
  <c r="AE1330"/>
  <c r="AD1330"/>
  <c r="AC1330"/>
  <c r="AI1329"/>
  <c r="AH1329"/>
  <c r="AG1329"/>
  <c r="AF1329"/>
  <c r="AE1329"/>
  <c r="AD1329"/>
  <c r="AC1329"/>
  <c r="AI1328"/>
  <c r="AH1328"/>
  <c r="AG1328"/>
  <c r="AF1328"/>
  <c r="AE1328"/>
  <c r="AD1328"/>
  <c r="AC1328"/>
  <c r="AI1327"/>
  <c r="AH1327"/>
  <c r="AG1327"/>
  <c r="AF1327"/>
  <c r="AE1327"/>
  <c r="AD1327"/>
  <c r="AC1327"/>
  <c r="AI1326"/>
  <c r="AH1326"/>
  <c r="AG1326"/>
  <c r="AF1326"/>
  <c r="AE1326"/>
  <c r="AD1326"/>
  <c r="AC1326"/>
  <c r="AI1325"/>
  <c r="AH1325"/>
  <c r="AG1325"/>
  <c r="AF1325"/>
  <c r="AE1325"/>
  <c r="AD1325"/>
  <c r="AC1325"/>
  <c r="AI1324"/>
  <c r="AH1324"/>
  <c r="AG1324"/>
  <c r="AF1324"/>
  <c r="AE1324"/>
  <c r="AD1324"/>
  <c r="AC1324"/>
  <c r="AI1323"/>
  <c r="AH1323"/>
  <c r="AG1323"/>
  <c r="AF1323"/>
  <c r="AE1323"/>
  <c r="AD1323"/>
  <c r="AC1323"/>
  <c r="AI1322"/>
  <c r="AH1322"/>
  <c r="AG1322"/>
  <c r="AF1322"/>
  <c r="AE1322"/>
  <c r="AD1322"/>
  <c r="AC1322"/>
  <c r="AI1321"/>
  <c r="AH1321"/>
  <c r="AG1321"/>
  <c r="AF1321"/>
  <c r="AE1321"/>
  <c r="AD1321"/>
  <c r="AC1321"/>
  <c r="AI1320"/>
  <c r="AH1320"/>
  <c r="AG1320"/>
  <c r="AF1320"/>
  <c r="AE1320"/>
  <c r="AD1320"/>
  <c r="AC1320"/>
  <c r="AI1319"/>
  <c r="AH1319"/>
  <c r="AG1319"/>
  <c r="AF1319"/>
  <c r="AE1319"/>
  <c r="AD1319"/>
  <c r="AC1319"/>
  <c r="AI1318"/>
  <c r="AH1318"/>
  <c r="AG1318"/>
  <c r="AF1318"/>
  <c r="AE1318"/>
  <c r="AD1318"/>
  <c r="AC1318"/>
  <c r="AI1317"/>
  <c r="AH1317"/>
  <c r="AG1317"/>
  <c r="AF1317"/>
  <c r="AE1317"/>
  <c r="AD1317"/>
  <c r="AC1317"/>
  <c r="AI1316"/>
  <c r="AH1316"/>
  <c r="AG1316"/>
  <c r="AF1316"/>
  <c r="AE1316"/>
  <c r="AD1316"/>
  <c r="AC1316"/>
  <c r="AI1315"/>
  <c r="AH1315"/>
  <c r="AG1315"/>
  <c r="AF1315"/>
  <c r="AE1315"/>
  <c r="AD1315"/>
  <c r="AC1315"/>
  <c r="AI1314"/>
  <c r="AH1314"/>
  <c r="AG1314"/>
  <c r="AF1314"/>
  <c r="AE1314"/>
  <c r="AD1314"/>
  <c r="AC1314"/>
  <c r="AI1313"/>
  <c r="AH1313"/>
  <c r="AG1313"/>
  <c r="AF1313"/>
  <c r="AE1313"/>
  <c r="AD1313"/>
  <c r="AC1313"/>
  <c r="AI1312"/>
  <c r="AH1312"/>
  <c r="AG1312"/>
  <c r="AF1312"/>
  <c r="AE1312"/>
  <c r="AD1312"/>
  <c r="AC1312"/>
  <c r="AI1311"/>
  <c r="AH1311"/>
  <c r="AG1311"/>
  <c r="AF1311"/>
  <c r="AE1311"/>
  <c r="AD1311"/>
  <c r="AC1311"/>
  <c r="AI1310"/>
  <c r="AH1310"/>
  <c r="AG1310"/>
  <c r="AF1310"/>
  <c r="AE1310"/>
  <c r="AD1310"/>
  <c r="AC1310"/>
  <c r="AI1309"/>
  <c r="AH1309"/>
  <c r="AG1309"/>
  <c r="AF1309"/>
  <c r="AE1309"/>
  <c r="AD1309"/>
  <c r="AC1309"/>
  <c r="AI1308"/>
  <c r="AH1308"/>
  <c r="AG1308"/>
  <c r="AF1308"/>
  <c r="AE1308"/>
  <c r="AD1308"/>
  <c r="AC1308"/>
  <c r="AI1307"/>
  <c r="AH1307"/>
  <c r="AG1307"/>
  <c r="AF1307"/>
  <c r="AE1307"/>
  <c r="AD1307"/>
  <c r="AC1307"/>
  <c r="AI1306"/>
  <c r="AH1306"/>
  <c r="AG1306"/>
  <c r="AF1306"/>
  <c r="AE1306"/>
  <c r="AD1306"/>
  <c r="AC1306"/>
  <c r="AI1305"/>
  <c r="AH1305"/>
  <c r="AG1305"/>
  <c r="AF1305"/>
  <c r="AE1305"/>
  <c r="AD1305"/>
  <c r="AC1305"/>
  <c r="AI1304"/>
  <c r="AH1304"/>
  <c r="AG1304"/>
  <c r="AF1304"/>
  <c r="AE1304"/>
  <c r="AD1304"/>
  <c r="AC1304"/>
  <c r="AI1303"/>
  <c r="AH1303"/>
  <c r="AG1303"/>
  <c r="AF1303"/>
  <c r="AE1303"/>
  <c r="AD1303"/>
  <c r="AC1303"/>
  <c r="AI1302"/>
  <c r="AH1302"/>
  <c r="AG1302"/>
  <c r="AF1302"/>
  <c r="AE1302"/>
  <c r="AD1302"/>
  <c r="AC1302"/>
  <c r="AI1301"/>
  <c r="AH1301"/>
  <c r="AG1301"/>
  <c r="AF1301"/>
  <c r="AE1301"/>
  <c r="AD1301"/>
  <c r="AC1301"/>
  <c r="AI1300"/>
  <c r="AH1300"/>
  <c r="AG1300"/>
  <c r="AF1300"/>
  <c r="AE1300"/>
  <c r="AD1300"/>
  <c r="AC1300"/>
  <c r="AI1299"/>
  <c r="AH1299"/>
  <c r="AG1299"/>
  <c r="AF1299"/>
  <c r="AE1299"/>
  <c r="AD1299"/>
  <c r="AC1299"/>
  <c r="AI1298"/>
  <c r="AH1298"/>
  <c r="AG1298"/>
  <c r="AF1298"/>
  <c r="AE1298"/>
  <c r="AD1298"/>
  <c r="AC1298"/>
  <c r="AI1297"/>
  <c r="AH1297"/>
  <c r="AG1297"/>
  <c r="AF1297"/>
  <c r="AE1297"/>
  <c r="AD1297"/>
  <c r="AC1297"/>
  <c r="AI1296"/>
  <c r="AH1296"/>
  <c r="AG1296"/>
  <c r="AF1296"/>
  <c r="AE1296"/>
  <c r="AD1296"/>
  <c r="AC1296"/>
  <c r="AI1295"/>
  <c r="AH1295"/>
  <c r="AG1295"/>
  <c r="AF1295"/>
  <c r="AE1295"/>
  <c r="AD1295"/>
  <c r="AC1295"/>
  <c r="AI1294"/>
  <c r="AH1294"/>
  <c r="AG1294"/>
  <c r="AF1294"/>
  <c r="AE1294"/>
  <c r="AD1294"/>
  <c r="AC1294"/>
  <c r="AI1293"/>
  <c r="AH1293"/>
  <c r="AG1293"/>
  <c r="AF1293"/>
  <c r="AE1293"/>
  <c r="AD1293"/>
  <c r="AC1293"/>
  <c r="AI1292"/>
  <c r="AH1292"/>
  <c r="AG1292"/>
  <c r="AF1292"/>
  <c r="AE1292"/>
  <c r="AD1292"/>
  <c r="AC1292"/>
  <c r="AI1291"/>
  <c r="AH1291"/>
  <c r="AG1291"/>
  <c r="AF1291"/>
  <c r="AE1291"/>
  <c r="AD1291"/>
  <c r="AC1291"/>
  <c r="AI1290"/>
  <c r="AH1290"/>
  <c r="AG1290"/>
  <c r="AF1290"/>
  <c r="AE1290"/>
  <c r="AD1290"/>
  <c r="AC1290"/>
  <c r="AI1289"/>
  <c r="AH1289"/>
  <c r="AG1289"/>
  <c r="AF1289"/>
  <c r="AE1289"/>
  <c r="AD1289"/>
  <c r="AC1289"/>
  <c r="AI1288"/>
  <c r="AH1288"/>
  <c r="AG1288"/>
  <c r="AF1288"/>
  <c r="AE1288"/>
  <c r="AD1288"/>
  <c r="AC1288"/>
  <c r="AI1287"/>
  <c r="AH1287"/>
  <c r="AG1287"/>
  <c r="AF1287"/>
  <c r="AE1287"/>
  <c r="AD1287"/>
  <c r="AC1287"/>
  <c r="AI1286"/>
  <c r="AH1286"/>
  <c r="AG1286"/>
  <c r="AF1286"/>
  <c r="AE1286"/>
  <c r="AD1286"/>
  <c r="AC1286"/>
  <c r="AI1285"/>
  <c r="AH1285"/>
  <c r="AG1285"/>
  <c r="AF1285"/>
  <c r="AE1285"/>
  <c r="AD1285"/>
  <c r="AC1285"/>
  <c r="AI1284"/>
  <c r="AH1284"/>
  <c r="AG1284"/>
  <c r="AF1284"/>
  <c r="AE1284"/>
  <c r="AD1284"/>
  <c r="AC1284"/>
  <c r="AI1283"/>
  <c r="AH1283"/>
  <c r="AG1283"/>
  <c r="AF1283"/>
  <c r="AE1283"/>
  <c r="AD1283"/>
  <c r="AC1283"/>
  <c r="AI1282"/>
  <c r="AH1282"/>
  <c r="AG1282"/>
  <c r="AF1282"/>
  <c r="AE1282"/>
  <c r="AD1282"/>
  <c r="AC1282"/>
  <c r="AI1281"/>
  <c r="AH1281"/>
  <c r="AG1281"/>
  <c r="AF1281"/>
  <c r="AE1281"/>
  <c r="AD1281"/>
  <c r="AC1281"/>
  <c r="AI1280"/>
  <c r="AH1280"/>
  <c r="AG1280"/>
  <c r="AF1280"/>
  <c r="AE1280"/>
  <c r="AD1280"/>
  <c r="AC1280"/>
  <c r="AI1279"/>
  <c r="AH1279"/>
  <c r="AG1279"/>
  <c r="AF1279"/>
  <c r="AE1279"/>
  <c r="AD1279"/>
  <c r="AC1279"/>
  <c r="AI1278"/>
  <c r="AH1278"/>
  <c r="AG1278"/>
  <c r="AF1278"/>
  <c r="AE1278"/>
  <c r="AD1278"/>
  <c r="AC1278"/>
  <c r="AI1277"/>
  <c r="AH1277"/>
  <c r="AG1277"/>
  <c r="AF1277"/>
  <c r="AE1277"/>
  <c r="AD1277"/>
  <c r="AC1277"/>
  <c r="AI1276"/>
  <c r="AH1276"/>
  <c r="AG1276"/>
  <c r="AF1276"/>
  <c r="AE1276"/>
  <c r="AD1276"/>
  <c r="AC1276"/>
  <c r="AI1275"/>
  <c r="AH1275"/>
  <c r="AG1275"/>
  <c r="AF1275"/>
  <c r="AE1275"/>
  <c r="AD1275"/>
  <c r="AC1275"/>
  <c r="AI1274"/>
  <c r="AH1274"/>
  <c r="AG1274"/>
  <c r="AF1274"/>
  <c r="AE1274"/>
  <c r="AD1274"/>
  <c r="AC1274"/>
  <c r="AI1273"/>
  <c r="AH1273"/>
  <c r="AG1273"/>
  <c r="AF1273"/>
  <c r="AE1273"/>
  <c r="AD1273"/>
  <c r="AC1273"/>
  <c r="AI1272"/>
  <c r="AH1272"/>
  <c r="AG1272"/>
  <c r="AF1272"/>
  <c r="AE1272"/>
  <c r="AD1272"/>
  <c r="AC1272"/>
  <c r="AI1271"/>
  <c r="AH1271"/>
  <c r="AG1271"/>
  <c r="AF1271"/>
  <c r="AE1271"/>
  <c r="AD1271"/>
  <c r="AC1271"/>
  <c r="AI1270"/>
  <c r="AH1270"/>
  <c r="AG1270"/>
  <c r="AF1270"/>
  <c r="AE1270"/>
  <c r="AD1270"/>
  <c r="AC1270"/>
  <c r="AI1269"/>
  <c r="AH1269"/>
  <c r="AG1269"/>
  <c r="AF1269"/>
  <c r="AE1269"/>
  <c r="AD1269"/>
  <c r="AC1269"/>
  <c r="AI1268"/>
  <c r="AH1268"/>
  <c r="AG1268"/>
  <c r="AF1268"/>
  <c r="AE1268"/>
  <c r="AD1268"/>
  <c r="AC1268"/>
  <c r="AI1267"/>
  <c r="AH1267"/>
  <c r="AG1267"/>
  <c r="AF1267"/>
  <c r="AE1267"/>
  <c r="AD1267"/>
  <c r="AC1267"/>
  <c r="AI1266"/>
  <c r="AH1266"/>
  <c r="AG1266"/>
  <c r="AF1266"/>
  <c r="AE1266"/>
  <c r="AD1266"/>
  <c r="AC1266"/>
  <c r="AI1265"/>
  <c r="AH1265"/>
  <c r="AG1265"/>
  <c r="AF1265"/>
  <c r="AE1265"/>
  <c r="AD1265"/>
  <c r="AC1265"/>
  <c r="AI1264"/>
  <c r="AH1264"/>
  <c r="AG1264"/>
  <c r="AF1264"/>
  <c r="AE1264"/>
  <c r="AD1264"/>
  <c r="AC1264"/>
  <c r="AI1263"/>
  <c r="AH1263"/>
  <c r="AG1263"/>
  <c r="AF1263"/>
  <c r="AE1263"/>
  <c r="AD1263"/>
  <c r="AC1263"/>
  <c r="AI1262"/>
  <c r="AH1262"/>
  <c r="AG1262"/>
  <c r="AF1262"/>
  <c r="AE1262"/>
  <c r="AD1262"/>
  <c r="AC1262"/>
  <c r="AI1261"/>
  <c r="AH1261"/>
  <c r="AG1261"/>
  <c r="AF1261"/>
  <c r="AE1261"/>
  <c r="AD1261"/>
  <c r="AC1261"/>
  <c r="AI1260"/>
  <c r="AH1260"/>
  <c r="AG1260"/>
  <c r="AF1260"/>
  <c r="AE1260"/>
  <c r="AD1260"/>
  <c r="AC1260"/>
  <c r="AI1259"/>
  <c r="AH1259"/>
  <c r="AG1259"/>
  <c r="AF1259"/>
  <c r="AE1259"/>
  <c r="AD1259"/>
  <c r="AC1259"/>
  <c r="AI1258"/>
  <c r="AH1258"/>
  <c r="AG1258"/>
  <c r="AF1258"/>
  <c r="AE1258"/>
  <c r="AD1258"/>
  <c r="AC1258"/>
  <c r="AI1257"/>
  <c r="AH1257"/>
  <c r="AG1257"/>
  <c r="AF1257"/>
  <c r="AE1257"/>
  <c r="AD1257"/>
  <c r="AC1257"/>
  <c r="AI1256"/>
  <c r="AH1256"/>
  <c r="AG1256"/>
  <c r="AF1256"/>
  <c r="AE1256"/>
  <c r="AD1256"/>
  <c r="AC1256"/>
  <c r="AI1255"/>
  <c r="AH1255"/>
  <c r="AG1255"/>
  <c r="AF1255"/>
  <c r="AE1255"/>
  <c r="AD1255"/>
  <c r="AC1255"/>
  <c r="AI1254"/>
  <c r="AH1254"/>
  <c r="AG1254"/>
  <c r="AF1254"/>
  <c r="AE1254"/>
  <c r="AD1254"/>
  <c r="AC1254"/>
  <c r="AI1253"/>
  <c r="AH1253"/>
  <c r="AG1253"/>
  <c r="AF1253"/>
  <c r="AE1253"/>
  <c r="AD1253"/>
  <c r="AC1253"/>
  <c r="AI1252"/>
  <c r="AH1252"/>
  <c r="AG1252"/>
  <c r="AF1252"/>
  <c r="AE1252"/>
  <c r="AD1252"/>
  <c r="AC1252"/>
  <c r="AI1251"/>
  <c r="AH1251"/>
  <c r="AG1251"/>
  <c r="AF1251"/>
  <c r="AE1251"/>
  <c r="AD1251"/>
  <c r="AC1251"/>
  <c r="AI1250"/>
  <c r="AH1250"/>
  <c r="AG1250"/>
  <c r="AF1250"/>
  <c r="AE1250"/>
  <c r="AD1250"/>
  <c r="AC1250"/>
  <c r="AI1249"/>
  <c r="AH1249"/>
  <c r="AG1249"/>
  <c r="AF1249"/>
  <c r="AE1249"/>
  <c r="AD1249"/>
  <c r="AC1249"/>
  <c r="AI1248"/>
  <c r="AH1248"/>
  <c r="AG1248"/>
  <c r="AF1248"/>
  <c r="AE1248"/>
  <c r="AD1248"/>
  <c r="AC1248"/>
  <c r="AI1247"/>
  <c r="AH1247"/>
  <c r="AG1247"/>
  <c r="AF1247"/>
  <c r="AE1247"/>
  <c r="AD1247"/>
  <c r="AC1247"/>
  <c r="AI1246"/>
  <c r="AH1246"/>
  <c r="AG1246"/>
  <c r="AF1246"/>
  <c r="AE1246"/>
  <c r="AD1246"/>
  <c r="AC1246"/>
  <c r="AI1245"/>
  <c r="AH1245"/>
  <c r="AG1245"/>
  <c r="AF1245"/>
  <c r="AE1245"/>
  <c r="AD1245"/>
  <c r="AC1245"/>
  <c r="AI1244"/>
  <c r="AH1244"/>
  <c r="AG1244"/>
  <c r="AF1244"/>
  <c r="AE1244"/>
  <c r="AD1244"/>
  <c r="AC1244"/>
  <c r="AI1243"/>
  <c r="AH1243"/>
  <c r="AG1243"/>
  <c r="AF1243"/>
  <c r="AE1243"/>
  <c r="AD1243"/>
  <c r="AC1243"/>
  <c r="AI1242"/>
  <c r="AH1242"/>
  <c r="AG1242"/>
  <c r="AF1242"/>
  <c r="AE1242"/>
  <c r="AD1242"/>
  <c r="AC1242"/>
  <c r="AI1241"/>
  <c r="AH1241"/>
  <c r="AG1241"/>
  <c r="AF1241"/>
  <c r="AE1241"/>
  <c r="AD1241"/>
  <c r="AC1241"/>
  <c r="AI1240"/>
  <c r="AH1240"/>
  <c r="AG1240"/>
  <c r="AF1240"/>
  <c r="AE1240"/>
  <c r="AD1240"/>
  <c r="AC1240"/>
  <c r="AI1239"/>
  <c r="AH1239"/>
  <c r="AG1239"/>
  <c r="AF1239"/>
  <c r="AE1239"/>
  <c r="AD1239"/>
  <c r="AC1239"/>
  <c r="AI1238"/>
  <c r="AH1238"/>
  <c r="AG1238"/>
  <c r="AF1238"/>
  <c r="AE1238"/>
  <c r="AD1238"/>
  <c r="AC1238"/>
  <c r="AI1237"/>
  <c r="AH1237"/>
  <c r="AG1237"/>
  <c r="AF1237"/>
  <c r="AE1237"/>
  <c r="AD1237"/>
  <c r="AC1237"/>
  <c r="AI1236"/>
  <c r="AH1236"/>
  <c r="AG1236"/>
  <c r="AF1236"/>
  <c r="AE1236"/>
  <c r="AD1236"/>
  <c r="AC1236"/>
  <c r="AI1235"/>
  <c r="AH1235"/>
  <c r="AG1235"/>
  <c r="AF1235"/>
  <c r="AE1235"/>
  <c r="AD1235"/>
  <c r="AC1235"/>
  <c r="AI1234"/>
  <c r="AH1234"/>
  <c r="AG1234"/>
  <c r="AF1234"/>
  <c r="AE1234"/>
  <c r="AD1234"/>
  <c r="AC1234"/>
  <c r="AI1233"/>
  <c r="AH1233"/>
  <c r="AG1233"/>
  <c r="AF1233"/>
  <c r="AE1233"/>
  <c r="AD1233"/>
  <c r="AC1233"/>
  <c r="AI1232"/>
  <c r="AH1232"/>
  <c r="AG1232"/>
  <c r="AF1232"/>
  <c r="AE1232"/>
  <c r="AD1232"/>
  <c r="AC1232"/>
  <c r="AI1231"/>
  <c r="AH1231"/>
  <c r="AG1231"/>
  <c r="AF1231"/>
  <c r="AE1231"/>
  <c r="AD1231"/>
  <c r="AC1231"/>
  <c r="AI1230"/>
  <c r="AH1230"/>
  <c r="AG1230"/>
  <c r="AF1230"/>
  <c r="AE1230"/>
  <c r="AD1230"/>
  <c r="AC1230"/>
  <c r="AI1229"/>
  <c r="AH1229"/>
  <c r="AG1229"/>
  <c r="AF1229"/>
  <c r="AE1229"/>
  <c r="AD1229"/>
  <c r="AC1229"/>
  <c r="AI1228"/>
  <c r="AH1228"/>
  <c r="AG1228"/>
  <c r="AF1228"/>
  <c r="AE1228"/>
  <c r="AD1228"/>
  <c r="AC1228"/>
  <c r="AI1227"/>
  <c r="AH1227"/>
  <c r="AG1227"/>
  <c r="AF1227"/>
  <c r="AE1227"/>
  <c r="AD1227"/>
  <c r="AC1227"/>
  <c r="AI1226"/>
  <c r="AH1226"/>
  <c r="AG1226"/>
  <c r="AF1226"/>
  <c r="AE1226"/>
  <c r="AD1226"/>
  <c r="AC1226"/>
  <c r="AI1225"/>
  <c r="AH1225"/>
  <c r="AG1225"/>
  <c r="AF1225"/>
  <c r="AE1225"/>
  <c r="AD1225"/>
  <c r="AC1225"/>
  <c r="AI1224"/>
  <c r="AH1224"/>
  <c r="AG1224"/>
  <c r="AF1224"/>
  <c r="AE1224"/>
  <c r="AD1224"/>
  <c r="AC1224"/>
  <c r="AI1223"/>
  <c r="AH1223"/>
  <c r="AG1223"/>
  <c r="AF1223"/>
  <c r="AE1223"/>
  <c r="AD1223"/>
  <c r="AC1223"/>
  <c r="AI1222"/>
  <c r="AH1222"/>
  <c r="AG1222"/>
  <c r="AF1222"/>
  <c r="AE1222"/>
  <c r="AD1222"/>
  <c r="AC1222"/>
  <c r="AI1221"/>
  <c r="AH1221"/>
  <c r="AG1221"/>
  <c r="AF1221"/>
  <c r="AE1221"/>
  <c r="AD1221"/>
  <c r="AC1221"/>
  <c r="AI1220"/>
  <c r="AH1220"/>
  <c r="AG1220"/>
  <c r="AF1220"/>
  <c r="AE1220"/>
  <c r="AD1220"/>
  <c r="AC1220"/>
  <c r="AI1219"/>
  <c r="AH1219"/>
  <c r="AG1219"/>
  <c r="AF1219"/>
  <c r="AE1219"/>
  <c r="AD1219"/>
  <c r="AC1219"/>
  <c r="AI1218"/>
  <c r="AH1218"/>
  <c r="AG1218"/>
  <c r="AF1218"/>
  <c r="AE1218"/>
  <c r="AD1218"/>
  <c r="AC1218"/>
  <c r="AI1217"/>
  <c r="AH1217"/>
  <c r="AG1217"/>
  <c r="AF1217"/>
  <c r="AE1217"/>
  <c r="AD1217"/>
  <c r="AC1217"/>
  <c r="AI1216"/>
  <c r="AH1216"/>
  <c r="AG1216"/>
  <c r="AF1216"/>
  <c r="AE1216"/>
  <c r="AD1216"/>
  <c r="AC1216"/>
  <c r="AI1215"/>
  <c r="AH1215"/>
  <c r="AG1215"/>
  <c r="AF1215"/>
  <c r="AE1215"/>
  <c r="AD1215"/>
  <c r="AC1215"/>
  <c r="AI1214"/>
  <c r="AH1214"/>
  <c r="AG1214"/>
  <c r="AF1214"/>
  <c r="AE1214"/>
  <c r="AD1214"/>
  <c r="AC1214"/>
  <c r="AI1213"/>
  <c r="AH1213"/>
  <c r="AG1213"/>
  <c r="AF1213"/>
  <c r="AE1213"/>
  <c r="AD1213"/>
  <c r="AC1213"/>
  <c r="AI1212"/>
  <c r="AH1212"/>
  <c r="AG1212"/>
  <c r="AF1212"/>
  <c r="AE1212"/>
  <c r="AD1212"/>
  <c r="AC1212"/>
  <c r="AI1211"/>
  <c r="AH1211"/>
  <c r="AG1211"/>
  <c r="AF1211"/>
  <c r="AE1211"/>
  <c r="AD1211"/>
  <c r="AC1211"/>
  <c r="AI1210"/>
  <c r="AH1210"/>
  <c r="AG1210"/>
  <c r="AF1210"/>
  <c r="AE1210"/>
  <c r="AD1210"/>
  <c r="AC1210"/>
  <c r="AI1209"/>
  <c r="AH1209"/>
  <c r="AG1209"/>
  <c r="AF1209"/>
  <c r="AE1209"/>
  <c r="AD1209"/>
  <c r="AC1209"/>
  <c r="AI1208"/>
  <c r="AH1208"/>
  <c r="AG1208"/>
  <c r="AF1208"/>
  <c r="AE1208"/>
  <c r="AD1208"/>
  <c r="AC1208"/>
  <c r="AI1207"/>
  <c r="AH1207"/>
  <c r="AG1207"/>
  <c r="AF1207"/>
  <c r="AE1207"/>
  <c r="AD1207"/>
  <c r="AC1207"/>
  <c r="AI1206"/>
  <c r="AH1206"/>
  <c r="AG1206"/>
  <c r="AF1206"/>
  <c r="AE1206"/>
  <c r="AD1206"/>
  <c r="AC1206"/>
  <c r="AI1205"/>
  <c r="AH1205"/>
  <c r="AG1205"/>
  <c r="AF1205"/>
  <c r="AE1205"/>
  <c r="AD1205"/>
  <c r="AC1205"/>
  <c r="AI1204"/>
  <c r="AH1204"/>
  <c r="AG1204"/>
  <c r="AF1204"/>
  <c r="AE1204"/>
  <c r="AD1204"/>
  <c r="AC1204"/>
  <c r="AI1203"/>
  <c r="AH1203"/>
  <c r="AG1203"/>
  <c r="AF1203"/>
  <c r="AE1203"/>
  <c r="AD1203"/>
  <c r="AC1203"/>
  <c r="AI1202"/>
  <c r="AH1202"/>
  <c r="AG1202"/>
  <c r="AF1202"/>
  <c r="AE1202"/>
  <c r="AD1202"/>
  <c r="AC1202"/>
  <c r="AI1201"/>
  <c r="AH1201"/>
  <c r="AG1201"/>
  <c r="AF1201"/>
  <c r="AE1201"/>
  <c r="AD1201"/>
  <c r="AC1201"/>
  <c r="AI1200"/>
  <c r="AH1200"/>
  <c r="AG1200"/>
  <c r="AF1200"/>
  <c r="AE1200"/>
  <c r="AD1200"/>
  <c r="AC1200"/>
  <c r="AI1199"/>
  <c r="AH1199"/>
  <c r="AG1199"/>
  <c r="AF1199"/>
  <c r="AE1199"/>
  <c r="AD1199"/>
  <c r="AC1199"/>
  <c r="AI1198"/>
  <c r="AH1198"/>
  <c r="AG1198"/>
  <c r="AF1198"/>
  <c r="AE1198"/>
  <c r="AD1198"/>
  <c r="AC1198"/>
  <c r="AI1197"/>
  <c r="AH1197"/>
  <c r="AG1197"/>
  <c r="AF1197"/>
  <c r="AE1197"/>
  <c r="AD1197"/>
  <c r="AC1197"/>
  <c r="AI1196"/>
  <c r="AH1196"/>
  <c r="AG1196"/>
  <c r="AF1196"/>
  <c r="AE1196"/>
  <c r="AD1196"/>
  <c r="AC1196"/>
  <c r="AI1195"/>
  <c r="AH1195"/>
  <c r="AG1195"/>
  <c r="AF1195"/>
  <c r="AE1195"/>
  <c r="AD1195"/>
  <c r="AC1195"/>
  <c r="AI1194"/>
  <c r="AH1194"/>
  <c r="AG1194"/>
  <c r="AF1194"/>
  <c r="AE1194"/>
  <c r="AD1194"/>
  <c r="AC1194"/>
  <c r="AI1193"/>
  <c r="AH1193"/>
  <c r="AG1193"/>
  <c r="AF1193"/>
  <c r="AE1193"/>
  <c r="AD1193"/>
  <c r="AC1193"/>
  <c r="AI1192"/>
  <c r="AH1192"/>
  <c r="AG1192"/>
  <c r="AF1192"/>
  <c r="AE1192"/>
  <c r="AD1192"/>
  <c r="AC1192"/>
  <c r="AI1191"/>
  <c r="AH1191"/>
  <c r="AG1191"/>
  <c r="AF1191"/>
  <c r="AE1191"/>
  <c r="AD1191"/>
  <c r="AC1191"/>
  <c r="AI1190"/>
  <c r="AH1190"/>
  <c r="AG1190"/>
  <c r="AF1190"/>
  <c r="AE1190"/>
  <c r="AD1190"/>
  <c r="AC1190"/>
  <c r="AI1189"/>
  <c r="AH1189"/>
  <c r="AG1189"/>
  <c r="AF1189"/>
  <c r="AE1189"/>
  <c r="AD1189"/>
  <c r="AC1189"/>
  <c r="AI1188"/>
  <c r="AH1188"/>
  <c r="AG1188"/>
  <c r="AF1188"/>
  <c r="AE1188"/>
  <c r="AD1188"/>
  <c r="AC1188"/>
  <c r="AI1187"/>
  <c r="AH1187"/>
  <c r="AG1187"/>
  <c r="AF1187"/>
  <c r="AE1187"/>
  <c r="AD1187"/>
  <c r="AC1187"/>
  <c r="AI1186"/>
  <c r="AH1186"/>
  <c r="AG1186"/>
  <c r="AF1186"/>
  <c r="AE1186"/>
  <c r="AD1186"/>
  <c r="AC1186"/>
  <c r="AI1185"/>
  <c r="AH1185"/>
  <c r="AG1185"/>
  <c r="AF1185"/>
  <c r="AE1185"/>
  <c r="AD1185"/>
  <c r="AC1185"/>
  <c r="AI1184"/>
  <c r="AH1184"/>
  <c r="AG1184"/>
  <c r="AF1184"/>
  <c r="AE1184"/>
  <c r="AD1184"/>
  <c r="AC1184"/>
  <c r="AI1183"/>
  <c r="AH1183"/>
  <c r="AG1183"/>
  <c r="AF1183"/>
  <c r="AE1183"/>
  <c r="AD1183"/>
  <c r="AC1183"/>
  <c r="AI1182"/>
  <c r="AH1182"/>
  <c r="AG1182"/>
  <c r="AF1182"/>
  <c r="AE1182"/>
  <c r="AD1182"/>
  <c r="AC1182"/>
  <c r="AI1181"/>
  <c r="AH1181"/>
  <c r="AG1181"/>
  <c r="AF1181"/>
  <c r="AE1181"/>
  <c r="AD1181"/>
  <c r="AC1181"/>
  <c r="AI1180"/>
  <c r="AH1180"/>
  <c r="AG1180"/>
  <c r="AF1180"/>
  <c r="AE1180"/>
  <c r="AD1180"/>
  <c r="AC1180"/>
  <c r="AI1179"/>
  <c r="AH1179"/>
  <c r="AG1179"/>
  <c r="AF1179"/>
  <c r="AE1179"/>
  <c r="AD1179"/>
  <c r="AC1179"/>
  <c r="AI1178"/>
  <c r="AH1178"/>
  <c r="AG1178"/>
  <c r="AF1178"/>
  <c r="AE1178"/>
  <c r="AD1178"/>
  <c r="AC1178"/>
  <c r="AI1177"/>
  <c r="AH1177"/>
  <c r="AG1177"/>
  <c r="AF1177"/>
  <c r="AE1177"/>
  <c r="AD1177"/>
  <c r="AC1177"/>
  <c r="AI1176"/>
  <c r="AH1176"/>
  <c r="AG1176"/>
  <c r="AF1176"/>
  <c r="AE1176"/>
  <c r="AD1176"/>
  <c r="AC1176"/>
  <c r="AI1175"/>
  <c r="AH1175"/>
  <c r="AG1175"/>
  <c r="AF1175"/>
  <c r="AE1175"/>
  <c r="AD1175"/>
  <c r="AC1175"/>
  <c r="AI1174"/>
  <c r="AH1174"/>
  <c r="AG1174"/>
  <c r="AF1174"/>
  <c r="AE1174"/>
  <c r="AD1174"/>
  <c r="AC1174"/>
  <c r="AI1173"/>
  <c r="AH1173"/>
  <c r="AG1173"/>
  <c r="AF1173"/>
  <c r="AE1173"/>
  <c r="AD1173"/>
  <c r="AC1173"/>
  <c r="AI1172"/>
  <c r="AH1172"/>
  <c r="AG1172"/>
  <c r="AF1172"/>
  <c r="AE1172"/>
  <c r="AD1172"/>
  <c r="AC1172"/>
  <c r="AI1171"/>
  <c r="AH1171"/>
  <c r="AG1171"/>
  <c r="AF1171"/>
  <c r="AE1171"/>
  <c r="AD1171"/>
  <c r="AC1171"/>
  <c r="AI1170"/>
  <c r="AH1170"/>
  <c r="AG1170"/>
  <c r="AF1170"/>
  <c r="AE1170"/>
  <c r="AD1170"/>
  <c r="AC1170"/>
  <c r="AI1169"/>
  <c r="AH1169"/>
  <c r="AG1169"/>
  <c r="AF1169"/>
  <c r="AE1169"/>
  <c r="AD1169"/>
  <c r="AC1169"/>
  <c r="AI1168"/>
  <c r="AH1168"/>
  <c r="AG1168"/>
  <c r="AF1168"/>
  <c r="AE1168"/>
  <c r="AD1168"/>
  <c r="AC1168"/>
  <c r="AI1167"/>
  <c r="AH1167"/>
  <c r="AG1167"/>
  <c r="AF1167"/>
  <c r="AE1167"/>
  <c r="AD1167"/>
  <c r="AC1167"/>
  <c r="AI1166"/>
  <c r="AH1166"/>
  <c r="AG1166"/>
  <c r="AF1166"/>
  <c r="AE1166"/>
  <c r="AD1166"/>
  <c r="AC1166"/>
  <c r="AI1165"/>
  <c r="AH1165"/>
  <c r="AG1165"/>
  <c r="AF1165"/>
  <c r="AE1165"/>
  <c r="AD1165"/>
  <c r="AC1165"/>
  <c r="AI1164"/>
  <c r="AH1164"/>
  <c r="AG1164"/>
  <c r="AF1164"/>
  <c r="AE1164"/>
  <c r="AD1164"/>
  <c r="AC1164"/>
  <c r="AI1163"/>
  <c r="AH1163"/>
  <c r="AG1163"/>
  <c r="AF1163"/>
  <c r="AE1163"/>
  <c r="AD1163"/>
  <c r="AC1163"/>
  <c r="AI1162"/>
  <c r="AH1162"/>
  <c r="AG1162"/>
  <c r="AF1162"/>
  <c r="AE1162"/>
  <c r="AD1162"/>
  <c r="AC1162"/>
  <c r="AI1161"/>
  <c r="AH1161"/>
  <c r="AG1161"/>
  <c r="AF1161"/>
  <c r="AE1161"/>
  <c r="AD1161"/>
  <c r="AC1161"/>
  <c r="AI1160"/>
  <c r="AH1160"/>
  <c r="AG1160"/>
  <c r="AF1160"/>
  <c r="AE1160"/>
  <c r="AD1160"/>
  <c r="AC1160"/>
  <c r="AI1159"/>
  <c r="AH1159"/>
  <c r="AG1159"/>
  <c r="AF1159"/>
  <c r="AE1159"/>
  <c r="AD1159"/>
  <c r="AC1159"/>
  <c r="AI1158"/>
  <c r="AH1158"/>
  <c r="AG1158"/>
  <c r="AF1158"/>
  <c r="AE1158"/>
  <c r="AD1158"/>
  <c r="AC1158"/>
  <c r="AI1157"/>
  <c r="AH1157"/>
  <c r="AG1157"/>
  <c r="AF1157"/>
  <c r="AE1157"/>
  <c r="AD1157"/>
  <c r="AC1157"/>
  <c r="AI1156"/>
  <c r="AH1156"/>
  <c r="AG1156"/>
  <c r="AF1156"/>
  <c r="AE1156"/>
  <c r="AD1156"/>
  <c r="AC1156"/>
  <c r="AI1155"/>
  <c r="AH1155"/>
  <c r="AG1155"/>
  <c r="AF1155"/>
  <c r="AE1155"/>
  <c r="AD1155"/>
  <c r="AC1155"/>
  <c r="AI1154"/>
  <c r="AH1154"/>
  <c r="AG1154"/>
  <c r="AF1154"/>
  <c r="AE1154"/>
  <c r="AD1154"/>
  <c r="AC1154"/>
  <c r="AI1153"/>
  <c r="AH1153"/>
  <c r="AG1153"/>
  <c r="AF1153"/>
  <c r="AE1153"/>
  <c r="AD1153"/>
  <c r="AC1153"/>
  <c r="AI1152"/>
  <c r="AH1152"/>
  <c r="AG1152"/>
  <c r="AF1152"/>
  <c r="AE1152"/>
  <c r="AD1152"/>
  <c r="AC1152"/>
  <c r="AI1151"/>
  <c r="AH1151"/>
  <c r="AG1151"/>
  <c r="AF1151"/>
  <c r="AE1151"/>
  <c r="AD1151"/>
  <c r="AC1151"/>
  <c r="AI1150"/>
  <c r="AH1150"/>
  <c r="AG1150"/>
  <c r="AF1150"/>
  <c r="AE1150"/>
  <c r="AD1150"/>
  <c r="AC1150"/>
  <c r="AI1149"/>
  <c r="AH1149"/>
  <c r="AG1149"/>
  <c r="AF1149"/>
  <c r="AE1149"/>
  <c r="AD1149"/>
  <c r="AC1149"/>
  <c r="AI1148"/>
  <c r="AH1148"/>
  <c r="AG1148"/>
  <c r="AF1148"/>
  <c r="AE1148"/>
  <c r="AD1148"/>
  <c r="AC1148"/>
  <c r="AI1147"/>
  <c r="AH1147"/>
  <c r="AG1147"/>
  <c r="AF1147"/>
  <c r="AE1147"/>
  <c r="AD1147"/>
  <c r="AC1147"/>
  <c r="AI1146"/>
  <c r="AH1146"/>
  <c r="AG1146"/>
  <c r="AF1146"/>
  <c r="AE1146"/>
  <c r="AD1146"/>
  <c r="AC1146"/>
  <c r="AI1145"/>
  <c r="AH1145"/>
  <c r="AG1145"/>
  <c r="AF1145"/>
  <c r="AE1145"/>
  <c r="AD1145"/>
  <c r="AC1145"/>
  <c r="AI1144"/>
  <c r="AH1144"/>
  <c r="AG1144"/>
  <c r="AF1144"/>
  <c r="AE1144"/>
  <c r="AD1144"/>
  <c r="AC1144"/>
  <c r="AI1143"/>
  <c r="AH1143"/>
  <c r="AG1143"/>
  <c r="AF1143"/>
  <c r="AE1143"/>
  <c r="AD1143"/>
  <c r="AC1143"/>
  <c r="AI1142"/>
  <c r="AH1142"/>
  <c r="AG1142"/>
  <c r="AF1142"/>
  <c r="AE1142"/>
  <c r="AD1142"/>
  <c r="AC1142"/>
  <c r="AI1141"/>
  <c r="AH1141"/>
  <c r="AG1141"/>
  <c r="AF1141"/>
  <c r="AE1141"/>
  <c r="AD1141"/>
  <c r="AC1141"/>
  <c r="AI1140"/>
  <c r="AH1140"/>
  <c r="AG1140"/>
  <c r="AF1140"/>
  <c r="AE1140"/>
  <c r="AD1140"/>
  <c r="AC1140"/>
  <c r="AI1139"/>
  <c r="AH1139"/>
  <c r="AG1139"/>
  <c r="AF1139"/>
  <c r="AE1139"/>
  <c r="AD1139"/>
  <c r="AC1139"/>
  <c r="AI1138"/>
  <c r="AH1138"/>
  <c r="AG1138"/>
  <c r="AF1138"/>
  <c r="AE1138"/>
  <c r="AD1138"/>
  <c r="AC1138"/>
  <c r="AI1137"/>
  <c r="AH1137"/>
  <c r="AG1137"/>
  <c r="AF1137"/>
  <c r="AE1137"/>
  <c r="AD1137"/>
  <c r="AC1137"/>
  <c r="AI1136"/>
  <c r="AH1136"/>
  <c r="AG1136"/>
  <c r="AF1136"/>
  <c r="AE1136"/>
  <c r="AD1136"/>
  <c r="AC1136"/>
  <c r="AI1135"/>
  <c r="AH1135"/>
  <c r="AG1135"/>
  <c r="AF1135"/>
  <c r="AE1135"/>
  <c r="AD1135"/>
  <c r="AC1135"/>
  <c r="AI1134"/>
  <c r="AH1134"/>
  <c r="AG1134"/>
  <c r="AF1134"/>
  <c r="AE1134"/>
  <c r="AD1134"/>
  <c r="AC1134"/>
  <c r="AI1133"/>
  <c r="AH1133"/>
  <c r="AG1133"/>
  <c r="AF1133"/>
  <c r="AE1133"/>
  <c r="AD1133"/>
  <c r="AC1133"/>
  <c r="AI1132"/>
  <c r="AH1132"/>
  <c r="AG1132"/>
  <c r="AF1132"/>
  <c r="AE1132"/>
  <c r="AD1132"/>
  <c r="AC1132"/>
  <c r="AI1131"/>
  <c r="AH1131"/>
  <c r="AG1131"/>
  <c r="AF1131"/>
  <c r="AE1131"/>
  <c r="AD1131"/>
  <c r="AC1131"/>
  <c r="AI1130"/>
  <c r="AH1130"/>
  <c r="AG1130"/>
  <c r="AF1130"/>
  <c r="AE1130"/>
  <c r="AD1130"/>
  <c r="AC1130"/>
  <c r="AI1129"/>
  <c r="AH1129"/>
  <c r="AG1129"/>
  <c r="AF1129"/>
  <c r="AE1129"/>
  <c r="AD1129"/>
  <c r="AC1129"/>
  <c r="AI1128"/>
  <c r="AH1128"/>
  <c r="AG1128"/>
  <c r="AF1128"/>
  <c r="AE1128"/>
  <c r="AD1128"/>
  <c r="AC1128"/>
  <c r="AI1127"/>
  <c r="AH1127"/>
  <c r="AG1127"/>
  <c r="AF1127"/>
  <c r="AE1127"/>
  <c r="AD1127"/>
  <c r="AC1127"/>
  <c r="AI1126"/>
  <c r="AH1126"/>
  <c r="AG1126"/>
  <c r="AF1126"/>
  <c r="AE1126"/>
  <c r="AD1126"/>
  <c r="AC1126"/>
  <c r="AI1125"/>
  <c r="AH1125"/>
  <c r="AG1125"/>
  <c r="AF1125"/>
  <c r="AE1125"/>
  <c r="AD1125"/>
  <c r="AC1125"/>
  <c r="AI1124"/>
  <c r="AH1124"/>
  <c r="AG1124"/>
  <c r="AF1124"/>
  <c r="AE1124"/>
  <c r="AD1124"/>
  <c r="AC1124"/>
  <c r="AI1123"/>
  <c r="AH1123"/>
  <c r="AG1123"/>
  <c r="AF1123"/>
  <c r="AE1123"/>
  <c r="AD1123"/>
  <c r="AC1123"/>
  <c r="AI1122"/>
  <c r="AH1122"/>
  <c r="AG1122"/>
  <c r="AF1122"/>
  <c r="AE1122"/>
  <c r="AD1122"/>
  <c r="AC1122"/>
  <c r="AI1121"/>
  <c r="AH1121"/>
  <c r="AG1121"/>
  <c r="AF1121"/>
  <c r="AE1121"/>
  <c r="AD1121"/>
  <c r="AC1121"/>
  <c r="AI1120"/>
  <c r="AH1120"/>
  <c r="AG1120"/>
  <c r="AF1120"/>
  <c r="AE1120"/>
  <c r="AD1120"/>
  <c r="AC1120"/>
  <c r="AI1119"/>
  <c r="AH1119"/>
  <c r="AG1119"/>
  <c r="AF1119"/>
  <c r="AE1119"/>
  <c r="AD1119"/>
  <c r="AC1119"/>
  <c r="AI1118"/>
  <c r="AH1118"/>
  <c r="AG1118"/>
  <c r="AF1118"/>
  <c r="AE1118"/>
  <c r="AD1118"/>
  <c r="AC1118"/>
  <c r="AI1117"/>
  <c r="AH1117"/>
  <c r="AG1117"/>
  <c r="AF1117"/>
  <c r="AE1117"/>
  <c r="AD1117"/>
  <c r="AC1117"/>
  <c r="AI1116"/>
  <c r="AH1116"/>
  <c r="AG1116"/>
  <c r="AF1116"/>
  <c r="AE1116"/>
  <c r="AD1116"/>
  <c r="AC1116"/>
  <c r="AI1115"/>
  <c r="AH1115"/>
  <c r="AG1115"/>
  <c r="AF1115"/>
  <c r="AE1115"/>
  <c r="AD1115"/>
  <c r="AC1115"/>
  <c r="AI1114"/>
  <c r="AH1114"/>
  <c r="AG1114"/>
  <c r="AF1114"/>
  <c r="AE1114"/>
  <c r="AD1114"/>
  <c r="AC1114"/>
  <c r="AI1113"/>
  <c r="AH1113"/>
  <c r="AG1113"/>
  <c r="AF1113"/>
  <c r="AE1113"/>
  <c r="AD1113"/>
  <c r="AC1113"/>
  <c r="AI1112"/>
  <c r="AH1112"/>
  <c r="AG1112"/>
  <c r="AF1112"/>
  <c r="AE1112"/>
  <c r="AD1112"/>
  <c r="AC1112"/>
  <c r="AI1111"/>
  <c r="AH1111"/>
  <c r="AG1111"/>
  <c r="AF1111"/>
  <c r="AE1111"/>
  <c r="AD1111"/>
  <c r="AC1111"/>
  <c r="AI1110"/>
  <c r="AH1110"/>
  <c r="AG1110"/>
  <c r="AF1110"/>
  <c r="AE1110"/>
  <c r="AD1110"/>
  <c r="AC1110"/>
  <c r="AI1109"/>
  <c r="AH1109"/>
  <c r="AG1109"/>
  <c r="AF1109"/>
  <c r="AE1109"/>
  <c r="AD1109"/>
  <c r="AC1109"/>
  <c r="AI1108"/>
  <c r="AH1108"/>
  <c r="AG1108"/>
  <c r="AF1108"/>
  <c r="AE1108"/>
  <c r="AD1108"/>
  <c r="AC1108"/>
  <c r="AI1107"/>
  <c r="AH1107"/>
  <c r="AG1107"/>
  <c r="AF1107"/>
  <c r="AE1107"/>
  <c r="AD1107"/>
  <c r="AC1107"/>
  <c r="AI1106"/>
  <c r="AH1106"/>
  <c r="AG1106"/>
  <c r="AF1106"/>
  <c r="AE1106"/>
  <c r="AD1106"/>
  <c r="AC1106"/>
  <c r="AI1105"/>
  <c r="AH1105"/>
  <c r="AG1105"/>
  <c r="AF1105"/>
  <c r="AE1105"/>
  <c r="AD1105"/>
  <c r="AC1105"/>
  <c r="AI1104"/>
  <c r="AH1104"/>
  <c r="AG1104"/>
  <c r="AF1104"/>
  <c r="AE1104"/>
  <c r="AD1104"/>
  <c r="AC1104"/>
  <c r="AI1103"/>
  <c r="AH1103"/>
  <c r="AG1103"/>
  <c r="AF1103"/>
  <c r="AE1103"/>
  <c r="AD1103"/>
  <c r="AC1103"/>
  <c r="AI1102"/>
  <c r="AH1102"/>
  <c r="AG1102"/>
  <c r="AF1102"/>
  <c r="AE1102"/>
  <c r="AD1102"/>
  <c r="AC1102"/>
  <c r="AI1101"/>
  <c r="AH1101"/>
  <c r="AG1101"/>
  <c r="AF1101"/>
  <c r="AE1101"/>
  <c r="AD1101"/>
  <c r="AC1101"/>
  <c r="AI1100"/>
  <c r="AH1100"/>
  <c r="AG1100"/>
  <c r="AF1100"/>
  <c r="AE1100"/>
  <c r="AD1100"/>
  <c r="AC1100"/>
  <c r="AI1099"/>
  <c r="AH1099"/>
  <c r="AG1099"/>
  <c r="AF1099"/>
  <c r="AE1099"/>
  <c r="AD1099"/>
  <c r="AC1099"/>
  <c r="AI1098"/>
  <c r="AH1098"/>
  <c r="AG1098"/>
  <c r="AF1098"/>
  <c r="AE1098"/>
  <c r="AD1098"/>
  <c r="AC1098"/>
  <c r="AI1097"/>
  <c r="AH1097"/>
  <c r="AG1097"/>
  <c r="AF1097"/>
  <c r="AE1097"/>
  <c r="AD1097"/>
  <c r="AC1097"/>
  <c r="AI1096"/>
  <c r="AH1096"/>
  <c r="AG1096"/>
  <c r="AF1096"/>
  <c r="AE1096"/>
  <c r="AD1096"/>
  <c r="AC1096"/>
  <c r="AI1095"/>
  <c r="AH1095"/>
  <c r="AG1095"/>
  <c r="AF1095"/>
  <c r="AE1095"/>
  <c r="AD1095"/>
  <c r="AC1095"/>
  <c r="AI1094"/>
  <c r="AH1094"/>
  <c r="AG1094"/>
  <c r="AF1094"/>
  <c r="AE1094"/>
  <c r="AD1094"/>
  <c r="AC1094"/>
  <c r="AI1093"/>
  <c r="AH1093"/>
  <c r="AG1093"/>
  <c r="AF1093"/>
  <c r="AE1093"/>
  <c r="AD1093"/>
  <c r="AC1093"/>
  <c r="AI1092"/>
  <c r="AH1092"/>
  <c r="AG1092"/>
  <c r="AF1092"/>
  <c r="AE1092"/>
  <c r="AD1092"/>
  <c r="AC1092"/>
  <c r="AI1091"/>
  <c r="AH1091"/>
  <c r="AG1091"/>
  <c r="AF1091"/>
  <c r="AE1091"/>
  <c r="AD1091"/>
  <c r="AC1091"/>
  <c r="AI1090"/>
  <c r="AH1090"/>
  <c r="AG1090"/>
  <c r="AF1090"/>
  <c r="AE1090"/>
  <c r="AD1090"/>
  <c r="AC1090"/>
  <c r="AI1089"/>
  <c r="AH1089"/>
  <c r="AG1089"/>
  <c r="AF1089"/>
  <c r="AE1089"/>
  <c r="AD1089"/>
  <c r="AC1089"/>
  <c r="AI1088"/>
  <c r="AH1088"/>
  <c r="AG1088"/>
  <c r="AF1088"/>
  <c r="AE1088"/>
  <c r="AD1088"/>
  <c r="AC1088"/>
  <c r="AI1087"/>
  <c r="AH1087"/>
  <c r="AG1087"/>
  <c r="AF1087"/>
  <c r="AE1087"/>
  <c r="AD1087"/>
  <c r="AC1087"/>
  <c r="AI1086"/>
  <c r="AH1086"/>
  <c r="AG1086"/>
  <c r="AF1086"/>
  <c r="AE1086"/>
  <c r="AD1086"/>
  <c r="AC1086"/>
  <c r="AI1085"/>
  <c r="AH1085"/>
  <c r="AG1085"/>
  <c r="AF1085"/>
  <c r="AE1085"/>
  <c r="AD1085"/>
  <c r="AC1085"/>
  <c r="AI1084"/>
  <c r="AH1084"/>
  <c r="AG1084"/>
  <c r="AF1084"/>
  <c r="AE1084"/>
  <c r="AD1084"/>
  <c r="AC1084"/>
  <c r="AI1083"/>
  <c r="AH1083"/>
  <c r="AG1083"/>
  <c r="AF1083"/>
  <c r="AE1083"/>
  <c r="AD1083"/>
  <c r="AC1083"/>
  <c r="AI1082"/>
  <c r="AH1082"/>
  <c r="AG1082"/>
  <c r="AF1082"/>
  <c r="AE1082"/>
  <c r="AD1082"/>
  <c r="AC1082"/>
  <c r="AI1081"/>
  <c r="AH1081"/>
  <c r="AG1081"/>
  <c r="AF1081"/>
  <c r="AE1081"/>
  <c r="AD1081"/>
  <c r="AC1081"/>
  <c r="AI1080"/>
  <c r="AH1080"/>
  <c r="AG1080"/>
  <c r="AF1080"/>
  <c r="AE1080"/>
  <c r="AD1080"/>
  <c r="AC1080"/>
  <c r="AI1079"/>
  <c r="AH1079"/>
  <c r="AG1079"/>
  <c r="AF1079"/>
  <c r="AE1079"/>
  <c r="AD1079"/>
  <c r="AC1079"/>
  <c r="AI1078"/>
  <c r="AH1078"/>
  <c r="AG1078"/>
  <c r="AF1078"/>
  <c r="AE1078"/>
  <c r="AD1078"/>
  <c r="AC1078"/>
  <c r="AI1077"/>
  <c r="AH1077"/>
  <c r="AG1077"/>
  <c r="AF1077"/>
  <c r="AE1077"/>
  <c r="AD1077"/>
  <c r="AC1077"/>
  <c r="AI1076"/>
  <c r="AH1076"/>
  <c r="AG1076"/>
  <c r="AF1076"/>
  <c r="AE1076"/>
  <c r="AD1076"/>
  <c r="AC1076"/>
  <c r="AI1075"/>
  <c r="AH1075"/>
  <c r="AG1075"/>
  <c r="AF1075"/>
  <c r="AE1075"/>
  <c r="AD1075"/>
  <c r="AC1075"/>
  <c r="AI1074"/>
  <c r="AH1074"/>
  <c r="AG1074"/>
  <c r="AF1074"/>
  <c r="AE1074"/>
  <c r="AD1074"/>
  <c r="AC1074"/>
  <c r="AI1073"/>
  <c r="AH1073"/>
  <c r="AG1073"/>
  <c r="AF1073"/>
  <c r="AE1073"/>
  <c r="AD1073"/>
  <c r="AC1073"/>
  <c r="AI1072"/>
  <c r="AH1072"/>
  <c r="AG1072"/>
  <c r="AF1072"/>
  <c r="AE1072"/>
  <c r="AD1072"/>
  <c r="AC1072"/>
  <c r="AI1071"/>
  <c r="AH1071"/>
  <c r="AG1071"/>
  <c r="AF1071"/>
  <c r="AE1071"/>
  <c r="AD1071"/>
  <c r="AC1071"/>
  <c r="AI1070"/>
  <c r="AH1070"/>
  <c r="AG1070"/>
  <c r="AF1070"/>
  <c r="AE1070"/>
  <c r="AD1070"/>
  <c r="AC1070"/>
  <c r="AI1069"/>
  <c r="AH1069"/>
  <c r="AG1069"/>
  <c r="AF1069"/>
  <c r="AE1069"/>
  <c r="AD1069"/>
  <c r="AC1069"/>
  <c r="AI1068"/>
  <c r="AH1068"/>
  <c r="AG1068"/>
  <c r="AF1068"/>
  <c r="AE1068"/>
  <c r="AD1068"/>
  <c r="AC1068"/>
  <c r="AI1067"/>
  <c r="AH1067"/>
  <c r="AG1067"/>
  <c r="AF1067"/>
  <c r="AE1067"/>
  <c r="AD1067"/>
  <c r="AC1067"/>
  <c r="AI1066"/>
  <c r="AH1066"/>
  <c r="AG1066"/>
  <c r="AF1066"/>
  <c r="AE1066"/>
  <c r="AD1066"/>
  <c r="AC1066"/>
  <c r="AI1065"/>
  <c r="AH1065"/>
  <c r="AG1065"/>
  <c r="AF1065"/>
  <c r="AE1065"/>
  <c r="AD1065"/>
  <c r="AC1065"/>
  <c r="AI1064"/>
  <c r="AH1064"/>
  <c r="AG1064"/>
  <c r="AF1064"/>
  <c r="AE1064"/>
  <c r="AD1064"/>
  <c r="AC1064"/>
  <c r="AI1063"/>
  <c r="AH1063"/>
  <c r="AG1063"/>
  <c r="AF1063"/>
  <c r="AE1063"/>
  <c r="AD1063"/>
  <c r="AC1063"/>
  <c r="AI1062"/>
  <c r="AH1062"/>
  <c r="AG1062"/>
  <c r="AF1062"/>
  <c r="AE1062"/>
  <c r="AD1062"/>
  <c r="AC1062"/>
  <c r="AI1061"/>
  <c r="AH1061"/>
  <c r="AG1061"/>
  <c r="AF1061"/>
  <c r="AE1061"/>
  <c r="AD1061"/>
  <c r="AC1061"/>
  <c r="AI1060"/>
  <c r="AH1060"/>
  <c r="AG1060"/>
  <c r="AF1060"/>
  <c r="AE1060"/>
  <c r="AD1060"/>
  <c r="AC1060"/>
  <c r="AI1059"/>
  <c r="AH1059"/>
  <c r="AG1059"/>
  <c r="AF1059"/>
  <c r="AE1059"/>
  <c r="AD1059"/>
  <c r="AC1059"/>
  <c r="AI1058"/>
  <c r="AH1058"/>
  <c r="AG1058"/>
  <c r="AF1058"/>
  <c r="AE1058"/>
  <c r="AD1058"/>
  <c r="AC1058"/>
  <c r="AI1057"/>
  <c r="AH1057"/>
  <c r="AG1057"/>
  <c r="AF1057"/>
  <c r="AE1057"/>
  <c r="AD1057"/>
  <c r="AC1057"/>
  <c r="AI1056"/>
  <c r="AH1056"/>
  <c r="AG1056"/>
  <c r="AF1056"/>
  <c r="AE1056"/>
  <c r="AD1056"/>
  <c r="AC1056"/>
  <c r="AI1055"/>
  <c r="AH1055"/>
  <c r="AG1055"/>
  <c r="AF1055"/>
  <c r="AE1055"/>
  <c r="AD1055"/>
  <c r="AC1055"/>
  <c r="AI1054"/>
  <c r="AH1054"/>
  <c r="AG1054"/>
  <c r="AF1054"/>
  <c r="AE1054"/>
  <c r="AD1054"/>
  <c r="AC1054"/>
  <c r="AI1053"/>
  <c r="AH1053"/>
  <c r="AG1053"/>
  <c r="AF1053"/>
  <c r="AE1053"/>
  <c r="AD1053"/>
  <c r="AC1053"/>
  <c r="AI1052"/>
  <c r="AH1052"/>
  <c r="AG1052"/>
  <c r="AF1052"/>
  <c r="AE1052"/>
  <c r="AD1052"/>
  <c r="AC1052"/>
  <c r="AI1051"/>
  <c r="AH1051"/>
  <c r="AG1051"/>
  <c r="AF1051"/>
  <c r="AE1051"/>
  <c r="AD1051"/>
  <c r="AC1051"/>
  <c r="AI1050"/>
  <c r="AH1050"/>
  <c r="AG1050"/>
  <c r="AF1050"/>
  <c r="AE1050"/>
  <c r="AD1050"/>
  <c r="AC1050"/>
  <c r="AI1049"/>
  <c r="AH1049"/>
  <c r="AG1049"/>
  <c r="AF1049"/>
  <c r="AE1049"/>
  <c r="AD1049"/>
  <c r="AC1049"/>
  <c r="AI1048"/>
  <c r="AH1048"/>
  <c r="AG1048"/>
  <c r="AF1048"/>
  <c r="AE1048"/>
  <c r="AD1048"/>
  <c r="AC1048"/>
  <c r="AI1047"/>
  <c r="AH1047"/>
  <c r="AG1047"/>
  <c r="AF1047"/>
  <c r="AE1047"/>
  <c r="AD1047"/>
  <c r="AC1047"/>
  <c r="AI1046"/>
  <c r="AH1046"/>
  <c r="AG1046"/>
  <c r="AF1046"/>
  <c r="AE1046"/>
  <c r="AD1046"/>
  <c r="AC1046"/>
  <c r="AI1045"/>
  <c r="AH1045"/>
  <c r="AG1045"/>
  <c r="AF1045"/>
  <c r="AE1045"/>
  <c r="AD1045"/>
  <c r="AC1045"/>
  <c r="AI1044"/>
  <c r="AH1044"/>
  <c r="AG1044"/>
  <c r="AF1044"/>
  <c r="AE1044"/>
  <c r="AD1044"/>
  <c r="AC1044"/>
  <c r="AI1043"/>
  <c r="AH1043"/>
  <c r="AG1043"/>
  <c r="AF1043"/>
  <c r="AE1043"/>
  <c r="AD1043"/>
  <c r="AC1043"/>
  <c r="AI1042"/>
  <c r="AH1042"/>
  <c r="AG1042"/>
  <c r="AF1042"/>
  <c r="AE1042"/>
  <c r="AD1042"/>
  <c r="AC1042"/>
  <c r="AI1041"/>
  <c r="AH1041"/>
  <c r="AG1041"/>
  <c r="AF1041"/>
  <c r="AE1041"/>
  <c r="AD1041"/>
  <c r="AC1041"/>
  <c r="AI1040"/>
  <c r="AH1040"/>
  <c r="AG1040"/>
  <c r="AF1040"/>
  <c r="AE1040"/>
  <c r="AD1040"/>
  <c r="AC1040"/>
  <c r="AI1039"/>
  <c r="AH1039"/>
  <c r="AG1039"/>
  <c r="AF1039"/>
  <c r="AE1039"/>
  <c r="AD1039"/>
  <c r="AC1039"/>
  <c r="AI1038"/>
  <c r="AH1038"/>
  <c r="AG1038"/>
  <c r="AF1038"/>
  <c r="AE1038"/>
  <c r="AD1038"/>
  <c r="AC1038"/>
  <c r="AI1037"/>
  <c r="AH1037"/>
  <c r="AG1037"/>
  <c r="AF1037"/>
  <c r="AE1037"/>
  <c r="AD1037"/>
  <c r="AC1037"/>
  <c r="AI1036"/>
  <c r="AH1036"/>
  <c r="AG1036"/>
  <c r="AF1036"/>
  <c r="AE1036"/>
  <c r="AD1036"/>
  <c r="AC1036"/>
  <c r="AI1035"/>
  <c r="AH1035"/>
  <c r="AG1035"/>
  <c r="AF1035"/>
  <c r="AE1035"/>
  <c r="AD1035"/>
  <c r="AC1035"/>
  <c r="AI1034"/>
  <c r="AH1034"/>
  <c r="AG1034"/>
  <c r="AF1034"/>
  <c r="AE1034"/>
  <c r="AD1034"/>
  <c r="AC1034"/>
  <c r="AI1033"/>
  <c r="AH1033"/>
  <c r="AG1033"/>
  <c r="AF1033"/>
  <c r="AE1033"/>
  <c r="AD1033"/>
  <c r="AC1033"/>
  <c r="AI1032"/>
  <c r="AH1032"/>
  <c r="AG1032"/>
  <c r="AF1032"/>
  <c r="AE1032"/>
  <c r="AD1032"/>
  <c r="AC1032"/>
  <c r="AI1031"/>
  <c r="AH1031"/>
  <c r="AG1031"/>
  <c r="AF1031"/>
  <c r="AE1031"/>
  <c r="AD1031"/>
  <c r="AC1031"/>
  <c r="AI1030"/>
  <c r="AH1030"/>
  <c r="AG1030"/>
  <c r="AF1030"/>
  <c r="AE1030"/>
  <c r="AD1030"/>
  <c r="AC1030"/>
  <c r="AI1029"/>
  <c r="AH1029"/>
  <c r="AG1029"/>
  <c r="AF1029"/>
  <c r="AE1029"/>
  <c r="AD1029"/>
  <c r="AC1029"/>
  <c r="AI1028"/>
  <c r="AH1028"/>
  <c r="AG1028"/>
  <c r="AF1028"/>
  <c r="AE1028"/>
  <c r="AD1028"/>
  <c r="AC1028"/>
  <c r="AI1027"/>
  <c r="AH1027"/>
  <c r="AG1027"/>
  <c r="AF1027"/>
  <c r="AE1027"/>
  <c r="AD1027"/>
  <c r="AC1027"/>
  <c r="AI1026"/>
  <c r="AH1026"/>
  <c r="AG1026"/>
  <c r="AF1026"/>
  <c r="AE1026"/>
  <c r="AD1026"/>
  <c r="AC1026"/>
  <c r="AI1025"/>
  <c r="AH1025"/>
  <c r="AG1025"/>
  <c r="AF1025"/>
  <c r="AE1025"/>
  <c r="AD1025"/>
  <c r="AC1025"/>
  <c r="AI1024"/>
  <c r="AH1024"/>
  <c r="AG1024"/>
  <c r="AF1024"/>
  <c r="AE1024"/>
  <c r="AD1024"/>
  <c r="AC1024"/>
  <c r="AI1023"/>
  <c r="AH1023"/>
  <c r="AG1023"/>
  <c r="AF1023"/>
  <c r="AE1023"/>
  <c r="AD1023"/>
  <c r="AC1023"/>
  <c r="AI1022"/>
  <c r="AH1022"/>
  <c r="AG1022"/>
  <c r="AF1022"/>
  <c r="AE1022"/>
  <c r="AD1022"/>
  <c r="AC1022"/>
  <c r="AI1021"/>
  <c r="AH1021"/>
  <c r="AG1021"/>
  <c r="AF1021"/>
  <c r="AE1021"/>
  <c r="AD1021"/>
  <c r="AC1021"/>
  <c r="AI1020"/>
  <c r="AH1020"/>
  <c r="AG1020"/>
  <c r="AF1020"/>
  <c r="AE1020"/>
  <c r="AD1020"/>
  <c r="AC1020"/>
  <c r="AI1019"/>
  <c r="AH1019"/>
  <c r="AG1019"/>
  <c r="AF1019"/>
  <c r="AE1019"/>
  <c r="AD1019"/>
  <c r="AC1019"/>
  <c r="AI1018"/>
  <c r="AH1018"/>
  <c r="AG1018"/>
  <c r="AF1018"/>
  <c r="AE1018"/>
  <c r="AD1018"/>
  <c r="AC1018"/>
  <c r="AI1017"/>
  <c r="AH1017"/>
  <c r="AG1017"/>
  <c r="AF1017"/>
  <c r="AE1017"/>
  <c r="AD1017"/>
  <c r="AC1017"/>
  <c r="AI1016"/>
  <c r="AH1016"/>
  <c r="AG1016"/>
  <c r="AF1016"/>
  <c r="AE1016"/>
  <c r="AD1016"/>
  <c r="AC1016"/>
  <c r="AI1015"/>
  <c r="AH1015"/>
  <c r="AG1015"/>
  <c r="AF1015"/>
  <c r="AE1015"/>
  <c r="AD1015"/>
  <c r="AC1015"/>
  <c r="AI1014"/>
  <c r="AH1014"/>
  <c r="AG1014"/>
  <c r="AF1014"/>
  <c r="AE1014"/>
  <c r="AD1014"/>
  <c r="AC1014"/>
  <c r="AI1013"/>
  <c r="AH1013"/>
  <c r="AG1013"/>
  <c r="AF1013"/>
  <c r="AE1013"/>
  <c r="AD1013"/>
  <c r="AC1013"/>
  <c r="AI1012"/>
  <c r="AH1012"/>
  <c r="AG1012"/>
  <c r="AF1012"/>
  <c r="AE1012"/>
  <c r="AD1012"/>
  <c r="AC1012"/>
  <c r="AI1011"/>
  <c r="AH1011"/>
  <c r="AG1011"/>
  <c r="AF1011"/>
  <c r="AE1011"/>
  <c r="AD1011"/>
  <c r="AC1011"/>
  <c r="AI1010"/>
  <c r="AH1010"/>
  <c r="AG1010"/>
  <c r="AF1010"/>
  <c r="AE1010"/>
  <c r="AD1010"/>
  <c r="AC1010"/>
  <c r="AI1009"/>
  <c r="AH1009"/>
  <c r="AG1009"/>
  <c r="AF1009"/>
  <c r="AE1009"/>
  <c r="AD1009"/>
  <c r="AC1009"/>
  <c r="AI1008"/>
  <c r="AH1008"/>
  <c r="AG1008"/>
  <c r="AF1008"/>
  <c r="AE1008"/>
  <c r="AD1008"/>
  <c r="AC1008"/>
  <c r="AI1007"/>
  <c r="AH1007"/>
  <c r="AG1007"/>
  <c r="AF1007"/>
  <c r="AE1007"/>
  <c r="AD1007"/>
  <c r="AC1007"/>
  <c r="AI1006"/>
  <c r="AH1006"/>
  <c r="AG1006"/>
  <c r="AF1006"/>
  <c r="AE1006"/>
  <c r="AD1006"/>
  <c r="AC1006"/>
  <c r="AI1005"/>
  <c r="AH1005"/>
  <c r="AG1005"/>
  <c r="AF1005"/>
  <c r="AE1005"/>
  <c r="AD1005"/>
  <c r="AC1005"/>
  <c r="AI1004"/>
  <c r="AH1004"/>
  <c r="AG1004"/>
  <c r="AF1004"/>
  <c r="AE1004"/>
  <c r="AD1004"/>
  <c r="AC1004"/>
  <c r="AI1003"/>
  <c r="AH1003"/>
  <c r="AG1003"/>
  <c r="AF1003"/>
  <c r="AE1003"/>
  <c r="AD1003"/>
  <c r="AC1003"/>
  <c r="AI1002"/>
  <c r="AH1002"/>
  <c r="AG1002"/>
  <c r="AF1002"/>
  <c r="AE1002"/>
  <c r="AD1002"/>
  <c r="AC1002"/>
  <c r="AI1001"/>
  <c r="AH1001"/>
  <c r="AG1001"/>
  <c r="AF1001"/>
  <c r="AE1001"/>
  <c r="AD1001"/>
  <c r="AC1001"/>
  <c r="AI1000"/>
  <c r="AH1000"/>
  <c r="AG1000"/>
  <c r="AF1000"/>
  <c r="AE1000"/>
  <c r="AD1000"/>
  <c r="AC1000"/>
  <c r="AI999"/>
  <c r="AH999"/>
  <c r="AG999"/>
  <c r="AF999"/>
  <c r="AE999"/>
  <c r="AD999"/>
  <c r="AC999"/>
  <c r="AI998"/>
  <c r="AH998"/>
  <c r="AG998"/>
  <c r="AF998"/>
  <c r="AE998"/>
  <c r="AD998"/>
  <c r="AC998"/>
  <c r="AI997"/>
  <c r="AH997"/>
  <c r="AG997"/>
  <c r="AF997"/>
  <c r="AE997"/>
  <c r="AD997"/>
  <c r="AC997"/>
  <c r="AI996"/>
  <c r="AH996"/>
  <c r="AG996"/>
  <c r="AF996"/>
  <c r="AE996"/>
  <c r="AD996"/>
  <c r="AC996"/>
  <c r="AI995"/>
  <c r="AH995"/>
  <c r="AG995"/>
  <c r="AF995"/>
  <c r="AE995"/>
  <c r="AD995"/>
  <c r="AC995"/>
  <c r="AI994"/>
  <c r="AH994"/>
  <c r="AG994"/>
  <c r="AF994"/>
  <c r="AE994"/>
  <c r="AD994"/>
  <c r="AC994"/>
  <c r="AI993"/>
  <c r="AH993"/>
  <c r="AG993"/>
  <c r="AF993"/>
  <c r="AE993"/>
  <c r="AD993"/>
  <c r="AC993"/>
  <c r="AI992"/>
  <c r="AH992"/>
  <c r="AG992"/>
  <c r="AF992"/>
  <c r="AE992"/>
  <c r="AD992"/>
  <c r="AC992"/>
  <c r="AI991"/>
  <c r="AH991"/>
  <c r="AG991"/>
  <c r="AF991"/>
  <c r="AE991"/>
  <c r="AD991"/>
  <c r="AC991"/>
  <c r="AI990"/>
  <c r="AH990"/>
  <c r="AG990"/>
  <c r="AF990"/>
  <c r="AE990"/>
  <c r="AD990"/>
  <c r="AC990"/>
  <c r="AI989"/>
  <c r="AH989"/>
  <c r="AG989"/>
  <c r="AF989"/>
  <c r="AE989"/>
  <c r="AD989"/>
  <c r="AC989"/>
  <c r="AI988"/>
  <c r="AH988"/>
  <c r="AG988"/>
  <c r="AF988"/>
  <c r="AE988"/>
  <c r="AD988"/>
  <c r="AC988"/>
  <c r="AI987"/>
  <c r="AH987"/>
  <c r="AG987"/>
  <c r="AF987"/>
  <c r="AE987"/>
  <c r="AD987"/>
  <c r="AC987"/>
  <c r="AI986"/>
  <c r="AH986"/>
  <c r="AG986"/>
  <c r="AF986"/>
  <c r="AE986"/>
  <c r="AD986"/>
  <c r="AC986"/>
  <c r="AI985"/>
  <c r="AH985"/>
  <c r="AG985"/>
  <c r="AF985"/>
  <c r="AE985"/>
  <c r="AD985"/>
  <c r="AC985"/>
  <c r="AI984"/>
  <c r="AH984"/>
  <c r="AG984"/>
  <c r="AF984"/>
  <c r="AE984"/>
  <c r="AD984"/>
  <c r="AC984"/>
  <c r="AI983"/>
  <c r="AH983"/>
  <c r="AG983"/>
  <c r="AF983"/>
  <c r="AE983"/>
  <c r="AD983"/>
  <c r="AC983"/>
  <c r="AI982"/>
  <c r="AH982"/>
  <c r="AG982"/>
  <c r="AF982"/>
  <c r="AE982"/>
  <c r="AD982"/>
  <c r="AC982"/>
  <c r="AI981"/>
  <c r="AH981"/>
  <c r="AG981"/>
  <c r="AF981"/>
  <c r="AE981"/>
  <c r="AD981"/>
  <c r="AC981"/>
  <c r="AI980"/>
  <c r="AH980"/>
  <c r="AG980"/>
  <c r="AF980"/>
  <c r="AE980"/>
  <c r="AD980"/>
  <c r="AC980"/>
  <c r="AI979"/>
  <c r="AH979"/>
  <c r="AG979"/>
  <c r="AF979"/>
  <c r="AE979"/>
  <c r="AD979"/>
  <c r="AC979"/>
  <c r="AI978"/>
  <c r="AH978"/>
  <c r="AG978"/>
  <c r="AF978"/>
  <c r="AE978"/>
  <c r="AD978"/>
  <c r="AC978"/>
  <c r="AI977"/>
  <c r="AH977"/>
  <c r="AG977"/>
  <c r="AF977"/>
  <c r="AE977"/>
  <c r="AD977"/>
  <c r="AC977"/>
  <c r="AI976"/>
  <c r="AH976"/>
  <c r="AG976"/>
  <c r="AF976"/>
  <c r="AE976"/>
  <c r="AD976"/>
  <c r="AC976"/>
  <c r="AI975"/>
  <c r="AH975"/>
  <c r="AG975"/>
  <c r="AF975"/>
  <c r="AE975"/>
  <c r="AD975"/>
  <c r="AC975"/>
  <c r="AI974"/>
  <c r="AH974"/>
  <c r="AG974"/>
  <c r="AF974"/>
  <c r="AE974"/>
  <c r="AD974"/>
  <c r="AC974"/>
  <c r="AI973"/>
  <c r="AH973"/>
  <c r="AG973"/>
  <c r="AF973"/>
  <c r="AE973"/>
  <c r="AD973"/>
  <c r="AC973"/>
  <c r="AI972"/>
  <c r="AH972"/>
  <c r="AG972"/>
  <c r="AF972"/>
  <c r="AE972"/>
  <c r="AD972"/>
  <c r="AC972"/>
  <c r="AI971"/>
  <c r="AH971"/>
  <c r="AG971"/>
  <c r="AF971"/>
  <c r="AE971"/>
  <c r="AD971"/>
  <c r="AC971"/>
  <c r="AI970"/>
  <c r="AH970"/>
  <c r="AG970"/>
  <c r="AF970"/>
  <c r="AE970"/>
  <c r="AD970"/>
  <c r="AC970"/>
  <c r="AI969"/>
  <c r="AH969"/>
  <c r="AG969"/>
  <c r="AF969"/>
  <c r="AE969"/>
  <c r="AD969"/>
  <c r="AC969"/>
  <c r="AI968"/>
  <c r="AH968"/>
  <c r="AG968"/>
  <c r="AF968"/>
  <c r="AE968"/>
  <c r="AD968"/>
  <c r="AC968"/>
  <c r="AI967"/>
  <c r="AH967"/>
  <c r="AG967"/>
  <c r="AF967"/>
  <c r="AE967"/>
  <c r="AD967"/>
  <c r="AC967"/>
  <c r="AI966"/>
  <c r="AH966"/>
  <c r="AG966"/>
  <c r="AF966"/>
  <c r="AE966"/>
  <c r="AD966"/>
  <c r="AC966"/>
  <c r="AI965"/>
  <c r="AH965"/>
  <c r="AG965"/>
  <c r="AF965"/>
  <c r="AE965"/>
  <c r="AD965"/>
  <c r="AC965"/>
  <c r="AI964"/>
  <c r="AH964"/>
  <c r="AG964"/>
  <c r="AF964"/>
  <c r="AE964"/>
  <c r="AD964"/>
  <c r="AC964"/>
  <c r="AI963"/>
  <c r="AH963"/>
  <c r="AG963"/>
  <c r="AF963"/>
  <c r="AE963"/>
  <c r="AD963"/>
  <c r="AC963"/>
  <c r="AI962"/>
  <c r="AH962"/>
  <c r="AG962"/>
  <c r="AF962"/>
  <c r="AE962"/>
  <c r="AD962"/>
  <c r="AC962"/>
  <c r="AI961"/>
  <c r="AH961"/>
  <c r="AG961"/>
  <c r="AF961"/>
  <c r="AE961"/>
  <c r="AD961"/>
  <c r="AC961"/>
  <c r="AI960"/>
  <c r="AH960"/>
  <c r="AG960"/>
  <c r="AF960"/>
  <c r="AE960"/>
  <c r="AD960"/>
  <c r="AC960"/>
  <c r="AI959"/>
  <c r="AH959"/>
  <c r="AG959"/>
  <c r="AF959"/>
  <c r="AE959"/>
  <c r="AD959"/>
  <c r="AC959"/>
  <c r="AI958"/>
  <c r="AH958"/>
  <c r="AG958"/>
  <c r="AF958"/>
  <c r="AE958"/>
  <c r="AD958"/>
  <c r="AC958"/>
  <c r="AI957"/>
  <c r="AH957"/>
  <c r="AG957"/>
  <c r="AF957"/>
  <c r="AE957"/>
  <c r="AD957"/>
  <c r="AC957"/>
  <c r="AI956"/>
  <c r="AH956"/>
  <c r="AG956"/>
  <c r="AF956"/>
  <c r="AE956"/>
  <c r="AD956"/>
  <c r="AC956"/>
  <c r="AI955"/>
  <c r="AH955"/>
  <c r="AG955"/>
  <c r="AF955"/>
  <c r="AE955"/>
  <c r="AD955"/>
  <c r="AC955"/>
  <c r="AI954"/>
  <c r="AH954"/>
  <c r="AG954"/>
  <c r="AF954"/>
  <c r="AE954"/>
  <c r="AD954"/>
  <c r="AC954"/>
  <c r="AI953"/>
  <c r="AH953"/>
  <c r="AG953"/>
  <c r="AF953"/>
  <c r="AE953"/>
  <c r="AD953"/>
  <c r="AC953"/>
  <c r="AI952"/>
  <c r="AH952"/>
  <c r="AG952"/>
  <c r="AF952"/>
  <c r="AE952"/>
  <c r="AD952"/>
  <c r="AC952"/>
  <c r="AI951"/>
  <c r="AH951"/>
  <c r="AG951"/>
  <c r="AF951"/>
  <c r="AE951"/>
  <c r="AD951"/>
  <c r="AC951"/>
  <c r="AI950"/>
  <c r="AH950"/>
  <c r="AG950"/>
  <c r="AF950"/>
  <c r="AE950"/>
  <c r="AD950"/>
  <c r="AC950"/>
  <c r="AI949"/>
  <c r="AH949"/>
  <c r="AG949"/>
  <c r="AF949"/>
  <c r="AE949"/>
  <c r="AD949"/>
  <c r="AC949"/>
  <c r="AI948"/>
  <c r="AH948"/>
  <c r="AG948"/>
  <c r="AF948"/>
  <c r="AE948"/>
  <c r="AD948"/>
  <c r="AC948"/>
  <c r="AI947"/>
  <c r="AH947"/>
  <c r="AG947"/>
  <c r="AF947"/>
  <c r="AE947"/>
  <c r="AD947"/>
  <c r="AC947"/>
  <c r="AI946"/>
  <c r="AH946"/>
  <c r="AG946"/>
  <c r="AF946"/>
  <c r="AE946"/>
  <c r="AD946"/>
  <c r="AC946"/>
  <c r="AI945"/>
  <c r="AH945"/>
  <c r="AG945"/>
  <c r="AF945"/>
  <c r="AE945"/>
  <c r="AD945"/>
  <c r="AC945"/>
  <c r="AI944"/>
  <c r="AH944"/>
  <c r="AG944"/>
  <c r="AF944"/>
  <c r="AE944"/>
  <c r="AD944"/>
  <c r="AC944"/>
  <c r="AI943"/>
  <c r="AH943"/>
  <c r="AG943"/>
  <c r="AF943"/>
  <c r="AE943"/>
  <c r="AD943"/>
  <c r="AC943"/>
  <c r="AI942"/>
  <c r="AH942"/>
  <c r="AG942"/>
  <c r="AF942"/>
  <c r="AE942"/>
  <c r="AD942"/>
  <c r="AC942"/>
  <c r="AI941"/>
  <c r="AH941"/>
  <c r="AG941"/>
  <c r="AF941"/>
  <c r="AE941"/>
  <c r="AD941"/>
  <c r="AC941"/>
  <c r="AI940"/>
  <c r="AH940"/>
  <c r="AG940"/>
  <c r="AF940"/>
  <c r="AE940"/>
  <c r="AD940"/>
  <c r="AC940"/>
  <c r="AI939"/>
  <c r="AH939"/>
  <c r="AG939"/>
  <c r="AF939"/>
  <c r="AE939"/>
  <c r="AD939"/>
  <c r="AC939"/>
  <c r="AI938"/>
  <c r="AH938"/>
  <c r="AG938"/>
  <c r="AF938"/>
  <c r="AE938"/>
  <c r="AD938"/>
  <c r="AC938"/>
  <c r="AI937"/>
  <c r="AH937"/>
  <c r="AG937"/>
  <c r="AF937"/>
  <c r="AE937"/>
  <c r="AD937"/>
  <c r="AC937"/>
  <c r="AI936"/>
  <c r="AH936"/>
  <c r="AG936"/>
  <c r="AF936"/>
  <c r="AE936"/>
  <c r="AD936"/>
  <c r="AC936"/>
  <c r="AI935"/>
  <c r="AH935"/>
  <c r="AG935"/>
  <c r="AF935"/>
  <c r="AE935"/>
  <c r="AD935"/>
  <c r="AC935"/>
  <c r="AI934"/>
  <c r="AH934"/>
  <c r="AG934"/>
  <c r="AF934"/>
  <c r="AE934"/>
  <c r="AD934"/>
  <c r="AC934"/>
  <c r="AI933"/>
  <c r="AH933"/>
  <c r="AG933"/>
  <c r="AF933"/>
  <c r="AE933"/>
  <c r="AD933"/>
  <c r="AC933"/>
  <c r="AI932"/>
  <c r="AH932"/>
  <c r="AG932"/>
  <c r="AF932"/>
  <c r="AE932"/>
  <c r="AD932"/>
  <c r="AC932"/>
  <c r="AI931"/>
  <c r="AH931"/>
  <c r="AG931"/>
  <c r="AF931"/>
  <c r="AE931"/>
  <c r="AD931"/>
  <c r="AC931"/>
  <c r="AI930"/>
  <c r="AH930"/>
  <c r="AG930"/>
  <c r="AF930"/>
  <c r="AE930"/>
  <c r="AD930"/>
  <c r="AC930"/>
  <c r="AI929"/>
  <c r="AH929"/>
  <c r="AG929"/>
  <c r="AF929"/>
  <c r="AE929"/>
  <c r="AD929"/>
  <c r="AC929"/>
  <c r="AI928"/>
  <c r="AH928"/>
  <c r="AG928"/>
  <c r="AF928"/>
  <c r="AE928"/>
  <c r="AD928"/>
  <c r="AC928"/>
  <c r="AI927"/>
  <c r="AH927"/>
  <c r="AG927"/>
  <c r="AF927"/>
  <c r="AE927"/>
  <c r="AD927"/>
  <c r="AC927"/>
  <c r="AI926"/>
  <c r="AH926"/>
  <c r="AG926"/>
  <c r="AF926"/>
  <c r="AE926"/>
  <c r="AD926"/>
  <c r="AC926"/>
  <c r="AI925"/>
  <c r="AH925"/>
  <c r="AG925"/>
  <c r="AF925"/>
  <c r="AE925"/>
  <c r="AD925"/>
  <c r="AC925"/>
  <c r="AI924"/>
  <c r="AH924"/>
  <c r="AG924"/>
  <c r="AF924"/>
  <c r="AE924"/>
  <c r="AD924"/>
  <c r="AC924"/>
  <c r="AI923"/>
  <c r="AH923"/>
  <c r="AG923"/>
  <c r="AF923"/>
  <c r="AE923"/>
  <c r="AD923"/>
  <c r="AC923"/>
  <c r="AI922"/>
  <c r="AH922"/>
  <c r="AG922"/>
  <c r="AF922"/>
  <c r="AE922"/>
  <c r="AD922"/>
  <c r="AC922"/>
  <c r="AI921"/>
  <c r="AH921"/>
  <c r="AG921"/>
  <c r="AF921"/>
  <c r="AE921"/>
  <c r="AD921"/>
  <c r="AC921"/>
  <c r="AI920"/>
  <c r="AH920"/>
  <c r="AG920"/>
  <c r="AF920"/>
  <c r="AE920"/>
  <c r="AD920"/>
  <c r="AC920"/>
  <c r="AI919"/>
  <c r="AH919"/>
  <c r="AG919"/>
  <c r="AF919"/>
  <c r="AE919"/>
  <c r="AD919"/>
  <c r="AC919"/>
  <c r="AI918"/>
  <c r="AH918"/>
  <c r="AG918"/>
  <c r="AF918"/>
  <c r="AE918"/>
  <c r="AD918"/>
  <c r="AC918"/>
  <c r="AI917"/>
  <c r="AH917"/>
  <c r="AG917"/>
  <c r="AF917"/>
  <c r="AE917"/>
  <c r="AD917"/>
  <c r="AC917"/>
  <c r="AI916"/>
  <c r="AH916"/>
  <c r="AG916"/>
  <c r="AF916"/>
  <c r="AE916"/>
  <c r="AD916"/>
  <c r="AC916"/>
  <c r="AI915"/>
  <c r="AH915"/>
  <c r="AG915"/>
  <c r="AF915"/>
  <c r="AE915"/>
  <c r="AD915"/>
  <c r="AC915"/>
  <c r="AI914"/>
  <c r="AH914"/>
  <c r="AG914"/>
  <c r="AF914"/>
  <c r="AE914"/>
  <c r="AD914"/>
  <c r="AC914"/>
  <c r="AI913"/>
  <c r="AH913"/>
  <c r="AG913"/>
  <c r="AF913"/>
  <c r="AE913"/>
  <c r="AD913"/>
  <c r="AC913"/>
  <c r="AI912"/>
  <c r="AH912"/>
  <c r="AG912"/>
  <c r="AF912"/>
  <c r="AE912"/>
  <c r="AD912"/>
  <c r="AC912"/>
  <c r="AI911"/>
  <c r="AH911"/>
  <c r="AG911"/>
  <c r="AF911"/>
  <c r="AE911"/>
  <c r="AD911"/>
  <c r="AC911"/>
  <c r="AI910"/>
  <c r="AH910"/>
  <c r="AG910"/>
  <c r="AF910"/>
  <c r="AE910"/>
  <c r="AD910"/>
  <c r="AC910"/>
  <c r="AI909"/>
  <c r="AH909"/>
  <c r="AG909"/>
  <c r="AF909"/>
  <c r="AE909"/>
  <c r="AD909"/>
  <c r="AC909"/>
  <c r="AI908"/>
  <c r="AH908"/>
  <c r="AG908"/>
  <c r="AF908"/>
  <c r="AE908"/>
  <c r="AD908"/>
  <c r="AC908"/>
  <c r="AI907"/>
  <c r="AH907"/>
  <c r="AG907"/>
  <c r="AF907"/>
  <c r="AE907"/>
  <c r="AD907"/>
  <c r="AC907"/>
  <c r="AI906"/>
  <c r="AH906"/>
  <c r="AG906"/>
  <c r="AF906"/>
  <c r="AE906"/>
  <c r="AD906"/>
  <c r="AC906"/>
  <c r="AI905"/>
  <c r="AH905"/>
  <c r="AG905"/>
  <c r="AF905"/>
  <c r="AE905"/>
  <c r="AD905"/>
  <c r="AC905"/>
  <c r="AI904"/>
  <c r="AH904"/>
  <c r="AG904"/>
  <c r="AF904"/>
  <c r="AE904"/>
  <c r="AD904"/>
  <c r="AC904"/>
  <c r="AI903"/>
  <c r="AH903"/>
  <c r="AG903"/>
  <c r="AF903"/>
  <c r="AE903"/>
  <c r="AD903"/>
  <c r="AC903"/>
  <c r="AI902"/>
  <c r="AH902"/>
  <c r="AG902"/>
  <c r="AF902"/>
  <c r="AE902"/>
  <c r="AD902"/>
  <c r="AC902"/>
  <c r="AI901"/>
  <c r="AH901"/>
  <c r="AG901"/>
  <c r="AF901"/>
  <c r="AE901"/>
  <c r="AD901"/>
  <c r="AC901"/>
  <c r="AI900"/>
  <c r="AH900"/>
  <c r="AG900"/>
  <c r="AF900"/>
  <c r="AE900"/>
  <c r="AD900"/>
  <c r="AC900"/>
  <c r="AI899"/>
  <c r="AH899"/>
  <c r="AG899"/>
  <c r="AF899"/>
  <c r="AE899"/>
  <c r="AD899"/>
  <c r="AC899"/>
  <c r="AI898"/>
  <c r="AH898"/>
  <c r="AG898"/>
  <c r="AF898"/>
  <c r="AE898"/>
  <c r="AD898"/>
  <c r="AC898"/>
  <c r="AI897"/>
  <c r="AH897"/>
  <c r="AG897"/>
  <c r="AF897"/>
  <c r="AE897"/>
  <c r="AD897"/>
  <c r="AC897"/>
  <c r="AI896"/>
  <c r="AH896"/>
  <c r="AG896"/>
  <c r="AF896"/>
  <c r="AE896"/>
  <c r="AD896"/>
  <c r="AC896"/>
  <c r="AI895"/>
  <c r="AH895"/>
  <c r="AG895"/>
  <c r="AF895"/>
  <c r="AE895"/>
  <c r="AD895"/>
  <c r="AC895"/>
  <c r="AI894"/>
  <c r="AH894"/>
  <c r="AG894"/>
  <c r="AF894"/>
  <c r="AE894"/>
  <c r="AD894"/>
  <c r="AC894"/>
  <c r="AI893"/>
  <c r="AH893"/>
  <c r="AG893"/>
  <c r="AF893"/>
  <c r="AE893"/>
  <c r="AD893"/>
  <c r="AC893"/>
  <c r="AI892"/>
  <c r="AH892"/>
  <c r="AG892"/>
  <c r="AF892"/>
  <c r="AE892"/>
  <c r="AD892"/>
  <c r="AC892"/>
  <c r="AI891"/>
  <c r="AH891"/>
  <c r="AG891"/>
  <c r="AF891"/>
  <c r="AE891"/>
  <c r="AD891"/>
  <c r="AC891"/>
  <c r="AI890"/>
  <c r="AH890"/>
  <c r="AG890"/>
  <c r="AF890"/>
  <c r="AE890"/>
  <c r="AD890"/>
  <c r="AC890"/>
  <c r="AI889"/>
  <c r="AH889"/>
  <c r="AG889"/>
  <c r="AF889"/>
  <c r="AE889"/>
  <c r="AD889"/>
  <c r="AC889"/>
  <c r="AI888"/>
  <c r="AH888"/>
  <c r="AG888"/>
  <c r="AF888"/>
  <c r="AE888"/>
  <c r="AD888"/>
  <c r="AC888"/>
  <c r="AI887"/>
  <c r="AH887"/>
  <c r="AG887"/>
  <c r="AF887"/>
  <c r="AE887"/>
  <c r="AD887"/>
  <c r="AC887"/>
  <c r="AI886"/>
  <c r="AH886"/>
  <c r="AG886"/>
  <c r="AF886"/>
  <c r="AE886"/>
  <c r="AD886"/>
  <c r="AC886"/>
  <c r="AI885"/>
  <c r="AH885"/>
  <c r="AG885"/>
  <c r="AF885"/>
  <c r="AE885"/>
  <c r="AD885"/>
  <c r="AC885"/>
  <c r="AI884"/>
  <c r="AH884"/>
  <c r="AG884"/>
  <c r="AF884"/>
  <c r="AE884"/>
  <c r="AD884"/>
  <c r="AC884"/>
  <c r="AI883"/>
  <c r="AH883"/>
  <c r="AG883"/>
  <c r="AF883"/>
  <c r="AE883"/>
  <c r="AD883"/>
  <c r="AC883"/>
  <c r="AI882"/>
  <c r="AH882"/>
  <c r="AG882"/>
  <c r="AF882"/>
  <c r="AE882"/>
  <c r="AD882"/>
  <c r="AC882"/>
  <c r="AI881"/>
  <c r="AH881"/>
  <c r="AG881"/>
  <c r="AF881"/>
  <c r="AE881"/>
  <c r="AD881"/>
  <c r="AC881"/>
  <c r="AI880"/>
  <c r="AH880"/>
  <c r="AG880"/>
  <c r="AF880"/>
  <c r="AE880"/>
  <c r="AD880"/>
  <c r="AC880"/>
  <c r="AI879"/>
  <c r="AH879"/>
  <c r="AG879"/>
  <c r="AF879"/>
  <c r="AE879"/>
  <c r="AD879"/>
  <c r="AC879"/>
  <c r="AI878"/>
  <c r="AH878"/>
  <c r="AG878"/>
  <c r="AF878"/>
  <c r="AE878"/>
  <c r="AD878"/>
  <c r="AC878"/>
  <c r="AI877"/>
  <c r="AH877"/>
  <c r="AG877"/>
  <c r="AF877"/>
  <c r="AE877"/>
  <c r="AD877"/>
  <c r="AC877"/>
  <c r="AI876"/>
  <c r="AH876"/>
  <c r="AG876"/>
  <c r="AF876"/>
  <c r="AE876"/>
  <c r="AD876"/>
  <c r="AC876"/>
  <c r="AI875"/>
  <c r="AH875"/>
  <c r="AG875"/>
  <c r="AF875"/>
  <c r="AE875"/>
  <c r="AD875"/>
  <c r="AC875"/>
  <c r="AI874"/>
  <c r="AH874"/>
  <c r="AG874"/>
  <c r="AF874"/>
  <c r="AE874"/>
  <c r="AD874"/>
  <c r="AC874"/>
  <c r="AI873"/>
  <c r="AH873"/>
  <c r="AG873"/>
  <c r="AF873"/>
  <c r="AE873"/>
  <c r="AD873"/>
  <c r="AC873"/>
  <c r="AI872"/>
  <c r="AH872"/>
  <c r="AG872"/>
  <c r="AF872"/>
  <c r="AE872"/>
  <c r="AD872"/>
  <c r="AC872"/>
  <c r="AI871"/>
  <c r="AH871"/>
  <c r="AG871"/>
  <c r="AF871"/>
  <c r="AE871"/>
  <c r="AD871"/>
  <c r="AC871"/>
  <c r="AI870"/>
  <c r="AH870"/>
  <c r="AG870"/>
  <c r="AF870"/>
  <c r="AE870"/>
  <c r="AD870"/>
  <c r="AC870"/>
  <c r="AI869"/>
  <c r="AH869"/>
  <c r="AG869"/>
  <c r="AF869"/>
  <c r="AE869"/>
  <c r="AD869"/>
  <c r="AC869"/>
  <c r="AI868"/>
  <c r="AH868"/>
  <c r="AG868"/>
  <c r="AF868"/>
  <c r="AE868"/>
  <c r="AD868"/>
  <c r="AC868"/>
  <c r="AI867"/>
  <c r="AH867"/>
  <c r="AG867"/>
  <c r="AF867"/>
  <c r="AE867"/>
  <c r="AD867"/>
  <c r="AC867"/>
  <c r="AI866"/>
  <c r="AH866"/>
  <c r="AG866"/>
  <c r="AF866"/>
  <c r="AE866"/>
  <c r="AD866"/>
  <c r="AC866"/>
  <c r="AI865"/>
  <c r="AH865"/>
  <c r="AG865"/>
  <c r="AF865"/>
  <c r="AE865"/>
  <c r="AD865"/>
  <c r="AC865"/>
  <c r="AI864"/>
  <c r="AH864"/>
  <c r="AG864"/>
  <c r="AF864"/>
  <c r="AE864"/>
  <c r="AD864"/>
  <c r="AC864"/>
  <c r="AI863"/>
  <c r="AH863"/>
  <c r="AG863"/>
  <c r="AF863"/>
  <c r="AE863"/>
  <c r="AD863"/>
  <c r="AC863"/>
  <c r="AI862"/>
  <c r="AH862"/>
  <c r="AG862"/>
  <c r="AF862"/>
  <c r="AE862"/>
  <c r="AD862"/>
  <c r="AC862"/>
  <c r="AI861"/>
  <c r="AH861"/>
  <c r="AG861"/>
  <c r="AF861"/>
  <c r="AE861"/>
  <c r="AD861"/>
  <c r="AC861"/>
  <c r="AI860"/>
  <c r="AH860"/>
  <c r="AG860"/>
  <c r="AF860"/>
  <c r="AE860"/>
  <c r="AD860"/>
  <c r="AC860"/>
  <c r="AI859"/>
  <c r="AH859"/>
  <c r="AG859"/>
  <c r="AF859"/>
  <c r="AE859"/>
  <c r="AD859"/>
  <c r="AC859"/>
  <c r="AI858"/>
  <c r="AH858"/>
  <c r="AG858"/>
  <c r="AF858"/>
  <c r="AE858"/>
  <c r="AD858"/>
  <c r="AC858"/>
  <c r="AI857"/>
  <c r="AH857"/>
  <c r="AG857"/>
  <c r="AF857"/>
  <c r="AE857"/>
  <c r="AD857"/>
  <c r="AC857"/>
  <c r="AI856"/>
  <c r="AH856"/>
  <c r="AG856"/>
  <c r="AF856"/>
  <c r="AE856"/>
  <c r="AD856"/>
  <c r="AC856"/>
  <c r="AI855"/>
  <c r="AH855"/>
  <c r="AG855"/>
  <c r="AF855"/>
  <c r="AE855"/>
  <c r="AD855"/>
  <c r="AC855"/>
  <c r="AI854"/>
  <c r="AH854"/>
  <c r="AG854"/>
  <c r="AF854"/>
  <c r="AE854"/>
  <c r="AD854"/>
  <c r="AC854"/>
  <c r="AI853"/>
  <c r="AH853"/>
  <c r="AG853"/>
  <c r="AF853"/>
  <c r="AE853"/>
  <c r="AD853"/>
  <c r="AC853"/>
  <c r="AI852"/>
  <c r="AH852"/>
  <c r="AG852"/>
  <c r="AF852"/>
  <c r="AE852"/>
  <c r="AD852"/>
  <c r="AC852"/>
  <c r="AI851"/>
  <c r="AH851"/>
  <c r="AG851"/>
  <c r="AF851"/>
  <c r="AE851"/>
  <c r="AD851"/>
  <c r="AC851"/>
  <c r="AI850"/>
  <c r="AH850"/>
  <c r="AG850"/>
  <c r="AF850"/>
  <c r="AE850"/>
  <c r="AD850"/>
  <c r="AC850"/>
  <c r="AI849"/>
  <c r="AH849"/>
  <c r="AG849"/>
  <c r="AF849"/>
  <c r="AE849"/>
  <c r="AD849"/>
  <c r="AC849"/>
  <c r="AI848"/>
  <c r="AH848"/>
  <c r="AG848"/>
  <c r="AF848"/>
  <c r="AE848"/>
  <c r="AD848"/>
  <c r="AC848"/>
  <c r="AI847"/>
  <c r="AH847"/>
  <c r="AG847"/>
  <c r="AF847"/>
  <c r="AE847"/>
  <c r="AD847"/>
  <c r="AC847"/>
  <c r="AI846"/>
  <c r="AH846"/>
  <c r="AG846"/>
  <c r="AF846"/>
  <c r="AE846"/>
  <c r="AD846"/>
  <c r="AC846"/>
  <c r="AI845"/>
  <c r="AH845"/>
  <c r="AG845"/>
  <c r="AF845"/>
  <c r="AE845"/>
  <c r="AD845"/>
  <c r="AC845"/>
  <c r="AI844"/>
  <c r="AH844"/>
  <c r="AG844"/>
  <c r="AF844"/>
  <c r="AE844"/>
  <c r="AD844"/>
  <c r="AC844"/>
  <c r="AI843"/>
  <c r="AH843"/>
  <c r="AG843"/>
  <c r="AF843"/>
  <c r="AE843"/>
  <c r="AD843"/>
  <c r="AC843"/>
  <c r="AI842"/>
  <c r="AH842"/>
  <c r="AG842"/>
  <c r="AF842"/>
  <c r="AE842"/>
  <c r="AD842"/>
  <c r="AC842"/>
  <c r="AI841"/>
  <c r="AH841"/>
  <c r="AG841"/>
  <c r="AF841"/>
  <c r="AE841"/>
  <c r="AD841"/>
  <c r="AC841"/>
  <c r="AI840"/>
  <c r="AH840"/>
  <c r="AG840"/>
  <c r="AF840"/>
  <c r="AE840"/>
  <c r="AD840"/>
  <c r="AC840"/>
  <c r="AI839"/>
  <c r="AH839"/>
  <c r="AG839"/>
  <c r="AF839"/>
  <c r="AE839"/>
  <c r="AD839"/>
  <c r="AC839"/>
  <c r="AI838"/>
  <c r="AH838"/>
  <c r="AG838"/>
  <c r="AF838"/>
  <c r="AE838"/>
  <c r="AD838"/>
  <c r="AC838"/>
  <c r="AI837"/>
  <c r="AH837"/>
  <c r="AG837"/>
  <c r="AF837"/>
  <c r="AE837"/>
  <c r="AD837"/>
  <c r="AC837"/>
  <c r="AI836"/>
  <c r="AH836"/>
  <c r="AG836"/>
  <c r="AF836"/>
  <c r="AE836"/>
  <c r="AD836"/>
  <c r="AC836"/>
  <c r="AI835"/>
  <c r="AH835"/>
  <c r="AG835"/>
  <c r="AF835"/>
  <c r="AE835"/>
  <c r="AD835"/>
  <c r="AC835"/>
  <c r="AI834"/>
  <c r="AH834"/>
  <c r="AG834"/>
  <c r="AF834"/>
  <c r="AE834"/>
  <c r="AD834"/>
  <c r="AC834"/>
  <c r="AI833"/>
  <c r="AH833"/>
  <c r="AG833"/>
  <c r="AF833"/>
  <c r="AE833"/>
  <c r="AD833"/>
  <c r="AC833"/>
  <c r="AI832"/>
  <c r="AH832"/>
  <c r="AG832"/>
  <c r="AF832"/>
  <c r="AE832"/>
  <c r="AD832"/>
  <c r="AC832"/>
  <c r="AI831"/>
  <c r="AH831"/>
  <c r="AG831"/>
  <c r="AF831"/>
  <c r="AE831"/>
  <c r="AD831"/>
  <c r="AC831"/>
  <c r="AI830"/>
  <c r="AH830"/>
  <c r="AG830"/>
  <c r="AF830"/>
  <c r="AE830"/>
  <c r="AD830"/>
  <c r="AC830"/>
  <c r="AI829"/>
  <c r="AH829"/>
  <c r="AG829"/>
  <c r="AF829"/>
  <c r="AE829"/>
  <c r="AD829"/>
  <c r="AC829"/>
  <c r="AI828"/>
  <c r="AH828"/>
  <c r="AG828"/>
  <c r="AF828"/>
  <c r="AE828"/>
  <c r="AD828"/>
  <c r="AC828"/>
  <c r="AI827"/>
  <c r="AH827"/>
  <c r="AG827"/>
  <c r="AF827"/>
  <c r="AE827"/>
  <c r="AD827"/>
  <c r="AC827"/>
  <c r="AI826"/>
  <c r="AH826"/>
  <c r="AG826"/>
  <c r="AF826"/>
  <c r="AE826"/>
  <c r="AD826"/>
  <c r="AC826"/>
  <c r="AI825"/>
  <c r="AH825"/>
  <c r="AG825"/>
  <c r="AF825"/>
  <c r="AE825"/>
  <c r="AD825"/>
  <c r="AC825"/>
  <c r="AI824"/>
  <c r="AH824"/>
  <c r="AG824"/>
  <c r="AF824"/>
  <c r="AE824"/>
  <c r="AD824"/>
  <c r="AC824"/>
  <c r="AI823"/>
  <c r="AH823"/>
  <c r="AG823"/>
  <c r="AF823"/>
  <c r="AE823"/>
  <c r="AD823"/>
  <c r="AC823"/>
  <c r="AI822"/>
  <c r="AH822"/>
  <c r="AG822"/>
  <c r="AF822"/>
  <c r="AE822"/>
  <c r="AD822"/>
  <c r="AC822"/>
  <c r="AI821"/>
  <c r="AH821"/>
  <c r="AG821"/>
  <c r="AF821"/>
  <c r="AE821"/>
  <c r="AD821"/>
  <c r="AC821"/>
  <c r="AI820"/>
  <c r="AH820"/>
  <c r="AG820"/>
  <c r="AF820"/>
  <c r="AE820"/>
  <c r="AD820"/>
  <c r="AC820"/>
  <c r="AI819"/>
  <c r="AH819"/>
  <c r="AG819"/>
  <c r="AF819"/>
  <c r="AE819"/>
  <c r="AD819"/>
  <c r="AC819"/>
  <c r="AI818"/>
  <c r="AH818"/>
  <c r="AG818"/>
  <c r="AF818"/>
  <c r="AE818"/>
  <c r="AD818"/>
  <c r="AC818"/>
  <c r="AI817"/>
  <c r="AH817"/>
  <c r="AG817"/>
  <c r="AF817"/>
  <c r="AE817"/>
  <c r="AD817"/>
  <c r="AC817"/>
  <c r="AI816"/>
  <c r="AH816"/>
  <c r="AG816"/>
  <c r="AF816"/>
  <c r="AE816"/>
  <c r="AD816"/>
  <c r="AC816"/>
  <c r="AI815"/>
  <c r="AH815"/>
  <c r="AG815"/>
  <c r="AF815"/>
  <c r="AE815"/>
  <c r="AD815"/>
  <c r="AC815"/>
  <c r="AI814"/>
  <c r="AH814"/>
  <c r="AG814"/>
  <c r="AF814"/>
  <c r="AE814"/>
  <c r="AD814"/>
  <c r="AC814"/>
  <c r="AI813"/>
  <c r="AH813"/>
  <c r="AG813"/>
  <c r="AF813"/>
  <c r="AE813"/>
  <c r="AD813"/>
  <c r="AC813"/>
  <c r="AI812"/>
  <c r="AH812"/>
  <c r="AG812"/>
  <c r="AF812"/>
  <c r="AE812"/>
  <c r="AD812"/>
  <c r="AC812"/>
  <c r="AI811"/>
  <c r="AH811"/>
  <c r="AG811"/>
  <c r="AF811"/>
  <c r="AE811"/>
  <c r="AD811"/>
  <c r="AC811"/>
  <c r="AI810"/>
  <c r="AH810"/>
  <c r="AG810"/>
  <c r="AF810"/>
  <c r="AE810"/>
  <c r="AD810"/>
  <c r="AC810"/>
  <c r="AI809"/>
  <c r="AH809"/>
  <c r="AG809"/>
  <c r="AF809"/>
  <c r="AE809"/>
  <c r="AD809"/>
  <c r="AC809"/>
  <c r="AI808"/>
  <c r="AH808"/>
  <c r="AG808"/>
  <c r="AF808"/>
  <c r="AE808"/>
  <c r="AD808"/>
  <c r="AC808"/>
  <c r="AI807"/>
  <c r="AH807"/>
  <c r="AG807"/>
  <c r="AF807"/>
  <c r="AE807"/>
  <c r="AD807"/>
  <c r="AC807"/>
  <c r="AI806"/>
  <c r="AH806"/>
  <c r="AG806"/>
  <c r="AF806"/>
  <c r="AE806"/>
  <c r="AD806"/>
  <c r="AC806"/>
  <c r="AI805"/>
  <c r="AH805"/>
  <c r="AG805"/>
  <c r="AF805"/>
  <c r="AE805"/>
  <c r="AD805"/>
  <c r="AC805"/>
  <c r="AI804"/>
  <c r="AH804"/>
  <c r="AG804"/>
  <c r="AF804"/>
  <c r="AE804"/>
  <c r="AD804"/>
  <c r="AC804"/>
  <c r="AI803"/>
  <c r="AH803"/>
  <c r="AG803"/>
  <c r="AF803"/>
  <c r="AE803"/>
  <c r="AD803"/>
  <c r="AC803"/>
  <c r="AI802"/>
  <c r="AH802"/>
  <c r="AG802"/>
  <c r="AF802"/>
  <c r="AE802"/>
  <c r="AD802"/>
  <c r="AC802"/>
  <c r="AI801"/>
  <c r="AH801"/>
  <c r="AG801"/>
  <c r="AF801"/>
  <c r="AE801"/>
  <c r="AD801"/>
  <c r="AC801"/>
  <c r="AI800"/>
  <c r="AH800"/>
  <c r="AG800"/>
  <c r="AF800"/>
  <c r="AE800"/>
  <c r="AD800"/>
  <c r="AC800"/>
  <c r="AI799"/>
  <c r="AH799"/>
  <c r="AG799"/>
  <c r="AF799"/>
  <c r="AE799"/>
  <c r="AD799"/>
  <c r="AC799"/>
  <c r="AI798"/>
  <c r="AH798"/>
  <c r="AG798"/>
  <c r="AF798"/>
  <c r="AE798"/>
  <c r="AD798"/>
  <c r="AC798"/>
  <c r="AI797"/>
  <c r="AH797"/>
  <c r="AG797"/>
  <c r="AF797"/>
  <c r="AE797"/>
  <c r="AD797"/>
  <c r="AC797"/>
  <c r="AI796"/>
  <c r="AH796"/>
  <c r="AG796"/>
  <c r="AF796"/>
  <c r="AE796"/>
  <c r="AD796"/>
  <c r="AC796"/>
  <c r="AI795"/>
  <c r="AH795"/>
  <c r="AG795"/>
  <c r="AF795"/>
  <c r="AE795"/>
  <c r="AD795"/>
  <c r="AC795"/>
  <c r="AI794"/>
  <c r="AH794"/>
  <c r="AG794"/>
  <c r="AF794"/>
  <c r="AE794"/>
  <c r="AD794"/>
  <c r="AC794"/>
  <c r="AI793"/>
  <c r="AH793"/>
  <c r="AG793"/>
  <c r="AF793"/>
  <c r="AE793"/>
  <c r="AD793"/>
  <c r="AC793"/>
  <c r="AI792"/>
  <c r="AH792"/>
  <c r="AG792"/>
  <c r="AF792"/>
  <c r="AE792"/>
  <c r="AD792"/>
  <c r="AC792"/>
  <c r="AI791"/>
  <c r="AH791"/>
  <c r="AG791"/>
  <c r="AF791"/>
  <c r="AE791"/>
  <c r="AD791"/>
  <c r="AC791"/>
  <c r="AI790"/>
  <c r="AH790"/>
  <c r="AG790"/>
  <c r="AF790"/>
  <c r="AE790"/>
  <c r="AD790"/>
  <c r="AC790"/>
  <c r="AI789"/>
  <c r="AH789"/>
  <c r="AG789"/>
  <c r="AF789"/>
  <c r="AE789"/>
  <c r="AD789"/>
  <c r="AC789"/>
  <c r="AI788"/>
  <c r="AH788"/>
  <c r="AG788"/>
  <c r="AF788"/>
  <c r="AE788"/>
  <c r="AD788"/>
  <c r="AC788"/>
  <c r="AI787"/>
  <c r="AH787"/>
  <c r="AG787"/>
  <c r="AF787"/>
  <c r="AE787"/>
  <c r="AD787"/>
  <c r="AC787"/>
  <c r="AI786"/>
  <c r="AH786"/>
  <c r="AG786"/>
  <c r="AF786"/>
  <c r="AE786"/>
  <c r="AD786"/>
  <c r="AC786"/>
  <c r="AI785"/>
  <c r="AH785"/>
  <c r="AG785"/>
  <c r="AF785"/>
  <c r="AE785"/>
  <c r="AD785"/>
  <c r="AC785"/>
  <c r="AI784"/>
  <c r="AH784"/>
  <c r="AG784"/>
  <c r="AF784"/>
  <c r="AE784"/>
  <c r="AD784"/>
  <c r="AC784"/>
  <c r="AI783"/>
  <c r="AH783"/>
  <c r="AG783"/>
  <c r="AF783"/>
  <c r="AE783"/>
  <c r="AD783"/>
  <c r="AC783"/>
  <c r="AI782"/>
  <c r="AH782"/>
  <c r="AG782"/>
  <c r="AF782"/>
  <c r="AE782"/>
  <c r="AD782"/>
  <c r="AC782"/>
  <c r="AI781"/>
  <c r="AH781"/>
  <c r="AG781"/>
  <c r="AF781"/>
  <c r="AE781"/>
  <c r="AD781"/>
  <c r="AC781"/>
  <c r="AI780"/>
  <c r="AH780"/>
  <c r="AG780"/>
  <c r="AF780"/>
  <c r="AE780"/>
  <c r="AD780"/>
  <c r="AC780"/>
  <c r="AI779"/>
  <c r="AH779"/>
  <c r="AG779"/>
  <c r="AF779"/>
  <c r="AE779"/>
  <c r="AD779"/>
  <c r="AC779"/>
  <c r="AI778"/>
  <c r="AH778"/>
  <c r="AG778"/>
  <c r="AF778"/>
  <c r="AE778"/>
  <c r="AD778"/>
  <c r="AC778"/>
  <c r="AI777"/>
  <c r="AH777"/>
  <c r="AG777"/>
  <c r="AF777"/>
  <c r="AE777"/>
  <c r="AD777"/>
  <c r="AC777"/>
  <c r="AI776"/>
  <c r="AH776"/>
  <c r="AG776"/>
  <c r="AF776"/>
  <c r="AE776"/>
  <c r="AD776"/>
  <c r="AC776"/>
  <c r="AI775"/>
  <c r="AH775"/>
  <c r="AG775"/>
  <c r="AF775"/>
  <c r="AE775"/>
  <c r="AD775"/>
  <c r="AC775"/>
  <c r="AI774"/>
  <c r="AH774"/>
  <c r="AG774"/>
  <c r="AF774"/>
  <c r="AE774"/>
  <c r="AD774"/>
  <c r="AC774"/>
  <c r="AI773"/>
  <c r="AH773"/>
  <c r="AG773"/>
  <c r="AF773"/>
  <c r="AE773"/>
  <c r="AD773"/>
  <c r="AC773"/>
  <c r="AI772"/>
  <c r="AH772"/>
  <c r="AG772"/>
  <c r="AF772"/>
  <c r="AE772"/>
  <c r="AD772"/>
  <c r="AC772"/>
  <c r="AI771"/>
  <c r="AH771"/>
  <c r="AG771"/>
  <c r="AF771"/>
  <c r="AE771"/>
  <c r="AD771"/>
  <c r="AC771"/>
  <c r="AI770"/>
  <c r="AH770"/>
  <c r="AG770"/>
  <c r="AF770"/>
  <c r="AE770"/>
  <c r="AD770"/>
  <c r="AC770"/>
  <c r="AI769"/>
  <c r="AH769"/>
  <c r="AG769"/>
  <c r="AF769"/>
  <c r="AE769"/>
  <c r="AD769"/>
  <c r="AC769"/>
  <c r="AI768"/>
  <c r="AH768"/>
  <c r="AG768"/>
  <c r="AF768"/>
  <c r="AE768"/>
  <c r="AD768"/>
  <c r="AC768"/>
  <c r="AI767"/>
  <c r="AH767"/>
  <c r="AG767"/>
  <c r="AF767"/>
  <c r="AE767"/>
  <c r="AD767"/>
  <c r="AC767"/>
  <c r="AI766"/>
  <c r="AH766"/>
  <c r="AG766"/>
  <c r="AF766"/>
  <c r="AE766"/>
  <c r="AD766"/>
  <c r="AC766"/>
  <c r="AI765"/>
  <c r="AH765"/>
  <c r="AG765"/>
  <c r="AF765"/>
  <c r="AE765"/>
  <c r="AD765"/>
  <c r="AC765"/>
  <c r="AI764"/>
  <c r="AH764"/>
  <c r="AG764"/>
  <c r="AF764"/>
  <c r="AE764"/>
  <c r="AD764"/>
  <c r="AC764"/>
  <c r="AI763"/>
  <c r="AH763"/>
  <c r="AG763"/>
  <c r="AF763"/>
  <c r="AE763"/>
  <c r="AD763"/>
  <c r="AC763"/>
  <c r="AI762"/>
  <c r="AH762"/>
  <c r="AG762"/>
  <c r="AF762"/>
  <c r="AE762"/>
  <c r="AD762"/>
  <c r="AC762"/>
  <c r="AI761"/>
  <c r="AH761"/>
  <c r="AG761"/>
  <c r="AF761"/>
  <c r="AE761"/>
  <c r="AD761"/>
  <c r="AC761"/>
  <c r="AI760"/>
  <c r="AH760"/>
  <c r="AG760"/>
  <c r="AF760"/>
  <c r="AE760"/>
  <c r="AD760"/>
  <c r="AC760"/>
  <c r="AI759"/>
  <c r="AH759"/>
  <c r="AG759"/>
  <c r="AF759"/>
  <c r="AE759"/>
  <c r="AD759"/>
  <c r="AC759"/>
  <c r="AI758"/>
  <c r="AH758"/>
  <c r="AG758"/>
  <c r="AF758"/>
  <c r="AE758"/>
  <c r="AD758"/>
  <c r="AC758"/>
  <c r="AI757"/>
  <c r="AH757"/>
  <c r="AG757"/>
  <c r="AF757"/>
  <c r="AE757"/>
  <c r="AD757"/>
  <c r="AC757"/>
  <c r="AI756"/>
  <c r="AH756"/>
  <c r="AG756"/>
  <c r="AF756"/>
  <c r="AE756"/>
  <c r="AD756"/>
  <c r="AC756"/>
  <c r="AI755"/>
  <c r="AH755"/>
  <c r="AG755"/>
  <c r="AF755"/>
  <c r="AE755"/>
  <c r="AD755"/>
  <c r="AC755"/>
  <c r="AI754"/>
  <c r="AH754"/>
  <c r="AG754"/>
  <c r="AF754"/>
  <c r="AE754"/>
  <c r="AD754"/>
  <c r="AC754"/>
  <c r="AI753"/>
  <c r="AH753"/>
  <c r="AG753"/>
  <c r="AF753"/>
  <c r="AE753"/>
  <c r="AD753"/>
  <c r="AC753"/>
  <c r="AI752"/>
  <c r="AH752"/>
  <c r="AG752"/>
  <c r="AF752"/>
  <c r="AE752"/>
  <c r="AD752"/>
  <c r="AC752"/>
  <c r="AI751"/>
  <c r="AH751"/>
  <c r="AG751"/>
  <c r="AF751"/>
  <c r="AE751"/>
  <c r="AD751"/>
  <c r="AC751"/>
  <c r="AI750"/>
  <c r="AH750"/>
  <c r="AG750"/>
  <c r="AF750"/>
  <c r="AE750"/>
  <c r="AD750"/>
  <c r="AC750"/>
  <c r="AI749"/>
  <c r="AH749"/>
  <c r="AG749"/>
  <c r="AF749"/>
  <c r="AE749"/>
  <c r="AD749"/>
  <c r="AC749"/>
  <c r="AI748"/>
  <c r="AH748"/>
  <c r="AG748"/>
  <c r="AF748"/>
  <c r="AE748"/>
  <c r="AD748"/>
  <c r="AC748"/>
  <c r="AI747"/>
  <c r="AH747"/>
  <c r="AG747"/>
  <c r="AF747"/>
  <c r="AE747"/>
  <c r="AD747"/>
  <c r="AC747"/>
  <c r="AI746"/>
  <c r="AH746"/>
  <c r="AG746"/>
  <c r="AF746"/>
  <c r="AE746"/>
  <c r="AD746"/>
  <c r="AC746"/>
  <c r="AI745"/>
  <c r="AH745"/>
  <c r="AG745"/>
  <c r="AF745"/>
  <c r="AE745"/>
  <c r="AD745"/>
  <c r="AC745"/>
  <c r="AI744"/>
  <c r="AH744"/>
  <c r="AG744"/>
  <c r="AF744"/>
  <c r="AE744"/>
  <c r="AD744"/>
  <c r="AC744"/>
  <c r="AI743"/>
  <c r="AH743"/>
  <c r="AG743"/>
  <c r="AF743"/>
  <c r="AE743"/>
  <c r="AD743"/>
  <c r="AC743"/>
  <c r="AI742"/>
  <c r="AH742"/>
  <c r="AG742"/>
  <c r="AF742"/>
  <c r="AE742"/>
  <c r="AD742"/>
  <c r="AC742"/>
  <c r="AI741"/>
  <c r="AH741"/>
  <c r="AG741"/>
  <c r="AF741"/>
  <c r="AE741"/>
  <c r="AD741"/>
  <c r="AC741"/>
  <c r="AI740"/>
  <c r="AH740"/>
  <c r="AG740"/>
  <c r="AF740"/>
  <c r="AE740"/>
  <c r="AD740"/>
  <c r="AC740"/>
  <c r="AI739"/>
  <c r="AH739"/>
  <c r="AG739"/>
  <c r="AF739"/>
  <c r="AE739"/>
  <c r="AD739"/>
  <c r="AC739"/>
  <c r="AI738"/>
  <c r="AH738"/>
  <c r="AG738"/>
  <c r="AF738"/>
  <c r="AE738"/>
  <c r="AD738"/>
  <c r="AC738"/>
  <c r="AI737"/>
  <c r="AH737"/>
  <c r="AG737"/>
  <c r="AF737"/>
  <c r="AE737"/>
  <c r="AD737"/>
  <c r="AC737"/>
  <c r="AI736"/>
  <c r="AH736"/>
  <c r="AG736"/>
  <c r="AF736"/>
  <c r="AE736"/>
  <c r="AD736"/>
  <c r="AC736"/>
  <c r="AI735"/>
  <c r="AH735"/>
  <c r="AG735"/>
  <c r="AF735"/>
  <c r="AE735"/>
  <c r="AD735"/>
  <c r="AC735"/>
  <c r="AI734"/>
  <c r="AH734"/>
  <c r="AG734"/>
  <c r="AF734"/>
  <c r="AE734"/>
  <c r="AD734"/>
  <c r="AC734"/>
  <c r="AI733"/>
  <c r="AH733"/>
  <c r="AG733"/>
  <c r="AF733"/>
  <c r="AE733"/>
  <c r="AD733"/>
  <c r="AC733"/>
  <c r="AI732"/>
  <c r="AH732"/>
  <c r="AG732"/>
  <c r="AF732"/>
  <c r="AE732"/>
  <c r="AD732"/>
  <c r="AC732"/>
  <c r="AI731"/>
  <c r="AH731"/>
  <c r="AG731"/>
  <c r="AF731"/>
  <c r="AE731"/>
  <c r="AD731"/>
  <c r="AC731"/>
  <c r="AI730"/>
  <c r="AH730"/>
  <c r="AG730"/>
  <c r="AF730"/>
  <c r="AE730"/>
  <c r="AD730"/>
  <c r="AC730"/>
  <c r="AI729"/>
  <c r="AH729"/>
  <c r="AG729"/>
  <c r="AF729"/>
  <c r="AE729"/>
  <c r="AD729"/>
  <c r="AC729"/>
  <c r="AI728"/>
  <c r="AH728"/>
  <c r="AG728"/>
  <c r="AF728"/>
  <c r="AE728"/>
  <c r="AD728"/>
  <c r="AC728"/>
  <c r="AI727"/>
  <c r="AH727"/>
  <c r="AG727"/>
  <c r="AF727"/>
  <c r="AE727"/>
  <c r="AD727"/>
  <c r="AC727"/>
  <c r="AI726"/>
  <c r="AH726"/>
  <c r="AG726"/>
  <c r="AF726"/>
  <c r="AE726"/>
  <c r="AD726"/>
  <c r="AC726"/>
  <c r="AI725"/>
  <c r="AH725"/>
  <c r="AG725"/>
  <c r="AF725"/>
  <c r="AE725"/>
  <c r="AD725"/>
  <c r="AC725"/>
  <c r="AI724"/>
  <c r="AH724"/>
  <c r="AG724"/>
  <c r="AF724"/>
  <c r="AE724"/>
  <c r="AD724"/>
  <c r="AC724"/>
  <c r="AI723"/>
  <c r="AH723"/>
  <c r="AG723"/>
  <c r="AF723"/>
  <c r="AE723"/>
  <c r="AD723"/>
  <c r="AC723"/>
  <c r="AI722"/>
  <c r="AH722"/>
  <c r="AG722"/>
  <c r="AF722"/>
  <c r="AE722"/>
  <c r="AD722"/>
  <c r="AC722"/>
  <c r="AI721"/>
  <c r="AH721"/>
  <c r="AG721"/>
  <c r="AF721"/>
  <c r="AE721"/>
  <c r="AD721"/>
  <c r="AC721"/>
  <c r="AI720"/>
  <c r="AH720"/>
  <c r="AG720"/>
  <c r="AF720"/>
  <c r="AE720"/>
  <c r="AD720"/>
  <c r="AC720"/>
  <c r="AI719"/>
  <c r="AH719"/>
  <c r="AG719"/>
  <c r="AF719"/>
  <c r="AE719"/>
  <c r="AD719"/>
  <c r="AC719"/>
  <c r="AI718"/>
  <c r="AH718"/>
  <c r="AG718"/>
  <c r="AF718"/>
  <c r="AE718"/>
  <c r="AD718"/>
  <c r="AC718"/>
  <c r="AI717"/>
  <c r="AH717"/>
  <c r="AG717"/>
  <c r="AF717"/>
  <c r="AE717"/>
  <c r="AD717"/>
  <c r="AC717"/>
  <c r="AI716"/>
  <c r="AH716"/>
  <c r="AG716"/>
  <c r="AF716"/>
  <c r="AE716"/>
  <c r="AD716"/>
  <c r="AC716"/>
  <c r="AI715"/>
  <c r="AH715"/>
  <c r="AG715"/>
  <c r="AF715"/>
  <c r="AE715"/>
  <c r="AD715"/>
  <c r="AC715"/>
  <c r="AI714"/>
  <c r="AH714"/>
  <c r="AG714"/>
  <c r="AF714"/>
  <c r="AE714"/>
  <c r="AD714"/>
  <c r="AC714"/>
  <c r="AI713"/>
  <c r="AH713"/>
  <c r="AG713"/>
  <c r="AF713"/>
  <c r="AE713"/>
  <c r="AD713"/>
  <c r="AC713"/>
  <c r="AI712"/>
  <c r="AH712"/>
  <c r="AG712"/>
  <c r="AF712"/>
  <c r="AE712"/>
  <c r="AD712"/>
  <c r="AC712"/>
  <c r="AI711"/>
  <c r="AH711"/>
  <c r="AG711"/>
  <c r="AF711"/>
  <c r="AE711"/>
  <c r="AD711"/>
  <c r="AC711"/>
  <c r="AI710"/>
  <c r="AH710"/>
  <c r="AG710"/>
  <c r="AF710"/>
  <c r="AE710"/>
  <c r="AD710"/>
  <c r="AC710"/>
  <c r="AI709"/>
  <c r="AH709"/>
  <c r="AG709"/>
  <c r="AF709"/>
  <c r="AE709"/>
  <c r="AD709"/>
  <c r="AC709"/>
  <c r="AI708"/>
  <c r="AH708"/>
  <c r="AG708"/>
  <c r="AF708"/>
  <c r="AE708"/>
  <c r="AD708"/>
  <c r="AC708"/>
  <c r="AI707"/>
  <c r="AH707"/>
  <c r="AG707"/>
  <c r="AF707"/>
  <c r="AE707"/>
  <c r="AD707"/>
  <c r="AC707"/>
  <c r="AI706"/>
  <c r="AH706"/>
  <c r="AG706"/>
  <c r="AF706"/>
  <c r="AE706"/>
  <c r="AD706"/>
  <c r="AC706"/>
  <c r="AI705"/>
  <c r="AH705"/>
  <c r="AG705"/>
  <c r="AF705"/>
  <c r="AE705"/>
  <c r="AD705"/>
  <c r="AC705"/>
  <c r="AI704"/>
  <c r="AH704"/>
  <c r="AG704"/>
  <c r="AF704"/>
  <c r="AE704"/>
  <c r="AD704"/>
  <c r="AC704"/>
  <c r="AI703"/>
  <c r="AH703"/>
  <c r="AG703"/>
  <c r="AF703"/>
  <c r="AE703"/>
  <c r="AD703"/>
  <c r="AC703"/>
  <c r="AI702"/>
  <c r="AH702"/>
  <c r="AG702"/>
  <c r="AF702"/>
  <c r="AE702"/>
  <c r="AD702"/>
  <c r="AC702"/>
  <c r="AI701"/>
  <c r="AH701"/>
  <c r="AG701"/>
  <c r="AF701"/>
  <c r="AE701"/>
  <c r="AD701"/>
  <c r="AC701"/>
  <c r="AI700"/>
  <c r="AH700"/>
  <c r="AG700"/>
  <c r="AF700"/>
  <c r="AE700"/>
  <c r="AD700"/>
  <c r="AC700"/>
  <c r="AI699"/>
  <c r="AH699"/>
  <c r="AG699"/>
  <c r="AF699"/>
  <c r="AE699"/>
  <c r="AD699"/>
  <c r="AC699"/>
  <c r="AI698"/>
  <c r="AH698"/>
  <c r="AG698"/>
  <c r="AF698"/>
  <c r="AE698"/>
  <c r="AD698"/>
  <c r="AC698"/>
  <c r="AI697"/>
  <c r="AH697"/>
  <c r="AG697"/>
  <c r="AF697"/>
  <c r="AE697"/>
  <c r="AD697"/>
  <c r="AC697"/>
  <c r="AI696"/>
  <c r="AH696"/>
  <c r="AG696"/>
  <c r="AF696"/>
  <c r="AE696"/>
  <c r="AD696"/>
  <c r="AC696"/>
  <c r="AI695"/>
  <c r="AH695"/>
  <c r="AG695"/>
  <c r="AF695"/>
  <c r="AE695"/>
  <c r="AD695"/>
  <c r="AC695"/>
  <c r="AI694"/>
  <c r="AH694"/>
  <c r="AG694"/>
  <c r="AF694"/>
  <c r="AE694"/>
  <c r="AD694"/>
  <c r="AC694"/>
  <c r="AI693"/>
  <c r="AH693"/>
  <c r="AG693"/>
  <c r="AF693"/>
  <c r="AE693"/>
  <c r="AD693"/>
  <c r="AC693"/>
  <c r="AI692"/>
  <c r="AH692"/>
  <c r="AG692"/>
  <c r="AF692"/>
  <c r="AE692"/>
  <c r="AD692"/>
  <c r="AC692"/>
  <c r="AI691"/>
  <c r="AH691"/>
  <c r="AG691"/>
  <c r="AF691"/>
  <c r="AE691"/>
  <c r="AD691"/>
  <c r="AC691"/>
  <c r="AI690"/>
  <c r="AH690"/>
  <c r="AG690"/>
  <c r="AF690"/>
  <c r="AE690"/>
  <c r="AD690"/>
  <c r="AC690"/>
  <c r="AI689"/>
  <c r="AH689"/>
  <c r="AG689"/>
  <c r="AF689"/>
  <c r="AE689"/>
  <c r="AD689"/>
  <c r="AC689"/>
  <c r="AI688"/>
  <c r="AH688"/>
  <c r="AG688"/>
  <c r="AF688"/>
  <c r="AE688"/>
  <c r="AD688"/>
  <c r="AC688"/>
  <c r="AI687"/>
  <c r="AH687"/>
  <c r="AG687"/>
  <c r="AF687"/>
  <c r="AE687"/>
  <c r="AD687"/>
  <c r="AC687"/>
  <c r="AI686"/>
  <c r="AH686"/>
  <c r="AG686"/>
  <c r="AF686"/>
  <c r="AE686"/>
  <c r="AD686"/>
  <c r="AC686"/>
  <c r="AI685"/>
  <c r="AH685"/>
  <c r="AG685"/>
  <c r="AF685"/>
  <c r="AE685"/>
  <c r="AD685"/>
  <c r="AC685"/>
  <c r="AI684"/>
  <c r="AH684"/>
  <c r="AG684"/>
  <c r="AF684"/>
  <c r="AE684"/>
  <c r="AD684"/>
  <c r="AC684"/>
  <c r="AI683"/>
  <c r="AH683"/>
  <c r="AG683"/>
  <c r="AF683"/>
  <c r="AE683"/>
  <c r="AD683"/>
  <c r="AC683"/>
  <c r="AI682"/>
  <c r="AH682"/>
  <c r="AG682"/>
  <c r="AF682"/>
  <c r="AE682"/>
  <c r="AD682"/>
  <c r="AC682"/>
  <c r="AI681"/>
  <c r="AH681"/>
  <c r="AG681"/>
  <c r="AF681"/>
  <c r="AE681"/>
  <c r="AD681"/>
  <c r="AC681"/>
  <c r="AI680"/>
  <c r="AH680"/>
  <c r="AG680"/>
  <c r="AF680"/>
  <c r="AE680"/>
  <c r="AD680"/>
  <c r="AC680"/>
  <c r="AI679"/>
  <c r="AH679"/>
  <c r="AG679"/>
  <c r="AF679"/>
  <c r="AE679"/>
  <c r="AD679"/>
  <c r="AC679"/>
  <c r="AI678"/>
  <c r="AH678"/>
  <c r="AG678"/>
  <c r="AF678"/>
  <c r="AE678"/>
  <c r="AD678"/>
  <c r="AC678"/>
  <c r="AI677"/>
  <c r="AH677"/>
  <c r="AG677"/>
  <c r="AF677"/>
  <c r="AE677"/>
  <c r="AD677"/>
  <c r="AC677"/>
  <c r="AI676"/>
  <c r="AH676"/>
  <c r="AG676"/>
  <c r="AF676"/>
  <c r="AE676"/>
  <c r="AD676"/>
  <c r="AC676"/>
  <c r="AI675"/>
  <c r="AH675"/>
  <c r="AG675"/>
  <c r="AF675"/>
  <c r="AE675"/>
  <c r="AD675"/>
  <c r="AC675"/>
  <c r="AI674"/>
  <c r="AH674"/>
  <c r="AG674"/>
  <c r="AF674"/>
  <c r="AE674"/>
  <c r="AD674"/>
  <c r="AC674"/>
  <c r="AI673"/>
  <c r="AH673"/>
  <c r="AG673"/>
  <c r="AF673"/>
  <c r="AE673"/>
  <c r="AD673"/>
  <c r="AC673"/>
  <c r="AI672"/>
  <c r="AH672"/>
  <c r="AG672"/>
  <c r="AF672"/>
  <c r="AE672"/>
  <c r="AD672"/>
  <c r="AC672"/>
  <c r="AI671"/>
  <c r="AH671"/>
  <c r="AG671"/>
  <c r="AF671"/>
  <c r="AE671"/>
  <c r="AD671"/>
  <c r="AC671"/>
  <c r="AI670"/>
  <c r="AH670"/>
  <c r="AG670"/>
  <c r="AF670"/>
  <c r="AE670"/>
  <c r="AD670"/>
  <c r="AC670"/>
  <c r="AI669"/>
  <c r="AH669"/>
  <c r="AG669"/>
  <c r="AF669"/>
  <c r="AE669"/>
  <c r="AD669"/>
  <c r="AC669"/>
  <c r="AI668"/>
  <c r="AH668"/>
  <c r="AG668"/>
  <c r="AF668"/>
  <c r="AE668"/>
  <c r="AD668"/>
  <c r="AC668"/>
  <c r="AI667"/>
  <c r="AH667"/>
  <c r="AG667"/>
  <c r="AF667"/>
  <c r="AE667"/>
  <c r="AD667"/>
  <c r="AC667"/>
  <c r="AI666"/>
  <c r="AH666"/>
  <c r="AG666"/>
  <c r="AF666"/>
  <c r="AE666"/>
  <c r="AD666"/>
  <c r="AC666"/>
  <c r="AI665"/>
  <c r="AH665"/>
  <c r="AG665"/>
  <c r="AF665"/>
  <c r="AE665"/>
  <c r="AD665"/>
  <c r="AC665"/>
  <c r="AI664"/>
  <c r="AH664"/>
  <c r="AG664"/>
  <c r="AF664"/>
  <c r="AE664"/>
  <c r="AD664"/>
  <c r="AC664"/>
  <c r="AI663"/>
  <c r="AH663"/>
  <c r="AG663"/>
  <c r="AF663"/>
  <c r="AE663"/>
  <c r="AD663"/>
  <c r="AC663"/>
  <c r="AI662"/>
  <c r="AH662"/>
  <c r="AG662"/>
  <c r="AF662"/>
  <c r="AE662"/>
  <c r="AD662"/>
  <c r="AC662"/>
  <c r="AI661"/>
  <c r="AH661"/>
  <c r="AG661"/>
  <c r="AF661"/>
  <c r="AE661"/>
  <c r="AD661"/>
  <c r="AC661"/>
  <c r="AI660"/>
  <c r="AH660"/>
  <c r="AG660"/>
  <c r="AF660"/>
  <c r="AE660"/>
  <c r="AD660"/>
  <c r="AC660"/>
  <c r="AI659"/>
  <c r="AH659"/>
  <c r="AG659"/>
  <c r="AF659"/>
  <c r="AE659"/>
  <c r="AD659"/>
  <c r="AC659"/>
  <c r="AI658"/>
  <c r="AH658"/>
  <c r="AG658"/>
  <c r="AF658"/>
  <c r="AE658"/>
  <c r="AD658"/>
  <c r="AC658"/>
  <c r="AI657"/>
  <c r="AH657"/>
  <c r="AG657"/>
  <c r="AF657"/>
  <c r="AE657"/>
  <c r="AD657"/>
  <c r="AC657"/>
  <c r="AI656"/>
  <c r="AH656"/>
  <c r="AG656"/>
  <c r="AF656"/>
  <c r="AE656"/>
  <c r="AD656"/>
  <c r="AC656"/>
  <c r="AI655"/>
  <c r="AH655"/>
  <c r="AG655"/>
  <c r="AF655"/>
  <c r="AE655"/>
  <c r="AD655"/>
  <c r="AC655"/>
  <c r="AI654"/>
  <c r="AH654"/>
  <c r="AG654"/>
  <c r="AF654"/>
  <c r="AE654"/>
  <c r="AD654"/>
  <c r="AC654"/>
  <c r="AI653"/>
  <c r="AH653"/>
  <c r="AG653"/>
  <c r="AF653"/>
  <c r="AE653"/>
  <c r="AD653"/>
  <c r="AC653"/>
  <c r="AI652"/>
  <c r="AH652"/>
  <c r="AG652"/>
  <c r="AF652"/>
  <c r="AE652"/>
  <c r="AD652"/>
  <c r="AC652"/>
  <c r="AI651"/>
  <c r="AH651"/>
  <c r="AG651"/>
  <c r="AF651"/>
  <c r="AE651"/>
  <c r="AD651"/>
  <c r="AC651"/>
  <c r="AI650"/>
  <c r="AH650"/>
  <c r="AG650"/>
  <c r="AF650"/>
  <c r="AE650"/>
  <c r="AD650"/>
  <c r="AC650"/>
  <c r="AI649"/>
  <c r="AH649"/>
  <c r="AG649"/>
  <c r="AF649"/>
  <c r="AE649"/>
  <c r="AD649"/>
  <c r="AC649"/>
  <c r="AI648"/>
  <c r="AH648"/>
  <c r="AG648"/>
  <c r="AF648"/>
  <c r="AE648"/>
  <c r="AD648"/>
  <c r="AC648"/>
  <c r="AI647"/>
  <c r="AH647"/>
  <c r="AG647"/>
  <c r="AF647"/>
  <c r="AE647"/>
  <c r="AD647"/>
  <c r="AC647"/>
  <c r="AI646"/>
  <c r="AH646"/>
  <c r="AG646"/>
  <c r="AF646"/>
  <c r="AE646"/>
  <c r="AD646"/>
  <c r="AC646"/>
  <c r="AI645"/>
  <c r="AH645"/>
  <c r="AG645"/>
  <c r="AF645"/>
  <c r="AE645"/>
  <c r="AD645"/>
  <c r="AC645"/>
  <c r="AI644"/>
  <c r="AH644"/>
  <c r="AG644"/>
  <c r="AF644"/>
  <c r="AE644"/>
  <c r="AD644"/>
  <c r="AC644"/>
  <c r="AI643"/>
  <c r="AH643"/>
  <c r="AG643"/>
  <c r="AF643"/>
  <c r="AE643"/>
  <c r="AD643"/>
  <c r="AC643"/>
  <c r="AI642"/>
  <c r="AH642"/>
  <c r="AG642"/>
  <c r="AF642"/>
  <c r="AE642"/>
  <c r="AD642"/>
  <c r="AC642"/>
  <c r="AI641"/>
  <c r="AH641"/>
  <c r="AG641"/>
  <c r="AF641"/>
  <c r="AE641"/>
  <c r="AD641"/>
  <c r="AC641"/>
  <c r="AI640"/>
  <c r="AH640"/>
  <c r="AG640"/>
  <c r="AF640"/>
  <c r="AE640"/>
  <c r="AD640"/>
  <c r="AC640"/>
  <c r="AI639"/>
  <c r="AH639"/>
  <c r="AG639"/>
  <c r="AF639"/>
  <c r="AE639"/>
  <c r="AD639"/>
  <c r="AC639"/>
  <c r="AI638"/>
  <c r="AH638"/>
  <c r="AG638"/>
  <c r="AF638"/>
  <c r="AE638"/>
  <c r="AD638"/>
  <c r="AC638"/>
  <c r="AI637"/>
  <c r="AH637"/>
  <c r="AG637"/>
  <c r="AF637"/>
  <c r="AE637"/>
  <c r="AD637"/>
  <c r="AC637"/>
  <c r="AI636"/>
  <c r="AH636"/>
  <c r="AG636"/>
  <c r="AF636"/>
  <c r="AE636"/>
  <c r="AD636"/>
  <c r="AC636"/>
  <c r="AI635"/>
  <c r="AH635"/>
  <c r="AG635"/>
  <c r="AF635"/>
  <c r="AE635"/>
  <c r="AD635"/>
  <c r="AC635"/>
  <c r="AI634"/>
  <c r="AH634"/>
  <c r="AG634"/>
  <c r="AF634"/>
  <c r="AE634"/>
  <c r="AD634"/>
  <c r="AC634"/>
  <c r="AI633"/>
  <c r="AH633"/>
  <c r="AG633"/>
  <c r="AF633"/>
  <c r="AE633"/>
  <c r="AD633"/>
  <c r="AC633"/>
  <c r="AI632"/>
  <c r="AH632"/>
  <c r="AG632"/>
  <c r="AF632"/>
  <c r="AE632"/>
  <c r="AD632"/>
  <c r="AC632"/>
  <c r="AI631"/>
  <c r="AH631"/>
  <c r="AG631"/>
  <c r="AF631"/>
  <c r="AE631"/>
  <c r="AD631"/>
  <c r="AC631"/>
  <c r="AI630"/>
  <c r="AH630"/>
  <c r="AG630"/>
  <c r="AF630"/>
  <c r="AE630"/>
  <c r="AD630"/>
  <c r="AC630"/>
  <c r="AI629"/>
  <c r="AH629"/>
  <c r="AG629"/>
  <c r="AF629"/>
  <c r="AE629"/>
  <c r="AD629"/>
  <c r="AC629"/>
  <c r="AI628"/>
  <c r="AH628"/>
  <c r="AG628"/>
  <c r="AF628"/>
  <c r="AE628"/>
  <c r="AD628"/>
  <c r="AC628"/>
  <c r="AI627"/>
  <c r="AH627"/>
  <c r="AG627"/>
  <c r="AF627"/>
  <c r="AE627"/>
  <c r="AD627"/>
  <c r="AC627"/>
  <c r="AI626"/>
  <c r="AH626"/>
  <c r="AG626"/>
  <c r="AF626"/>
  <c r="AE626"/>
  <c r="AD626"/>
  <c r="AC626"/>
  <c r="AI625"/>
  <c r="AH625"/>
  <c r="AG625"/>
  <c r="AF625"/>
  <c r="AE625"/>
  <c r="AD625"/>
  <c r="AC625"/>
  <c r="AI624"/>
  <c r="AH624"/>
  <c r="AG624"/>
  <c r="AF624"/>
  <c r="AE624"/>
  <c r="AD624"/>
  <c r="AC624"/>
  <c r="AI623"/>
  <c r="AH623"/>
  <c r="AG623"/>
  <c r="AF623"/>
  <c r="AE623"/>
  <c r="AD623"/>
  <c r="AC623"/>
  <c r="AI622"/>
  <c r="AH622"/>
  <c r="AG622"/>
  <c r="AF622"/>
  <c r="AE622"/>
  <c r="AD622"/>
  <c r="AC622"/>
  <c r="AI621"/>
  <c r="AH621"/>
  <c r="AG621"/>
  <c r="AF621"/>
  <c r="AE621"/>
  <c r="AD621"/>
  <c r="AC621"/>
  <c r="AI620"/>
  <c r="AH620"/>
  <c r="AG620"/>
  <c r="AF620"/>
  <c r="AE620"/>
  <c r="AD620"/>
  <c r="AC620"/>
  <c r="AI619"/>
  <c r="AH619"/>
  <c r="AG619"/>
  <c r="AF619"/>
  <c r="AE619"/>
  <c r="AD619"/>
  <c r="AC619"/>
  <c r="AI618"/>
  <c r="AH618"/>
  <c r="AG618"/>
  <c r="AF618"/>
  <c r="AE618"/>
  <c r="AD618"/>
  <c r="AC618"/>
  <c r="AI617"/>
  <c r="AH617"/>
  <c r="AG617"/>
  <c r="AF617"/>
  <c r="AE617"/>
  <c r="AD617"/>
  <c r="AC617"/>
  <c r="AI616"/>
  <c r="AH616"/>
  <c r="AG616"/>
  <c r="AF616"/>
  <c r="AE616"/>
  <c r="AD616"/>
  <c r="AC616"/>
  <c r="AI615"/>
  <c r="AH615"/>
  <c r="AG615"/>
  <c r="AF615"/>
  <c r="AE615"/>
  <c r="AD615"/>
  <c r="AC615"/>
  <c r="AI614"/>
  <c r="AH614"/>
  <c r="AG614"/>
  <c r="AF614"/>
  <c r="AE614"/>
  <c r="AD614"/>
  <c r="AC614"/>
  <c r="AI613"/>
  <c r="AH613"/>
  <c r="AG613"/>
  <c r="AF613"/>
  <c r="AE613"/>
  <c r="AD613"/>
  <c r="AC613"/>
  <c r="AI612"/>
  <c r="AH612"/>
  <c r="AG612"/>
  <c r="AF612"/>
  <c r="AE612"/>
  <c r="AD612"/>
  <c r="AC612"/>
  <c r="AI611"/>
  <c r="AH611"/>
  <c r="AG611"/>
  <c r="AF611"/>
  <c r="AE611"/>
  <c r="AD611"/>
  <c r="AC611"/>
  <c r="AI610"/>
  <c r="AH610"/>
  <c r="AG610"/>
  <c r="AF610"/>
  <c r="AE610"/>
  <c r="AD610"/>
  <c r="AC610"/>
  <c r="AI609"/>
  <c r="AH609"/>
  <c r="AG609"/>
  <c r="AF609"/>
  <c r="AE609"/>
  <c r="AD609"/>
  <c r="AC609"/>
  <c r="AI608"/>
  <c r="AH608"/>
  <c r="AG608"/>
  <c r="AF608"/>
  <c r="AE608"/>
  <c r="AD608"/>
  <c r="AC608"/>
  <c r="AI607"/>
  <c r="AH607"/>
  <c r="AG607"/>
  <c r="AF607"/>
  <c r="AE607"/>
  <c r="AD607"/>
  <c r="AC607"/>
  <c r="AI606"/>
  <c r="AH606"/>
  <c r="AG606"/>
  <c r="AF606"/>
  <c r="AE606"/>
  <c r="AD606"/>
  <c r="AC606"/>
  <c r="AI605"/>
  <c r="AH605"/>
  <c r="AG605"/>
  <c r="AF605"/>
  <c r="AE605"/>
  <c r="AD605"/>
  <c r="AC605"/>
  <c r="AI604"/>
  <c r="AH604"/>
  <c r="AG604"/>
  <c r="AF604"/>
  <c r="AE604"/>
  <c r="AD604"/>
  <c r="AC604"/>
  <c r="AI603"/>
  <c r="AH603"/>
  <c r="AG603"/>
  <c r="AF603"/>
  <c r="AE603"/>
  <c r="AD603"/>
  <c r="AC603"/>
  <c r="AI602"/>
  <c r="AH602"/>
  <c r="AG602"/>
  <c r="AF602"/>
  <c r="AE602"/>
  <c r="AD602"/>
  <c r="AC602"/>
  <c r="AI601"/>
  <c r="AH601"/>
  <c r="AG601"/>
  <c r="AF601"/>
  <c r="AE601"/>
  <c r="AD601"/>
  <c r="AC601"/>
  <c r="AI600"/>
  <c r="AH600"/>
  <c r="AG600"/>
  <c r="AF600"/>
  <c r="AE600"/>
  <c r="AD600"/>
  <c r="AC600"/>
  <c r="AI599"/>
  <c r="AH599"/>
  <c r="AG599"/>
  <c r="AF599"/>
  <c r="AE599"/>
  <c r="AD599"/>
  <c r="AC599"/>
  <c r="AI598"/>
  <c r="AH598"/>
  <c r="AG598"/>
  <c r="AF598"/>
  <c r="AE598"/>
  <c r="AD598"/>
  <c r="AC598"/>
  <c r="AI597"/>
  <c r="AH597"/>
  <c r="AG597"/>
  <c r="AF597"/>
  <c r="AE597"/>
  <c r="AD597"/>
  <c r="AC597"/>
  <c r="AI596"/>
  <c r="AH596"/>
  <c r="AG596"/>
  <c r="AF596"/>
  <c r="AE596"/>
  <c r="AD596"/>
  <c r="AC596"/>
  <c r="AI595"/>
  <c r="AH595"/>
  <c r="AG595"/>
  <c r="AF595"/>
  <c r="AE595"/>
  <c r="AD595"/>
  <c r="AC595"/>
  <c r="AI594"/>
  <c r="AH594"/>
  <c r="AG594"/>
  <c r="AF594"/>
  <c r="AE594"/>
  <c r="AD594"/>
  <c r="AC594"/>
  <c r="AI593"/>
  <c r="AH593"/>
  <c r="AG593"/>
  <c r="AF593"/>
  <c r="AE593"/>
  <c r="AD593"/>
  <c r="AC593"/>
  <c r="AI592"/>
  <c r="AH592"/>
  <c r="AG592"/>
  <c r="AF592"/>
  <c r="AE592"/>
  <c r="AD592"/>
  <c r="AC592"/>
  <c r="AI591"/>
  <c r="AH591"/>
  <c r="AG591"/>
  <c r="AF591"/>
  <c r="AE591"/>
  <c r="AD591"/>
  <c r="AC591"/>
  <c r="AI590"/>
  <c r="AH590"/>
  <c r="AG590"/>
  <c r="AF590"/>
  <c r="AE590"/>
  <c r="AD590"/>
  <c r="AC590"/>
  <c r="AI589"/>
  <c r="AH589"/>
  <c r="AG589"/>
  <c r="AF589"/>
  <c r="AE589"/>
  <c r="AD589"/>
  <c r="AC589"/>
  <c r="AI588"/>
  <c r="AH588"/>
  <c r="AG588"/>
  <c r="AF588"/>
  <c r="AE588"/>
  <c r="AD588"/>
  <c r="AC588"/>
  <c r="AI587"/>
  <c r="AH587"/>
  <c r="AG587"/>
  <c r="AF587"/>
  <c r="AE587"/>
  <c r="AD587"/>
  <c r="AC587"/>
  <c r="AI586"/>
  <c r="AH586"/>
  <c r="AG586"/>
  <c r="AF586"/>
  <c r="AE586"/>
  <c r="AD586"/>
  <c r="AC586"/>
  <c r="AI585"/>
  <c r="AH585"/>
  <c r="AG585"/>
  <c r="AF585"/>
  <c r="AE585"/>
  <c r="AD585"/>
  <c r="AC585"/>
  <c r="AI584"/>
  <c r="AH584"/>
  <c r="AG584"/>
  <c r="AF584"/>
  <c r="AE584"/>
  <c r="AD584"/>
  <c r="AC584"/>
  <c r="AI583"/>
  <c r="AH583"/>
  <c r="AG583"/>
  <c r="AF583"/>
  <c r="AE583"/>
  <c r="AD583"/>
  <c r="AC583"/>
  <c r="AI582"/>
  <c r="AH582"/>
  <c r="AG582"/>
  <c r="AF582"/>
  <c r="AE582"/>
  <c r="AD582"/>
  <c r="AC582"/>
  <c r="AI581"/>
  <c r="AH581"/>
  <c r="AG581"/>
  <c r="AF581"/>
  <c r="AE581"/>
  <c r="AD581"/>
  <c r="AC581"/>
  <c r="AI580"/>
  <c r="AH580"/>
  <c r="AG580"/>
  <c r="AF580"/>
  <c r="AE580"/>
  <c r="AD580"/>
  <c r="AC580"/>
  <c r="AI579"/>
  <c r="AH579"/>
  <c r="AG579"/>
  <c r="AF579"/>
  <c r="AE579"/>
  <c r="AD579"/>
  <c r="AC579"/>
  <c r="AI578"/>
  <c r="AH578"/>
  <c r="AG578"/>
  <c r="AF578"/>
  <c r="AE578"/>
  <c r="AD578"/>
  <c r="AC578"/>
  <c r="AI577"/>
  <c r="AH577"/>
  <c r="AG577"/>
  <c r="AF577"/>
  <c r="AE577"/>
  <c r="AD577"/>
  <c r="AC577"/>
  <c r="AI576"/>
  <c r="AH576"/>
  <c r="AG576"/>
  <c r="AF576"/>
  <c r="AE576"/>
  <c r="AD576"/>
  <c r="AC576"/>
  <c r="AI575"/>
  <c r="AH575"/>
  <c r="AG575"/>
  <c r="AF575"/>
  <c r="AE575"/>
  <c r="AD575"/>
  <c r="AC575"/>
  <c r="AI574"/>
  <c r="AH574"/>
  <c r="AG574"/>
  <c r="AF574"/>
  <c r="AE574"/>
  <c r="AD574"/>
  <c r="AC574"/>
  <c r="AI573"/>
  <c r="AH573"/>
  <c r="AG573"/>
  <c r="AF573"/>
  <c r="AE573"/>
  <c r="AD573"/>
  <c r="AC573"/>
  <c r="AI572"/>
  <c r="AH572"/>
  <c r="AG572"/>
  <c r="AF572"/>
  <c r="AE572"/>
  <c r="AD572"/>
  <c r="AC572"/>
  <c r="AI571"/>
  <c r="AH571"/>
  <c r="AG571"/>
  <c r="AF571"/>
  <c r="AE571"/>
  <c r="AD571"/>
  <c r="AC571"/>
  <c r="AI570"/>
  <c r="AH570"/>
  <c r="AG570"/>
  <c r="AF570"/>
  <c r="AE570"/>
  <c r="AD570"/>
  <c r="AC570"/>
  <c r="AI569"/>
  <c r="AH569"/>
  <c r="AG569"/>
  <c r="AF569"/>
  <c r="AE569"/>
  <c r="AD569"/>
  <c r="AC569"/>
  <c r="AI568"/>
  <c r="AH568"/>
  <c r="AG568"/>
  <c r="AF568"/>
  <c r="AE568"/>
  <c r="AD568"/>
  <c r="AC568"/>
  <c r="AI567"/>
  <c r="AH567"/>
  <c r="AG567"/>
  <c r="AF567"/>
  <c r="AE567"/>
  <c r="AD567"/>
  <c r="AC567"/>
  <c r="AI566"/>
  <c r="AH566"/>
  <c r="AG566"/>
  <c r="AF566"/>
  <c r="AE566"/>
  <c r="AD566"/>
  <c r="AC566"/>
  <c r="AI565"/>
  <c r="AH565"/>
  <c r="AG565"/>
  <c r="AF565"/>
  <c r="AE565"/>
  <c r="AD565"/>
  <c r="AC565"/>
  <c r="AI564"/>
  <c r="AH564"/>
  <c r="AG564"/>
  <c r="AF564"/>
  <c r="AE564"/>
  <c r="AD564"/>
  <c r="AC564"/>
  <c r="AI563"/>
  <c r="AH563"/>
  <c r="AG563"/>
  <c r="AF563"/>
  <c r="AE563"/>
  <c r="AD563"/>
  <c r="AC563"/>
  <c r="AI562"/>
  <c r="AH562"/>
  <c r="AG562"/>
  <c r="AF562"/>
  <c r="AE562"/>
  <c r="AD562"/>
  <c r="AC562"/>
  <c r="AI561"/>
  <c r="AH561"/>
  <c r="AG561"/>
  <c r="AF561"/>
  <c r="AE561"/>
  <c r="AD561"/>
  <c r="AC561"/>
  <c r="AI560"/>
  <c r="AH560"/>
  <c r="AG560"/>
  <c r="AF560"/>
  <c r="AE560"/>
  <c r="AD560"/>
  <c r="AC560"/>
  <c r="AI559"/>
  <c r="AH559"/>
  <c r="AG559"/>
  <c r="AF559"/>
  <c r="AE559"/>
  <c r="AD559"/>
  <c r="AC559"/>
  <c r="AI558"/>
  <c r="AH558"/>
  <c r="AG558"/>
  <c r="AF558"/>
  <c r="AE558"/>
  <c r="AD558"/>
  <c r="AC558"/>
  <c r="AI557"/>
  <c r="AH557"/>
  <c r="AG557"/>
  <c r="AF557"/>
  <c r="AE557"/>
  <c r="AD557"/>
  <c r="AC557"/>
  <c r="AI556"/>
  <c r="AH556"/>
  <c r="AG556"/>
  <c r="AF556"/>
  <c r="AE556"/>
  <c r="AD556"/>
  <c r="AC556"/>
  <c r="AI555"/>
  <c r="AH555"/>
  <c r="AG555"/>
  <c r="AF555"/>
  <c r="AE555"/>
  <c r="AD555"/>
  <c r="AC555"/>
  <c r="AI554"/>
  <c r="AH554"/>
  <c r="AG554"/>
  <c r="AF554"/>
  <c r="AE554"/>
  <c r="AD554"/>
  <c r="AC554"/>
  <c r="AI553"/>
  <c r="AH553"/>
  <c r="AG553"/>
  <c r="AF553"/>
  <c r="AE553"/>
  <c r="AD553"/>
  <c r="AC553"/>
  <c r="AI552"/>
  <c r="AH552"/>
  <c r="AG552"/>
  <c r="AF552"/>
  <c r="AE552"/>
  <c r="AD552"/>
  <c r="AC552"/>
  <c r="AI551"/>
  <c r="AH551"/>
  <c r="AG551"/>
  <c r="AF551"/>
  <c r="AE551"/>
  <c r="AD551"/>
  <c r="AC551"/>
  <c r="AI550"/>
  <c r="AH550"/>
  <c r="AG550"/>
  <c r="AF550"/>
  <c r="AE550"/>
  <c r="AD550"/>
  <c r="AC550"/>
  <c r="AI549"/>
  <c r="AH549"/>
  <c r="AG549"/>
  <c r="AF549"/>
  <c r="AE549"/>
  <c r="AD549"/>
  <c r="AC549"/>
  <c r="AI548"/>
  <c r="AH548"/>
  <c r="AG548"/>
  <c r="AF548"/>
  <c r="AE548"/>
  <c r="AD548"/>
  <c r="AC548"/>
  <c r="AI547"/>
  <c r="AH547"/>
  <c r="AG547"/>
  <c r="AF547"/>
  <c r="AE547"/>
  <c r="AD547"/>
  <c r="AC547"/>
  <c r="AI546"/>
  <c r="AH546"/>
  <c r="AG546"/>
  <c r="AF546"/>
  <c r="AE546"/>
  <c r="AD546"/>
  <c r="AC546"/>
  <c r="AI545"/>
  <c r="AH545"/>
  <c r="AG545"/>
  <c r="AF545"/>
  <c r="AE545"/>
  <c r="AD545"/>
  <c r="AC545"/>
  <c r="AI544"/>
  <c r="AH544"/>
  <c r="AG544"/>
  <c r="AF544"/>
  <c r="AE544"/>
  <c r="AD544"/>
  <c r="AC544"/>
  <c r="AI543"/>
  <c r="AH543"/>
  <c r="AG543"/>
  <c r="AF543"/>
  <c r="AE543"/>
  <c r="AD543"/>
  <c r="AC543"/>
  <c r="AI542"/>
  <c r="AH542"/>
  <c r="AG542"/>
  <c r="AF542"/>
  <c r="AE542"/>
  <c r="AD542"/>
  <c r="AC542"/>
  <c r="AI541"/>
  <c r="AH541"/>
  <c r="AG541"/>
  <c r="AF541"/>
  <c r="AE541"/>
  <c r="AD541"/>
  <c r="AC541"/>
  <c r="AI540"/>
  <c r="AH540"/>
  <c r="AG540"/>
  <c r="AF540"/>
  <c r="AE540"/>
  <c r="AD540"/>
  <c r="AC540"/>
  <c r="AI539"/>
  <c r="AH539"/>
  <c r="AG539"/>
  <c r="AF539"/>
  <c r="AE539"/>
  <c r="AD539"/>
  <c r="AC539"/>
  <c r="AI538"/>
  <c r="AH538"/>
  <c r="AG538"/>
  <c r="AF538"/>
  <c r="AE538"/>
  <c r="AD538"/>
  <c r="AC538"/>
  <c r="AI537"/>
  <c r="AH537"/>
  <c r="AG537"/>
  <c r="AF537"/>
  <c r="AE537"/>
  <c r="AD537"/>
  <c r="AC537"/>
  <c r="AI536"/>
  <c r="AH536"/>
  <c r="AG536"/>
  <c r="AF536"/>
  <c r="AE536"/>
  <c r="AD536"/>
  <c r="AC536"/>
  <c r="AI535"/>
  <c r="AH535"/>
  <c r="AG535"/>
  <c r="AF535"/>
  <c r="AE535"/>
  <c r="AD535"/>
  <c r="AC535"/>
  <c r="AI534"/>
  <c r="AH534"/>
  <c r="AG534"/>
  <c r="AF534"/>
  <c r="AE534"/>
  <c r="AD534"/>
  <c r="AC534"/>
  <c r="AI533"/>
  <c r="AH533"/>
  <c r="AG533"/>
  <c r="AF533"/>
  <c r="AE533"/>
  <c r="AD533"/>
  <c r="AC533"/>
  <c r="AI532"/>
  <c r="AH532"/>
  <c r="AG532"/>
  <c r="AF532"/>
  <c r="AE532"/>
  <c r="AD532"/>
  <c r="AC532"/>
  <c r="AI531"/>
  <c r="AH531"/>
  <c r="AG531"/>
  <c r="AF531"/>
  <c r="AE531"/>
  <c r="AD531"/>
  <c r="AC531"/>
  <c r="AI530"/>
  <c r="AH530"/>
  <c r="AG530"/>
  <c r="AF530"/>
  <c r="AE530"/>
  <c r="AD530"/>
  <c r="AC530"/>
  <c r="AI529"/>
  <c r="AH529"/>
  <c r="AG529"/>
  <c r="AF529"/>
  <c r="AE529"/>
  <c r="AD529"/>
  <c r="AC529"/>
  <c r="AI528"/>
  <c r="AH528"/>
  <c r="AG528"/>
  <c r="AF528"/>
  <c r="AE528"/>
  <c r="AD528"/>
  <c r="AC528"/>
  <c r="AI527"/>
  <c r="AH527"/>
  <c r="AG527"/>
  <c r="AF527"/>
  <c r="AE527"/>
  <c r="AD527"/>
  <c r="AC527"/>
  <c r="AI526"/>
  <c r="AH526"/>
  <c r="AG526"/>
  <c r="AF526"/>
  <c r="AE526"/>
  <c r="AD526"/>
  <c r="AC526"/>
  <c r="AI525"/>
  <c r="AH525"/>
  <c r="AG525"/>
  <c r="AF525"/>
  <c r="AE525"/>
  <c r="AD525"/>
  <c r="AC525"/>
  <c r="AI524"/>
  <c r="AH524"/>
  <c r="AG524"/>
  <c r="AF524"/>
  <c r="AE524"/>
  <c r="AD524"/>
  <c r="AC524"/>
  <c r="AI523"/>
  <c r="AH523"/>
  <c r="AG523"/>
  <c r="AF523"/>
  <c r="AE523"/>
  <c r="AD523"/>
  <c r="AC523"/>
  <c r="AI522"/>
  <c r="AH522"/>
  <c r="AG522"/>
  <c r="AF522"/>
  <c r="AE522"/>
  <c r="AD522"/>
  <c r="AC522"/>
  <c r="AI521"/>
  <c r="AH521"/>
  <c r="AG521"/>
  <c r="AF521"/>
  <c r="AE521"/>
  <c r="AD521"/>
  <c r="AC521"/>
  <c r="AI520"/>
  <c r="AH520"/>
  <c r="AG520"/>
  <c r="AF520"/>
  <c r="AE520"/>
  <c r="AD520"/>
  <c r="AC520"/>
  <c r="AI519"/>
  <c r="AH519"/>
  <c r="AG519"/>
  <c r="AF519"/>
  <c r="AE519"/>
  <c r="AD519"/>
  <c r="AC519"/>
  <c r="AI518"/>
  <c r="AH518"/>
  <c r="AG518"/>
  <c r="AF518"/>
  <c r="AE518"/>
  <c r="AD518"/>
  <c r="AC518"/>
  <c r="AI517"/>
  <c r="AH517"/>
  <c r="AG517"/>
  <c r="AF517"/>
  <c r="AE517"/>
  <c r="AD517"/>
  <c r="AC517"/>
  <c r="AI516"/>
  <c r="AH516"/>
  <c r="AG516"/>
  <c r="AF516"/>
  <c r="AE516"/>
  <c r="AD516"/>
  <c r="AC516"/>
  <c r="AI515"/>
  <c r="AH515"/>
  <c r="AG515"/>
  <c r="AF515"/>
  <c r="AE515"/>
  <c r="AD515"/>
  <c r="AC515"/>
  <c r="AI514"/>
  <c r="AH514"/>
  <c r="AG514"/>
  <c r="AF514"/>
  <c r="AE514"/>
  <c r="AD514"/>
  <c r="AC514"/>
  <c r="AI513"/>
  <c r="AH513"/>
  <c r="AG513"/>
  <c r="AF513"/>
  <c r="AE513"/>
  <c r="AD513"/>
  <c r="AC513"/>
  <c r="AI512"/>
  <c r="AH512"/>
  <c r="AG512"/>
  <c r="AF512"/>
  <c r="AE512"/>
  <c r="AD512"/>
  <c r="AC512"/>
  <c r="AI511"/>
  <c r="AH511"/>
  <c r="AG511"/>
  <c r="AF511"/>
  <c r="AE511"/>
  <c r="AD511"/>
  <c r="AC511"/>
  <c r="AI510"/>
  <c r="AH510"/>
  <c r="AG510"/>
  <c r="AF510"/>
  <c r="AE510"/>
  <c r="AD510"/>
  <c r="AC510"/>
  <c r="AI509"/>
  <c r="AH509"/>
  <c r="AG509"/>
  <c r="AF509"/>
  <c r="AE509"/>
  <c r="AD509"/>
  <c r="AC509"/>
  <c r="AI508"/>
  <c r="AH508"/>
  <c r="AG508"/>
  <c r="AF508"/>
  <c r="AE508"/>
  <c r="AD508"/>
  <c r="AC508"/>
  <c r="AI507"/>
  <c r="AH507"/>
  <c r="AG507"/>
  <c r="AF507"/>
  <c r="AE507"/>
  <c r="AD507"/>
  <c r="AC507"/>
  <c r="AI506"/>
  <c r="AH506"/>
  <c r="AG506"/>
  <c r="AF506"/>
  <c r="AE506"/>
  <c r="AD506"/>
  <c r="AC506"/>
  <c r="AI505"/>
  <c r="AH505"/>
  <c r="AG505"/>
  <c r="AF505"/>
  <c r="AE505"/>
  <c r="AD505"/>
  <c r="AC505"/>
  <c r="AI504"/>
  <c r="AH504"/>
  <c r="AG504"/>
  <c r="AF504"/>
  <c r="AE504"/>
  <c r="AD504"/>
  <c r="AC504"/>
  <c r="AI503"/>
  <c r="AH503"/>
  <c r="AG503"/>
  <c r="AF503"/>
  <c r="AE503"/>
  <c r="AD503"/>
  <c r="AC503"/>
  <c r="AI502"/>
  <c r="AH502"/>
  <c r="AG502"/>
  <c r="AF502"/>
  <c r="AE502"/>
  <c r="AD502"/>
  <c r="AC502"/>
  <c r="AI501"/>
  <c r="AH501"/>
  <c r="AG501"/>
  <c r="AF501"/>
  <c r="AE501"/>
  <c r="AD501"/>
  <c r="AC501"/>
  <c r="AI500"/>
  <c r="AH500"/>
  <c r="AG500"/>
  <c r="AF500"/>
  <c r="AE500"/>
  <c r="AD500"/>
  <c r="AC500"/>
  <c r="AI499"/>
  <c r="AH499"/>
  <c r="AG499"/>
  <c r="AF499"/>
  <c r="AE499"/>
  <c r="AD499"/>
  <c r="AC499"/>
  <c r="AI498"/>
  <c r="AH498"/>
  <c r="AG498"/>
  <c r="AF498"/>
  <c r="AE498"/>
  <c r="AD498"/>
  <c r="AC498"/>
  <c r="AI497"/>
  <c r="AH497"/>
  <c r="AG497"/>
  <c r="AF497"/>
  <c r="AE497"/>
  <c r="AD497"/>
  <c r="AC497"/>
  <c r="AI496"/>
  <c r="AH496"/>
  <c r="AG496"/>
  <c r="AF496"/>
  <c r="AE496"/>
  <c r="AD496"/>
  <c r="AC496"/>
  <c r="AI495"/>
  <c r="AH495"/>
  <c r="AG495"/>
  <c r="AF495"/>
  <c r="AE495"/>
  <c r="AD495"/>
  <c r="AC495"/>
  <c r="AI494"/>
  <c r="AH494"/>
  <c r="AG494"/>
  <c r="AF494"/>
  <c r="AE494"/>
  <c r="AD494"/>
  <c r="AC494"/>
  <c r="AI493"/>
  <c r="AH493"/>
  <c r="AG493"/>
  <c r="AF493"/>
  <c r="AE493"/>
  <c r="AD493"/>
  <c r="AC493"/>
  <c r="AI492"/>
  <c r="AH492"/>
  <c r="AG492"/>
  <c r="AF492"/>
  <c r="AE492"/>
  <c r="AD492"/>
  <c r="AC492"/>
  <c r="AI491"/>
  <c r="AH491"/>
  <c r="AG491"/>
  <c r="AF491"/>
  <c r="AE491"/>
  <c r="AD491"/>
  <c r="AC491"/>
  <c r="AI490"/>
  <c r="AH490"/>
  <c r="AG490"/>
  <c r="AF490"/>
  <c r="AE490"/>
  <c r="AD490"/>
  <c r="AC490"/>
  <c r="AI489"/>
  <c r="AH489"/>
  <c r="AG489"/>
  <c r="AF489"/>
  <c r="AE489"/>
  <c r="AD489"/>
  <c r="AC489"/>
  <c r="AI488"/>
  <c r="AH488"/>
  <c r="AG488"/>
  <c r="AF488"/>
  <c r="AE488"/>
  <c r="AD488"/>
  <c r="AC488"/>
  <c r="AI487"/>
  <c r="AH487"/>
  <c r="AG487"/>
  <c r="AF487"/>
  <c r="AE487"/>
  <c r="AD487"/>
  <c r="AC487"/>
  <c r="AI486"/>
  <c r="AH486"/>
  <c r="AG486"/>
  <c r="AF486"/>
  <c r="AE486"/>
  <c r="AD486"/>
  <c r="AC486"/>
  <c r="AI485"/>
  <c r="AH485"/>
  <c r="AG485"/>
  <c r="AF485"/>
  <c r="AE485"/>
  <c r="AD485"/>
  <c r="AC485"/>
  <c r="AI484"/>
  <c r="AH484"/>
  <c r="AG484"/>
  <c r="AF484"/>
  <c r="AE484"/>
  <c r="AD484"/>
  <c r="AC484"/>
  <c r="AI483"/>
  <c r="AH483"/>
  <c r="AG483"/>
  <c r="AF483"/>
  <c r="AE483"/>
  <c r="AD483"/>
  <c r="AC483"/>
  <c r="AI482"/>
  <c r="AH482"/>
  <c r="AG482"/>
  <c r="AF482"/>
  <c r="AE482"/>
  <c r="AD482"/>
  <c r="AC482"/>
  <c r="AI481"/>
  <c r="AH481"/>
  <c r="AG481"/>
  <c r="AF481"/>
  <c r="AE481"/>
  <c r="AD481"/>
  <c r="AC481"/>
  <c r="AI480"/>
  <c r="AH480"/>
  <c r="AG480"/>
  <c r="AF480"/>
  <c r="AE480"/>
  <c r="AD480"/>
  <c r="AC480"/>
  <c r="AI479"/>
  <c r="AH479"/>
  <c r="AG479"/>
  <c r="AF479"/>
  <c r="AE479"/>
  <c r="AD479"/>
  <c r="AC479"/>
  <c r="AI478"/>
  <c r="AH478"/>
  <c r="AG478"/>
  <c r="AF478"/>
  <c r="AE478"/>
  <c r="AD478"/>
  <c r="AC478"/>
  <c r="AI477"/>
  <c r="AH477"/>
  <c r="AG477"/>
  <c r="AF477"/>
  <c r="AE477"/>
  <c r="AD477"/>
  <c r="AC477"/>
  <c r="AI476"/>
  <c r="AH476"/>
  <c r="AG476"/>
  <c r="AF476"/>
  <c r="AE476"/>
  <c r="AD476"/>
  <c r="AC476"/>
  <c r="AI475"/>
  <c r="AH475"/>
  <c r="AG475"/>
  <c r="AF475"/>
  <c r="AE475"/>
  <c r="AD475"/>
  <c r="AC475"/>
  <c r="AI474"/>
  <c r="AH474"/>
  <c r="AG474"/>
  <c r="AF474"/>
  <c r="AE474"/>
  <c r="AD474"/>
  <c r="AC474"/>
  <c r="AI473"/>
  <c r="AH473"/>
  <c r="AG473"/>
  <c r="AF473"/>
  <c r="AE473"/>
  <c r="AD473"/>
  <c r="AC473"/>
  <c r="AI472"/>
  <c r="AH472"/>
  <c r="AG472"/>
  <c r="AF472"/>
  <c r="AE472"/>
  <c r="AD472"/>
  <c r="AC472"/>
  <c r="AI471"/>
  <c r="AH471"/>
  <c r="AG471"/>
  <c r="AF471"/>
  <c r="AE471"/>
  <c r="AD471"/>
  <c r="AC471"/>
  <c r="AI470"/>
  <c r="AH470"/>
  <c r="AG470"/>
  <c r="AF470"/>
  <c r="AE470"/>
  <c r="AD470"/>
  <c r="AC470"/>
  <c r="AI469"/>
  <c r="AH469"/>
  <c r="AG469"/>
  <c r="AF469"/>
  <c r="AE469"/>
  <c r="AD469"/>
  <c r="AC469"/>
  <c r="AI468"/>
  <c r="AH468"/>
  <c r="AG468"/>
  <c r="AF468"/>
  <c r="AE468"/>
  <c r="AD468"/>
  <c r="AC468"/>
  <c r="AI467"/>
  <c r="AH467"/>
  <c r="AG467"/>
  <c r="AF467"/>
  <c r="AE467"/>
  <c r="AD467"/>
  <c r="AC467"/>
  <c r="AI466"/>
  <c r="AH466"/>
  <c r="AG466"/>
  <c r="AF466"/>
  <c r="AE466"/>
  <c r="AD466"/>
  <c r="AC466"/>
  <c r="AI465"/>
  <c r="AH465"/>
  <c r="AG465"/>
  <c r="AF465"/>
  <c r="AE465"/>
  <c r="AD465"/>
  <c r="AC465"/>
  <c r="AI464"/>
  <c r="AH464"/>
  <c r="AG464"/>
  <c r="AF464"/>
  <c r="AE464"/>
  <c r="AD464"/>
  <c r="AC464"/>
  <c r="AI463"/>
  <c r="AH463"/>
  <c r="AG463"/>
  <c r="AF463"/>
  <c r="AE463"/>
  <c r="AD463"/>
  <c r="AC463"/>
  <c r="AI462"/>
  <c r="AH462"/>
  <c r="AG462"/>
  <c r="AF462"/>
  <c r="AE462"/>
  <c r="AD462"/>
  <c r="AC462"/>
  <c r="AI461"/>
  <c r="AH461"/>
  <c r="AG461"/>
  <c r="AF461"/>
  <c r="AE461"/>
  <c r="AD461"/>
  <c r="AC461"/>
  <c r="AI460"/>
  <c r="AH460"/>
  <c r="AG460"/>
  <c r="AF460"/>
  <c r="AE460"/>
  <c r="AD460"/>
  <c r="AC460"/>
  <c r="AI459"/>
  <c r="AH459"/>
  <c r="AG459"/>
  <c r="AF459"/>
  <c r="AE459"/>
  <c r="AD459"/>
  <c r="AC459"/>
  <c r="AI458"/>
  <c r="AH458"/>
  <c r="AG458"/>
  <c r="AF458"/>
  <c r="AE458"/>
  <c r="AD458"/>
  <c r="AC458"/>
  <c r="AI457"/>
  <c r="AH457"/>
  <c r="AG457"/>
  <c r="AF457"/>
  <c r="AE457"/>
  <c r="AD457"/>
  <c r="AC457"/>
  <c r="AI456"/>
  <c r="AH456"/>
  <c r="AG456"/>
  <c r="AF456"/>
  <c r="AE456"/>
  <c r="AD456"/>
  <c r="AC456"/>
  <c r="AI455"/>
  <c r="AH455"/>
  <c r="AG455"/>
  <c r="AF455"/>
  <c r="AE455"/>
  <c r="AD455"/>
  <c r="AC455"/>
  <c r="AI454"/>
  <c r="AH454"/>
  <c r="AG454"/>
  <c r="AF454"/>
  <c r="AE454"/>
  <c r="AD454"/>
  <c r="AC454"/>
  <c r="AI453"/>
  <c r="AH453"/>
  <c r="AG453"/>
  <c r="AF453"/>
  <c r="AE453"/>
  <c r="AD453"/>
  <c r="AC453"/>
  <c r="AI452"/>
  <c r="AH452"/>
  <c r="AG452"/>
  <c r="AF452"/>
  <c r="AE452"/>
  <c r="AD452"/>
  <c r="AC452"/>
  <c r="AI451"/>
  <c r="AH451"/>
  <c r="AG451"/>
  <c r="AF451"/>
  <c r="AE451"/>
  <c r="AD451"/>
  <c r="AC451"/>
  <c r="AI450"/>
  <c r="AH450"/>
  <c r="AG450"/>
  <c r="AF450"/>
  <c r="AE450"/>
  <c r="AD450"/>
  <c r="AC450"/>
  <c r="AI449"/>
  <c r="AH449"/>
  <c r="AG449"/>
  <c r="AF449"/>
  <c r="AE449"/>
  <c r="AD449"/>
  <c r="AC449"/>
  <c r="AI448"/>
  <c r="AH448"/>
  <c r="AG448"/>
  <c r="AF448"/>
  <c r="AE448"/>
  <c r="AD448"/>
  <c r="AC448"/>
  <c r="AI447"/>
  <c r="AH447"/>
  <c r="AG447"/>
  <c r="AF447"/>
  <c r="AE447"/>
  <c r="AD447"/>
  <c r="AC447"/>
  <c r="AI446"/>
  <c r="AH446"/>
  <c r="AG446"/>
  <c r="AF446"/>
  <c r="AE446"/>
  <c r="AD446"/>
  <c r="AC446"/>
  <c r="AI445"/>
  <c r="AH445"/>
  <c r="AG445"/>
  <c r="AF445"/>
  <c r="AE445"/>
  <c r="AD445"/>
  <c r="AC445"/>
  <c r="AI444"/>
  <c r="AH444"/>
  <c r="AG444"/>
  <c r="AF444"/>
  <c r="AE444"/>
  <c r="AD444"/>
  <c r="AC444"/>
  <c r="AI443"/>
  <c r="AH443"/>
  <c r="AG443"/>
  <c r="AF443"/>
  <c r="AE443"/>
  <c r="AD443"/>
  <c r="AC443"/>
  <c r="AI442"/>
  <c r="AH442"/>
  <c r="AG442"/>
  <c r="AF442"/>
  <c r="AE442"/>
  <c r="AD442"/>
  <c r="AC442"/>
  <c r="AI441"/>
  <c r="AH441"/>
  <c r="AG441"/>
  <c r="AF441"/>
  <c r="AE441"/>
  <c r="AD441"/>
  <c r="AC441"/>
  <c r="AI440"/>
  <c r="AH440"/>
  <c r="AG440"/>
  <c r="AF440"/>
  <c r="AE440"/>
  <c r="AD440"/>
  <c r="AC440"/>
  <c r="AI439"/>
  <c r="AH439"/>
  <c r="AG439"/>
  <c r="AF439"/>
  <c r="AE439"/>
  <c r="AD439"/>
  <c r="AC439"/>
  <c r="AI438"/>
  <c r="AH438"/>
  <c r="AG438"/>
  <c r="AF438"/>
  <c r="AE438"/>
  <c r="AD438"/>
  <c r="AC438"/>
  <c r="AI437"/>
  <c r="AH437"/>
  <c r="AG437"/>
  <c r="AF437"/>
  <c r="AE437"/>
  <c r="AD437"/>
  <c r="AC437"/>
  <c r="AI436"/>
  <c r="AH436"/>
  <c r="AG436"/>
  <c r="AF436"/>
  <c r="AE436"/>
  <c r="AD436"/>
  <c r="AC436"/>
  <c r="AI435"/>
  <c r="AH435"/>
  <c r="AG435"/>
  <c r="AF435"/>
  <c r="AE435"/>
  <c r="AD435"/>
  <c r="AC435"/>
  <c r="AI434"/>
  <c r="AH434"/>
  <c r="AG434"/>
  <c r="AF434"/>
  <c r="AE434"/>
  <c r="AD434"/>
  <c r="AC434"/>
  <c r="AI433"/>
  <c r="AH433"/>
  <c r="AG433"/>
  <c r="AF433"/>
  <c r="AE433"/>
  <c r="AD433"/>
  <c r="AC433"/>
  <c r="AI432"/>
  <c r="AH432"/>
  <c r="AG432"/>
  <c r="AF432"/>
  <c r="AE432"/>
  <c r="AD432"/>
  <c r="AC432"/>
  <c r="AI431"/>
  <c r="AH431"/>
  <c r="AG431"/>
  <c r="AF431"/>
  <c r="AE431"/>
  <c r="AD431"/>
  <c r="AC431"/>
  <c r="AI430"/>
  <c r="AH430"/>
  <c r="AG430"/>
  <c r="AF430"/>
  <c r="AE430"/>
  <c r="AD430"/>
  <c r="AC430"/>
  <c r="AI429"/>
  <c r="AH429"/>
  <c r="AG429"/>
  <c r="AF429"/>
  <c r="AE429"/>
  <c r="AD429"/>
  <c r="AC429"/>
  <c r="AI428"/>
  <c r="AH428"/>
  <c r="AG428"/>
  <c r="AF428"/>
  <c r="AE428"/>
  <c r="AD428"/>
  <c r="AC428"/>
  <c r="AI427"/>
  <c r="AH427"/>
  <c r="AG427"/>
  <c r="AF427"/>
  <c r="AE427"/>
  <c r="AD427"/>
  <c r="AC427"/>
  <c r="AI426"/>
  <c r="AH426"/>
  <c r="AG426"/>
  <c r="AF426"/>
  <c r="AE426"/>
  <c r="AD426"/>
  <c r="AC426"/>
  <c r="AI425"/>
  <c r="AH425"/>
  <c r="AG425"/>
  <c r="AF425"/>
  <c r="AE425"/>
  <c r="AD425"/>
  <c r="AC425"/>
  <c r="AI424"/>
  <c r="AH424"/>
  <c r="AG424"/>
  <c r="AF424"/>
  <c r="AE424"/>
  <c r="AD424"/>
  <c r="AC424"/>
  <c r="AI423"/>
  <c r="AH423"/>
  <c r="AG423"/>
  <c r="AF423"/>
  <c r="AE423"/>
  <c r="AD423"/>
  <c r="AC423"/>
  <c r="AI422"/>
  <c r="AH422"/>
  <c r="AG422"/>
  <c r="AF422"/>
  <c r="AE422"/>
  <c r="AD422"/>
  <c r="AC422"/>
  <c r="AI421"/>
  <c r="AH421"/>
  <c r="AG421"/>
  <c r="AF421"/>
  <c r="AE421"/>
  <c r="AD421"/>
  <c r="AC421"/>
  <c r="AI420"/>
  <c r="AH420"/>
  <c r="AG420"/>
  <c r="AF420"/>
  <c r="AE420"/>
  <c r="AD420"/>
  <c r="AC420"/>
  <c r="AI419"/>
  <c r="AH419"/>
  <c r="AG419"/>
  <c r="AF419"/>
  <c r="AE419"/>
  <c r="AD419"/>
  <c r="AC419"/>
  <c r="AI418"/>
  <c r="AH418"/>
  <c r="AG418"/>
  <c r="AF418"/>
  <c r="AE418"/>
  <c r="AD418"/>
  <c r="AC418"/>
  <c r="AI417"/>
  <c r="AH417"/>
  <c r="AG417"/>
  <c r="AF417"/>
  <c r="AE417"/>
  <c r="AD417"/>
  <c r="AC417"/>
  <c r="AI416"/>
  <c r="AH416"/>
  <c r="AG416"/>
  <c r="AF416"/>
  <c r="AE416"/>
  <c r="AD416"/>
  <c r="AC416"/>
  <c r="AI415"/>
  <c r="AH415"/>
  <c r="AG415"/>
  <c r="AF415"/>
  <c r="AE415"/>
  <c r="AD415"/>
  <c r="AC415"/>
  <c r="AI414"/>
  <c r="AH414"/>
  <c r="AG414"/>
  <c r="AF414"/>
  <c r="AE414"/>
  <c r="AD414"/>
  <c r="AC414"/>
  <c r="AI413"/>
  <c r="AH413"/>
  <c r="AG413"/>
  <c r="AF413"/>
  <c r="AE413"/>
  <c r="AD413"/>
  <c r="AC413"/>
  <c r="AI412"/>
  <c r="AH412"/>
  <c r="AG412"/>
  <c r="AF412"/>
  <c r="AE412"/>
  <c r="AD412"/>
  <c r="AC412"/>
  <c r="AI411"/>
  <c r="AH411"/>
  <c r="AG411"/>
  <c r="AF411"/>
  <c r="AE411"/>
  <c r="AD411"/>
  <c r="AC411"/>
  <c r="AI410"/>
  <c r="AH410"/>
  <c r="AG410"/>
  <c r="AF410"/>
  <c r="AE410"/>
  <c r="AD410"/>
  <c r="AC410"/>
  <c r="AI409"/>
  <c r="AH409"/>
  <c r="AG409"/>
  <c r="AF409"/>
  <c r="AE409"/>
  <c r="AD409"/>
  <c r="AC409"/>
  <c r="AI408"/>
  <c r="AH408"/>
  <c r="AG408"/>
  <c r="AF408"/>
  <c r="AE408"/>
  <c r="AD408"/>
  <c r="AC408"/>
  <c r="AI407"/>
  <c r="AH407"/>
  <c r="AG407"/>
  <c r="AF407"/>
  <c r="AE407"/>
  <c r="AD407"/>
  <c r="AC407"/>
  <c r="AI406"/>
  <c r="AH406"/>
  <c r="AG406"/>
  <c r="AF406"/>
  <c r="AE406"/>
  <c r="AD406"/>
  <c r="AC406"/>
  <c r="AI405"/>
  <c r="AH405"/>
  <c r="AG405"/>
  <c r="AF405"/>
  <c r="AE405"/>
  <c r="AD405"/>
  <c r="AC405"/>
  <c r="AI404"/>
  <c r="AH404"/>
  <c r="AG404"/>
  <c r="AF404"/>
  <c r="AE404"/>
  <c r="AD404"/>
  <c r="AC404"/>
  <c r="AI403"/>
  <c r="AH403"/>
  <c r="AG403"/>
  <c r="AF403"/>
  <c r="AE403"/>
  <c r="AD403"/>
  <c r="AC403"/>
  <c r="AI402"/>
  <c r="AH402"/>
  <c r="AG402"/>
  <c r="AF402"/>
  <c r="AE402"/>
  <c r="AD402"/>
  <c r="AC402"/>
  <c r="AI401"/>
  <c r="AH401"/>
  <c r="AG401"/>
  <c r="AF401"/>
  <c r="AE401"/>
  <c r="AD401"/>
  <c r="AC401"/>
  <c r="AI400"/>
  <c r="AH400"/>
  <c r="AG400"/>
  <c r="AF400"/>
  <c r="AE400"/>
  <c r="AD400"/>
  <c r="AC400"/>
  <c r="AI399"/>
  <c r="AH399"/>
  <c r="AG399"/>
  <c r="AF399"/>
  <c r="AE399"/>
  <c r="AD399"/>
  <c r="AC399"/>
  <c r="AI398"/>
  <c r="AH398"/>
  <c r="AG398"/>
  <c r="AF398"/>
  <c r="AE398"/>
  <c r="AD398"/>
  <c r="AC398"/>
  <c r="AI397"/>
  <c r="AH397"/>
  <c r="AG397"/>
  <c r="AF397"/>
  <c r="AE397"/>
  <c r="AD397"/>
  <c r="AC397"/>
  <c r="AI396"/>
  <c r="AH396"/>
  <c r="AG396"/>
  <c r="AF396"/>
  <c r="AE396"/>
  <c r="AD396"/>
  <c r="AC396"/>
  <c r="AI395"/>
  <c r="AH395"/>
  <c r="AG395"/>
  <c r="AF395"/>
  <c r="AE395"/>
  <c r="AD395"/>
  <c r="AC395"/>
  <c r="AI394"/>
  <c r="AH394"/>
  <c r="AG394"/>
  <c r="AF394"/>
  <c r="AE394"/>
  <c r="AD394"/>
  <c r="AC394"/>
  <c r="AI393"/>
  <c r="AH393"/>
  <c r="AG393"/>
  <c r="AF393"/>
  <c r="AE393"/>
  <c r="AD393"/>
  <c r="AC393"/>
  <c r="AI392"/>
  <c r="AH392"/>
  <c r="AG392"/>
  <c r="AF392"/>
  <c r="AE392"/>
  <c r="AD392"/>
  <c r="AC392"/>
  <c r="AI391"/>
  <c r="AH391"/>
  <c r="AG391"/>
  <c r="AF391"/>
  <c r="AE391"/>
  <c r="AD391"/>
  <c r="AC391"/>
  <c r="AI390"/>
  <c r="AH390"/>
  <c r="AG390"/>
  <c r="AF390"/>
  <c r="AE390"/>
  <c r="AD390"/>
  <c r="AC390"/>
  <c r="AI389"/>
  <c r="AH389"/>
  <c r="AG389"/>
  <c r="AF389"/>
  <c r="AE389"/>
  <c r="AD389"/>
  <c r="AC389"/>
  <c r="AI388"/>
  <c r="AH388"/>
  <c r="AG388"/>
  <c r="AF388"/>
  <c r="AE388"/>
  <c r="AD388"/>
  <c r="AC388"/>
  <c r="AI387"/>
  <c r="AH387"/>
  <c r="AG387"/>
  <c r="AF387"/>
  <c r="AE387"/>
  <c r="AD387"/>
  <c r="AC387"/>
  <c r="AI386"/>
  <c r="AH386"/>
  <c r="AG386"/>
  <c r="AF386"/>
  <c r="AE386"/>
  <c r="AD386"/>
  <c r="AC386"/>
  <c r="AI385"/>
  <c r="AH385"/>
  <c r="AG385"/>
  <c r="AF385"/>
  <c r="AE385"/>
  <c r="AD385"/>
  <c r="AC385"/>
  <c r="AI384"/>
  <c r="AH384"/>
  <c r="AG384"/>
  <c r="AF384"/>
  <c r="AE384"/>
  <c r="AD384"/>
  <c r="AC384"/>
  <c r="AI383"/>
  <c r="AH383"/>
  <c r="AG383"/>
  <c r="AF383"/>
  <c r="AE383"/>
  <c r="AD383"/>
  <c r="AC383"/>
  <c r="AI382"/>
  <c r="AH382"/>
  <c r="AG382"/>
  <c r="AF382"/>
  <c r="AE382"/>
  <c r="AD382"/>
  <c r="AC382"/>
  <c r="AI381"/>
  <c r="AH381"/>
  <c r="AG381"/>
  <c r="AF381"/>
  <c r="AE381"/>
  <c r="AD381"/>
  <c r="AC381"/>
  <c r="AI380"/>
  <c r="AH380"/>
  <c r="AG380"/>
  <c r="AF380"/>
  <c r="AE380"/>
  <c r="AD380"/>
  <c r="AC380"/>
  <c r="AI379"/>
  <c r="AH379"/>
  <c r="AG379"/>
  <c r="AF379"/>
  <c r="AE379"/>
  <c r="AD379"/>
  <c r="AC379"/>
  <c r="AI378"/>
  <c r="AH378"/>
  <c r="AG378"/>
  <c r="AF378"/>
  <c r="AE378"/>
  <c r="AD378"/>
  <c r="AC378"/>
  <c r="AI377"/>
  <c r="AH377"/>
  <c r="AG377"/>
  <c r="AF377"/>
  <c r="AE377"/>
  <c r="AD377"/>
  <c r="AC377"/>
  <c r="AI376"/>
  <c r="AH376"/>
  <c r="AG376"/>
  <c r="AF376"/>
  <c r="AE376"/>
  <c r="AD376"/>
  <c r="AC376"/>
  <c r="AI375"/>
  <c r="AH375"/>
  <c r="AG375"/>
  <c r="AF375"/>
  <c r="AE375"/>
  <c r="AD375"/>
  <c r="AC375"/>
  <c r="AI374"/>
  <c r="AH374"/>
  <c r="AG374"/>
  <c r="AF374"/>
  <c r="AE374"/>
  <c r="AD374"/>
  <c r="AC374"/>
  <c r="AI373"/>
  <c r="AH373"/>
  <c r="AG373"/>
  <c r="AF373"/>
  <c r="AE373"/>
  <c r="AD373"/>
  <c r="AC373"/>
  <c r="AI372"/>
  <c r="AH372"/>
  <c r="AG372"/>
  <c r="AF372"/>
  <c r="AE372"/>
  <c r="AD372"/>
  <c r="AC372"/>
  <c r="AI371"/>
  <c r="AH371"/>
  <c r="AG371"/>
  <c r="AF371"/>
  <c r="AE371"/>
  <c r="AD371"/>
  <c r="AC371"/>
  <c r="AI370"/>
  <c r="AH370"/>
  <c r="AG370"/>
  <c r="AF370"/>
  <c r="AE370"/>
  <c r="AD370"/>
  <c r="AC370"/>
  <c r="AI369"/>
  <c r="AH369"/>
  <c r="AG369"/>
  <c r="AF369"/>
  <c r="AE369"/>
  <c r="AD369"/>
  <c r="AC369"/>
  <c r="AI368"/>
  <c r="AH368"/>
  <c r="AG368"/>
  <c r="AF368"/>
  <c r="AE368"/>
  <c r="AD368"/>
  <c r="AC368"/>
  <c r="AI367"/>
  <c r="AH367"/>
  <c r="AG367"/>
  <c r="AF367"/>
  <c r="AE367"/>
  <c r="AD367"/>
  <c r="AC367"/>
  <c r="AI366"/>
  <c r="AH366"/>
  <c r="AG366"/>
  <c r="AF366"/>
  <c r="AE366"/>
  <c r="AD366"/>
  <c r="AC366"/>
  <c r="AI365"/>
  <c r="AH365"/>
  <c r="AG365"/>
  <c r="AF365"/>
  <c r="AE365"/>
  <c r="AD365"/>
  <c r="AC365"/>
  <c r="AI364"/>
  <c r="AH364"/>
  <c r="AG364"/>
  <c r="AF364"/>
  <c r="AE364"/>
  <c r="AD364"/>
  <c r="AC364"/>
  <c r="AI363"/>
  <c r="AH363"/>
  <c r="AG363"/>
  <c r="AF363"/>
  <c r="AE363"/>
  <c r="AD363"/>
  <c r="AC363"/>
  <c r="AI362"/>
  <c r="AH362"/>
  <c r="AG362"/>
  <c r="AF362"/>
  <c r="AE362"/>
  <c r="AD362"/>
  <c r="AC362"/>
  <c r="AI361"/>
  <c r="AH361"/>
  <c r="AG361"/>
  <c r="AF361"/>
  <c r="AE361"/>
  <c r="AD361"/>
  <c r="AC361"/>
  <c r="AI360"/>
  <c r="AH360"/>
  <c r="AG360"/>
  <c r="AF360"/>
  <c r="AE360"/>
  <c r="AD360"/>
  <c r="AC360"/>
  <c r="AI359"/>
  <c r="AH359"/>
  <c r="AG359"/>
  <c r="AF359"/>
  <c r="AE359"/>
  <c r="AD359"/>
  <c r="AC359"/>
  <c r="AI358"/>
  <c r="AH358"/>
  <c r="AG358"/>
  <c r="AF358"/>
  <c r="AE358"/>
  <c r="AD358"/>
  <c r="AC358"/>
  <c r="AI357"/>
  <c r="AH357"/>
  <c r="AG357"/>
  <c r="AF357"/>
  <c r="AE357"/>
  <c r="AD357"/>
  <c r="AC357"/>
  <c r="AI356"/>
  <c r="AH356"/>
  <c r="AG356"/>
  <c r="AF356"/>
  <c r="AE356"/>
  <c r="AD356"/>
  <c r="AC356"/>
  <c r="AI355"/>
  <c r="AH355"/>
  <c r="AG355"/>
  <c r="AF355"/>
  <c r="AE355"/>
  <c r="AD355"/>
  <c r="AC355"/>
  <c r="AI354"/>
  <c r="AH354"/>
  <c r="AG354"/>
  <c r="AF354"/>
  <c r="AE354"/>
  <c r="AD354"/>
  <c r="AC354"/>
  <c r="AI353"/>
  <c r="AH353"/>
  <c r="AG353"/>
  <c r="AF353"/>
  <c r="AE353"/>
  <c r="AD353"/>
  <c r="AC353"/>
  <c r="AI352"/>
  <c r="AH352"/>
  <c r="AG352"/>
  <c r="AF352"/>
  <c r="AE352"/>
  <c r="AD352"/>
  <c r="AC352"/>
  <c r="AI351"/>
  <c r="AH351"/>
  <c r="AG351"/>
  <c r="AF351"/>
  <c r="AE351"/>
  <c r="AD351"/>
  <c r="AC351"/>
  <c r="AI350"/>
  <c r="AH350"/>
  <c r="AG350"/>
  <c r="AF350"/>
  <c r="AE350"/>
  <c r="AD350"/>
  <c r="AC350"/>
  <c r="AI349"/>
  <c r="AH349"/>
  <c r="AG349"/>
  <c r="AF349"/>
  <c r="AE349"/>
  <c r="AD349"/>
  <c r="AC349"/>
  <c r="AI348"/>
  <c r="AH348"/>
  <c r="AG348"/>
  <c r="AF348"/>
  <c r="AE348"/>
  <c r="AD348"/>
  <c r="AC348"/>
  <c r="AI347"/>
  <c r="AH347"/>
  <c r="AG347"/>
  <c r="AF347"/>
  <c r="AE347"/>
  <c r="AD347"/>
  <c r="AC347"/>
  <c r="AI346"/>
  <c r="AH346"/>
  <c r="AG346"/>
  <c r="AF346"/>
  <c r="AE346"/>
  <c r="AD346"/>
  <c r="AC346"/>
  <c r="AI345"/>
  <c r="AH345"/>
  <c r="AG345"/>
  <c r="AF345"/>
  <c r="AE345"/>
  <c r="AD345"/>
  <c r="AC345"/>
  <c r="AI344"/>
  <c r="AH344"/>
  <c r="AG344"/>
  <c r="AF344"/>
  <c r="AE344"/>
  <c r="AD344"/>
  <c r="AC344"/>
  <c r="AI343"/>
  <c r="AH343"/>
  <c r="AG343"/>
  <c r="AF343"/>
  <c r="AE343"/>
  <c r="AD343"/>
  <c r="AC343"/>
  <c r="AI342"/>
  <c r="AH342"/>
  <c r="AG342"/>
  <c r="AF342"/>
  <c r="AE342"/>
  <c r="AD342"/>
  <c r="AC342"/>
  <c r="AI341"/>
  <c r="AH341"/>
  <c r="AG341"/>
  <c r="AF341"/>
  <c r="AE341"/>
  <c r="AD341"/>
  <c r="AC341"/>
  <c r="AI340"/>
  <c r="AH340"/>
  <c r="AG340"/>
  <c r="AF340"/>
  <c r="AE340"/>
  <c r="AD340"/>
  <c r="AC340"/>
  <c r="AI339"/>
  <c r="AH339"/>
  <c r="AG339"/>
  <c r="AF339"/>
  <c r="AE339"/>
  <c r="AD339"/>
  <c r="AC339"/>
  <c r="AI338"/>
  <c r="AH338"/>
  <c r="AG338"/>
  <c r="AF338"/>
  <c r="AE338"/>
  <c r="AD338"/>
  <c r="AC338"/>
  <c r="AI337"/>
  <c r="AH337"/>
  <c r="AG337"/>
  <c r="AF337"/>
  <c r="AE337"/>
  <c r="AD337"/>
  <c r="AC337"/>
  <c r="AI336"/>
  <c r="AH336"/>
  <c r="AG336"/>
  <c r="AF336"/>
  <c r="AE336"/>
  <c r="AD336"/>
  <c r="AC336"/>
  <c r="AI335"/>
  <c r="AH335"/>
  <c r="AG335"/>
  <c r="AF335"/>
  <c r="AE335"/>
  <c r="AD335"/>
  <c r="AC335"/>
  <c r="AI334"/>
  <c r="AH334"/>
  <c r="AG334"/>
  <c r="AF334"/>
  <c r="AE334"/>
  <c r="AD334"/>
  <c r="AC334"/>
  <c r="AI333"/>
  <c r="AH333"/>
  <c r="AG333"/>
  <c r="AF333"/>
  <c r="AE333"/>
  <c r="AD333"/>
  <c r="AC333"/>
  <c r="AI332"/>
  <c r="AH332"/>
  <c r="AG332"/>
  <c r="AF332"/>
  <c r="AE332"/>
  <c r="AD332"/>
  <c r="AC332"/>
  <c r="AI331"/>
  <c r="AH331"/>
  <c r="AG331"/>
  <c r="AF331"/>
  <c r="AE331"/>
  <c r="AD331"/>
  <c r="AC331"/>
  <c r="AI330"/>
  <c r="AH330"/>
  <c r="AG330"/>
  <c r="AF330"/>
  <c r="AE330"/>
  <c r="AD330"/>
  <c r="AC330"/>
  <c r="AI329"/>
  <c r="AH329"/>
  <c r="AG329"/>
  <c r="AF329"/>
  <c r="AE329"/>
  <c r="AD329"/>
  <c r="AC329"/>
  <c r="AI328"/>
  <c r="AH328"/>
  <c r="AG328"/>
  <c r="AF328"/>
  <c r="AE328"/>
  <c r="AD328"/>
  <c r="AC328"/>
  <c r="AI327"/>
  <c r="AH327"/>
  <c r="AG327"/>
  <c r="AF327"/>
  <c r="AE327"/>
  <c r="AD327"/>
  <c r="AC327"/>
  <c r="AI326"/>
  <c r="AH326"/>
  <c r="AG326"/>
  <c r="AF326"/>
  <c r="AE326"/>
  <c r="AD326"/>
  <c r="AC326"/>
  <c r="AI325"/>
  <c r="AH325"/>
  <c r="AG325"/>
  <c r="AF325"/>
  <c r="AE325"/>
  <c r="AD325"/>
  <c r="AC325"/>
  <c r="AI324"/>
  <c r="AH324"/>
  <c r="AG324"/>
  <c r="AF324"/>
  <c r="AE324"/>
  <c r="AD324"/>
  <c r="AC324"/>
  <c r="AI323"/>
  <c r="AH323"/>
  <c r="AG323"/>
  <c r="AF323"/>
  <c r="AE323"/>
  <c r="AD323"/>
  <c r="AC323"/>
  <c r="AI322"/>
  <c r="AH322"/>
  <c r="AG322"/>
  <c r="AF322"/>
  <c r="AE322"/>
  <c r="AD322"/>
  <c r="AC322"/>
  <c r="AI321"/>
  <c r="AH321"/>
  <c r="AG321"/>
  <c r="AF321"/>
  <c r="AE321"/>
  <c r="AD321"/>
  <c r="AC321"/>
  <c r="AI320"/>
  <c r="AH320"/>
  <c r="AG320"/>
  <c r="AF320"/>
  <c r="AE320"/>
  <c r="AD320"/>
  <c r="AC320"/>
  <c r="AI319"/>
  <c r="AH319"/>
  <c r="AG319"/>
  <c r="AF319"/>
  <c r="AE319"/>
  <c r="AD319"/>
  <c r="AC319"/>
  <c r="AI318"/>
  <c r="AH318"/>
  <c r="AG318"/>
  <c r="AF318"/>
  <c r="AE318"/>
  <c r="AD318"/>
  <c r="AC318"/>
  <c r="AI317"/>
  <c r="AH317"/>
  <c r="AG317"/>
  <c r="AF317"/>
  <c r="AE317"/>
  <c r="AD317"/>
  <c r="AC317"/>
  <c r="AI316"/>
  <c r="AH316"/>
  <c r="AG316"/>
  <c r="AF316"/>
  <c r="AE316"/>
  <c r="AD316"/>
  <c r="AC316"/>
  <c r="AI315"/>
  <c r="AH315"/>
  <c r="AG315"/>
  <c r="AF315"/>
  <c r="AE315"/>
  <c r="AD315"/>
  <c r="AC315"/>
  <c r="AI314"/>
  <c r="AH314"/>
  <c r="AG314"/>
  <c r="AF314"/>
  <c r="AE314"/>
  <c r="AD314"/>
  <c r="AC314"/>
  <c r="AI313"/>
  <c r="AH313"/>
  <c r="AG313"/>
  <c r="AF313"/>
  <c r="AE313"/>
  <c r="AD313"/>
  <c r="AC313"/>
  <c r="AI312"/>
  <c r="AH312"/>
  <c r="AG312"/>
  <c r="AF312"/>
  <c r="AE312"/>
  <c r="AD312"/>
  <c r="AC312"/>
  <c r="AI311"/>
  <c r="AH311"/>
  <c r="AG311"/>
  <c r="AF311"/>
  <c r="AE311"/>
  <c r="AD311"/>
  <c r="AC311"/>
  <c r="AI310"/>
  <c r="AH310"/>
  <c r="AG310"/>
  <c r="AF310"/>
  <c r="AE310"/>
  <c r="AD310"/>
  <c r="AC310"/>
  <c r="AI309"/>
  <c r="AH309"/>
  <c r="AG309"/>
  <c r="AF309"/>
  <c r="AE309"/>
  <c r="AD309"/>
  <c r="AC309"/>
  <c r="AI308"/>
  <c r="AH308"/>
  <c r="AG308"/>
  <c r="AF308"/>
  <c r="AE308"/>
  <c r="AD308"/>
  <c r="AC308"/>
  <c r="AI307"/>
  <c r="AH307"/>
  <c r="AG307"/>
  <c r="AF307"/>
  <c r="AE307"/>
  <c r="AD307"/>
  <c r="AC307"/>
  <c r="AI306"/>
  <c r="AH306"/>
  <c r="AG306"/>
  <c r="AF306"/>
  <c r="AE306"/>
  <c r="AD306"/>
  <c r="AC306"/>
  <c r="AI305"/>
  <c r="AH305"/>
  <c r="AG305"/>
  <c r="AF305"/>
  <c r="AE305"/>
  <c r="AD305"/>
  <c r="AC305"/>
  <c r="AI304"/>
  <c r="AH304"/>
  <c r="AG304"/>
  <c r="AF304"/>
  <c r="AE304"/>
  <c r="AD304"/>
  <c r="AC304"/>
  <c r="AI303"/>
  <c r="AH303"/>
  <c r="AG303"/>
  <c r="AF303"/>
  <c r="AE303"/>
  <c r="AD303"/>
  <c r="AC303"/>
  <c r="AI302"/>
  <c r="AH302"/>
  <c r="AG302"/>
  <c r="AF302"/>
  <c r="AE302"/>
  <c r="AD302"/>
  <c r="AC302"/>
  <c r="AI301"/>
  <c r="AH301"/>
  <c r="AG301"/>
  <c r="AF301"/>
  <c r="AE301"/>
  <c r="AD301"/>
  <c r="AC301"/>
  <c r="AI300"/>
  <c r="AH300"/>
  <c r="AG300"/>
  <c r="AF300"/>
  <c r="AE300"/>
  <c r="AD300"/>
  <c r="AC300"/>
  <c r="AI299"/>
  <c r="AH299"/>
  <c r="AG299"/>
  <c r="AF299"/>
  <c r="AE299"/>
  <c r="AD299"/>
  <c r="AC299"/>
  <c r="AI298"/>
  <c r="AH298"/>
  <c r="AG298"/>
  <c r="AF298"/>
  <c r="AE298"/>
  <c r="AD298"/>
  <c r="AC298"/>
  <c r="AI297"/>
  <c r="AH297"/>
  <c r="AG297"/>
  <c r="AF297"/>
  <c r="AE297"/>
  <c r="AD297"/>
  <c r="AC297"/>
  <c r="AI296"/>
  <c r="AH296"/>
  <c r="AG296"/>
  <c r="AF296"/>
  <c r="AE296"/>
  <c r="AD296"/>
  <c r="AC296"/>
  <c r="AI295"/>
  <c r="AH295"/>
  <c r="AG295"/>
  <c r="AF295"/>
  <c r="AE295"/>
  <c r="AD295"/>
  <c r="AC295"/>
  <c r="AI294"/>
  <c r="AH294"/>
  <c r="AG294"/>
  <c r="AF294"/>
  <c r="AE294"/>
  <c r="AD294"/>
  <c r="AC294"/>
  <c r="AI293"/>
  <c r="AH293"/>
  <c r="AG293"/>
  <c r="AF293"/>
  <c r="AE293"/>
  <c r="AD293"/>
  <c r="AC293"/>
  <c r="AI292"/>
  <c r="AH292"/>
  <c r="AG292"/>
  <c r="AF292"/>
  <c r="AE292"/>
  <c r="AD292"/>
  <c r="AC292"/>
  <c r="AI291"/>
  <c r="AH291"/>
  <c r="AG291"/>
  <c r="AF291"/>
  <c r="AE291"/>
  <c r="AD291"/>
  <c r="AC291"/>
  <c r="AI290"/>
  <c r="AH290"/>
  <c r="AG290"/>
  <c r="AF290"/>
  <c r="AE290"/>
  <c r="AD290"/>
  <c r="AC290"/>
  <c r="AI289"/>
  <c r="AH289"/>
  <c r="AG289"/>
  <c r="AF289"/>
  <c r="AE289"/>
  <c r="AD289"/>
  <c r="AC289"/>
  <c r="AI288"/>
  <c r="AH288"/>
  <c r="AG288"/>
  <c r="AF288"/>
  <c r="AE288"/>
  <c r="AD288"/>
  <c r="AC288"/>
  <c r="AI287"/>
  <c r="AH287"/>
  <c r="AG287"/>
  <c r="AF287"/>
  <c r="AE287"/>
  <c r="AD287"/>
  <c r="AC287"/>
  <c r="AI286"/>
  <c r="AH286"/>
  <c r="AG286"/>
  <c r="AF286"/>
  <c r="AE286"/>
  <c r="AD286"/>
  <c r="AC286"/>
  <c r="AI285"/>
  <c r="AH285"/>
  <c r="AG285"/>
  <c r="AF285"/>
  <c r="AE285"/>
  <c r="AD285"/>
  <c r="AC285"/>
  <c r="AI284"/>
  <c r="AH284"/>
  <c r="AG284"/>
  <c r="AF284"/>
  <c r="AE284"/>
  <c r="AD284"/>
  <c r="AC284"/>
  <c r="AI283"/>
  <c r="AH283"/>
  <c r="AG283"/>
  <c r="AF283"/>
  <c r="AE283"/>
  <c r="AD283"/>
  <c r="AC283"/>
  <c r="AI282"/>
  <c r="AH282"/>
  <c r="AG282"/>
  <c r="AF282"/>
  <c r="AE282"/>
  <c r="AD282"/>
  <c r="AC282"/>
  <c r="AI281"/>
  <c r="AH281"/>
  <c r="AG281"/>
  <c r="AF281"/>
  <c r="AE281"/>
  <c r="AD281"/>
  <c r="AC281"/>
  <c r="AI280"/>
  <c r="AH280"/>
  <c r="AG280"/>
  <c r="AF280"/>
  <c r="AE280"/>
  <c r="AD280"/>
  <c r="AC280"/>
  <c r="AI279"/>
  <c r="AH279"/>
  <c r="AG279"/>
  <c r="AF279"/>
  <c r="AE279"/>
  <c r="AD279"/>
  <c r="AC279"/>
  <c r="AI278"/>
  <c r="AH278"/>
  <c r="AG278"/>
  <c r="AF278"/>
  <c r="AE278"/>
  <c r="AD278"/>
  <c r="AC278"/>
  <c r="AI277"/>
  <c r="AH277"/>
  <c r="AG277"/>
  <c r="AF277"/>
  <c r="AE277"/>
  <c r="AD277"/>
  <c r="AC277"/>
  <c r="AI276"/>
  <c r="AH276"/>
  <c r="AG276"/>
  <c r="AF276"/>
  <c r="AE276"/>
  <c r="AD276"/>
  <c r="AC276"/>
  <c r="AI275"/>
  <c r="AH275"/>
  <c r="AG275"/>
  <c r="AF275"/>
  <c r="AE275"/>
  <c r="AD275"/>
  <c r="AC275"/>
  <c r="AI274"/>
  <c r="AH274"/>
  <c r="AG274"/>
  <c r="AF274"/>
  <c r="AE274"/>
  <c r="AD274"/>
  <c r="AC274"/>
  <c r="AI273"/>
  <c r="AH273"/>
  <c r="AG273"/>
  <c r="AF273"/>
  <c r="AE273"/>
  <c r="AD273"/>
  <c r="AC273"/>
  <c r="AI272"/>
  <c r="AH272"/>
  <c r="AG272"/>
  <c r="AF272"/>
  <c r="AE272"/>
  <c r="AD272"/>
  <c r="AC272"/>
  <c r="AI271"/>
  <c r="AH271"/>
  <c r="AG271"/>
  <c r="AF271"/>
  <c r="AE271"/>
  <c r="AD271"/>
  <c r="AC271"/>
  <c r="AI270"/>
  <c r="AH270"/>
  <c r="AG270"/>
  <c r="AF270"/>
  <c r="AE270"/>
  <c r="AD270"/>
  <c r="AC270"/>
  <c r="AI269"/>
  <c r="AH269"/>
  <c r="AG269"/>
  <c r="AF269"/>
  <c r="AE269"/>
  <c r="AD269"/>
  <c r="AC269"/>
  <c r="AI268"/>
  <c r="AH268"/>
  <c r="AG268"/>
  <c r="AF268"/>
  <c r="AE268"/>
  <c r="AD268"/>
  <c r="AC268"/>
  <c r="AI267"/>
  <c r="AH267"/>
  <c r="AG267"/>
  <c r="AF267"/>
  <c r="AE267"/>
  <c r="AD267"/>
  <c r="AC267"/>
  <c r="AI266"/>
  <c r="AH266"/>
  <c r="AG266"/>
  <c r="AF266"/>
  <c r="AE266"/>
  <c r="AD266"/>
  <c r="AC266"/>
  <c r="AI265"/>
  <c r="AH265"/>
  <c r="AG265"/>
  <c r="AF265"/>
  <c r="AE265"/>
  <c r="AD265"/>
  <c r="AC265"/>
  <c r="AI264"/>
  <c r="AH264"/>
  <c r="AG264"/>
  <c r="AF264"/>
  <c r="AE264"/>
  <c r="AD264"/>
  <c r="AC264"/>
  <c r="AI263"/>
  <c r="AH263"/>
  <c r="AG263"/>
  <c r="AF263"/>
  <c r="AE263"/>
  <c r="AD263"/>
  <c r="AC263"/>
  <c r="AI262"/>
  <c r="AH262"/>
  <c r="AG262"/>
  <c r="AF262"/>
  <c r="AE262"/>
  <c r="AD262"/>
  <c r="AC262"/>
  <c r="AI261"/>
  <c r="AH261"/>
  <c r="AG261"/>
  <c r="AF261"/>
  <c r="AE261"/>
  <c r="AD261"/>
  <c r="AC261"/>
  <c r="AI260"/>
  <c r="AH260"/>
  <c r="AG260"/>
  <c r="AF260"/>
  <c r="AE260"/>
  <c r="AD260"/>
  <c r="AC260"/>
  <c r="AI259"/>
  <c r="AH259"/>
  <c r="AG259"/>
  <c r="AF259"/>
  <c r="AE259"/>
  <c r="AD259"/>
  <c r="AC259"/>
  <c r="AI258"/>
  <c r="AH258"/>
  <c r="AG258"/>
  <c r="AF258"/>
  <c r="AE258"/>
  <c r="AD258"/>
  <c r="AC258"/>
  <c r="AI257"/>
  <c r="AH257"/>
  <c r="AG257"/>
  <c r="AF257"/>
  <c r="AE257"/>
  <c r="AD257"/>
  <c r="AC257"/>
  <c r="AI256"/>
  <c r="AH256"/>
  <c r="AG256"/>
  <c r="AF256"/>
  <c r="AE256"/>
  <c r="AD256"/>
  <c r="AC256"/>
  <c r="AI255"/>
  <c r="AH255"/>
  <c r="AG255"/>
  <c r="AF255"/>
  <c r="AE255"/>
  <c r="AD255"/>
  <c r="AC255"/>
  <c r="AI254"/>
  <c r="AH254"/>
  <c r="AG254"/>
  <c r="AF254"/>
  <c r="AE254"/>
  <c r="AD254"/>
  <c r="AC254"/>
  <c r="AI253"/>
  <c r="AH253"/>
  <c r="AG253"/>
  <c r="AF253"/>
  <c r="AE253"/>
  <c r="AD253"/>
  <c r="AC253"/>
  <c r="AI252"/>
  <c r="AH252"/>
  <c r="AG252"/>
  <c r="AF252"/>
  <c r="AE252"/>
  <c r="AD252"/>
  <c r="AC252"/>
  <c r="AI251"/>
  <c r="AH251"/>
  <c r="AG251"/>
  <c r="AF251"/>
  <c r="AE251"/>
  <c r="AD251"/>
  <c r="AC251"/>
  <c r="AI250"/>
  <c r="AH250"/>
  <c r="AG250"/>
  <c r="AF250"/>
  <c r="AE250"/>
  <c r="AD250"/>
  <c r="AC250"/>
  <c r="AI249"/>
  <c r="AH249"/>
  <c r="AG249"/>
  <c r="AF249"/>
  <c r="AE249"/>
  <c r="AD249"/>
  <c r="AC249"/>
  <c r="AI248"/>
  <c r="AH248"/>
  <c r="AG248"/>
  <c r="AF248"/>
  <c r="AE248"/>
  <c r="AD248"/>
  <c r="AC248"/>
  <c r="AI247"/>
  <c r="AH247"/>
  <c r="AG247"/>
  <c r="AF247"/>
  <c r="AE247"/>
  <c r="AD247"/>
  <c r="AC247"/>
  <c r="AI246"/>
  <c r="AH246"/>
  <c r="AG246"/>
  <c r="AF246"/>
  <c r="AE246"/>
  <c r="AD246"/>
  <c r="AC246"/>
  <c r="AI245"/>
  <c r="AH245"/>
  <c r="AG245"/>
  <c r="AF245"/>
  <c r="AE245"/>
  <c r="AD245"/>
  <c r="AC245"/>
  <c r="AI244"/>
  <c r="AH244"/>
  <c r="AG244"/>
  <c r="AF244"/>
  <c r="AE244"/>
  <c r="AD244"/>
  <c r="AC244"/>
  <c r="AI243"/>
  <c r="AH243"/>
  <c r="AG243"/>
  <c r="AF243"/>
  <c r="AE243"/>
  <c r="AD243"/>
  <c r="AC243"/>
  <c r="AI242"/>
  <c r="AH242"/>
  <c r="AG242"/>
  <c r="AF242"/>
  <c r="AE242"/>
  <c r="AD242"/>
  <c r="AC242"/>
  <c r="AI241"/>
  <c r="AH241"/>
  <c r="AG241"/>
  <c r="AF241"/>
  <c r="AE241"/>
  <c r="AD241"/>
  <c r="AC241"/>
  <c r="AI240"/>
  <c r="AH240"/>
  <c r="AG240"/>
  <c r="AF240"/>
  <c r="AE240"/>
  <c r="AD240"/>
  <c r="AC240"/>
  <c r="AI239"/>
  <c r="AH239"/>
  <c r="AG239"/>
  <c r="AF239"/>
  <c r="AE239"/>
  <c r="AD239"/>
  <c r="AC239"/>
  <c r="AI238"/>
  <c r="AH238"/>
  <c r="AG238"/>
  <c r="AF238"/>
  <c r="AE238"/>
  <c r="AD238"/>
  <c r="AC238"/>
  <c r="AI237"/>
  <c r="AH237"/>
  <c r="AG237"/>
  <c r="AF237"/>
  <c r="AE237"/>
  <c r="AD237"/>
  <c r="AC237"/>
  <c r="AI236"/>
  <c r="AH236"/>
  <c r="AG236"/>
  <c r="AF236"/>
  <c r="AE236"/>
  <c r="AD236"/>
  <c r="AC236"/>
  <c r="AI235"/>
  <c r="AH235"/>
  <c r="AG235"/>
  <c r="AF235"/>
  <c r="AE235"/>
  <c r="AD235"/>
  <c r="AC235"/>
  <c r="AI234"/>
  <c r="AH234"/>
  <c r="AG234"/>
  <c r="AF234"/>
  <c r="AE234"/>
  <c r="AD234"/>
  <c r="AC234"/>
  <c r="AI233"/>
  <c r="AH233"/>
  <c r="AG233"/>
  <c r="AF233"/>
  <c r="AE233"/>
  <c r="AD233"/>
  <c r="AC233"/>
  <c r="AI232"/>
  <c r="AH232"/>
  <c r="AG232"/>
  <c r="AF232"/>
  <c r="AE232"/>
  <c r="AD232"/>
  <c r="AC232"/>
  <c r="AI231"/>
  <c r="AH231"/>
  <c r="AG231"/>
  <c r="AF231"/>
  <c r="AE231"/>
  <c r="AD231"/>
  <c r="AC231"/>
  <c r="AI230"/>
  <c r="AH230"/>
  <c r="AG230"/>
  <c r="AF230"/>
  <c r="AE230"/>
  <c r="AD230"/>
  <c r="AC230"/>
  <c r="AI229"/>
  <c r="AH229"/>
  <c r="AG229"/>
  <c r="AF229"/>
  <c r="AE229"/>
  <c r="AD229"/>
  <c r="AC229"/>
  <c r="AI228"/>
  <c r="AH228"/>
  <c r="AG228"/>
  <c r="AF228"/>
  <c r="AE228"/>
  <c r="AD228"/>
  <c r="AC228"/>
  <c r="AI227"/>
  <c r="AH227"/>
  <c r="AG227"/>
  <c r="AF227"/>
  <c r="AE227"/>
  <c r="AD227"/>
  <c r="AC227"/>
  <c r="AI226"/>
  <c r="AH226"/>
  <c r="AG226"/>
  <c r="AF226"/>
  <c r="AE226"/>
  <c r="AD226"/>
  <c r="AC226"/>
  <c r="AI225"/>
  <c r="AH225"/>
  <c r="AG225"/>
  <c r="AF225"/>
  <c r="AE225"/>
  <c r="AD225"/>
  <c r="AC225"/>
  <c r="AI224"/>
  <c r="AH224"/>
  <c r="AG224"/>
  <c r="AF224"/>
  <c r="AE224"/>
  <c r="AD224"/>
  <c r="AC224"/>
  <c r="AI223"/>
  <c r="AH223"/>
  <c r="AG223"/>
  <c r="AF223"/>
  <c r="AE223"/>
  <c r="AD223"/>
  <c r="AC223"/>
  <c r="AI222"/>
  <c r="AH222"/>
  <c r="AG222"/>
  <c r="AF222"/>
  <c r="AE222"/>
  <c r="AD222"/>
  <c r="AC222"/>
  <c r="AI221"/>
  <c r="AH221"/>
  <c r="AG221"/>
  <c r="AF221"/>
  <c r="AE221"/>
  <c r="AD221"/>
  <c r="AC221"/>
  <c r="AI220"/>
  <c r="AH220"/>
  <c r="AG220"/>
  <c r="AF220"/>
  <c r="AE220"/>
  <c r="AD220"/>
  <c r="AC220"/>
  <c r="AI219"/>
  <c r="AH219"/>
  <c r="AG219"/>
  <c r="AF219"/>
  <c r="AE219"/>
  <c r="AD219"/>
  <c r="AC219"/>
  <c r="AI218"/>
  <c r="AH218"/>
  <c r="AG218"/>
  <c r="AF218"/>
  <c r="AE218"/>
  <c r="AD218"/>
  <c r="AC218"/>
  <c r="AI217"/>
  <c r="AH217"/>
  <c r="AG217"/>
  <c r="AF217"/>
  <c r="AE217"/>
  <c r="AD217"/>
  <c r="AC217"/>
  <c r="AI216"/>
  <c r="AH216"/>
  <c r="AG216"/>
  <c r="AF216"/>
  <c r="AE216"/>
  <c r="AD216"/>
  <c r="AC216"/>
  <c r="AI215"/>
  <c r="AH215"/>
  <c r="AG215"/>
  <c r="AF215"/>
  <c r="AE215"/>
  <c r="AD215"/>
  <c r="AC215"/>
  <c r="AI214"/>
  <c r="AH214"/>
  <c r="AG214"/>
  <c r="AF214"/>
  <c r="AE214"/>
  <c r="AD214"/>
  <c r="AC214"/>
  <c r="AI213"/>
  <c r="AH213"/>
  <c r="AG213"/>
  <c r="AF213"/>
  <c r="AE213"/>
  <c r="AD213"/>
  <c r="AC213"/>
  <c r="AI212"/>
  <c r="AH212"/>
  <c r="AG212"/>
  <c r="AF212"/>
  <c r="AE212"/>
  <c r="AD212"/>
  <c r="AC212"/>
  <c r="AI211"/>
  <c r="AH211"/>
  <c r="AG211"/>
  <c r="AF211"/>
  <c r="AE211"/>
  <c r="AD211"/>
  <c r="AC211"/>
  <c r="AI210"/>
  <c r="AH210"/>
  <c r="AG210"/>
  <c r="AF210"/>
  <c r="AE210"/>
  <c r="AD210"/>
  <c r="AC210"/>
  <c r="AI209"/>
  <c r="AH209"/>
  <c r="AG209"/>
  <c r="AF209"/>
  <c r="AE209"/>
  <c r="AD209"/>
  <c r="AC209"/>
  <c r="AI208"/>
  <c r="AH208"/>
  <c r="AG208"/>
  <c r="AF208"/>
  <c r="AE208"/>
  <c r="AD208"/>
  <c r="AC208"/>
  <c r="AI207"/>
  <c r="AH207"/>
  <c r="AG207"/>
  <c r="AF207"/>
  <c r="AE207"/>
  <c r="AD207"/>
  <c r="AC207"/>
  <c r="AI206"/>
  <c r="AH206"/>
  <c r="AG206"/>
  <c r="AF206"/>
  <c r="AE206"/>
  <c r="AD206"/>
  <c r="AC206"/>
  <c r="AI205"/>
  <c r="AH205"/>
  <c r="AG205"/>
  <c r="AF205"/>
  <c r="AE205"/>
  <c r="AD205"/>
  <c r="AC205"/>
  <c r="AI204"/>
  <c r="AH204"/>
  <c r="AG204"/>
  <c r="AF204"/>
  <c r="AE204"/>
  <c r="AD204"/>
  <c r="AC204"/>
  <c r="AI203"/>
  <c r="AH203"/>
  <c r="AG203"/>
  <c r="AF203"/>
  <c r="AE203"/>
  <c r="AD203"/>
  <c r="AC203"/>
  <c r="AI202"/>
  <c r="AH202"/>
  <c r="AG202"/>
  <c r="AF202"/>
  <c r="AE202"/>
  <c r="AD202"/>
  <c r="AC202"/>
  <c r="AI201"/>
  <c r="AH201"/>
  <c r="AG201"/>
  <c r="AF201"/>
  <c r="AE201"/>
  <c r="AD201"/>
  <c r="AC201"/>
  <c r="AI200"/>
  <c r="AH200"/>
  <c r="AG200"/>
  <c r="AF200"/>
  <c r="AE200"/>
  <c r="AD200"/>
  <c r="AC200"/>
  <c r="AI199"/>
  <c r="AH199"/>
  <c r="AG199"/>
  <c r="AF199"/>
  <c r="AE199"/>
  <c r="AD199"/>
  <c r="AC199"/>
  <c r="AI198"/>
  <c r="AH198"/>
  <c r="AG198"/>
  <c r="AF198"/>
  <c r="AE198"/>
  <c r="AD198"/>
  <c r="AC198"/>
  <c r="AI197"/>
  <c r="AH197"/>
  <c r="AG197"/>
  <c r="AF197"/>
  <c r="AE197"/>
  <c r="AD197"/>
  <c r="AC197"/>
  <c r="AI196"/>
  <c r="AH196"/>
  <c r="AG196"/>
  <c r="AF196"/>
  <c r="AE196"/>
  <c r="AD196"/>
  <c r="AC196"/>
  <c r="AI195"/>
  <c r="AH195"/>
  <c r="AG195"/>
  <c r="AF195"/>
  <c r="AE195"/>
  <c r="AD195"/>
  <c r="AC195"/>
  <c r="AI194"/>
  <c r="AH194"/>
  <c r="AG194"/>
  <c r="AF194"/>
  <c r="AE194"/>
  <c r="AD194"/>
  <c r="AC194"/>
  <c r="AI193"/>
  <c r="AH193"/>
  <c r="AG193"/>
  <c r="AF193"/>
  <c r="AE193"/>
  <c r="AD193"/>
  <c r="AC193"/>
  <c r="AI192"/>
  <c r="AH192"/>
  <c r="AG192"/>
  <c r="AF192"/>
  <c r="AE192"/>
  <c r="AD192"/>
  <c r="AC192"/>
  <c r="AI191"/>
  <c r="AH191"/>
  <c r="AG191"/>
  <c r="AF191"/>
  <c r="AE191"/>
  <c r="AD191"/>
  <c r="AC191"/>
  <c r="AI190"/>
  <c r="AH190"/>
  <c r="AG190"/>
  <c r="AF190"/>
  <c r="AE190"/>
  <c r="AD190"/>
  <c r="AC190"/>
  <c r="AI189"/>
  <c r="AH189"/>
  <c r="AG189"/>
  <c r="AF189"/>
  <c r="AE189"/>
  <c r="AD189"/>
  <c r="AC189"/>
  <c r="AI188"/>
  <c r="AH188"/>
  <c r="AG188"/>
  <c r="AF188"/>
  <c r="AE188"/>
  <c r="AD188"/>
  <c r="AC188"/>
  <c r="AI187"/>
  <c r="AH187"/>
  <c r="AG187"/>
  <c r="AF187"/>
  <c r="AE187"/>
  <c r="AD187"/>
  <c r="AC187"/>
  <c r="AI186"/>
  <c r="AH186"/>
  <c r="AG186"/>
  <c r="AF186"/>
  <c r="AE186"/>
  <c r="AD186"/>
  <c r="AC186"/>
  <c r="AI185"/>
  <c r="AH185"/>
  <c r="AG185"/>
  <c r="AF185"/>
  <c r="AE185"/>
  <c r="AD185"/>
  <c r="AC185"/>
  <c r="AI184"/>
  <c r="AH184"/>
  <c r="AG184"/>
  <c r="AF184"/>
  <c r="AE184"/>
  <c r="AD184"/>
  <c r="AC184"/>
  <c r="AI183"/>
  <c r="AH183"/>
  <c r="AG183"/>
  <c r="AF183"/>
  <c r="AE183"/>
  <c r="AD183"/>
  <c r="AC183"/>
  <c r="AI182"/>
  <c r="AH182"/>
  <c r="AG182"/>
  <c r="AF182"/>
  <c r="AE182"/>
  <c r="AD182"/>
  <c r="AC182"/>
  <c r="AI181"/>
  <c r="AH181"/>
  <c r="AG181"/>
  <c r="AF181"/>
  <c r="AE181"/>
  <c r="AD181"/>
  <c r="AC181"/>
  <c r="AI180"/>
  <c r="AH180"/>
  <c r="AG180"/>
  <c r="AF180"/>
  <c r="AE180"/>
  <c r="AD180"/>
  <c r="AC180"/>
  <c r="AI179"/>
  <c r="AH179"/>
  <c r="AG179"/>
  <c r="AF179"/>
  <c r="AE179"/>
  <c r="AD179"/>
  <c r="AC179"/>
  <c r="AI178"/>
  <c r="AH178"/>
  <c r="AG178"/>
  <c r="AF178"/>
  <c r="AE178"/>
  <c r="AD178"/>
  <c r="AC178"/>
  <c r="AI177"/>
  <c r="AH177"/>
  <c r="AG177"/>
  <c r="AF177"/>
  <c r="AE177"/>
  <c r="AD177"/>
  <c r="AC177"/>
  <c r="AI176"/>
  <c r="AH176"/>
  <c r="AG176"/>
  <c r="AF176"/>
  <c r="AE176"/>
  <c r="AD176"/>
  <c r="AC176"/>
  <c r="AI175"/>
  <c r="AH175"/>
  <c r="AG175"/>
  <c r="AF175"/>
  <c r="AE175"/>
  <c r="AD175"/>
  <c r="AC175"/>
  <c r="AI174"/>
  <c r="AH174"/>
  <c r="AG174"/>
  <c r="AF174"/>
  <c r="AE174"/>
  <c r="AD174"/>
  <c r="AC174"/>
  <c r="AI173"/>
  <c r="AH173"/>
  <c r="AG173"/>
  <c r="AF173"/>
  <c r="AE173"/>
  <c r="AD173"/>
  <c r="AC173"/>
  <c r="AI172"/>
  <c r="AH172"/>
  <c r="AG172"/>
  <c r="AF172"/>
  <c r="AE172"/>
  <c r="AD172"/>
  <c r="AC172"/>
  <c r="AI171"/>
  <c r="AH171"/>
  <c r="AG171"/>
  <c r="AF171"/>
  <c r="AE171"/>
  <c r="AD171"/>
  <c r="AC171"/>
  <c r="AI170"/>
  <c r="AH170"/>
  <c r="AG170"/>
  <c r="AF170"/>
  <c r="AE170"/>
  <c r="AD170"/>
  <c r="AC170"/>
  <c r="AI169"/>
  <c r="AH169"/>
  <c r="AG169"/>
  <c r="AF169"/>
  <c r="AE169"/>
  <c r="AD169"/>
  <c r="AC169"/>
  <c r="AI168"/>
  <c r="AH168"/>
  <c r="AG168"/>
  <c r="AF168"/>
  <c r="AE168"/>
  <c r="AD168"/>
  <c r="AC168"/>
  <c r="AI167"/>
  <c r="AH167"/>
  <c r="AG167"/>
  <c r="AF167"/>
  <c r="AE167"/>
  <c r="AD167"/>
  <c r="AC167"/>
  <c r="AI166"/>
  <c r="AH166"/>
  <c r="AG166"/>
  <c r="AF166"/>
  <c r="AE166"/>
  <c r="AD166"/>
  <c r="AC166"/>
  <c r="AI165"/>
  <c r="AH165"/>
  <c r="AG165"/>
  <c r="AF165"/>
  <c r="AE165"/>
  <c r="AD165"/>
  <c r="AC165"/>
  <c r="AI164"/>
  <c r="AH164"/>
  <c r="AG164"/>
  <c r="AF164"/>
  <c r="AE164"/>
  <c r="AD164"/>
  <c r="AC164"/>
  <c r="AI163"/>
  <c r="AH163"/>
  <c r="AG163"/>
  <c r="AF163"/>
  <c r="AE163"/>
  <c r="AD163"/>
  <c r="AC163"/>
  <c r="AI162"/>
  <c r="AH162"/>
  <c r="AG162"/>
  <c r="AF162"/>
  <c r="AE162"/>
  <c r="AD162"/>
  <c r="AC162"/>
  <c r="AI161"/>
  <c r="AH161"/>
  <c r="AG161"/>
  <c r="AF161"/>
  <c r="AE161"/>
  <c r="AD161"/>
  <c r="AC161"/>
  <c r="AI160"/>
  <c r="AH160"/>
  <c r="AG160"/>
  <c r="AF160"/>
  <c r="AE160"/>
  <c r="AD160"/>
  <c r="AC160"/>
  <c r="AI159"/>
  <c r="AH159"/>
  <c r="AG159"/>
  <c r="AF159"/>
  <c r="AE159"/>
  <c r="AD159"/>
  <c r="AC159"/>
  <c r="AI158"/>
  <c r="AH158"/>
  <c r="AG158"/>
  <c r="AF158"/>
  <c r="AE158"/>
  <c r="AD158"/>
  <c r="AC158"/>
  <c r="AI157"/>
  <c r="AH157"/>
  <c r="AG157"/>
  <c r="AF157"/>
  <c r="AE157"/>
  <c r="AD157"/>
  <c r="AC157"/>
  <c r="AI156"/>
  <c r="AH156"/>
  <c r="AG156"/>
  <c r="AF156"/>
  <c r="AE156"/>
  <c r="AD156"/>
  <c r="AC156"/>
  <c r="AI155"/>
  <c r="AH155"/>
  <c r="AG155"/>
  <c r="AF155"/>
  <c r="AE155"/>
  <c r="AD155"/>
  <c r="AC155"/>
  <c r="AI154"/>
  <c r="AH154"/>
  <c r="AG154"/>
  <c r="AF154"/>
  <c r="AE154"/>
  <c r="AD154"/>
  <c r="AC154"/>
  <c r="AI153"/>
  <c r="AH153"/>
  <c r="AG153"/>
  <c r="AF153"/>
  <c r="AE153"/>
  <c r="AD153"/>
  <c r="AC153"/>
  <c r="AI152"/>
  <c r="AH152"/>
  <c r="AG152"/>
  <c r="AF152"/>
  <c r="AE152"/>
  <c r="AD152"/>
  <c r="AC152"/>
  <c r="AI151"/>
  <c r="AH151"/>
  <c r="AG151"/>
  <c r="AF151"/>
  <c r="AE151"/>
  <c r="AD151"/>
  <c r="AC151"/>
  <c r="AI150"/>
  <c r="AH150"/>
  <c r="AG150"/>
  <c r="AF150"/>
  <c r="AE150"/>
  <c r="AD150"/>
  <c r="AC150"/>
  <c r="AI149"/>
  <c r="AH149"/>
  <c r="AG149"/>
  <c r="AF149"/>
  <c r="AE149"/>
  <c r="AD149"/>
  <c r="AC149"/>
  <c r="AI148"/>
  <c r="AH148"/>
  <c r="AG148"/>
  <c r="AF148"/>
  <c r="AE148"/>
  <c r="AD148"/>
  <c r="AC148"/>
  <c r="AI147"/>
  <c r="AH147"/>
  <c r="AG147"/>
  <c r="AF147"/>
  <c r="AE147"/>
  <c r="AD147"/>
  <c r="AC147"/>
  <c r="AI146"/>
  <c r="AH146"/>
  <c r="AG146"/>
  <c r="AF146"/>
  <c r="AE146"/>
  <c r="AD146"/>
  <c r="AC146"/>
  <c r="AI145"/>
  <c r="AH145"/>
  <c r="AG145"/>
  <c r="AF145"/>
  <c r="AE145"/>
  <c r="AD145"/>
  <c r="AC145"/>
  <c r="AI144"/>
  <c r="AH144"/>
  <c r="AG144"/>
  <c r="AF144"/>
  <c r="AE144"/>
  <c r="AD144"/>
  <c r="AC144"/>
  <c r="AI143"/>
  <c r="AH143"/>
  <c r="AG143"/>
  <c r="AF143"/>
  <c r="AE143"/>
  <c r="AD143"/>
  <c r="AC143"/>
  <c r="AI142"/>
  <c r="AH142"/>
  <c r="AG142"/>
  <c r="AF142"/>
  <c r="AE142"/>
  <c r="AD142"/>
  <c r="AC142"/>
  <c r="AI141"/>
  <c r="AH141"/>
  <c r="AG141"/>
  <c r="AF141"/>
  <c r="AE141"/>
  <c r="AD141"/>
  <c r="AC141"/>
  <c r="AI140"/>
  <c r="AH140"/>
  <c r="AG140"/>
  <c r="AF140"/>
  <c r="AE140"/>
  <c r="AD140"/>
  <c r="AC140"/>
  <c r="AI139"/>
  <c r="AH139"/>
  <c r="AG139"/>
  <c r="AF139"/>
  <c r="AE139"/>
  <c r="AD139"/>
  <c r="AC139"/>
  <c r="AI138"/>
  <c r="AH138"/>
  <c r="AG138"/>
  <c r="AF138"/>
  <c r="AE138"/>
  <c r="AD138"/>
  <c r="AC138"/>
  <c r="AI137"/>
  <c r="AH137"/>
  <c r="AG137"/>
  <c r="AF137"/>
  <c r="AE137"/>
  <c r="AD137"/>
  <c r="AC137"/>
  <c r="AI136"/>
  <c r="AH136"/>
  <c r="AG136"/>
  <c r="AF136"/>
  <c r="AE136"/>
  <c r="AD136"/>
  <c r="AC136"/>
  <c r="AI135"/>
  <c r="AH135"/>
  <c r="AG135"/>
  <c r="AF135"/>
  <c r="AE135"/>
  <c r="AD135"/>
  <c r="AC135"/>
  <c r="AI134"/>
  <c r="AH134"/>
  <c r="AG134"/>
  <c r="AF134"/>
  <c r="AE134"/>
  <c r="AD134"/>
  <c r="AC134"/>
  <c r="AI133"/>
  <c r="AH133"/>
  <c r="AG133"/>
  <c r="AF133"/>
  <c r="AE133"/>
  <c r="AD133"/>
  <c r="AC133"/>
  <c r="AI132"/>
  <c r="AH132"/>
  <c r="AG132"/>
  <c r="AF132"/>
  <c r="AE132"/>
  <c r="AD132"/>
  <c r="AC132"/>
  <c r="AI131"/>
  <c r="AH131"/>
  <c r="AG131"/>
  <c r="AF131"/>
  <c r="AE131"/>
  <c r="AD131"/>
  <c r="AC131"/>
  <c r="AI130"/>
  <c r="AH130"/>
  <c r="AG130"/>
  <c r="AF130"/>
  <c r="AE130"/>
  <c r="AD130"/>
  <c r="AC130"/>
  <c r="AI129"/>
  <c r="AH129"/>
  <c r="AG129"/>
  <c r="AF129"/>
  <c r="AE129"/>
  <c r="AD129"/>
  <c r="AC129"/>
  <c r="AI128"/>
  <c r="AH128"/>
  <c r="AG128"/>
  <c r="AF128"/>
  <c r="AE128"/>
  <c r="AD128"/>
  <c r="AC128"/>
  <c r="AI127"/>
  <c r="AH127"/>
  <c r="AG127"/>
  <c r="AF127"/>
  <c r="AE127"/>
  <c r="AD127"/>
  <c r="AC127"/>
  <c r="AI126"/>
  <c r="AH126"/>
  <c r="AG126"/>
  <c r="AF126"/>
  <c r="AE126"/>
  <c r="AD126"/>
  <c r="AC126"/>
  <c r="AI125"/>
  <c r="AH125"/>
  <c r="AG125"/>
  <c r="AF125"/>
  <c r="AE125"/>
  <c r="AD125"/>
  <c r="AC125"/>
  <c r="AI124"/>
  <c r="AH124"/>
  <c r="AG124"/>
  <c r="AF124"/>
  <c r="AE124"/>
  <c r="AD124"/>
  <c r="AC124"/>
  <c r="AI123"/>
  <c r="AH123"/>
  <c r="AG123"/>
  <c r="AF123"/>
  <c r="AE123"/>
  <c r="AD123"/>
  <c r="AC123"/>
  <c r="AI122"/>
  <c r="AH122"/>
  <c r="AG122"/>
  <c r="AF122"/>
  <c r="AE122"/>
  <c r="AD122"/>
  <c r="AC122"/>
  <c r="AI121"/>
  <c r="AH121"/>
  <c r="AG121"/>
  <c r="AF121"/>
  <c r="AE121"/>
  <c r="AD121"/>
  <c r="AC121"/>
  <c r="AI120"/>
  <c r="AH120"/>
  <c r="AG120"/>
  <c r="AF120"/>
  <c r="AE120"/>
  <c r="AD120"/>
  <c r="AC120"/>
  <c r="AI119"/>
  <c r="AH119"/>
  <c r="AG119"/>
  <c r="AF119"/>
  <c r="AE119"/>
  <c r="AD119"/>
  <c r="AC119"/>
  <c r="AI118"/>
  <c r="AH118"/>
  <c r="AG118"/>
  <c r="AF118"/>
  <c r="AE118"/>
  <c r="AD118"/>
  <c r="AC118"/>
  <c r="AI117"/>
  <c r="AH117"/>
  <c r="AG117"/>
  <c r="AF117"/>
  <c r="AE117"/>
  <c r="AD117"/>
  <c r="AC117"/>
  <c r="AI116"/>
  <c r="AH116"/>
  <c r="AG116"/>
  <c r="AF116"/>
  <c r="AE116"/>
  <c r="AD116"/>
  <c r="AC116"/>
  <c r="AI115"/>
  <c r="AH115"/>
  <c r="AG115"/>
  <c r="AF115"/>
  <c r="AE115"/>
  <c r="AD115"/>
  <c r="AC115"/>
  <c r="AI114"/>
  <c r="AH114"/>
  <c r="AG114"/>
  <c r="AF114"/>
  <c r="AE114"/>
  <c r="AD114"/>
  <c r="AC114"/>
  <c r="AI113"/>
  <c r="AH113"/>
  <c r="AG113"/>
  <c r="AF113"/>
  <c r="AE113"/>
  <c r="AD113"/>
  <c r="AC113"/>
  <c r="AI112"/>
  <c r="AH112"/>
  <c r="AG112"/>
  <c r="AF112"/>
  <c r="AE112"/>
  <c r="AD112"/>
  <c r="AC112"/>
  <c r="AI111"/>
  <c r="AH111"/>
  <c r="AG111"/>
  <c r="AF111"/>
  <c r="AE111"/>
  <c r="AD111"/>
  <c r="AC111"/>
  <c r="AI110"/>
  <c r="AH110"/>
  <c r="AG110"/>
  <c r="AF110"/>
  <c r="AE110"/>
  <c r="AD110"/>
  <c r="AC110"/>
  <c r="AI109"/>
  <c r="AH109"/>
  <c r="AG109"/>
  <c r="AF109"/>
  <c r="AE109"/>
  <c r="AD109"/>
  <c r="AC109"/>
  <c r="AI108"/>
  <c r="AH108"/>
  <c r="AG108"/>
  <c r="AF108"/>
  <c r="AE108"/>
  <c r="AD108"/>
  <c r="AC108"/>
  <c r="AI107"/>
  <c r="AH107"/>
  <c r="AG107"/>
  <c r="AF107"/>
  <c r="AE107"/>
  <c r="AD107"/>
  <c r="AC107"/>
  <c r="AI106"/>
  <c r="AH106"/>
  <c r="AG106"/>
  <c r="AF106"/>
  <c r="AE106"/>
  <c r="AD106"/>
  <c r="AC106"/>
  <c r="AI105"/>
  <c r="AH105"/>
  <c r="AG105"/>
  <c r="AF105"/>
  <c r="AE105"/>
  <c r="AD105"/>
  <c r="AC105"/>
  <c r="AI104"/>
  <c r="AH104"/>
  <c r="AG104"/>
  <c r="AF104"/>
  <c r="AE104"/>
  <c r="AD104"/>
  <c r="AC104"/>
  <c r="AI103"/>
  <c r="AH103"/>
  <c r="AG103"/>
  <c r="AF103"/>
  <c r="AE103"/>
  <c r="AD103"/>
  <c r="AC103"/>
  <c r="AI102"/>
  <c r="AH102"/>
  <c r="AG102"/>
  <c r="AF102"/>
  <c r="AE102"/>
  <c r="AD102"/>
  <c r="AC102"/>
  <c r="AI101"/>
  <c r="AH101"/>
  <c r="AG101"/>
  <c r="AF101"/>
  <c r="AE101"/>
  <c r="AD101"/>
  <c r="AC101"/>
  <c r="AI100"/>
  <c r="AH100"/>
  <c r="AG100"/>
  <c r="AF100"/>
  <c r="AE100"/>
  <c r="AD100"/>
  <c r="AC100"/>
  <c r="AI99"/>
  <c r="AH99"/>
  <c r="AG99"/>
  <c r="AF99"/>
  <c r="AE99"/>
  <c r="AD99"/>
  <c r="AC99"/>
  <c r="AI98"/>
  <c r="AH98"/>
  <c r="AG98"/>
  <c r="AF98"/>
  <c r="AE98"/>
  <c r="AD98"/>
  <c r="AC98"/>
  <c r="AI97"/>
  <c r="AH97"/>
  <c r="AG97"/>
  <c r="AF97"/>
  <c r="AE97"/>
  <c r="AD97"/>
  <c r="AC97"/>
  <c r="AI96"/>
  <c r="AH96"/>
  <c r="AG96"/>
  <c r="AF96"/>
  <c r="AE96"/>
  <c r="AD96"/>
  <c r="AC96"/>
  <c r="AI95"/>
  <c r="AH95"/>
  <c r="AG95"/>
  <c r="AF95"/>
  <c r="AE95"/>
  <c r="AD95"/>
  <c r="AC95"/>
  <c r="AI94"/>
  <c r="AH94"/>
  <c r="AG94"/>
  <c r="AF94"/>
  <c r="AE94"/>
  <c r="AD94"/>
  <c r="AC94"/>
  <c r="AI93"/>
  <c r="AH93"/>
  <c r="AG93"/>
  <c r="AF93"/>
  <c r="AE93"/>
  <c r="AD93"/>
  <c r="AC93"/>
  <c r="AI92"/>
  <c r="AH92"/>
  <c r="AG92"/>
  <c r="AF92"/>
  <c r="AE92"/>
  <c r="AD92"/>
  <c r="AC92"/>
  <c r="AI91"/>
  <c r="AH91"/>
  <c r="AG91"/>
  <c r="AF91"/>
  <c r="AE91"/>
  <c r="AD91"/>
  <c r="AC91"/>
  <c r="AI90"/>
  <c r="AH90"/>
  <c r="AG90"/>
  <c r="AF90"/>
  <c r="AE90"/>
  <c r="AD90"/>
  <c r="AC90"/>
  <c r="AI89"/>
  <c r="AH89"/>
  <c r="AG89"/>
  <c r="AF89"/>
  <c r="AE89"/>
  <c r="AD89"/>
  <c r="AC89"/>
  <c r="AI88"/>
  <c r="AH88"/>
  <c r="AG88"/>
  <c r="AF88"/>
  <c r="AE88"/>
  <c r="AD88"/>
  <c r="AC88"/>
  <c r="AI87"/>
  <c r="AH87"/>
  <c r="AG87"/>
  <c r="AF87"/>
  <c r="AE87"/>
  <c r="AD87"/>
  <c r="AC87"/>
  <c r="AI86"/>
  <c r="AH86"/>
  <c r="AG86"/>
  <c r="AF86"/>
  <c r="AE86"/>
  <c r="AD86"/>
  <c r="AC86"/>
  <c r="AI85"/>
  <c r="AH85"/>
  <c r="AG85"/>
  <c r="AF85"/>
  <c r="AE85"/>
  <c r="AD85"/>
  <c r="AC85"/>
  <c r="AI84"/>
  <c r="AH84"/>
  <c r="AG84"/>
  <c r="AF84"/>
  <c r="AE84"/>
  <c r="AD84"/>
  <c r="AC84"/>
  <c r="AI83"/>
  <c r="AH83"/>
  <c r="AG83"/>
  <c r="AF83"/>
  <c r="AE83"/>
  <c r="AD83"/>
  <c r="AC83"/>
  <c r="AI82"/>
  <c r="AH82"/>
  <c r="AG82"/>
  <c r="AF82"/>
  <c r="AE82"/>
  <c r="AD82"/>
  <c r="AC82"/>
  <c r="AI81"/>
  <c r="AH81"/>
  <c r="AG81"/>
  <c r="AF81"/>
  <c r="AE81"/>
  <c r="AD81"/>
  <c r="AC81"/>
  <c r="AI80"/>
  <c r="AH80"/>
  <c r="AG80"/>
  <c r="AF80"/>
  <c r="AE80"/>
  <c r="AD80"/>
  <c r="AC80"/>
  <c r="AI79"/>
  <c r="AH79"/>
  <c r="AG79"/>
  <c r="AF79"/>
  <c r="AE79"/>
  <c r="AD79"/>
  <c r="AC79"/>
  <c r="AI78"/>
  <c r="AH78"/>
  <c r="AG78"/>
  <c r="AF78"/>
  <c r="AE78"/>
  <c r="AD78"/>
  <c r="AC78"/>
  <c r="AI77"/>
  <c r="AH77"/>
  <c r="AG77"/>
  <c r="AF77"/>
  <c r="AE77"/>
  <c r="AD77"/>
  <c r="AC77"/>
  <c r="AI76"/>
  <c r="AH76"/>
  <c r="AG76"/>
  <c r="AF76"/>
  <c r="AE76"/>
  <c r="AD76"/>
  <c r="AC76"/>
  <c r="AI75"/>
  <c r="AH75"/>
  <c r="AG75"/>
  <c r="AF75"/>
  <c r="AE75"/>
  <c r="AD75"/>
  <c r="AC75"/>
  <c r="AI74"/>
  <c r="AH74"/>
  <c r="AG74"/>
  <c r="AF74"/>
  <c r="AE74"/>
  <c r="AD74"/>
  <c r="AC74"/>
  <c r="AI73"/>
  <c r="AH73"/>
  <c r="AG73"/>
  <c r="AF73"/>
  <c r="AE73"/>
  <c r="AD73"/>
  <c r="AC73"/>
  <c r="AI72"/>
  <c r="AH72"/>
  <c r="AG72"/>
  <c r="AF72"/>
  <c r="AE72"/>
  <c r="AD72"/>
  <c r="AC72"/>
  <c r="AI71"/>
  <c r="AH71"/>
  <c r="AG71"/>
  <c r="AF71"/>
  <c r="AE71"/>
  <c r="AD71"/>
  <c r="AC71"/>
  <c r="AI70"/>
  <c r="AH70"/>
  <c r="AG70"/>
  <c r="AF70"/>
  <c r="AE70"/>
  <c r="AD70"/>
  <c r="AC70"/>
  <c r="AI69"/>
  <c r="AH69"/>
  <c r="AG69"/>
  <c r="AF69"/>
  <c r="AE69"/>
  <c r="AD69"/>
  <c r="AC69"/>
  <c r="AI68"/>
  <c r="AH68"/>
  <c r="AG68"/>
  <c r="AF68"/>
  <c r="AE68"/>
  <c r="AD68"/>
  <c r="AC68"/>
  <c r="AI67"/>
  <c r="AH67"/>
  <c r="AG67"/>
  <c r="AF67"/>
  <c r="AE67"/>
  <c r="AD67"/>
  <c r="AC67"/>
  <c r="AI66"/>
  <c r="AH66"/>
  <c r="AG66"/>
  <c r="AF66"/>
  <c r="AE66"/>
  <c r="AD66"/>
  <c r="AC66"/>
  <c r="AI65"/>
  <c r="AH65"/>
  <c r="AG65"/>
  <c r="AF65"/>
  <c r="AE65"/>
  <c r="AD65"/>
  <c r="AC65"/>
  <c r="AI64"/>
  <c r="AH64"/>
  <c r="AG64"/>
  <c r="AF64"/>
  <c r="AE64"/>
  <c r="AD64"/>
  <c r="AC64"/>
  <c r="AI63"/>
  <c r="AH63"/>
  <c r="AG63"/>
  <c r="AF63"/>
  <c r="AE63"/>
  <c r="AD63"/>
  <c r="AC63"/>
  <c r="AI62"/>
  <c r="AH62"/>
  <c r="AG62"/>
  <c r="AF62"/>
  <c r="AE62"/>
  <c r="AD62"/>
  <c r="AC62"/>
  <c r="AI61"/>
  <c r="AH61"/>
  <c r="AG61"/>
  <c r="AF61"/>
  <c r="AE61"/>
  <c r="AD61"/>
  <c r="AC61"/>
  <c r="AI60"/>
  <c r="AH60"/>
  <c r="AG60"/>
  <c r="AF60"/>
  <c r="AE60"/>
  <c r="AD60"/>
  <c r="AC60"/>
  <c r="AI59"/>
  <c r="AH59"/>
  <c r="AG59"/>
  <c r="AF59"/>
  <c r="AE59"/>
  <c r="AD59"/>
  <c r="AC59"/>
  <c r="AI58"/>
  <c r="AH58"/>
  <c r="AG58"/>
  <c r="AF58"/>
  <c r="AE58"/>
  <c r="AD58"/>
  <c r="AC58"/>
  <c r="AI57"/>
  <c r="AH57"/>
  <c r="AG57"/>
  <c r="AF57"/>
  <c r="AE57"/>
  <c r="AD57"/>
  <c r="AC57"/>
  <c r="AI56"/>
  <c r="AH56"/>
  <c r="AG56"/>
  <c r="AF56"/>
  <c r="AE56"/>
  <c r="AD56"/>
  <c r="AC56"/>
  <c r="AI55"/>
  <c r="AH55"/>
  <c r="AG55"/>
  <c r="AF55"/>
  <c r="AE55"/>
  <c r="AD55"/>
  <c r="AC55"/>
  <c r="AI54"/>
  <c r="AH54"/>
  <c r="AG54"/>
  <c r="AF54"/>
  <c r="AE54"/>
  <c r="AD54"/>
  <c r="AC54"/>
  <c r="AI53"/>
  <c r="AH53"/>
  <c r="AG53"/>
  <c r="AF53"/>
  <c r="AE53"/>
  <c r="AD53"/>
  <c r="AC53"/>
  <c r="AI52"/>
  <c r="AH52"/>
  <c r="AG52"/>
  <c r="AF52"/>
  <c r="AE52"/>
  <c r="AD52"/>
  <c r="AC52"/>
  <c r="AI51"/>
  <c r="AH51"/>
  <c r="AG51"/>
  <c r="AF51"/>
  <c r="AE51"/>
  <c r="AD51"/>
  <c r="AC51"/>
  <c r="AI50"/>
  <c r="AH50"/>
  <c r="AG50"/>
  <c r="AF50"/>
  <c r="AE50"/>
  <c r="AD50"/>
  <c r="AC50"/>
  <c r="AI49"/>
  <c r="AH49"/>
  <c r="AG49"/>
  <c r="AF49"/>
  <c r="AE49"/>
  <c r="AD49"/>
  <c r="AC49"/>
  <c r="AI48"/>
  <c r="AH48"/>
  <c r="AG48"/>
  <c r="AF48"/>
  <c r="AE48"/>
  <c r="AD48"/>
  <c r="AC48"/>
  <c r="AI47"/>
  <c r="AH47"/>
  <c r="AG47"/>
  <c r="AF47"/>
  <c r="AE47"/>
  <c r="AD47"/>
  <c r="AC47"/>
  <c r="AI46"/>
  <c r="AH46"/>
  <c r="AG46"/>
  <c r="AF46"/>
  <c r="AE46"/>
  <c r="AD46"/>
  <c r="AC46"/>
  <c r="AI45"/>
  <c r="AH45"/>
  <c r="AG45"/>
  <c r="AF45"/>
  <c r="AE45"/>
  <c r="AD45"/>
  <c r="AC45"/>
  <c r="AI44"/>
  <c r="AH44"/>
  <c r="AG44"/>
  <c r="AF44"/>
  <c r="AE44"/>
  <c r="AD44"/>
  <c r="AC44"/>
  <c r="AI43"/>
  <c r="AH43"/>
  <c r="AG43"/>
  <c r="AF43"/>
  <c r="AE43"/>
  <c r="AD43"/>
  <c r="AC43"/>
  <c r="AI42"/>
  <c r="AH42"/>
  <c r="AG42"/>
  <c r="AF42"/>
  <c r="AE42"/>
  <c r="AD42"/>
  <c r="AC42"/>
  <c r="AI41"/>
  <c r="AH41"/>
  <c r="AG41"/>
  <c r="AF41"/>
  <c r="AE41"/>
  <c r="AD41"/>
  <c r="AC41"/>
  <c r="AI40"/>
  <c r="AH40"/>
  <c r="AG40"/>
  <c r="AF40"/>
  <c r="AE40"/>
  <c r="AD40"/>
  <c r="AC40"/>
  <c r="AI39"/>
  <c r="AH39"/>
  <c r="AG39"/>
  <c r="AF39"/>
  <c r="AE39"/>
  <c r="AD39"/>
  <c r="AC39"/>
  <c r="AI38"/>
  <c r="AH38"/>
  <c r="AG38"/>
  <c r="AF38"/>
  <c r="AE38"/>
  <c r="AD38"/>
  <c r="AC38"/>
  <c r="AI37"/>
  <c r="AH37"/>
  <c r="AG37"/>
  <c r="AF37"/>
  <c r="AE37"/>
  <c r="AD37"/>
  <c r="AC37"/>
  <c r="AI36"/>
  <c r="AH36"/>
  <c r="AG36"/>
  <c r="AF36"/>
  <c r="AE36"/>
  <c r="AD36"/>
  <c r="AC36"/>
  <c r="AI35"/>
  <c r="AH35"/>
  <c r="AG35"/>
  <c r="AF35"/>
  <c r="AE35"/>
  <c r="AD35"/>
  <c r="AC35"/>
  <c r="AI34"/>
  <c r="AH34"/>
  <c r="AG34"/>
  <c r="AF34"/>
  <c r="AE34"/>
  <c r="AD34"/>
  <c r="AC34"/>
  <c r="AI33"/>
  <c r="AH33"/>
  <c r="AG33"/>
  <c r="AF33"/>
  <c r="AE33"/>
  <c r="AD33"/>
  <c r="AC33"/>
  <c r="AI32"/>
  <c r="AH32"/>
  <c r="AG32"/>
  <c r="AF32"/>
  <c r="AE32"/>
  <c r="AD32"/>
  <c r="AC32"/>
  <c r="AI31"/>
  <c r="AH31"/>
  <c r="AG31"/>
  <c r="AF31"/>
  <c r="AE31"/>
  <c r="AD31"/>
  <c r="AC31"/>
  <c r="AI30"/>
  <c r="AH30"/>
  <c r="AG30"/>
  <c r="AF30"/>
  <c r="AE30"/>
  <c r="AD30"/>
  <c r="AC30"/>
  <c r="AI29"/>
  <c r="AH29"/>
  <c r="AG29"/>
  <c r="AF29"/>
  <c r="AE29"/>
  <c r="AD29"/>
  <c r="AC29"/>
  <c r="AI28"/>
  <c r="AH28"/>
  <c r="AG28"/>
  <c r="AF28"/>
  <c r="AE28"/>
  <c r="AD28"/>
  <c r="AC28"/>
  <c r="AI27"/>
  <c r="AH27"/>
  <c r="AG27"/>
  <c r="AF27"/>
  <c r="AE27"/>
  <c r="AD27"/>
  <c r="AC27"/>
  <c r="AI26"/>
  <c r="AH26"/>
  <c r="AG26"/>
  <c r="AF26"/>
  <c r="AE26"/>
  <c r="AD26"/>
  <c r="AC26"/>
  <c r="AI25"/>
  <c r="AH25"/>
  <c r="AG25"/>
  <c r="AF25"/>
  <c r="AE25"/>
  <c r="AD25"/>
  <c r="AC25"/>
  <c r="AI24"/>
  <c r="AH24"/>
  <c r="AG24"/>
  <c r="AF24"/>
  <c r="AE24"/>
  <c r="AD24"/>
  <c r="AC24"/>
  <c r="AI23"/>
  <c r="AH23"/>
  <c r="AG23"/>
  <c r="AF23"/>
  <c r="AE23"/>
  <c r="AD23"/>
  <c r="AC23"/>
  <c r="AI22"/>
  <c r="AH22"/>
  <c r="AG22"/>
  <c r="AF22"/>
  <c r="AE22"/>
  <c r="AD22"/>
  <c r="AC22"/>
  <c r="AI21"/>
  <c r="AH21"/>
  <c r="AG21"/>
  <c r="AF21"/>
  <c r="AE21"/>
  <c r="AD21"/>
  <c r="AC21"/>
  <c r="AI20"/>
  <c r="AH20"/>
  <c r="AG20"/>
  <c r="AF20"/>
  <c r="AE20"/>
  <c r="AD20"/>
  <c r="AC20"/>
  <c r="AI19"/>
  <c r="AH19"/>
  <c r="AG19"/>
  <c r="AF19"/>
  <c r="AE19"/>
  <c r="AD19"/>
  <c r="AC19"/>
  <c r="AI18"/>
  <c r="AH18"/>
  <c r="AG18"/>
  <c r="AF18"/>
  <c r="AE18"/>
  <c r="AD18"/>
  <c r="AC18"/>
  <c r="AI17"/>
  <c r="AH17"/>
  <c r="AG17"/>
  <c r="AF17"/>
  <c r="AE17"/>
  <c r="AD17"/>
  <c r="AC17"/>
  <c r="AI16"/>
  <c r="AH16"/>
  <c r="AG16"/>
  <c r="AF16"/>
  <c r="AE16"/>
  <c r="AD16"/>
  <c r="AC16"/>
  <c r="AI15"/>
  <c r="AH15"/>
  <c r="AG15"/>
  <c r="AF15"/>
  <c r="AE15"/>
  <c r="AD15"/>
  <c r="AC15"/>
  <c r="AI14"/>
  <c r="AH14"/>
  <c r="AG14"/>
  <c r="AF14"/>
  <c r="AE14"/>
  <c r="AD14"/>
  <c r="AC14"/>
  <c r="AI13"/>
  <c r="AH13"/>
  <c r="AG13"/>
  <c r="AF13"/>
  <c r="AE13"/>
  <c r="AD13"/>
  <c r="AC13"/>
  <c r="AI12"/>
  <c r="AH12"/>
  <c r="AG12"/>
  <c r="AF12"/>
  <c r="AE12"/>
  <c r="AD12"/>
  <c r="AC12"/>
  <c r="AI11"/>
  <c r="AH11"/>
  <c r="AG11"/>
  <c r="AF11"/>
  <c r="AE11"/>
  <c r="AD11"/>
  <c r="AC11"/>
  <c r="AI10"/>
  <c r="AH10"/>
  <c r="AG10"/>
  <c r="AF10"/>
  <c r="AE10"/>
  <c r="AD10"/>
  <c r="AC10"/>
  <c r="AI9"/>
  <c r="AH9"/>
  <c r="AG9"/>
  <c r="AF9"/>
  <c r="AE9"/>
  <c r="AD9"/>
  <c r="AC9"/>
  <c r="AI8"/>
  <c r="AH8"/>
  <c r="AG8"/>
  <c r="AF8"/>
  <c r="AE8"/>
  <c r="AD8"/>
  <c r="AC8"/>
  <c r="AI7"/>
  <c r="AH7"/>
  <c r="AG7"/>
  <c r="AF7"/>
  <c r="AE7"/>
  <c r="AD7"/>
  <c r="AC7"/>
  <c r="AI6"/>
  <c r="AH6"/>
  <c r="AG6"/>
  <c r="AF6"/>
  <c r="AE6"/>
  <c r="AD6"/>
  <c r="AC6"/>
  <c r="AI5"/>
  <c r="AH5"/>
  <c r="AG5"/>
  <c r="AF5"/>
  <c r="AE5"/>
  <c r="AD5"/>
  <c r="AC5"/>
  <c r="AI4"/>
  <c r="AH4"/>
  <c r="AG4"/>
  <c r="AF4"/>
  <c r="AE4"/>
  <c r="AD4"/>
  <c r="AC4"/>
  <c r="AI3"/>
  <c r="AH3"/>
  <c r="AG3"/>
  <c r="AF3"/>
  <c r="AE3"/>
  <c r="AD3"/>
  <c r="AC3"/>
  <c r="AI2"/>
  <c r="AH2"/>
  <c r="AG2"/>
  <c r="AF2"/>
  <c r="AE2"/>
  <c r="AD2"/>
  <c r="AC2"/>
</calcChain>
</file>

<file path=xl/sharedStrings.xml><?xml version="1.0" encoding="utf-8"?>
<sst xmlns="http://schemas.openxmlformats.org/spreadsheetml/2006/main" count="5628" uniqueCount="2578">
  <si>
    <t>project</t>
  </si>
  <si>
    <t>Unit Test</t>
  </si>
  <si>
    <t>Instrumentation Testing</t>
  </si>
  <si>
    <t>GitHub Action</t>
  </si>
  <si>
    <t>GitHub Action Test</t>
  </si>
  <si>
    <t>Third_Party</t>
  </si>
  <si>
    <t>Third_Party Test</t>
  </si>
  <si>
    <t>CI Platform</t>
  </si>
  <si>
    <t>CI Platform_Modified</t>
  </si>
  <si>
    <t>API_16</t>
  </si>
  <si>
    <t>API_19</t>
  </si>
  <si>
    <t>API_21</t>
  </si>
  <si>
    <t>API_22</t>
  </si>
  <si>
    <t>API_23</t>
  </si>
  <si>
    <t>API_24</t>
  </si>
  <si>
    <t>API_25</t>
  </si>
  <si>
    <t>API_26</t>
  </si>
  <si>
    <t>API_27</t>
  </si>
  <si>
    <t>API_28</t>
  </si>
  <si>
    <t>API_29</t>
  </si>
  <si>
    <t>API_30</t>
  </si>
  <si>
    <t>API_31</t>
  </si>
  <si>
    <t>API_32</t>
  </si>
  <si>
    <t>API_33</t>
  </si>
  <si>
    <t>API_34</t>
  </si>
  <si>
    <t>Total API</t>
  </si>
  <si>
    <t>yml_count</t>
  </si>
  <si>
    <t>yaml_errors</t>
  </si>
  <si>
    <t>commits</t>
  </si>
  <si>
    <t>pull_requests</t>
  </si>
  <si>
    <t>contributors</t>
  </si>
  <si>
    <t>Size</t>
  </si>
  <si>
    <t>Repo_Forks</t>
  </si>
  <si>
    <t>Repo_Stars</t>
  </si>
  <si>
    <t>Issues_Count</t>
  </si>
  <si>
    <t>15puzzle</t>
  </si>
  <si>
    <t>GitHub_emulator_full</t>
  </si>
  <si>
    <t>GitHub</t>
  </si>
  <si>
    <t>1rramp-android</t>
  </si>
  <si>
    <t>Travis CI_emulator_manual</t>
  </si>
  <si>
    <t>GitLab CI, Travis CI</t>
  </si>
  <si>
    <t>Travis CI</t>
  </si>
  <si>
    <t>2021-1-ossp2-barcode-8</t>
  </si>
  <si>
    <t>CircleCI</t>
  </si>
  <si>
    <t>2022_2_wap_app_team1</t>
  </si>
  <si>
    <t>2048-android</t>
  </si>
  <si>
    <t>2048-battles</t>
  </si>
  <si>
    <t>4pdaclient-plus</t>
  </si>
  <si>
    <t>4th_grade_is-master-</t>
  </si>
  <si>
    <t>6502android</t>
  </si>
  <si>
    <t>9tique-android</t>
  </si>
  <si>
    <t>a2ln-app</t>
  </si>
  <si>
    <t>aaaaxy</t>
  </si>
  <si>
    <t>aap-juce-frequalizer</t>
  </si>
  <si>
    <t>aat</t>
  </si>
  <si>
    <t>abcore</t>
  </si>
  <si>
    <t>accordion</t>
  </si>
  <si>
    <t>accrescent</t>
  </si>
  <si>
    <t>acdisplay</t>
  </si>
  <si>
    <t>ace-android</t>
  </si>
  <si>
    <t>acs-upb-mobile</t>
  </si>
  <si>
    <t>activity-tracker</t>
  </si>
  <si>
    <t>activitydiary</t>
  </si>
  <si>
    <t>activitylauncher</t>
  </si>
  <si>
    <t>ad-free</t>
  </si>
  <si>
    <t>ad-silence</t>
  </si>
  <si>
    <t>adaptivecards</t>
  </si>
  <si>
    <t>adaway</t>
  </si>
  <si>
    <t>adb-wifi-setting-manager</t>
  </si>
  <si>
    <t>adbclipboard</t>
  </si>
  <si>
    <t>admin-portal</t>
  </si>
  <si>
    <t>adopt-me-compose</t>
  </si>
  <si>
    <t>advanced-settings-for-android-wear</t>
  </si>
  <si>
    <t>adventcalender</t>
  </si>
  <si>
    <t>aegis</t>
  </si>
  <si>
    <t>aelf-flutter</t>
  </si>
  <si>
    <t>GitLab CI</t>
  </si>
  <si>
    <t>af-pay</t>
  </si>
  <si>
    <t>affinidiid</t>
  </si>
  <si>
    <t>afh_downloader</t>
  </si>
  <si>
    <t>afreesvg</t>
  </si>
  <si>
    <t>afwall</t>
  </si>
  <si>
    <t>age-gender_estimation_tf-android</t>
  </si>
  <si>
    <t>aggregator-android</t>
  </si>
  <si>
    <t>agoradesk-app-foss</t>
  </si>
  <si>
    <t>aimybox-android-assistant</t>
  </si>
  <si>
    <t>GitHub, Travis CI</t>
  </si>
  <si>
    <t>aio_myday_app</t>
  </si>
  <si>
    <t>airguard</t>
  </si>
  <si>
    <t>akvo-flow-mobile</t>
  </si>
  <si>
    <t>akvo-rsr-up</t>
  </si>
  <si>
    <t>Firebase_Compact</t>
  </si>
  <si>
    <t>al-azan</t>
  </si>
  <si>
    <t>aladin-aos</t>
  </si>
  <si>
    <t>alakazam</t>
  </si>
  <si>
    <t>alarmandjob</t>
  </si>
  <si>
    <t>alarmclock</t>
  </si>
  <si>
    <t>alarmio</t>
  </si>
  <si>
    <t>aliyungradleconfig</t>
  </si>
  <si>
    <t>all-in-one</t>
  </si>
  <si>
    <t>alldebrid</t>
  </si>
  <si>
    <t>alt</t>
  </si>
  <si>
    <t>amarok-hider</t>
  </si>
  <si>
    <t>amazefilemanager</t>
  </si>
  <si>
    <t>GitHub_emulator_full, GitHub_emulator_manual</t>
  </si>
  <si>
    <t>ameixa</t>
  </si>
  <si>
    <t>amerykahospital-personalized-advice-client-android</t>
  </si>
  <si>
    <t>amethyst</t>
  </si>
  <si>
    <t>amiibowiki</t>
  </si>
  <si>
    <t>Firebase_Full</t>
  </si>
  <si>
    <t>GitHub, GitLab CI</t>
  </si>
  <si>
    <t>amiko-android</t>
  </si>
  <si>
    <t>amirisback_frogo-admob</t>
  </si>
  <si>
    <t>amlv</t>
  </si>
  <si>
    <t>amos-tub-ws18-proj1</t>
  </si>
  <si>
    <t>amplify</t>
  </si>
  <si>
    <t>ana</t>
  </si>
  <si>
    <t>anbox</t>
  </si>
  <si>
    <t>anchored-behavior</t>
  </si>
  <si>
    <t>anchors</t>
  </si>
  <si>
    <t>and-bible</t>
  </si>
  <si>
    <t>andfhem</t>
  </si>
  <si>
    <t>andprox</t>
  </si>
  <si>
    <t>andriot</t>
  </si>
  <si>
    <t>androbd</t>
  </si>
  <si>
    <t>android</t>
  </si>
  <si>
    <t>CircleCI, GitHub, Travis CI</t>
  </si>
  <si>
    <t>android-2048-compose-material3</t>
  </si>
  <si>
    <t>android-accounting</t>
  </si>
  <si>
    <t>GitLab CI_emulator_manual</t>
  </si>
  <si>
    <t>android-anuto</t>
  </si>
  <si>
    <t>android-app</t>
  </si>
  <si>
    <t>GitHub, GitLab CI, Travis CI</t>
  </si>
  <si>
    <t>android-app-cortesia-webview</t>
  </si>
  <si>
    <t>android-app-eye-rest-blue-light-filter</t>
  </si>
  <si>
    <t>android-app-get-device-id</t>
  </si>
  <si>
    <t>CircleCI, Travis CI</t>
  </si>
  <si>
    <t>android-appcachecleaner</t>
  </si>
  <si>
    <t>android-arsenal</t>
  </si>
  <si>
    <t>android-base</t>
  </si>
  <si>
    <t>android-base-project</t>
  </si>
  <si>
    <t>android-beacon-mqtt</t>
  </si>
  <si>
    <t>android-beginner-projects</t>
  </si>
  <si>
    <t>android-boilerplate</t>
  </si>
  <si>
    <t>android-camera2-secret-picture-taker</t>
  </si>
  <si>
    <t>android-carbon-forum</t>
  </si>
  <si>
    <t>android-clean-arquitecture</t>
  </si>
  <si>
    <t>android-client</t>
  </si>
  <si>
    <t>android-codebase-modularity</t>
  </si>
  <si>
    <t>android-commons</t>
  </si>
  <si>
    <t>android-comonadic-ui</t>
  </si>
  <si>
    <t>android-conferences</t>
  </si>
  <si>
    <t>android-covidbedrest</t>
  </si>
  <si>
    <t>android-customtabs</t>
  </si>
  <si>
    <t>android-dev-challenge-compose-countdown-timer</t>
  </si>
  <si>
    <t>android-dev-challenge-compose-week1</t>
  </si>
  <si>
    <t>android-font-binder</t>
  </si>
  <si>
    <t>android-gif-search</t>
  </si>
  <si>
    <t>android-gitlab-ci-build</t>
  </si>
  <si>
    <t>android-helium</t>
  </si>
  <si>
    <t>android-http-server</t>
  </si>
  <si>
    <t>android-icon-pack</t>
  </si>
  <si>
    <t>android-iconics</t>
  </si>
  <si>
    <t>android-image-picker</t>
  </si>
  <si>
    <t>android-imsi-catcher-detector</t>
  </si>
  <si>
    <t>android-invoice-generator</t>
  </si>
  <si>
    <t>android-ir-remote</t>
  </si>
  <si>
    <t>android-jigsaw-puzzle</t>
  </si>
  <si>
    <t>android-kdrive</t>
  </si>
  <si>
    <t>android-kmail</t>
  </si>
  <si>
    <t>android-kotlin-covid19</t>
  </si>
  <si>
    <t>android-layout-transitions-kotlin</t>
  </si>
  <si>
    <t>android-local-vpn</t>
  </si>
  <si>
    <t>android-lock9view</t>
  </si>
  <si>
    <t>android-luajit-launcher</t>
  </si>
  <si>
    <t>android-metronome</t>
  </si>
  <si>
    <t>android-minimal-todo</t>
  </si>
  <si>
    <t>android-navigation-with-compose</t>
  </si>
  <si>
    <t>android-nfc-timestamp</t>
  </si>
  <si>
    <t>android-notification-converter</t>
  </si>
  <si>
    <t>android-object-detection</t>
  </si>
  <si>
    <t>android-ocr</t>
  </si>
  <si>
    <t>android-odeon</t>
  </si>
  <si>
    <t>android-oss</t>
  </si>
  <si>
    <t>android-otpview-pinview</t>
  </si>
  <si>
    <t>android-password-store</t>
  </si>
  <si>
    <t>android-pitchpipe</t>
  </si>
  <si>
    <t>android-police-brutality-incidents</t>
  </si>
  <si>
    <t>android-ponewheel</t>
  </si>
  <si>
    <t>android-proguards</t>
  </si>
  <si>
    <t>android-remote</t>
  </si>
  <si>
    <t>android-robocar</t>
  </si>
  <si>
    <t>android-rss-reader</t>
  </si>
  <si>
    <t>android-rxfirebase</t>
  </si>
  <si>
    <t>android-segmentview</t>
  </si>
  <si>
    <t>android-simpletimetracker</t>
  </si>
  <si>
    <t>android-slideshow</t>
  </si>
  <si>
    <t>android-sms-gateway</t>
  </si>
  <si>
    <t>android-splitbus</t>
  </si>
  <si>
    <t>android-starter</t>
  </si>
  <si>
    <t>android-starter-2022</t>
  </si>
  <si>
    <t>android-super-app</t>
  </si>
  <si>
    <t>android-taxi-client</t>
  </si>
  <si>
    <t>android-temporarybrightness</t>
  </si>
  <si>
    <t>android-torchlight</t>
  </si>
  <si>
    <t>android-touch-helper</t>
  </si>
  <si>
    <t>android-twa</t>
  </si>
  <si>
    <t>android-usb-script</t>
  </si>
  <si>
    <t>android-vpn-client-ics-openvpn</t>
  </si>
  <si>
    <t>android-webview-darkmode-with-javascript</t>
  </si>
  <si>
    <t>android-wisefy</t>
  </si>
  <si>
    <t>android03-contact</t>
  </si>
  <si>
    <t>android04-god-fisherman</t>
  </si>
  <si>
    <t>android05-mogakrun</t>
  </si>
  <si>
    <t>android06-mogle</t>
  </si>
  <si>
    <t>android07-notto</t>
  </si>
  <si>
    <t>android2048</t>
  </si>
  <si>
    <t>android_dev_quick</t>
  </si>
  <si>
    <t>android_navigator</t>
  </si>
  <si>
    <t>androidapp</t>
  </si>
  <si>
    <t>androidappshortcuts</t>
  </si>
  <si>
    <t>androidautotrack</t>
  </si>
  <si>
    <t>androidbible</t>
  </si>
  <si>
    <t>androidclient</t>
  </si>
  <si>
    <t>androidcustomviews</t>
  </si>
  <si>
    <t>androiddatawithoutrootapi33</t>
  </si>
  <si>
    <t>androideastereggs</t>
  </si>
  <si>
    <t>androidfacedetection</t>
  </si>
  <si>
    <t>androidkeylogger</t>
  </si>
  <si>
    <t>androidktx</t>
  </si>
  <si>
    <t>androidmakersapp</t>
  </si>
  <si>
    <t>androidnote</t>
  </si>
  <si>
    <t>androidnotificationnotifier</t>
  </si>
  <si>
    <t>androidnotificationshowcase</t>
  </si>
  <si>
    <t>androidpn-client</t>
  </si>
  <si>
    <t>androidproject</t>
  </si>
  <si>
    <t>androidproject-kotlin</t>
  </si>
  <si>
    <t>androidresourceextensions</t>
  </si>
  <si>
    <t>androidscreenshot_sysapi</t>
  </si>
  <si>
    <t>androidssh</t>
  </si>
  <si>
    <t>androidswissknife</t>
  </si>
  <si>
    <t>androidthings-mirror</t>
  </si>
  <si>
    <t>androidwheel</t>
  </si>
  <si>
    <t>androidx</t>
  </si>
  <si>
    <t>GitHub, Unknown</t>
  </si>
  <si>
    <t>andstatus</t>
  </si>
  <si>
    <t>ane-branchio</t>
  </si>
  <si>
    <t>anecdote</t>
  </si>
  <si>
    <t>anewjkuapp</t>
  </si>
  <si>
    <t>angular-seed-advanced</t>
  </si>
  <si>
    <t>anilist</t>
  </si>
  <si>
    <t>animals3d</t>
  </si>
  <si>
    <t>animatedprogressbar</t>
  </si>
  <si>
    <t>animation-garden</t>
  </si>
  <si>
    <t>anime-twist</t>
  </si>
  <si>
    <t>anime-watcher</t>
  </si>
  <si>
    <t>animearch</t>
  </si>
  <si>
    <t>animewallpaper</t>
  </si>
  <si>
    <t>anisched-android</t>
  </si>
  <si>
    <t>anitrend-v2</t>
  </si>
  <si>
    <t>anki-android</t>
  </si>
  <si>
    <t>anlinux-adfree</t>
  </si>
  <si>
    <t>ansvif_android</t>
  </si>
  <si>
    <t>ant-design-mobile-rn</t>
  </si>
  <si>
    <t>antennamap</t>
  </si>
  <si>
    <t>antennapod</t>
  </si>
  <si>
    <t>antimalwareapp</t>
  </si>
  <si>
    <t>antimine-android</t>
  </si>
  <si>
    <t>antispam</t>
  </si>
  <si>
    <t>antox</t>
  </si>
  <si>
    <t>CircleCI_emulator_manual</t>
  </si>
  <si>
    <t>any</t>
  </si>
  <si>
    <t>anylayer</t>
  </si>
  <si>
    <t>anysoftkeyboard</t>
  </si>
  <si>
    <t>apcupsd-monitor</t>
  </si>
  <si>
    <t>apde</t>
  </si>
  <si>
    <t>apg</t>
  </si>
  <si>
    <t>aphotomanager</t>
  </si>
  <si>
    <t>api-request</t>
  </si>
  <si>
    <t>apklauncher_legacy</t>
  </si>
  <si>
    <t>aplikasi_absen_karyawan</t>
  </si>
  <si>
    <t>aplikasi_pendaftaran_pasien</t>
  </si>
  <si>
    <t>apng4android</t>
  </si>
  <si>
    <t>apodktm</t>
  </si>
  <si>
    <t>apollo-music</t>
  </si>
  <si>
    <t>app</t>
  </si>
  <si>
    <t>app-ins-gruene</t>
  </si>
  <si>
    <t>app-whois</t>
  </si>
  <si>
    <t>app_kookmobanuser_ponjohmnaimann</t>
  </si>
  <si>
    <t>app_waktu_solat_malaysia</t>
  </si>
  <si>
    <t>appfeedback-android</t>
  </si>
  <si>
    <t>appgt</t>
  </si>
  <si>
    <t>apple-flinger</t>
  </si>
  <si>
    <t>applewifinlpbackend</t>
  </si>
  <si>
    <t>application</t>
  </si>
  <si>
    <t>appmanager</t>
  </si>
  <si>
    <t>appopsx</t>
  </si>
  <si>
    <t>apps-android-wikiedudashboard</t>
  </si>
  <si>
    <t>apps-android-wikipedia</t>
  </si>
  <si>
    <t>appstore</t>
  </si>
  <si>
    <t>appteka-android</t>
  </si>
  <si>
    <t>appwatcher</t>
  </si>
  <si>
    <t>arcade-plaza</t>
  </si>
  <si>
    <t>arcane-tracker</t>
  </si>
  <si>
    <t>arcgis-android-moremap</t>
  </si>
  <si>
    <t>archwiki-viewer</t>
  </si>
  <si>
    <t>ard</t>
  </si>
  <si>
    <t>arduino-usb-terminal</t>
  </si>
  <si>
    <t>CircleCI, GitHub</t>
  </si>
  <si>
    <t>aria2app</t>
  </si>
  <si>
    <t>aria2c-android-app</t>
  </si>
  <si>
    <t>ark-navigator</t>
  </si>
  <si>
    <t>ark-rate</t>
  </si>
  <si>
    <t>ark-shelf</t>
  </si>
  <si>
    <t>armscomponent</t>
  </si>
  <si>
    <t>arpavbts</t>
  </si>
  <si>
    <t>artiver</t>
  </si>
  <si>
    <t>aspect-ratio-imageview</t>
  </si>
  <si>
    <t>assume</t>
  </si>
  <si>
    <t>astro</t>
  </si>
  <si>
    <t>athelite</t>
  </si>
  <si>
    <t>atimetracker</t>
  </si>
  <si>
    <t>atmosweather</t>
  </si>
  <si>
    <t>atom-tasks</t>
  </si>
  <si>
    <t>atomicgameengine</t>
  </si>
  <si>
    <t>Travis CI, Unknown</t>
  </si>
  <si>
    <t>atox</t>
  </si>
  <si>
    <t>atrainingtracker</t>
  </si>
  <si>
    <t>atsy-cast</t>
  </si>
  <si>
    <t>attachcontact</t>
  </si>
  <si>
    <t>audio-recorder</t>
  </si>
  <si>
    <t>audio_player_flutter</t>
  </si>
  <si>
    <t>auditor</t>
  </si>
  <si>
    <t>ausweisapp2</t>
  </si>
  <si>
    <t>authpass</t>
  </si>
  <si>
    <t>auto-fi</t>
  </si>
  <si>
    <t>automated-build-android-app-with-github-action</t>
  </si>
  <si>
    <t>autonomy-client</t>
  </si>
  <si>
    <t>autonotifylist</t>
  </si>
  <si>
    <t>autoscrolltextview</t>
  </si>
  <si>
    <t>auxio</t>
  </si>
  <si>
    <t>avare</t>
  </si>
  <si>
    <t>avatarview</t>
  </si>
  <si>
    <t>aves</t>
  </si>
  <si>
    <t>avnc</t>
  </si>
  <si>
    <t>aw-android</t>
  </si>
  <si>
    <t>awaken</t>
  </si>
  <si>
    <t>awol</t>
  </si>
  <si>
    <t>axion-technologies-hnh</t>
  </si>
  <si>
    <t>aztube-app</t>
  </si>
  <si>
    <t>baby-sleep-sounds</t>
  </si>
  <si>
    <t>babybook</t>
  </si>
  <si>
    <t>babydots</t>
  </si>
  <si>
    <t>bacon</t>
  </si>
  <si>
    <t>badge-magic-android</t>
  </si>
  <si>
    <t>badpixels</t>
  </si>
  <si>
    <t>balanduinoandroidapp</t>
  </si>
  <si>
    <t>baldphone</t>
  </si>
  <si>
    <t>bananapeel</t>
  </si>
  <si>
    <t>banjen</t>
  </si>
  <si>
    <t>bark</t>
  </si>
  <si>
    <t>bartrunnerandroid</t>
  </si>
  <si>
    <t>basekotlinandroid</t>
  </si>
  <si>
    <t>basil-android</t>
  </si>
  <si>
    <t>basketbuild_downloader</t>
  </si>
  <si>
    <t>batterytile</t>
  </si>
  <si>
    <t>battle-ships</t>
  </si>
  <si>
    <t>battlebuddy-android</t>
  </si>
  <si>
    <t>bbct-android</t>
  </si>
  <si>
    <t>bcvax-android</t>
  </si>
  <si>
    <t>beat-feet</t>
  </si>
  <si>
    <t>beeshell</t>
  </si>
  <si>
    <t>behe-explorer</t>
  </si>
  <si>
    <t>behe-keyboard</t>
  </si>
  <si>
    <t>berty</t>
  </si>
  <si>
    <t>best-seller-book-app</t>
  </si>
  <si>
    <t>better-internet-tiles</t>
  </si>
  <si>
    <t>betteruntis</t>
  </si>
  <si>
    <t>bible</t>
  </si>
  <si>
    <t>biblio</t>
  </si>
  <si>
    <t>biblionantes</t>
  </si>
  <si>
    <t>bigsolarhunt</t>
  </si>
  <si>
    <t>bikeshare</t>
  </si>
  <si>
    <t>bikesharinghub</t>
  </si>
  <si>
    <t>bindapter</t>
  </si>
  <si>
    <t>binocularss</t>
  </si>
  <si>
    <t>birday</t>
  </si>
  <si>
    <t>birthdaycalendar</t>
  </si>
  <si>
    <t>bitcoin-balance-check</t>
  </si>
  <si>
    <t>bitcoin-wallet</t>
  </si>
  <si>
    <t>bitcoinium</t>
  </si>
  <si>
    <t>bitcoinpools</t>
  </si>
  <si>
    <t>bitmask_android</t>
  </si>
  <si>
    <t>bitnews</t>
  </si>
  <si>
    <t>bitportal-client</t>
  </si>
  <si>
    <t>bixer-btc-app-</t>
  </si>
  <si>
    <t>bjutloginapp</t>
  </si>
  <si>
    <t>bjutwifi</t>
  </si>
  <si>
    <t>blackhole</t>
  </si>
  <si>
    <t>blacklist</t>
  </si>
  <si>
    <t>bladeplayer</t>
  </si>
  <si>
    <t>blast</t>
  </si>
  <si>
    <t>ble-starter-android</t>
  </si>
  <si>
    <t>blink-comparison</t>
  </si>
  <si>
    <t>blog</t>
  </si>
  <si>
    <t>blokish</t>
  </si>
  <si>
    <t>blood-donor-blood-bank-finder</t>
  </si>
  <si>
    <t>Unknown</t>
  </si>
  <si>
    <t>bluelineconsole</t>
  </si>
  <si>
    <t>bluepass</t>
  </si>
  <si>
    <t>bluetooth-le-analyzer</t>
  </si>
  <si>
    <t>bluetooth-remote-control</t>
  </si>
  <si>
    <t>bluetoothscanning</t>
  </si>
  <si>
    <t>bo-android</t>
  </si>
  <si>
    <t>boardgamegeek4android</t>
  </si>
  <si>
    <t>bofilo</t>
  </si>
  <si>
    <t>boi-balance-checker</t>
  </si>
  <si>
    <t>boilerplate</t>
  </si>
  <si>
    <t>boinc</t>
  </si>
  <si>
    <t>bombusmod</t>
  </si>
  <si>
    <t>bookdash-android-app</t>
  </si>
  <si>
    <t>bookend-android-ios</t>
  </si>
  <si>
    <t>booksearch</t>
  </si>
  <si>
    <t>booksswipe</t>
  </si>
  <si>
    <t>bookworm</t>
  </si>
  <si>
    <t>boorusphere</t>
  </si>
  <si>
    <t>boromi</t>
  </si>
  <si>
    <t>bottomnavbar</t>
  </si>
  <si>
    <t>bottomnavigationbar</t>
  </si>
  <si>
    <t>boum</t>
  </si>
  <si>
    <t>boxbox</t>
  </si>
  <si>
    <t>braillebox</t>
  </si>
  <si>
    <t>brainjogging</t>
  </si>
  <si>
    <t>brainteaser</t>
  </si>
  <si>
    <t>brassexcerpts</t>
  </si>
  <si>
    <t>brethap</t>
  </si>
  <si>
    <t>briar</t>
  </si>
  <si>
    <t>brouter</t>
  </si>
  <si>
    <t>browse</t>
  </si>
  <si>
    <t>btcmap-android</t>
  </si>
  <si>
    <t>btle-scanner-compat</t>
  </si>
  <si>
    <t>btox</t>
  </si>
  <si>
    <t>buddhaquotes</t>
  </si>
  <si>
    <t>budget-watch</t>
  </si>
  <si>
    <t>buildapks</t>
  </si>
  <si>
    <t>bundel</t>
  </si>
  <si>
    <t>burning-series</t>
  </si>
  <si>
    <t>bus-when-twin-cities</t>
  </si>
  <si>
    <t>butterfly</t>
  </si>
  <si>
    <t>c2c-android-2021</t>
  </si>
  <si>
    <t>c3nav-android</t>
  </si>
  <si>
    <t>cac-tripplanner-android</t>
  </si>
  <si>
    <t>cachemanage</t>
  </si>
  <si>
    <t>cadar</t>
  </si>
  <si>
    <t>cafe-payment-system</t>
  </si>
  <si>
    <t>caffeinetile</t>
  </si>
  <si>
    <t>calculadhora</t>
  </si>
  <si>
    <t>calculator</t>
  </si>
  <si>
    <t>calculator-inator</t>
  </si>
  <si>
    <t>calcupiano</t>
  </si>
  <si>
    <t>calef</t>
  </si>
  <si>
    <t>calendar</t>
  </si>
  <si>
    <t>calendar-import-export</t>
  </si>
  <si>
    <t>calendula</t>
  </si>
  <si>
    <t>callconfirm</t>
  </si>
  <si>
    <t>callrecorder</t>
  </si>
  <si>
    <t>campus-android</t>
  </si>
  <si>
    <t>candymem</t>
  </si>
  <si>
    <t>canidrive</t>
  </si>
  <si>
    <t>canteen_app</t>
  </si>
  <si>
    <t>canvass-app</t>
  </si>
  <si>
    <t>canvasscript</t>
  </si>
  <si>
    <t>capgo</t>
  </si>
  <si>
    <t>capod</t>
  </si>
  <si>
    <t>car-server</t>
  </si>
  <si>
    <t>carcinofit</t>
  </si>
  <si>
    <t>cardiac-zone-android</t>
  </si>
  <si>
    <t>care4ther-</t>
  </si>
  <si>
    <t>cartsbusboarding</t>
  </si>
  <si>
    <t>cat-adoption-app</t>
  </si>
  <si>
    <t>cataclysm-dda-android</t>
  </si>
  <si>
    <t>cattle</t>
  </si>
  <si>
    <t>cattlebodyconditioning</t>
  </si>
  <si>
    <t>cavedroid</t>
  </si>
  <si>
    <t>caveexpress</t>
  </si>
  <si>
    <t>cazadescuentos</t>
  </si>
  <si>
    <t>cboy</t>
  </si>
  <si>
    <t>ccdroidx</t>
  </si>
  <si>
    <t>cculife</t>
  </si>
  <si>
    <t>cdlc_player</t>
  </si>
  <si>
    <t>cell-wall</t>
  </si>
  <si>
    <t>chainmetric-app</t>
  </si>
  <si>
    <t>challenge-ci-android</t>
  </si>
  <si>
    <t>changedetection</t>
  </si>
  <si>
    <t>CircleCI, GitLab CI</t>
  </si>
  <si>
    <t>chaosflix</t>
  </si>
  <si>
    <t>GitLab CI_emulator_manual, Travis CI_emulator_manual</t>
  </si>
  <si>
    <t>CircleCI, GitLab CI, Travis CI</t>
  </si>
  <si>
    <t>chat-app</t>
  </si>
  <si>
    <t>chatgpt-app</t>
  </si>
  <si>
    <t>chatifyapp-flutter</t>
  </si>
  <si>
    <t>chatse</t>
  </si>
  <si>
    <t>chatwoot-mobile-app</t>
  </si>
  <si>
    <t>cheatsheet</t>
  </si>
  <si>
    <t>cheddar</t>
  </si>
  <si>
    <t>cheers-li-app</t>
  </si>
  <si>
    <t>chester</t>
  </si>
  <si>
    <t>chinesettstflite</t>
  </si>
  <si>
    <t>chocobar</t>
  </si>
  <si>
    <t>cht-android</t>
  </si>
  <si>
    <t>churrascometro</t>
  </si>
  <si>
    <t>ci-matters</t>
  </si>
  <si>
    <t>CircleCI_emulator_manual, Travis CI_emulator_manual</t>
  </si>
  <si>
    <t>cimoc</t>
  </si>
  <si>
    <t>cineaste-android</t>
  </si>
  <si>
    <t>circularprogressbar-compose</t>
  </si>
  <si>
    <t>circulartimer</t>
  </si>
  <si>
    <t>cis-android</t>
  </si>
  <si>
    <t>clarifai-android-starter</t>
  </si>
  <si>
    <t>class-organizer</t>
  </si>
  <si>
    <t>clean-sms-forwarding</t>
  </si>
  <si>
    <t>cleaner</t>
  </si>
  <si>
    <t>cleantodo</t>
  </si>
  <si>
    <t>clear-todolist</t>
  </si>
  <si>
    <t>click</t>
  </si>
  <si>
    <t>clicli-dark</t>
  </si>
  <si>
    <t>client</t>
  </si>
  <si>
    <t>client-android</t>
  </si>
  <si>
    <t>clipboard</t>
  </si>
  <si>
    <t>clipboardcleaner</t>
  </si>
  <si>
    <t>clipboardzanager</t>
  </si>
  <si>
    <t>clipeus</t>
  </si>
  <si>
    <t>cloud-launcher</t>
  </si>
  <si>
    <t>cloudinary_android</t>
  </si>
  <si>
    <t>cloudy</t>
  </si>
  <si>
    <t>club-android</t>
  </si>
  <si>
    <t>clustmpay-sih2019</t>
  </si>
  <si>
    <t>cmput301f22t06_team_project</t>
  </si>
  <si>
    <t>cms-android</t>
  </si>
  <si>
    <t>cms-mobile</t>
  </si>
  <si>
    <t>cnode-material-design</t>
  </si>
  <si>
    <t>cnpj_company</t>
  </si>
  <si>
    <t>cobadge</t>
  </si>
  <si>
    <t>cocoa-android</t>
  </si>
  <si>
    <t>cocwallpaper-android-</t>
  </si>
  <si>
    <t>code-scanner</t>
  </si>
  <si>
    <t>code_wars_android</t>
  </si>
  <si>
    <t>codeblitzapp</t>
  </si>
  <si>
    <t>codeedittext</t>
  </si>
  <si>
    <t>coffee</t>
  </si>
  <si>
    <t>coffeebreaker</t>
  </si>
  <si>
    <t>coffeecutie</t>
  </si>
  <si>
    <t>GitHub, Travis CI, Unknown</t>
  </si>
  <si>
    <t>coffeedrinkswithjetpackcompose</t>
  </si>
  <si>
    <t>cofi</t>
  </si>
  <si>
    <t>coil-imagegetter</t>
  </si>
  <si>
    <t>coincap</t>
  </si>
  <si>
    <t>GitHub_GMD</t>
  </si>
  <si>
    <t>collapsible-calendar-view-android</t>
  </si>
  <si>
    <t>collinsdictionary</t>
  </si>
  <si>
    <t>colorful_notes</t>
  </si>
  <si>
    <t>colorosnotifyicon</t>
  </si>
  <si>
    <t>colorpicker</t>
  </si>
  <si>
    <t>colors_ai</t>
  </si>
  <si>
    <t>colorwaver</t>
  </si>
  <si>
    <t>comicsapp</t>
  </si>
  <si>
    <t>commcare-android</t>
  </si>
  <si>
    <t>comp0016_2020_21_team25</t>
  </si>
  <si>
    <t>comp0016_2020_21_team26</t>
  </si>
  <si>
    <t>companion-for-band</t>
  </si>
  <si>
    <t>compose-breakingbad</t>
  </si>
  <si>
    <t>compose-challenges</t>
  </si>
  <si>
    <t>compose-color-picker</t>
  </si>
  <si>
    <t>compose-kotlin-repositories</t>
  </si>
  <si>
    <t>compose-lobsters</t>
  </si>
  <si>
    <t>compose-material-dialogs</t>
  </si>
  <si>
    <t>compose-scrobbler</t>
  </si>
  <si>
    <t>compose-timer</t>
  </si>
  <si>
    <t>compose-ui-book</t>
  </si>
  <si>
    <t>composethemeswitch</t>
  </si>
  <si>
    <t>compressor</t>
  </si>
  <si>
    <t>cone</t>
  </si>
  <si>
    <t>conference-app-2021</t>
  </si>
  <si>
    <t>connectbot</t>
  </si>
  <si>
    <t>conning_tower</t>
  </si>
  <si>
    <t>context_launcher</t>
  </si>
  <si>
    <t>continuousspeechrecognition</t>
  </si>
  <si>
    <t>converternow</t>
  </si>
  <si>
    <t>conveyor</t>
  </si>
  <si>
    <t>coolweather</t>
  </si>
  <si>
    <t>coordinatejoker</t>
  </si>
  <si>
    <t>corona-warn-companion-android</t>
  </si>
  <si>
    <t>coroutineasynctask</t>
  </si>
  <si>
    <t>correctly</t>
  </si>
  <si>
    <t>corridor-navigation-android</t>
  </si>
  <si>
    <t>cosmic-ide</t>
  </si>
  <si>
    <t>couleurbummel</t>
  </si>
  <si>
    <t>countdowns-android</t>
  </si>
  <si>
    <t>counter</t>
  </si>
  <si>
    <t>covid</t>
  </si>
  <si>
    <t>covid-19</t>
  </si>
  <si>
    <t>covid-19-tracker</t>
  </si>
  <si>
    <t>covid-alert-app</t>
  </si>
  <si>
    <t>covid19-tracker-app-kenya</t>
  </si>
  <si>
    <t>covid_tracker</t>
  </si>
  <si>
    <t>covidcertificate-app-android</t>
  </si>
  <si>
    <t>Browserstack</t>
  </si>
  <si>
    <t>covidnow</t>
  </si>
  <si>
    <t>covidtoday-android</t>
  </si>
  <si>
    <t>cpu-info</t>
  </si>
  <si>
    <t>cpymo</t>
  </si>
  <si>
    <t>crawl</t>
  </si>
  <si>
    <t>crazie</t>
  </si>
  <si>
    <t>crime_map</t>
  </si>
  <si>
    <t>crimsonota</t>
  </si>
  <si>
    <t>criticalmaps-android</t>
  </si>
  <si>
    <t>croma</t>
  </si>
  <si>
    <t>cronet-engine</t>
  </si>
  <si>
    <t>crossplatformvsthost</t>
  </si>
  <si>
    <t>crossword</t>
  </si>
  <si>
    <t>csdnblog</t>
  </si>
  <si>
    <t>currencies</t>
  </si>
  <si>
    <t>currency</t>
  </si>
  <si>
    <t>currencybg</t>
  </si>
  <si>
    <t>current-activity</t>
  </si>
  <si>
    <t>curriculumvitae</t>
  </si>
  <si>
    <t>custombottomsheetbehavior</t>
  </si>
  <si>
    <t>customcalendar</t>
  </si>
  <si>
    <t>cv</t>
  </si>
  <si>
    <t>cvcamera-mobile</t>
  </si>
  <si>
    <t>cyirc-mobile</t>
  </si>
  <si>
    <t>cythara</t>
  </si>
  <si>
    <t>cz3002</t>
  </si>
  <si>
    <t>daedalus</t>
  </si>
  <si>
    <t>dagashiapp</t>
  </si>
  <si>
    <t>dagashiapp-android</t>
  </si>
  <si>
    <t>dagda-app</t>
  </si>
  <si>
    <t>dagger</t>
  </si>
  <si>
    <t>daily-learning-app</t>
  </si>
  <si>
    <t>dailyfootball</t>
  </si>
  <si>
    <t>dairy-management</t>
  </si>
  <si>
    <t>daisy</t>
  </si>
  <si>
    <t>dandelion</t>
  </si>
  <si>
    <t>dankchat</t>
  </si>
  <si>
    <t>danxi</t>
  </si>
  <si>
    <t>daqs</t>
  </si>
  <si>
    <t>darkmodewallpaper</t>
  </si>
  <si>
    <t>dart-jobs</t>
  </si>
  <si>
    <t>dash-wallet</t>
  </si>
  <si>
    <t>databag</t>
  </si>
  <si>
    <t>datepickertimeline</t>
  </si>
  <si>
    <t>datmusic-android</t>
  </si>
  <si>
    <t>dawnn_client</t>
  </si>
  <si>
    <t>days</t>
  </si>
  <si>
    <t>daytomato</t>
  </si>
  <si>
    <t>dazzling-android-kt</t>
  </si>
  <si>
    <t>dcipher-app</t>
  </si>
  <si>
    <t>ddcc-validator</t>
  </si>
  <si>
    <t>de</t>
  </si>
  <si>
    <t>de-bloater</t>
  </si>
  <si>
    <t>de-urgenta-android</t>
  </si>
  <si>
    <t>deathprogress</t>
  </si>
  <si>
    <t>debitum</t>
  </si>
  <si>
    <t>debt-manager</t>
  </si>
  <si>
    <t>debtr</t>
  </si>
  <si>
    <t>debty-v2</t>
  </si>
  <si>
    <t>decent</t>
  </si>
  <si>
    <t>deckbox</t>
  </si>
  <si>
    <t>deedum</t>
  </si>
  <si>
    <t>deep-link-launcher</t>
  </si>
  <si>
    <t>deeplandroid</t>
  </si>
  <si>
    <t>deezerclone</t>
  </si>
  <si>
    <t>deezerkmp</t>
  </si>
  <si>
    <t>defiscan</t>
  </si>
  <si>
    <t>delish</t>
  </si>
  <si>
    <t>delock</t>
  </si>
  <si>
    <t>deltacamera</t>
  </si>
  <si>
    <t>demixr-app</t>
  </si>
  <si>
    <t>designoverlay-android</t>
  </si>
  <si>
    <t>detective-droid</t>
  </si>
  <si>
    <t>detoxiom</t>
  </si>
  <si>
    <t>dev-feed</t>
  </si>
  <si>
    <t>dev-tiles</t>
  </si>
  <si>
    <t>developers-portfolio</t>
  </si>
  <si>
    <t>development_learning</t>
  </si>
  <si>
    <t>devhub</t>
  </si>
  <si>
    <t>deviantart</t>
  </si>
  <si>
    <t>devstat</t>
  </si>
  <si>
    <t>devto-android</t>
  </si>
  <si>
    <t>dexter</t>
  </si>
  <si>
    <t>dfm</t>
  </si>
  <si>
    <t>diagonal-imageview</t>
  </si>
  <si>
    <t>diaguard</t>
  </si>
  <si>
    <t>dial-dial</t>
  </si>
  <si>
    <t>dialerloading</t>
  </si>
  <si>
    <t>dialogmusicplayer</t>
  </si>
  <si>
    <t>dialogplus</t>
  </si>
  <si>
    <t>dialogue</t>
  </si>
  <si>
    <t>diary</t>
  </si>
  <si>
    <t>diceoverflow</t>
  </si>
  <si>
    <t>dictionary</t>
  </si>
  <si>
    <t>dictionary-app</t>
  </si>
  <si>
    <t>didaktikapp</t>
  </si>
  <si>
    <t>digiview-android</t>
  </si>
  <si>
    <t>dimba</t>
  </si>
  <si>
    <t>dinewell-carehome-app</t>
  </si>
  <si>
    <t>dira</t>
  </si>
  <si>
    <t>direct-net-share</t>
  </si>
  <si>
    <t>discordjetpackcompose</t>
  </si>
  <si>
    <t>discreet-launcher</t>
  </si>
  <si>
    <t>discusim</t>
  </si>
  <si>
    <t>discuzhub</t>
  </si>
  <si>
    <t>disneymotions</t>
  </si>
  <si>
    <t>display-nearby-places-ar-android</t>
  </si>
  <si>
    <t>distantworlds-muzei</t>
  </si>
  <si>
    <t>ditonton</t>
  </si>
  <si>
    <t>dividerseekbar</t>
  </si>
  <si>
    <t>dmix</t>
  </si>
  <si>
    <t>dms-android</t>
  </si>
  <si>
    <t>dndplayer</t>
  </si>
  <si>
    <t>dns66</t>
  </si>
  <si>
    <t>dnshero</t>
  </si>
  <si>
    <t>documentocr</t>
  </si>
  <si>
    <t>dodroid</t>
  </si>
  <si>
    <t>dokuwikiandroid</t>
  </si>
  <si>
    <t>domaine-nc-mobile</t>
  </si>
  <si>
    <t>domodroid</t>
  </si>
  <si>
    <t>donezo</t>
  </si>
  <si>
    <t>doubanmovie</t>
  </si>
  <si>
    <t>douya</t>
  </si>
  <si>
    <t>dowel</t>
  </si>
  <si>
    <t>download-navi</t>
  </si>
  <si>
    <t>draftsman</t>
  </si>
  <si>
    <t>draggable-menu</t>
  </si>
  <si>
    <t>drawa-android</t>
  </si>
  <si>
    <t>dreamdroid</t>
  </si>
  <si>
    <t>dribbbleclient</t>
  </si>
  <si>
    <t>drinkable</t>
  </si>
  <si>
    <t>drinks</t>
  </si>
  <si>
    <t>drip</t>
  </si>
  <si>
    <t>drive</t>
  </si>
  <si>
    <t>driver-android</t>
  </si>
  <si>
    <t>droid-feed</t>
  </si>
  <si>
    <t>droidinfo</t>
  </si>
  <si>
    <t>drona</t>
  </si>
  <si>
    <t>drone-scanner</t>
  </si>
  <si>
    <t>dropdowntextview</t>
  </si>
  <si>
    <t>dsrweatherapp</t>
  </si>
  <si>
    <t>dui-android</t>
  </si>
  <si>
    <t>duocamera</t>
  </si>
  <si>
    <t>duress</t>
  </si>
  <si>
    <t>dvachmovie</t>
  </si>
  <si>
    <t>dwyco</t>
  </si>
  <si>
    <t>dynamic-island-android-full-application</t>
  </si>
  <si>
    <t>dynamicnightlight</t>
  </si>
  <si>
    <t>dynamicoperu</t>
  </si>
  <si>
    <t>dzikirqu-android</t>
  </si>
  <si>
    <t>e2e-detox</t>
  </si>
  <si>
    <t>e_luminous_mobile</t>
  </si>
  <si>
    <t>easel</t>
  </si>
  <si>
    <t>easer</t>
  </si>
  <si>
    <t>eastfoods</t>
  </si>
  <si>
    <t>easy_xkcd</t>
  </si>
  <si>
    <t>easyadapter</t>
  </si>
  <si>
    <t>easybangumi</t>
  </si>
  <si>
    <t>easylocationfetch</t>
  </si>
  <si>
    <t>easyrecipe</t>
  </si>
  <si>
    <t>easyrepost</t>
  </si>
  <si>
    <t>easyshapeview</t>
  </si>
  <si>
    <t>easysshfs</t>
  </si>
  <si>
    <t>easythread</t>
  </si>
  <si>
    <t>easywatermark</t>
  </si>
  <si>
    <t>eat-poop-you-cat-android</t>
  </si>
  <si>
    <t>ebeveynkontrollutwitter</t>
  </si>
  <si>
    <t>ebookreader</t>
  </si>
  <si>
    <t>editor</t>
  </si>
  <si>
    <t>edmflare</t>
  </si>
  <si>
    <t>edokuri</t>
  </si>
  <si>
    <t>edtrack</t>
  </si>
  <si>
    <t>GitHub_emulator_compact</t>
  </si>
  <si>
    <t>edujam</t>
  </si>
  <si>
    <t>eh-redux</t>
  </si>
  <si>
    <t>ehviewer</t>
  </si>
  <si>
    <t>ehviewer_cn_sxj</t>
  </si>
  <si>
    <t>einkbro</t>
  </si>
  <si>
    <t>elder_launcher</t>
  </si>
  <si>
    <t>electricity_front</t>
  </si>
  <si>
    <t>electrode-native</t>
  </si>
  <si>
    <t>elegantdialog</t>
  </si>
  <si>
    <t>element-android</t>
  </si>
  <si>
    <t>elfeed-cljsrn</t>
  </si>
  <si>
    <t>emblaflutterapp</t>
  </si>
  <si>
    <t>emojibottomsheetdialog</t>
  </si>
  <si>
    <t>empty-view</t>
  </si>
  <si>
    <t>emulator-detector</t>
  </si>
  <si>
    <t>enchantedfortress</t>
  </si>
  <si>
    <t>encoder</t>
  </si>
  <si>
    <t>encrypted-datastore</t>
  </si>
  <si>
    <t>encryptedsharedpreferences</t>
  </si>
  <si>
    <t>energy-meter-scanner</t>
  </si>
  <si>
    <t>engine</t>
  </si>
  <si>
    <t>enginedatalogger---dashboard</t>
  </si>
  <si>
    <t>enginedriver</t>
  </si>
  <si>
    <t>enigmatic-mouse</t>
  </si>
  <si>
    <t>enroute</t>
  </si>
  <si>
    <t>ensicord</t>
  </si>
  <si>
    <t>envelop-android</t>
  </si>
  <si>
    <t>epicture</t>
  </si>
  <si>
    <t>epimetheus</t>
  </si>
  <si>
    <t>epistolaire</t>
  </si>
  <si>
    <t>epoch</t>
  </si>
  <si>
    <t>equate</t>
  </si>
  <si>
    <t>eshop-android</t>
  </si>
  <si>
    <t>espeak-ng</t>
  </si>
  <si>
    <t>espionage</t>
  </si>
  <si>
    <t>eta-android-2048</t>
  </si>
  <si>
    <t>etar-calendar</t>
  </si>
  <si>
    <t>etopa</t>
  </si>
  <si>
    <t>etsmobile-android2</t>
  </si>
  <si>
    <t>euphony-hub-collector</t>
  </si>
  <si>
    <t>event-registration-app</t>
  </si>
  <si>
    <t>eventfahrplan</t>
  </si>
  <si>
    <t>every_door</t>
  </si>
  <si>
    <t>evmap</t>
  </si>
  <si>
    <t>evrimnews</t>
  </si>
  <si>
    <t>exif-thumbnail-adder</t>
  </si>
  <si>
    <t>exodus-android-app</t>
  </si>
  <si>
    <t>exokit</t>
  </si>
  <si>
    <t>expandablebottombar</t>
  </si>
  <si>
    <t>expense-tracker</t>
  </si>
  <si>
    <t>expensemanager</t>
  </si>
  <si>
    <t>expensetracker</t>
  </si>
  <si>
    <t>experiment-compose</t>
  </si>
  <si>
    <t>exploitdb</t>
  </si>
  <si>
    <t>explorern</t>
  </si>
  <si>
    <t>external_jbirdvegas_mgerrit</t>
  </si>
  <si>
    <t>ez-recipes-android</t>
  </si>
  <si>
    <t>f5n</t>
  </si>
  <si>
    <t>face_animate</t>
  </si>
  <si>
    <t>facerecognitionapp</t>
  </si>
  <si>
    <t>faceslim</t>
  </si>
  <si>
    <t>facted-camera</t>
  </si>
  <si>
    <t>faker</t>
  </si>
  <si>
    <t>fakestandby</t>
  </si>
  <si>
    <t>faketraveler</t>
  </si>
  <si>
    <t>fallasleep</t>
  </si>
  <si>
    <t>family-care</t>
  </si>
  <si>
    <t>familyfinance-android</t>
  </si>
  <si>
    <t>fancyplaces</t>
  </si>
  <si>
    <t>fancyshowcaseview</t>
  </si>
  <si>
    <t>fantlab-android</t>
  </si>
  <si>
    <t>farebot</t>
  </si>
  <si>
    <t>fast-face-android</t>
  </si>
  <si>
    <t>fastadapter</t>
  </si>
  <si>
    <t>fastexoplayerseeker</t>
  </si>
  <si>
    <t>fastlane-android-ci</t>
  </si>
  <si>
    <t>fastshopping</t>
  </si>
  <si>
    <t>fbp-go</t>
  </si>
  <si>
    <t>feather</t>
  </si>
  <si>
    <t>fediverse</t>
  </si>
  <si>
    <t>feed-watcher</t>
  </si>
  <si>
    <t>feedback-prime</t>
  </si>
  <si>
    <t>feudaltactics</t>
  </si>
  <si>
    <t>ffupdater</t>
  </si>
  <si>
    <t>file</t>
  </si>
  <si>
    <t>file-android</t>
  </si>
  <si>
    <t>file-explorer</t>
  </si>
  <si>
    <t>filepickerdialog-master</t>
  </si>
  <si>
    <t>fileshortcut</t>
  </si>
  <si>
    <t>filmchecker</t>
  </si>
  <si>
    <t>finance-manager</t>
  </si>
  <si>
    <t>findapet</t>
  </si>
  <si>
    <t>finder</t>
  </si>
  <si>
    <t>fineract-cn-mobile</t>
  </si>
  <si>
    <t>firebasechatapp</t>
  </si>
  <si>
    <t>firestoreadapter</t>
  </si>
  <si>
    <t>fitary</t>
  </si>
  <si>
    <t>fitbuddy</t>
  </si>
  <si>
    <t>fitofy-india</t>
  </si>
  <si>
    <t>fitternumberpicker</t>
  </si>
  <si>
    <t>fivethingskotlin</t>
  </si>
  <si>
    <t>flaiter</t>
  </si>
  <si>
    <t>flap</t>
  </si>
  <si>
    <t>flappybird</t>
  </si>
  <si>
    <t>flappyface</t>
  </si>
  <si>
    <t>flare-engine</t>
  </si>
  <si>
    <t>flash-drive</t>
  </si>
  <si>
    <t>flashdim</t>
  </si>
  <si>
    <t>flashy</t>
  </si>
  <si>
    <t>flashy-alarm</t>
  </si>
  <si>
    <t>flexbooru</t>
  </si>
  <si>
    <t>fling</t>
  </si>
  <si>
    <t>flinspirer</t>
  </si>
  <si>
    <t>flipper-android-app</t>
  </si>
  <si>
    <t>flir_app</t>
  </si>
  <si>
    <t>floatingactionbutton-menu</t>
  </si>
  <si>
    <t>floccus</t>
  </si>
  <si>
    <t>flone-android</t>
  </si>
  <si>
    <t>flowit</t>
  </si>
  <si>
    <t>fluidsynth-midi-service-j</t>
  </si>
  <si>
    <t>flutsapp</t>
  </si>
  <si>
    <t>flutter</t>
  </si>
  <si>
    <t>flutter-calculator</t>
  </si>
  <si>
    <t>flutter-ci-deployment</t>
  </si>
  <si>
    <t>flutter-gif-search</t>
  </si>
  <si>
    <t>flutter-hackernews</t>
  </si>
  <si>
    <t>flutter-healthbook</t>
  </si>
  <si>
    <t>flutter-learn</t>
  </si>
  <si>
    <t>flutter-movie</t>
  </si>
  <si>
    <t>flutter-music-app</t>
  </si>
  <si>
    <t>flutter-social</t>
  </si>
  <si>
    <t>flutter-timesheet</t>
  </si>
  <si>
    <t>flutter-weather</t>
  </si>
  <si>
    <t>flutter_book</t>
  </si>
  <si>
    <t>flutter_callkit_incoming</t>
  </si>
  <si>
    <t>flutter_developer_portfolio</t>
  </si>
  <si>
    <t>flutter_instagram</t>
  </si>
  <si>
    <t>flutter_japanese_restaurant_app</t>
  </si>
  <si>
    <t>flutter_permission_using_bloc</t>
  </si>
  <si>
    <t>flutter_server_box</t>
  </si>
  <si>
    <t>flutter_thrio</t>
  </si>
  <si>
    <t>flutterwechat</t>
  </si>
  <si>
    <t>fontster</t>
  </si>
  <si>
    <t>foocam</t>
  </si>
  <si>
    <t>food_delivery_ui_flutter</t>
  </si>
  <si>
    <t>forage</t>
  </si>
  <si>
    <t>forecast</t>
  </si>
  <si>
    <t>forecastie</t>
  </si>
  <si>
    <t>fosdem-companion-android</t>
  </si>
  <si>
    <t>foss_warn</t>
  </si>
  <si>
    <t>foundry</t>
  </si>
  <si>
    <t>fpv-dvca</t>
  </si>
  <si>
    <t>fractalzoo</t>
  </si>
  <si>
    <t>frag-den-staat-app</t>
  </si>
  <si>
    <t>framer</t>
  </si>
  <si>
    <t>frames</t>
  </si>
  <si>
    <t>frameview</t>
  </si>
  <si>
    <t>frankenstein</t>
  </si>
  <si>
    <t>freeotp-android</t>
  </si>
  <si>
    <t>freesound-android</t>
  </si>
  <si>
    <t>freetamilebooks</t>
  </si>
  <si>
    <t>freezer</t>
  </si>
  <si>
    <t>freezeyou</t>
  </si>
  <si>
    <t>freifunkautoconnectapp</t>
  </si>
  <si>
    <t>fridgexlight</t>
  </si>
  <si>
    <t>frinder-app</t>
  </si>
  <si>
    <t>frisbee</t>
  </si>
  <si>
    <t>fritter</t>
  </si>
  <si>
    <t>frogo-notification</t>
  </si>
  <si>
    <t>frost-for-facebook</t>
  </si>
  <si>
    <t>fucksgiven</t>
  </si>
  <si>
    <t>fuckview</t>
  </si>
  <si>
    <t>fuelup</t>
  </si>
  <si>
    <t>fulguris</t>
  </si>
  <si>
    <t>functionalandroidreference</t>
  </si>
  <si>
    <t>fwdportforwardingapp</t>
  </si>
  <si>
    <t>gallerywall</t>
  </si>
  <si>
    <t>gamedealz</t>
  </si>
  <si>
    <t>garlic-launcher</t>
  </si>
  <si>
    <t>gauchoshare</t>
  </si>
  <si>
    <t>gaugeprogressview</t>
  </si>
  <si>
    <t>gbooks</t>
  </si>
  <si>
    <t>gcam-services-provider</t>
  </si>
  <si>
    <t>gdgpune-devfest19-android</t>
  </si>
  <si>
    <t>gdps-android-public</t>
  </si>
  <si>
    <t>gearoenix</t>
  </si>
  <si>
    <t>gearshift</t>
  </si>
  <si>
    <t>gelli</t>
  </si>
  <si>
    <t>general-feedback</t>
  </si>
  <si>
    <t>generation</t>
  </si>
  <si>
    <t>generika_android</t>
  </si>
  <si>
    <t>geometricweather</t>
  </si>
  <si>
    <t>geonotesplus</t>
  </si>
  <si>
    <t>gesturelockview</t>
  </si>
  <si>
    <t>getback_gps</t>
  </si>
  <si>
    <t>gh-release-monitor</t>
  </si>
  <si>
    <t>ghala-android</t>
  </si>
  <si>
    <t>ghini</t>
  </si>
  <si>
    <t>ghostotp</t>
  </si>
  <si>
    <t>gidget</t>
  </si>
  <si>
    <t>gif-wallpaper</t>
  </si>
  <si>
    <t>gifimageview</t>
  </si>
  <si>
    <t>gifit</t>
  </si>
  <si>
    <t>gift-card-guard</t>
  </si>
  <si>
    <t>giggity</t>
  </si>
  <si>
    <t>git-point</t>
  </si>
  <si>
    <t>git-touch</t>
  </si>
  <si>
    <t>gitexplorer-android</t>
  </si>
  <si>
    <t>githubvisualizer</t>
  </si>
  <si>
    <t>gitnotes</t>
  </si>
  <si>
    <t>gitpositive</t>
  </si>
  <si>
    <t>gitsurf</t>
  </si>
  <si>
    <t>gjzs</t>
  </si>
  <si>
    <t>glass-notes-app</t>
  </si>
  <si>
    <t>glider</t>
  </si>
  <si>
    <t>gloom</t>
  </si>
  <si>
    <t>glowbutton</t>
  </si>
  <si>
    <t>glowing-potato</t>
  </si>
  <si>
    <t>glucosio-android</t>
  </si>
  <si>
    <t>glut</t>
  </si>
  <si>
    <t>gnucash-android</t>
  </si>
  <si>
    <t>go4lunch</t>
  </si>
  <si>
    <t>gobandroid</t>
  </si>
  <si>
    <t>gobi-player</t>
  </si>
  <si>
    <t>gocorona</t>
  </si>
  <si>
    <t>godot</t>
  </si>
  <si>
    <t>gofun-android</t>
  </si>
  <si>
    <t>golearning</t>
  </si>
  <si>
    <t>gomobile-ipfs</t>
  </si>
  <si>
    <t>GitHub_emulator_manual</t>
  </si>
  <si>
    <t>good-weather</t>
  </si>
  <si>
    <t>good_first_issue</t>
  </si>
  <si>
    <t>gorestaurant-app</t>
  </si>
  <si>
    <t>got-trivia</t>
  </si>
  <si>
    <t>gpslogger</t>
  </si>
  <si>
    <t>gptassist</t>
  </si>
  <si>
    <t>grabredenvelope</t>
  </si>
  <si>
    <t>graphhopper-maps-capacitor</t>
  </si>
  <si>
    <t>grblcontroller</t>
  </si>
  <si>
    <t>green_android</t>
  </si>
  <si>
    <t>greencloud</t>
  </si>
  <si>
    <t>greenpass-android</t>
  </si>
  <si>
    <t>greenstash</t>
  </si>
  <si>
    <t>gridle</t>
  </si>
  <si>
    <t>grocy-android</t>
  </si>
  <si>
    <t>group-05</t>
  </si>
  <si>
    <t>groupno1-vehicular-traffic-abatement</t>
  </si>
  <si>
    <t>gsy_github_app_flutter</t>
  </si>
  <si>
    <t>gsyricktext</t>
  </si>
  <si>
    <t>gsyvideoplayer</t>
  </si>
  <si>
    <t>guide7</t>
  </si>
  <si>
    <t>guideapp</t>
  </si>
  <si>
    <t>gurgle</t>
  </si>
  <si>
    <t>gymaths</t>
  </si>
  <si>
    <t>gymroutines</t>
  </si>
  <si>
    <t>gyrodraw</t>
  </si>
  <si>
    <t>habitbuilder</t>
  </si>
  <si>
    <t>habot</t>
  </si>
  <si>
    <t>hackdash</t>
  </si>
  <si>
    <t>hacked</t>
  </si>
  <si>
    <t>hackernews-react-native</t>
  </si>
  <si>
    <t>hacki</t>
  </si>
  <si>
    <t>hadithmv</t>
  </si>
  <si>
    <t>haifa3d-hand-app</t>
  </si>
  <si>
    <t>hail</t>
  </si>
  <si>
    <t>hair-segmentation</t>
  </si>
  <si>
    <t>hajk</t>
  </si>
  <si>
    <t>halfdot</t>
  </si>
  <si>
    <t>halma</t>
  </si>
  <si>
    <t>handy</t>
  </si>
  <si>
    <t>hanstargram</t>
  </si>
  <si>
    <t>happybubble</t>
  </si>
  <si>
    <t>harbour-berlin-vegan</t>
  </si>
  <si>
    <t>harmony</t>
  </si>
  <si>
    <t>CircleCI, GitHub, GitLab CI</t>
  </si>
  <si>
    <t>hash-checker</t>
  </si>
  <si>
    <t>hash-launcher</t>
  </si>
  <si>
    <t>hashr</t>
  </si>
  <si>
    <t>hathor-wallet-mobile</t>
  </si>
  <si>
    <t>headingcalculator</t>
  </si>
  <si>
    <t>healersdiary</t>
  </si>
  <si>
    <t>hearmenow-depressionchatbot-dialogflow</t>
  </si>
  <si>
    <t>heartbeat</t>
  </si>
  <si>
    <t>heed</t>
  </si>
  <si>
    <t>helio-workstation</t>
  </si>
  <si>
    <t>hello-java-android</t>
  </si>
  <si>
    <t>hello-react-native</t>
  </si>
  <si>
    <t>herculade</t>
  </si>
  <si>
    <t>hex</t>
  </si>
  <si>
    <t>hexviewer</t>
  </si>
  <si>
    <t>hglauncher</t>
  </si>
  <si>
    <t>hid-barcode-scanner</t>
  </si>
  <si>
    <t>hilt-sandbox</t>
  </si>
  <si>
    <t>hishoot2i</t>
  </si>
  <si>
    <t>hmi-android</t>
  </si>
  <si>
    <t>hnews</t>
  </si>
  <si>
    <t>holokenmod</t>
  </si>
  <si>
    <t>homepi-android</t>
  </si>
  <si>
    <t>horizontalpicker</t>
  </si>
  <si>
    <t>hostel</t>
  </si>
  <si>
    <t>hostelite</t>
  </si>
  <si>
    <t>house</t>
  </si>
  <si>
    <t>houseparty</t>
  </si>
  <si>
    <t>how-to-flutter</t>
  </si>
  <si>
    <t>hrv-band</t>
  </si>
  <si>
    <t>http-shortcuts</t>
  </si>
  <si>
    <t>httptracking</t>
  </si>
  <si>
    <t>huaxiaoyu-fe</t>
  </si>
  <si>
    <t>humanizer</t>
  </si>
  <si>
    <t>hungarianringsforandroid</t>
  </si>
  <si>
    <t>hunters</t>
  </si>
  <si>
    <t>hydra-android</t>
  </si>
  <si>
    <t>hypatia</t>
  </si>
  <si>
    <t>hyperrogue</t>
  </si>
  <si>
    <t>hyperupnp</t>
  </si>
  <si>
    <t>i2pd-android</t>
  </si>
  <si>
    <t>ichnaeanlpbackend</t>
  </si>
  <si>
    <t>iconic-tab-bar</t>
  </si>
  <si>
    <t>iconify</t>
  </si>
  <si>
    <t>ics-openconnect</t>
  </si>
  <si>
    <t>ics-openvpn</t>
  </si>
  <si>
    <t>icsx5</t>
  </si>
  <si>
    <t>ideabag2</t>
  </si>
  <si>
    <t>ideatrackerplus</t>
  </si>
  <si>
    <t>idee-android</t>
  </si>
  <si>
    <t>ididit</t>
  </si>
  <si>
    <t>ies-ips-android</t>
  </si>
  <si>
    <t>if26-projet-android</t>
  </si>
  <si>
    <t>iit-bhu-app</t>
  </si>
  <si>
    <t>iitp-connect</t>
  </si>
  <si>
    <t>ijh-android</t>
  </si>
  <si>
    <t>iliad</t>
  </si>
  <si>
    <t>imagepicker</t>
  </si>
  <si>
    <t>images-to-pdf</t>
  </si>
  <si>
    <t>imagesearcher</t>
  </si>
  <si>
    <t>improov</t>
  </si>
  <si>
    <t>in-app-update-compose</t>
  </si>
  <si>
    <t>infinity-for-reddit</t>
  </si>
  <si>
    <t>ingress-intel-total-conversion</t>
  </si>
  <si>
    <t>inkpageindicator</t>
  </si>
  <si>
    <t>innertune</t>
  </si>
  <si>
    <t>innoextract-android</t>
  </si>
  <si>
    <t>inspector</t>
  </si>
  <si>
    <t>instant</t>
  </si>
  <si>
    <t>instiapp-android</t>
  </si>
  <si>
    <t>insticomplaints-app</t>
  </si>
  <si>
    <t>instigo</t>
  </si>
  <si>
    <t>insync</t>
  </si>
  <si>
    <t>integral</t>
  </si>
  <si>
    <t>intent-intercept</t>
  </si>
  <si>
    <t>interconnected_mobile_client</t>
  </si>
  <si>
    <t>interfast</t>
  </si>
  <si>
    <t>internallinkmovementmethod</t>
  </si>
  <si>
    <t>inure</t>
  </si>
  <si>
    <t>inventory-tracker</t>
  </si>
  <si>
    <t>iptv</t>
  </si>
  <si>
    <t>ireader</t>
  </si>
  <si>
    <t>irl-link</t>
  </si>
  <si>
    <t>irmamobile</t>
  </si>
  <si>
    <t>irremote</t>
  </si>
  <si>
    <t>italianfiscalcodecalculatorapp</t>
  </si>
  <si>
    <t>itc-lms-unofficial</t>
  </si>
  <si>
    <t>ithakaboardgame</t>
  </si>
  <si>
    <t>itmoldova</t>
  </si>
  <si>
    <t>itracing2</t>
  </si>
  <si>
    <t>jagrati</t>
  </si>
  <si>
    <t>jamme</t>
  </si>
  <si>
    <t>jamuz-remote</t>
  </si>
  <si>
    <t>jazz2-native</t>
  </si>
  <si>
    <t>jellyfin-android</t>
  </si>
  <si>
    <t>jellyfin-androidtv</t>
  </si>
  <si>
    <t>jellyfin-audio-player</t>
  </si>
  <si>
    <t>jetcountrypicker</t>
  </si>
  <si>
    <t>jetpack</t>
  </si>
  <si>
    <t>jetpack-compose-bible</t>
  </si>
  <si>
    <t>jetpack-mvvm-best-practice</t>
  </si>
  <si>
    <t>jetpuppy</t>
  </si>
  <si>
    <t>jetquotes</t>
  </si>
  <si>
    <t>jisort</t>
  </si>
  <si>
    <t>jiten-webview</t>
  </si>
  <si>
    <t>jitsi-meet</t>
  </si>
  <si>
    <t>jl-mod</t>
  </si>
  <si>
    <t>joplin</t>
  </si>
  <si>
    <t>jounce</t>
  </si>
  <si>
    <t>journal3</t>
  </si>
  <si>
    <t>jreader</t>
  </si>
  <si>
    <t>jsonviewer</t>
  </si>
  <si>
    <t>jtt_android</t>
  </si>
  <si>
    <t>jtxboard</t>
  </si>
  <si>
    <t>GitHub_GMD, GitHub_emulator_full, GitHub_emulator_manual</t>
  </si>
  <si>
    <t>juicetimetable</t>
  </si>
  <si>
    <t>jukuu</t>
  </si>
  <si>
    <t>jumpdontdie</t>
  </si>
  <si>
    <t>junior</t>
  </si>
  <si>
    <t>just-chatting</t>
  </si>
  <si>
    <t>just_another_workout_timer</t>
  </si>
  <si>
    <t>jzandroidchart</t>
  </si>
  <si>
    <t>k-9</t>
  </si>
  <si>
    <t>k6nele</t>
  </si>
  <si>
    <t>ka27</t>
  </si>
  <si>
    <t>kaesekaestchen</t>
  </si>
  <si>
    <t>kaidan</t>
  </si>
  <si>
    <t>kaltura-device-info-android</t>
  </si>
  <si>
    <t>kanade</t>
  </si>
  <si>
    <t>kanaquiz</t>
  </si>
  <si>
    <t>Firebase_Full, Travis CI_emulator_manual</t>
  </si>
  <si>
    <t>kandroid</t>
  </si>
  <si>
    <t>kanji-recognition-android</t>
  </si>
  <si>
    <t>kaptain</t>
  </si>
  <si>
    <t>karma</t>
  </si>
  <si>
    <t>keepass2android</t>
  </si>
  <si>
    <t>keevault2</t>
  </si>
  <si>
    <t>keibai-android</t>
  </si>
  <si>
    <t>keter-escape</t>
  </si>
  <si>
    <t>keyboard</t>
  </si>
  <si>
    <t>keymapper</t>
  </si>
  <si>
    <t>keypass</t>
  </si>
  <si>
    <t>khel-ke-baat-karen</t>
  </si>
  <si>
    <t>khumu-android</t>
  </si>
  <si>
    <t>kicpa-wordquiz</t>
  </si>
  <si>
    <t>kidsphone</t>
  </si>
  <si>
    <t>kikke</t>
  </si>
  <si>
    <t>kiss</t>
  </si>
  <si>
    <t>kitchenowl</t>
  </si>
  <si>
    <t>kite-app</t>
  </si>
  <si>
    <t>kiwix-android</t>
  </si>
  <si>
    <t>klimatic</t>
  </si>
  <si>
    <t>klingar</t>
  </si>
  <si>
    <t>klooni1010</t>
  </si>
  <si>
    <t>knigopis</t>
  </si>
  <si>
    <t>knot</t>
  </si>
  <si>
    <t>know-corona</t>
  </si>
  <si>
    <t>koffeemate</t>
  </si>
  <si>
    <t>kotatsu</t>
  </si>
  <si>
    <t>kotlin-android-starter</t>
  </si>
  <si>
    <t>kotlin-native-superhero-app</t>
  </si>
  <si>
    <t>kotlin-order-food-app</t>
  </si>
  <si>
    <t>kotlin-permissions</t>
  </si>
  <si>
    <t>kotlin-pokedex</t>
  </si>
  <si>
    <t>kotlin-soundboard</t>
  </si>
  <si>
    <t>kotlin-surfaceduo-duobahn</t>
  </si>
  <si>
    <t>kotlinandroidbase</t>
  </si>
  <si>
    <t>kotlinlogger</t>
  </si>
  <si>
    <t>kpassnotes</t>
  </si>
  <si>
    <t>ktnes</t>
  </si>
  <si>
    <t>ktrip</t>
  </si>
  <si>
    <t>ktx</t>
  </si>
  <si>
    <t>kubenav</t>
  </si>
  <si>
    <t>kungfoo</t>
  </si>
  <si>
    <t>kuwas</t>
  </si>
  <si>
    <t>kvaesitso</t>
  </si>
  <si>
    <t>kyouen-android</t>
  </si>
  <si>
    <t>labcoat</t>
  </si>
  <si>
    <t>labeled-range-slider</t>
  </si>
  <si>
    <t>labeledseekslider</t>
  </si>
  <si>
    <t>lady-happy-android</t>
  </si>
  <si>
    <t>ladybuddy-app</t>
  </si>
  <si>
    <t>lapd</t>
  </si>
  <si>
    <t>last-launcher</t>
  </si>
  <si>
    <t>lastcaller</t>
  </si>
  <si>
    <t>latticify</t>
  </si>
  <si>
    <t>launcherc</t>
  </si>
  <si>
    <t>launchpadflightcontrollerandroid</t>
  </si>
  <si>
    <t>laverna-android</t>
  </si>
  <si>
    <t>lawnchair</t>
  </si>
  <si>
    <t>lawnicons</t>
  </si>
  <si>
    <t>layouteditor</t>
  </si>
  <si>
    <t>lazycolumnscrollbar</t>
  </si>
  <si>
    <t>lazydb</t>
  </si>
  <si>
    <t>lbry-android</t>
  </si>
  <si>
    <t>lbry-fdroid</t>
  </si>
  <si>
    <t>leaflet</t>
  </si>
  <si>
    <t>leafylauncher</t>
  </si>
  <si>
    <t>leamonax</t>
  </si>
  <si>
    <t>leaonline-app</t>
  </si>
  <si>
    <t>learn-android</t>
  </si>
  <si>
    <t>learn-braille</t>
  </si>
  <si>
    <t>learn-digits</t>
  </si>
  <si>
    <t>leavesheet</t>
  </si>
  <si>
    <t>leihen</t>
  </si>
  <si>
    <t>lemuroid</t>
  </si>
  <si>
    <t>leon</t>
  </si>
  <si>
    <t>lesscode</t>
  </si>
  <si>
    <t>lesspass</t>
  </si>
  <si>
    <t>levelprogressbar</t>
  </si>
  <si>
    <t>lexica</t>
  </si>
  <si>
    <t>life-dots</t>
  </si>
  <si>
    <t>lifecyclemodel</t>
  </si>
  <si>
    <t>lift</t>
  </si>
  <si>
    <t>light-controller</t>
  </si>
  <si>
    <t>lilaoftheday_android</t>
  </si>
  <si>
    <t>limpazap</t>
  </si>
  <si>
    <t>lineflag</t>
  </si>
  <si>
    <t>lingvaandroid</t>
  </si>
  <si>
    <t>linkhub</t>
  </si>
  <si>
    <t>linphone-android</t>
  </si>
  <si>
    <t>linux-mon</t>
  </si>
  <si>
    <t>lionheart-remake</t>
  </si>
  <si>
    <t>listen1_mobile</t>
  </si>
  <si>
    <t>lisu-android</t>
  </si>
  <si>
    <t>livepokemonfinder</t>
  </si>
  <si>
    <t>livescoreapp</t>
  </si>
  <si>
    <t>lnch</t>
  </si>
  <si>
    <t>loaderspack-android</t>
  </si>
  <si>
    <t>loadmorewrapper</t>
  </si>
  <si>
    <t>localsend</t>
  </si>
  <si>
    <t>locationmapviewer</t>
  </si>
  <si>
    <t>lockscreennotes</t>
  </si>
  <si>
    <t>logcat</t>
  </si>
  <si>
    <t>logcatreader</t>
  </si>
  <si>
    <t>logger</t>
  </si>
  <si>
    <t>logginginterceptor</t>
  </si>
  <si>
    <t>login-multi-role</t>
  </si>
  <si>
    <t>logmein-android</t>
  </si>
  <si>
    <t>looper</t>
  </si>
  <si>
    <t>loopviewpagerlayout</t>
  </si>
  <si>
    <t>loopy</t>
  </si>
  <si>
    <t>loread</t>
  </si>
  <si>
    <t>losslessjpgcrop</t>
  </si>
  <si>
    <t>lotonaticos</t>
  </si>
  <si>
    <t>loyalty-card-locker</t>
  </si>
  <si>
    <t>lrkfm</t>
  </si>
  <si>
    <t>ltecleanerfoss</t>
  </si>
  <si>
    <t>luadroid</t>
  </si>
  <si>
    <t>ludere</t>
  </si>
  <si>
    <t>ludoscity</t>
  </si>
  <si>
    <t>ludwig-android</t>
  </si>
  <si>
    <t>lumicall</t>
  </si>
  <si>
    <t>lunar-launcher</t>
  </si>
  <si>
    <t>lyricistant</t>
  </si>
  <si>
    <t>lyricly</t>
  </si>
  <si>
    <t>machbarschaft-android-kotlin</t>
  </si>
  <si>
    <t>macronium-android</t>
  </si>
  <si>
    <t>macrozilla</t>
  </si>
  <si>
    <t>macstransitapp</t>
  </si>
  <si>
    <t>madesubmsission</t>
  </si>
  <si>
    <t>mafqud-android</t>
  </si>
  <si>
    <t>magicphotos-android</t>
  </si>
  <si>
    <t>magisk</t>
  </si>
  <si>
    <t>magnum-extras</t>
  </si>
  <si>
    <t>main</t>
  </si>
  <si>
    <t>mandarin-android</t>
  </si>
  <si>
    <t>manga2kindle</t>
  </si>
  <si>
    <t>mangaka</t>
  </si>
  <si>
    <t>mangindo</t>
  </si>
  <si>
    <t>manji</t>
  </si>
  <si>
    <t>manyverse</t>
  </si>
  <si>
    <t>mapnotes</t>
  </si>
  <si>
    <t>maps</t>
  </si>
  <si>
    <t>maps-platform-101-android</t>
  </si>
  <si>
    <t>mapwall</t>
  </si>
  <si>
    <t>markdownr</t>
  </si>
  <si>
    <t>marketplace-list</t>
  </si>
  <si>
    <t>marknote</t>
  </si>
  <si>
    <t>markor</t>
  </si>
  <si>
    <t>marky</t>
  </si>
  <si>
    <t>marvel</t>
  </si>
  <si>
    <t>marvel-app</t>
  </si>
  <si>
    <t>marvel-client</t>
  </si>
  <si>
    <t>marvelapp</t>
  </si>
  <si>
    <t>mascota-android</t>
  </si>
  <si>
    <t>maskara</t>
  </si>
  <si>
    <t>masterpassword</t>
  </si>
  <si>
    <t>matcha</t>
  </si>
  <si>
    <t>mate_app</t>
  </si>
  <si>
    <t>material-intro-screen</t>
  </si>
  <si>
    <t>material-sudoku</t>
  </si>
  <si>
    <t>materialfilepicker</t>
  </si>
  <si>
    <t>materialfiles</t>
  </si>
  <si>
    <t>materialtextfield</t>
  </si>
  <si>
    <t>materialwecenter</t>
  </si>
  <si>
    <t>mather</t>
  </si>
  <si>
    <t>mathview</t>
  </si>
  <si>
    <t>matsuri</t>
  </si>
  <si>
    <t>mattermost-mobile</t>
  </si>
  <si>
    <t>mausam-app</t>
  </si>
  <si>
    <t>mauth</t>
  </si>
  <si>
    <t>mbrc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</si>
  <si>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</si>
  <si>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</si>
  <si>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</si>
  <si>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</si>
  <si>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</si>
  <si>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</si>
  <si>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</si>
  <si>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</si>
  <si>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</si>
  <si>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</si>
  <si>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mcinabox</t>
  </si>
  <si>
    <t>mcpwn</t>
  </si>
  <si>
    <t>mealient</t>
  </si>
  <si>
    <t>mealmania</t>
  </si>
  <si>
    <t>meaning_android</t>
  </si>
  <si>
    <t>mediagallery</t>
  </si>
  <si>
    <t>medicationmanager</t>
  </si>
  <si>
    <t>medito-app</t>
  </si>
  <si>
    <t>mediumclap-android</t>
  </si>
  <si>
    <t>medusa</t>
  </si>
  <si>
    <t>meeroo</t>
  </si>
  <si>
    <t>mefab</t>
  </si>
  <si>
    <t>melodeon</t>
  </si>
  <si>
    <t>melon</t>
  </si>
  <si>
    <t>memecreator</t>
  </si>
  <si>
    <t>memerizeapp</t>
  </si>
  <si>
    <t>memetastic</t>
  </si>
  <si>
    <t>memorygame</t>
  </si>
  <si>
    <t>mensa</t>
  </si>
  <si>
    <t>mensaplan</t>
  </si>
  <si>
    <t>mentorship-android</t>
  </si>
  <si>
    <t>mentra-app</t>
  </si>
  <si>
    <t>meow</t>
  </si>
  <si>
    <t>mercy-emotion-sns</t>
  </si>
  <si>
    <t>messenger-android</t>
  </si>
  <si>
    <t>messsy</t>
  </si>
  <si>
    <t>met-cs622-chatbot-project</t>
  </si>
  <si>
    <t>metadataremover</t>
  </si>
  <si>
    <t>meteorite</t>
  </si>
  <si>
    <t>meteroid</t>
  </si>
  <si>
    <t>metro-compose</t>
  </si>
  <si>
    <t>metrodroid</t>
  </si>
  <si>
    <t>metronome</t>
  </si>
  <si>
    <t>mewconnect-android</t>
  </si>
  <si>
    <t>mgit</t>
  </si>
  <si>
    <t>mhabit</t>
  </si>
  <si>
    <t>mhworlddatabase</t>
  </si>
  <si>
    <t>micropinner</t>
  </si>
  <si>
    <t>microsphere</t>
  </si>
  <si>
    <t>milia</t>
  </si>
  <si>
    <t>milktea</t>
  </si>
  <si>
    <t>millennium-for-reddit</t>
  </si>
  <si>
    <t>minder</t>
  </si>
  <si>
    <t>mindful-android-launcher</t>
  </si>
  <si>
    <t>mindustry</t>
  </si>
  <si>
    <t>mini-games</t>
  </si>
  <si>
    <t>minijvm</t>
  </si>
  <si>
    <t>minimal-quotes</t>
  </si>
  <si>
    <t>minimal-todo</t>
  </si>
  <si>
    <t>minimal_todo</t>
  </si>
  <si>
    <t>minimalin-watchface</t>
  </si>
  <si>
    <t>miocheck</t>
  </si>
  <si>
    <t>mirakel-android</t>
  </si>
  <si>
    <t>mirrordisplay</t>
  </si>
  <si>
    <t>mirru-android</t>
  </si>
  <si>
    <t>mitsumine</t>
  </si>
  <si>
    <t>mityurl</t>
  </si>
  <si>
    <t>miuinativenotifyicon</t>
  </si>
  <si>
    <t>miwok-app</t>
  </si>
  <si>
    <t>mixpanel-android</t>
  </si>
  <si>
    <t>mkdocseditor-android</t>
  </si>
  <si>
    <t>mkloader</t>
  </si>
  <si>
    <t>mlmanager</t>
  </si>
  <si>
    <t>mmdb</t>
  </si>
  <si>
    <t>mobile</t>
  </si>
  <si>
    <t>mobile-android-legacy</t>
  </si>
  <si>
    <t>mobile-app</t>
  </si>
  <si>
    <t>mobile-cardio</t>
  </si>
  <si>
    <t>mobile-jisho</t>
  </si>
  <si>
    <t>mobile_nebula</t>
  </si>
  <si>
    <t>mobileprism</t>
  </si>
  <si>
    <t>mobilert</t>
  </si>
  <si>
    <t>modalbottomsheetdialog</t>
  </si>
  <si>
    <t>modularized-flicker-showcase</t>
  </si>
  <si>
    <t>modularized-marvel-showcase</t>
  </si>
  <si>
    <t>momento</t>
  </si>
  <si>
    <t>momentum</t>
  </si>
  <si>
    <t>moneybook</t>
  </si>
  <si>
    <t>moneycontrol</t>
  </si>
  <si>
    <t>monoadapter</t>
  </si>
  <si>
    <t>monotweety</t>
  </si>
  <si>
    <t>monster-compendium</t>
  </si>
  <si>
    <t>mood-tracker-android</t>
  </si>
  <si>
    <t>mooltik</t>
  </si>
  <si>
    <t>moonlight-android</t>
  </si>
  <si>
    <t>moonmeet-crossplatform</t>
  </si>
  <si>
    <t>moonshot</t>
  </si>
  <si>
    <t>moretype</t>
  </si>
  <si>
    <t>morningwood</t>
  </si>
  <si>
    <t>morphtransitions</t>
  </si>
  <si>
    <t>motionlock</t>
  </si>
  <si>
    <t>motionmate</t>
  </si>
  <si>
    <t>motorsport-circuits</t>
  </si>
  <si>
    <t>move-tickets-seats</t>
  </si>
  <si>
    <t>moveery</t>
  </si>
  <si>
    <t>movie-app-android</t>
  </si>
  <si>
    <t>movie-list-by-jetpack-compose-01</t>
  </si>
  <si>
    <t>movieapp</t>
  </si>
  <si>
    <t>moviedatabase</t>
  </si>
  <si>
    <t>moviedb</t>
  </si>
  <si>
    <t>movieland</t>
  </si>
  <si>
    <t>movies</t>
  </si>
  <si>
    <t>movies_tmdb</t>
  </si>
  <si>
    <t>moviesy</t>
  </si>
  <si>
    <t>movistartv</t>
  </si>
  <si>
    <t>mp3player</t>
  </si>
  <si>
    <t>mpd</t>
  </si>
  <si>
    <t>mpp-kotlin</t>
  </si>
  <si>
    <t>mpv-android</t>
  </si>
  <si>
    <t>mss</t>
  </si>
  <si>
    <t>mszprogressindicator</t>
  </si>
  <si>
    <t>mtg-familiar</t>
  </si>
  <si>
    <t>mtmods4android</t>
  </si>
  <si>
    <t>mtuo</t>
  </si>
  <si>
    <t>mucke</t>
  </si>
  <si>
    <t>mullvadvpn-app</t>
  </si>
  <si>
    <t>multilanguages</t>
  </si>
  <si>
    <t>multiplatform-markdown-renderer</t>
  </si>
  <si>
    <t>multiplatformgithubtopics</t>
  </si>
  <si>
    <t>multiplestatuslayout</t>
  </si>
  <si>
    <t>munchkin-counter-android</t>
  </si>
  <si>
    <t>mundraub-android</t>
  </si>
  <si>
    <t>munich-ways-app</t>
  </si>
  <si>
    <t>mupen64plus-ae</t>
  </si>
  <si>
    <t>musekit</t>
  </si>
  <si>
    <t>music-player</t>
  </si>
  <si>
    <t>music-player-go</t>
  </si>
  <si>
    <t>musicbrainz-android</t>
  </si>
  <si>
    <t>musicmanager</t>
  </si>
  <si>
    <t>musify</t>
  </si>
  <si>
    <t>muslimday</t>
  </si>
  <si>
    <t>mutecamera</t>
  </si>
  <si>
    <t>mutify</t>
  </si>
  <si>
    <t>muzesto</t>
  </si>
  <si>
    <t>mvez</t>
  </si>
  <si>
    <t>mvi-dispatcher-ktx</t>
  </si>
  <si>
    <t>mvoterandroid</t>
  </si>
  <si>
    <t>my-bank</t>
  </si>
  <si>
    <t>my-career</t>
  </si>
  <si>
    <t>my-fitness-app</t>
  </si>
  <si>
    <t>my-music</t>
  </si>
  <si>
    <t>my-soothe</t>
  </si>
  <si>
    <t>my-special-way-android</t>
  </si>
  <si>
    <t>my_pos_android</t>
  </si>
  <si>
    <t>myanimeviewer</t>
  </si>
  <si>
    <t>myapplication</t>
  </si>
  <si>
    <t>mygithubuser</t>
  </si>
  <si>
    <t>myhackerspace</t>
  </si>
  <si>
    <t>mylocation</t>
  </si>
  <si>
    <t>myluaapp</t>
  </si>
  <si>
    <t>myntratinder</t>
  </si>
  <si>
    <t>mypass-app</t>
  </si>
  <si>
    <t>mypesa</t>
  </si>
  <si>
    <t>mypetsage</t>
  </si>
  <si>
    <t>mypodcasts-android</t>
  </si>
  <si>
    <t>mysterium-vpn-mobile</t>
  </si>
  <si>
    <t>myweatherforecast</t>
  </si>
  <si>
    <t>nabung</t>
  </si>
  <si>
    <t>napkin-collect-android</t>
  </si>
  <si>
    <t>national-geography</t>
  </si>
  <si>
    <t>native</t>
  </si>
  <si>
    <t>CircleCI, GitHub, Travis CI, Unknown</t>
  </si>
  <si>
    <t>native-app</t>
  </si>
  <si>
    <t>nativescript-inappbrowser</t>
  </si>
  <si>
    <t>ncihost</t>
  </si>
  <si>
    <t>ncine</t>
  </si>
  <si>
    <t>ncsms-android</t>
  </si>
  <si>
    <t>ndx</t>
  </si>
  <si>
    <t>nearby-live</t>
  </si>
  <si>
    <t>nearbychat</t>
  </si>
  <si>
    <t>neko</t>
  </si>
  <si>
    <t>nekome</t>
  </si>
  <si>
    <t>nekox</t>
  </si>
  <si>
    <t>neoterm</t>
  </si>
  <si>
    <t>nepaltoday-app-old</t>
  </si>
  <si>
    <t>nes-emulator</t>
  </si>
  <si>
    <t>net</t>
  </si>
  <si>
    <t>netflix</t>
  </si>
  <si>
    <t>networkmapper</t>
  </si>
  <si>
    <t>neurolab-android</t>
  </si>
  <si>
    <t>new-ultrasonic-fork-for-mymusicqoe</t>
  </si>
  <si>
    <t>newpipe</t>
  </si>
  <si>
    <t>news</t>
  </si>
  <si>
    <t>news-android</t>
  </si>
  <si>
    <t>newsapp</t>
  </si>
  <si>
    <t>newsapp-retrofit</t>
  </si>
  <si>
    <t>nexd-android</t>
  </si>
  <si>
    <t>nextcloud-deck</t>
  </si>
  <si>
    <t>nextcloud-quicknotes-android</t>
  </si>
  <si>
    <t>nextcloud-tables</t>
  </si>
  <si>
    <t>nextcloudpasswords</t>
  </si>
  <si>
    <t>nextcloudservices</t>
  </si>
  <si>
    <t>nextinpact-unofficial</t>
  </si>
  <si>
    <t>nextrot_android</t>
  </si>
  <si>
    <t>nfc-explorer</t>
  </si>
  <si>
    <t>nfcgate</t>
  </si>
  <si>
    <t>nfcreader</t>
  </si>
  <si>
    <t>nfsee</t>
  </si>
  <si>
    <t>nice-animals</t>
  </si>
  <si>
    <t>nicevieoplayer</t>
  </si>
  <si>
    <t>nightlight</t>
  </si>
  <si>
    <t>ning</t>
  </si>
  <si>
    <t>nitmgpt</t>
  </si>
  <si>
    <t>nitroshare-android</t>
  </si>
  <si>
    <t>nkit-launcher</t>
  </si>
  <si>
    <t>nlweer</t>
  </si>
  <si>
    <t>nmedia</t>
  </si>
  <si>
    <t>noefinderlein</t>
  </si>
  <si>
    <t>noefinderlein_flutter</t>
  </si>
  <si>
    <t>nofbeventscraper</t>
  </si>
  <si>
    <t>noisecapture</t>
  </si>
  <si>
    <t>noisepercolator</t>
  </si>
  <si>
    <t>nominatimgeocoderbackend</t>
  </si>
  <si>
    <t>nonocross</t>
  </si>
  <si>
    <t>noodle</t>
  </si>
  <si>
    <t>norimaki</t>
  </si>
  <si>
    <t>nospy</t>
  </si>
  <si>
    <t>nostros</t>
  </si>
  <si>
    <t>note-me</t>
  </si>
  <si>
    <t>notely</t>
  </si>
  <si>
    <t>notepad</t>
  </si>
  <si>
    <t>notes</t>
  </si>
  <si>
    <t>notes-android</t>
  </si>
  <si>
    <t>notesnook</t>
  </si>
  <si>
    <t>notesx</t>
  </si>
  <si>
    <t>nothing</t>
  </si>
  <si>
    <t>noticap</t>
  </si>
  <si>
    <t>notifer</t>
  </si>
  <si>
    <t>notification-notes</t>
  </si>
  <si>
    <t>notifier</t>
  </si>
  <si>
    <t>notify-abroad</t>
  </si>
  <si>
    <t>notinotes</t>
  </si>
  <si>
    <t>notipush</t>
  </si>
  <si>
    <t>notre-dame</t>
  </si>
  <si>
    <t>notre-dame-v3</t>
  </si>
  <si>
    <t>notykt</t>
  </si>
  <si>
    <t>now-u-app</t>
  </si>
  <si>
    <t>ns-usbloader-mobile</t>
  </si>
  <si>
    <t>ntravel-app</t>
  </si>
  <si>
    <t>numberprogressbar</t>
  </si>
  <si>
    <t>numberslidingpicker</t>
  </si>
  <si>
    <t>nuntius-android</t>
  </si>
  <si>
    <t>nusic</t>
  </si>
  <si>
    <t>nutrifit</t>
  </si>
  <si>
    <t>nuwm-frontend</t>
  </si>
  <si>
    <t>nwipe-android</t>
  </si>
  <si>
    <t>ny-times-popular-articles</t>
  </si>
  <si>
    <t>nyaapantsu-android-app</t>
  </si>
  <si>
    <t>nyandroid</t>
  </si>
  <si>
    <t>o-fish-android</t>
  </si>
  <si>
    <t>oandbackup</t>
  </si>
  <si>
    <t>obdgraphs</t>
  </si>
  <si>
    <t>objectbox-performance</t>
  </si>
  <si>
    <t>oblique</t>
  </si>
  <si>
    <t>obscuracam</t>
  </si>
  <si>
    <t>obsqr</t>
  </si>
  <si>
    <t>ocelot</t>
  </si>
  <si>
    <t>ocnus</t>
  </si>
  <si>
    <t>ocquarium</t>
  </si>
  <si>
    <t>ocrliteandroidncnn</t>
  </si>
  <si>
    <t>octi</t>
  </si>
  <si>
    <t>octo4a</t>
  </si>
  <si>
    <t>odysee-android</t>
  </si>
  <si>
    <t>oeis-android</t>
  </si>
  <si>
    <t>office-assistant-legacy</t>
  </si>
  <si>
    <t>offlinecookbook</t>
  </si>
  <si>
    <t>oiapp</t>
  </si>
  <si>
    <t>omni-notes</t>
  </si>
  <si>
    <t>omrecorder</t>
  </si>
  <si>
    <t>one_second_diary</t>
  </si>
  <si>
    <t>onebusaway-android</t>
  </si>
  <si>
    <t>onedrawable</t>
  </si>
  <si>
    <t>onehotminute-compose</t>
  </si>
  <si>
    <t>onesentence</t>
  </si>
  <si>
    <t>onliner</t>
  </si>
  <si>
    <t>onscripteryuri</t>
  </si>
  <si>
    <t>open-fcu</t>
  </si>
  <si>
    <t>open-keychain</t>
  </si>
  <si>
    <t>open-source-android-weather-app</t>
  </si>
  <si>
    <t>open2share</t>
  </si>
  <si>
    <t>open_edisu</t>
  </si>
  <si>
    <t>openair-android</t>
  </si>
  <si>
    <t>openbikesharing</t>
  </si>
  <si>
    <t>openblocks-app</t>
  </si>
  <si>
    <t>opencamera-sensors</t>
  </si>
  <si>
    <t>openchord</t>
  </si>
  <si>
    <t>opencomicvine</t>
  </si>
  <si>
    <t>opencookieclicker</t>
  </si>
  <si>
    <t>opencord</t>
  </si>
  <si>
    <t>opendocument</t>
  </si>
  <si>
    <t>openfe-android</t>
  </si>
  <si>
    <t>opengapps_downloader</t>
  </si>
  <si>
    <t>openhab-android</t>
  </si>
  <si>
    <t>openinwa</t>
  </si>
  <si>
    <t>openmapkitandroid</t>
  </si>
  <si>
    <t>openmsupply-client</t>
  </si>
  <si>
    <t>opennotescanner</t>
  </si>
  <si>
    <t>openreads-android</t>
  </si>
  <si>
    <t>openredmine</t>
  </si>
  <si>
    <t>openscale</t>
  </si>
  <si>
    <t>opensesame</t>
  </si>
  <si>
    <t>openstop</t>
  </si>
  <si>
    <t>opentasks</t>
  </si>
  <si>
    <t>openticator</t>
  </si>
  <si>
    <t>opentopomapviewer</t>
  </si>
  <si>
    <t>opentracks</t>
  </si>
  <si>
    <t>opentraining</t>
  </si>
  <si>
    <t>openworkout</t>
  </si>
  <si>
    <t>opmt</t>
  </si>
  <si>
    <t>organicmaps</t>
  </si>
  <si>
    <t>orgro</t>
  </si>
  <si>
    <t>orgzly-android</t>
  </si>
  <si>
    <t>oring_reminder</t>
  </si>
  <si>
    <t>orion-viewer</t>
  </si>
  <si>
    <t>osmand</t>
  </si>
  <si>
    <t>osmdashboard</t>
  </si>
  <si>
    <t>osmeditor4android</t>
  </si>
  <si>
    <t>osmin</t>
  </si>
  <si>
    <t>osrm-text-instructions</t>
  </si>
  <si>
    <t>osu-droid</t>
  </si>
  <si>
    <t>osu-lab</t>
  </si>
  <si>
    <t>otl-app</t>
  </si>
  <si>
    <t>otpview</t>
  </si>
  <si>
    <t>otter</t>
  </si>
  <si>
    <t>ottodiyapp</t>
  </si>
  <si>
    <t>ouilookup</t>
  </si>
  <si>
    <t>oxygen-updater</t>
  </si>
  <si>
    <t>packagemanager</t>
  </si>
  <si>
    <t>packlist</t>
  </si>
  <si>
    <t>packman</t>
  </si>
  <si>
    <t>padumper</t>
  </si>
  <si>
    <t>pageindicator</t>
  </si>
  <si>
    <t>paintroid</t>
  </si>
  <si>
    <t>paisa</t>
  </si>
  <si>
    <t>paladins-edge-client</t>
  </si>
  <si>
    <t>palette-compose</t>
  </si>
  <si>
    <t>pandemia</t>
  </si>
  <si>
    <t>pandroid</t>
  </si>
  <si>
    <t>pangea</t>
  </si>
  <si>
    <t>paper</t>
  </si>
  <si>
    <t>paperlaunch</t>
  </si>
  <si>
    <t>paperless-mobile</t>
  </si>
  <si>
    <t>paperless_app</t>
  </si>
  <si>
    <t>parabox</t>
  </si>
  <si>
    <t>parallaxscrollingview</t>
  </si>
  <si>
    <t>parandroid</t>
  </si>
  <si>
    <t>parceler</t>
  </si>
  <si>
    <t>paristransporttraffic</t>
  </si>
  <si>
    <t>partyq-android</t>
  </si>
  <si>
    <t>passport-reader</t>
  </si>
  <si>
    <t>passshout</t>
  </si>
  <si>
    <t>passwd</t>
  </si>
  <si>
    <t>patco-today</t>
  </si>
  <si>
    <t>pdd-flow</t>
  </si>
  <si>
    <t>pdfviewer</t>
  </si>
  <si>
    <t>pedometer</t>
  </si>
  <si>
    <t>peekabook-aos</t>
  </si>
  <si>
    <t>peepz</t>
  </si>
  <si>
    <t>peercoin_flutter</t>
  </si>
  <si>
    <t>peertube-android</t>
  </si>
  <si>
    <t>pendu</t>
  </si>
  <si>
    <t>pengchauferry</t>
  </si>
  <si>
    <t>perfectus</t>
  </si>
  <si>
    <t>permission-nanny</t>
  </si>
  <si>
    <t>permission-pilot</t>
  </si>
  <si>
    <t>persian-calendar</t>
  </si>
  <si>
    <t>perun-eth-mobile</t>
  </si>
  <si>
    <t>peruvian-food-app</t>
  </si>
  <si>
    <t>pet-owner-app</t>
  </si>
  <si>
    <t>petals</t>
  </si>
  <si>
    <t>phone-saver</t>
  </si>
  <si>
    <t>phonograph_plus</t>
  </si>
  <si>
    <t>photo-sharing-android</t>
  </si>
  <si>
    <t>photo_club</t>
  </si>
  <si>
    <t>photochat</t>
  </si>
  <si>
    <t>photok</t>
  </si>
  <si>
    <t>photon</t>
  </si>
  <si>
    <t>photonet</t>
  </si>
  <si>
    <t>photophase</t>
  </si>
  <si>
    <t>photos</t>
  </si>
  <si>
    <t>photos-app</t>
  </si>
  <si>
    <t>phphub-android</t>
  </si>
  <si>
    <t>piano-tiles-clone</t>
  </si>
  <si>
    <t>picardbarcodescanner</t>
  </si>
  <si>
    <t>picasa-gallery-android</t>
  </si>
  <si>
    <t>picasso</t>
  </si>
  <si>
    <t>picgo</t>
  </si>
  <si>
    <t>pict2cam</t>
  </si>
  <si>
    <t>pikapika</t>
  </si>
  <si>
    <t>pincredible</t>
  </si>
  <si>
    <t>pindroid</t>
  </si>
  <si>
    <t>pinetime-companion</t>
  </si>
  <si>
    <t>pingo</t>
  </si>
  <si>
    <t>piping-phone-android</t>
  </si>
  <si>
    <t>piwigo-android</t>
  </si>
  <si>
    <t>pixelcat</t>
  </si>
  <si>
    <t>pixelgym</t>
  </si>
  <si>
    <t>pixelwheels</t>
  </si>
  <si>
    <t>piximagepicker</t>
  </si>
  <si>
    <t>pjproject</t>
  </si>
  <si>
    <t>planningpoker</t>
  </si>
  <si>
    <t>plantmanager</t>
  </si>
  <si>
    <t>plasma</t>
  </si>
  <si>
    <t>plasma-donor-app</t>
  </si>
  <si>
    <t>playcode</t>
  </si>
  <si>
    <t>player</t>
  </si>
  <si>
    <t>playword</t>
  </si>
  <si>
    <t>podplayer</t>
  </si>
  <si>
    <t>poet-assistant</t>
  </si>
  <si>
    <t>pogoplusle</t>
  </si>
  <si>
    <t>pokeapi-compose</t>
  </si>
  <si>
    <t>pokebase</t>
  </si>
  <si>
    <t>pokedex</t>
  </si>
  <si>
    <t>pokedex-android</t>
  </si>
  <si>
    <t>pokemar</t>
  </si>
  <si>
    <t>pola-android</t>
  </si>
  <si>
    <t>polaris-android</t>
  </si>
  <si>
    <t>pomodoro</t>
  </si>
  <si>
    <t>pomodoro-timer</t>
  </si>
  <si>
    <t>popcorn2</t>
  </si>
  <si>
    <t>popular-movies</t>
  </si>
  <si>
    <t>popular-movies-android-nanodegree</t>
  </si>
  <si>
    <t>popular-movies-app</t>
  </si>
  <si>
    <t>popularmovies</t>
  </si>
  <si>
    <t>portfolio</t>
  </si>
  <si>
    <t>postcode</t>
  </si>
  <si>
    <t>powerbutton</t>
  </si>
  <si>
    <t>ppsspp</t>
  </si>
  <si>
    <t>GitHub, GitLab CI, Unknown</t>
  </si>
  <si>
    <t>pr0gramm-flutter</t>
  </si>
  <si>
    <t>preferencesextension</t>
  </si>
  <si>
    <t>premiumer</t>
  </si>
  <si>
    <t>prepaidbalance</t>
  </si>
  <si>
    <t>presencepublisher</t>
  </si>
  <si>
    <t>presently</t>
  </si>
  <si>
    <t>pretendyourexyzzyandroid</t>
  </si>
  <si>
    <t>pretixdroid</t>
  </si>
  <si>
    <t>pretixprint-android</t>
  </si>
  <si>
    <t>pretixscan-android</t>
  </si>
  <si>
    <t>price-per-unit</t>
  </si>
  <si>
    <t>price_comparison_app</t>
  </si>
  <si>
    <t>prim-ftpd</t>
  </si>
  <si>
    <t>print</t>
  </si>
  <si>
    <t>prismatikremote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</si>
  <si>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</si>
  <si>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</si>
  <si>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</si>
  <si>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</si>
  <si>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</si>
  <si>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</si>
  <si>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</si>
  <si>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</si>
  <si>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</si>
  <si>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</si>
  <si>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</si>
  <si>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</si>
  <si>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</si>
  <si>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</si>
  <si>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</si>
  <si>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</si>
  <si>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</si>
  <si>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</si>
  <si>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</si>
  <si>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</si>
  <si>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</si>
  <si>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</si>
  <si>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</si>
  <si>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</si>
  <si>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</si>
  <si>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</si>
  <si>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</si>
  <si>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</si>
  <si>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probe-android</t>
  </si>
  <si>
    <t>proexpense</t>
  </si>
  <si>
    <t>prognoza</t>
  </si>
  <si>
    <t>progressableimageview</t>
  </si>
  <si>
    <t>progressnote</t>
  </si>
  <si>
    <t>project-avocado</t>
  </si>
  <si>
    <t>project-raasan</t>
  </si>
  <si>
    <t>projectblue</t>
  </si>
  <si>
    <t>projectconf</t>
  </si>
  <si>
    <t>protect-baby-monitor</t>
  </si>
  <si>
    <t>proxerandroid</t>
  </si>
  <si>
    <t>proxertv</t>
  </si>
  <si>
    <t>proximityservice</t>
  </si>
  <si>
    <t>pslab-android</t>
  </si>
  <si>
    <t>psm-mobile-app</t>
  </si>
  <si>
    <t>psp_emulator</t>
  </si>
  <si>
    <t>GitLab CI, Unknown</t>
  </si>
  <si>
    <t>ptsd-aid</t>
  </si>
  <si>
    <t>puppy-adoption-app</t>
  </si>
  <si>
    <t>purduelaundry-android</t>
  </si>
  <si>
    <t>pure</t>
  </si>
  <si>
    <t>pusher</t>
  </si>
  <si>
    <t>pushie</t>
  </si>
  <si>
    <t>pwswatcher</t>
  </si>
  <si>
    <t>pyrrha-mobile-app</t>
  </si>
  <si>
    <t>qaq-android</t>
  </si>
  <si>
    <t>qbitcontroller</t>
  </si>
  <si>
    <t>qbittorrent-manager</t>
  </si>
  <si>
    <t>qiyutkandroid</t>
  </si>
  <si>
    <t>qmbform</t>
  </si>
  <si>
    <t>qpassword</t>
  </si>
  <si>
    <t>qq-exp-android</t>
  </si>
  <si>
    <t>qr-generator</t>
  </si>
  <si>
    <t>qscan</t>
  </si>
  <si>
    <t>quack-quack-android</t>
  </si>
  <si>
    <t>quake</t>
  </si>
  <si>
    <t>quasseldroid-ng</t>
  </si>
  <si>
    <t>quick-calculation</t>
  </si>
  <si>
    <t>quoteiko</t>
  </si>
  <si>
    <t>quotes</t>
  </si>
  <si>
    <t>quotesapp</t>
  </si>
  <si>
    <t>quotey</t>
  </si>
  <si>
    <t>quria</t>
  </si>
  <si>
    <t>raag</t>
  </si>
  <si>
    <t>rabbitmq-management-android</t>
  </si>
  <si>
    <t>rabbitremotecontrol</t>
  </si>
  <si>
    <t>rachma-android</t>
  </si>
  <si>
    <t>racoandroid</t>
  </si>
  <si>
    <t>radar-covid-android</t>
  </si>
  <si>
    <t>radiocontrol</t>
  </si>
  <si>
    <t>radiodroid</t>
  </si>
  <si>
    <t>radiotok</t>
  </si>
  <si>
    <t>rally</t>
  </si>
  <si>
    <t>random_facts_generator</t>
  </si>
  <si>
    <t>randomizer</t>
  </si>
  <si>
    <t>randomwordgenerator</t>
  </si>
  <si>
    <t>rapidocrandroidonnxcompose</t>
  </si>
  <si>
    <t>rapidooo</t>
  </si>
  <si>
    <t>ratatosk</t>
  </si>
  <si>
    <t>ratingdialok</t>
  </si>
  <si>
    <t>raven-messenger</t>
  </si>
  <si>
    <t>react-native-starter-kit</t>
  </si>
  <si>
    <t>reader</t>
  </si>
  <si>
    <t>readhub-android</t>
  </si>
  <si>
    <t>readhub-rn</t>
  </si>
  <si>
    <t>readlax</t>
  </si>
  <si>
    <t>readmoretextview</t>
  </si>
  <si>
    <t>readyou</t>
  </si>
  <si>
    <t>realtime-android</t>
  </si>
  <si>
    <t>rebble-sideloader</t>
  </si>
  <si>
    <t>rebootmenu</t>
  </si>
  <si>
    <t>reclaim</t>
  </si>
  <si>
    <t>recyclerkit</t>
  </si>
  <si>
    <t>recyclerviewlisteners</t>
  </si>
  <si>
    <t>red-calorie</t>
  </si>
  <si>
    <t>reddit-android-appstore</t>
  </si>
  <si>
    <t>reddit-viewer</t>
  </si>
  <si>
    <t>redgram-for-reddit</t>
  </si>
  <si>
    <t>redreader</t>
  </si>
  <si>
    <t>referandumproject</t>
  </si>
  <si>
    <t>reference-browser</t>
  </si>
  <si>
    <t>regalandroid</t>
  </si>
  <si>
    <t>regobs4</t>
  </si>
  <si>
    <t>relaxfinger</t>
  </si>
  <si>
    <t>relay</t>
  </si>
  <si>
    <t>relayapp</t>
  </si>
  <si>
    <t>relaynet-gateway-android</t>
  </si>
  <si>
    <t>release-probe</t>
  </si>
  <si>
    <t>reminderpro</t>
  </si>
  <si>
    <t>remote_pair_pomodoro</t>
  </si>
  <si>
    <t>remotedroid</t>
  </si>
  <si>
    <t>rental-calc</t>
  </si>
  <si>
    <t>repadclient</t>
  </si>
  <si>
    <t>repeatcard</t>
  </si>
  <si>
    <t>reptar</t>
  </si>
  <si>
    <t>resync</t>
  </si>
  <si>
    <t>rethink-app</t>
  </si>
  <si>
    <t>retroboy</t>
  </si>
  <si>
    <t>retrofit-lite</t>
  </si>
  <si>
    <t>retrograde-android</t>
  </si>
  <si>
    <t>retromusicplayer</t>
  </si>
  <si>
    <t>retroshare</t>
  </si>
  <si>
    <t>GitLab CI, Travis CI, Unknown</t>
  </si>
  <si>
    <t>rfdroid-scanparam</t>
  </si>
  <si>
    <t>rhvoice</t>
  </si>
  <si>
    <t>rickandmorty</t>
  </si>
  <si>
    <t>ricknmortycompose</t>
  </si>
  <si>
    <t>rijks-studio</t>
  </si>
  <si>
    <t>ripple</t>
  </si>
  <si>
    <t>rithle</t>
  </si>
  <si>
    <t>rlad</t>
  </si>
  <si>
    <t>robinhood-options-mobile</t>
  </si>
  <si>
    <t>roboclub-flutter</t>
  </si>
  <si>
    <t>robot-recharge</t>
  </si>
  <si>
    <t>robot-scouter</t>
  </si>
  <si>
    <t>robotv</t>
  </si>
  <si>
    <t>roc-droid</t>
  </si>
  <si>
    <t>rocket</t>
  </si>
  <si>
    <t>rootlessjamesdsp</t>
  </si>
  <si>
    <t>router-companion-android</t>
  </si>
  <si>
    <t>router_remote2</t>
  </si>
  <si>
    <t>rpicheck</t>
  </si>
  <si>
    <t>rpncalc</t>
  </si>
  <si>
    <t>rsandroidapp</t>
  </si>
  <si>
    <t>rssaid</t>
  </si>
  <si>
    <t>rtchat</t>
  </si>
  <si>
    <t>rugby-ranker</t>
  </si>
  <si>
    <t>runbhumi</t>
  </si>
  <si>
    <t>runlog-kmm</t>
  </si>
  <si>
    <t>runnerup</t>
  </si>
  <si>
    <t>runstone</t>
  </si>
  <si>
    <t>ruslin-android</t>
  </si>
  <si>
    <t>rust-keylock-android</t>
  </si>
  <si>
    <t>rutmath</t>
  </si>
  <si>
    <t>ruumusic</t>
  </si>
  <si>
    <t>rview</t>
  </si>
  <si>
    <t>rxbluetooth</t>
  </si>
  <si>
    <t>rxwebview</t>
  </si>
  <si>
    <t>s-launcher</t>
  </si>
  <si>
    <t>sa-android</t>
  </si>
  <si>
    <t>safe</t>
  </si>
  <si>
    <t>safe-dot-android</t>
  </si>
  <si>
    <t>safenotes</t>
  </si>
  <si>
    <t>sagernet</t>
  </si>
  <si>
    <t>sai</t>
  </si>
  <si>
    <t>sakura-android</t>
  </si>
  <si>
    <t>sallefy</t>
  </si>
  <si>
    <t>samourai-wallet-android</t>
  </si>
  <si>
    <t>samremote</t>
  </si>
  <si>
    <t>sanmill</t>
  </si>
  <si>
    <t>sasycakeawayapp</t>
  </si>
  <si>
    <t>satoshiproof</t>
  </si>
  <si>
    <t>saucenao</t>
  </si>
  <si>
    <t>scala-android</t>
  </si>
  <si>
    <t>scalepractice</t>
  </si>
  <si>
    <t>scaleway-manager</t>
  </si>
  <si>
    <t>scanit</t>
  </si>
  <si>
    <t>scheduler</t>
  </si>
  <si>
    <t>schlachtensee</t>
  </si>
  <si>
    <t>scope</t>
  </si>
  <si>
    <t>scoreboard</t>
  </si>
  <si>
    <t>scoutingapp</t>
  </si>
  <si>
    <t>scrabble</t>
  </si>
  <si>
    <t>scriptmanager</t>
  </si>
  <si>
    <t>scummvm</t>
  </si>
  <si>
    <t>sdbviewer</t>
  </si>
  <si>
    <t>sdp-project</t>
  </si>
  <si>
    <t>seadroid</t>
  </si>
  <si>
    <t>seal</t>
  </si>
  <si>
    <t>sealedx</t>
  </si>
  <si>
    <t>searchlight</t>
  </si>
  <si>
    <t>searchtwitter</t>
  </si>
  <si>
    <t>secure-image-app</t>
  </si>
  <si>
    <t>secure-quick-reliable-login</t>
  </si>
  <si>
    <t>secure-shared-preferences</t>
  </si>
  <si>
    <t>secure-sms-proxy</t>
  </si>
  <si>
    <t>secure-storage-android</t>
  </si>
  <si>
    <t>secured-app-android</t>
  </si>
  <si>
    <t>seed-android-design-system</t>
  </si>
  <si>
    <t>seeneva-reader-android</t>
  </si>
  <si>
    <t>segmentedarcview</t>
  </si>
  <si>
    <t>seiun</t>
  </si>
  <si>
    <t>semantic</t>
  </si>
  <si>
    <t>seniordialerapp</t>
  </si>
  <si>
    <t>sensify-android</t>
  </si>
  <si>
    <t>sensorssandbox</t>
  </si>
  <si>
    <t>sentry</t>
  </si>
  <si>
    <t>sentry-mobile-release-health-app</t>
  </si>
  <si>
    <t>sercommh300svoipcredentialsrecovery</t>
  </si>
  <si>
    <t>serialportassistant</t>
  </si>
  <si>
    <t>serious-sam-android</t>
  </si>
  <si>
    <t>serverless-followupapp-android</t>
  </si>
  <si>
    <t>seven_minute_workout_android</t>
  </si>
  <si>
    <t>sevibus</t>
  </si>
  <si>
    <t>shabda</t>
  </si>
  <si>
    <t>shachi</t>
  </si>
  <si>
    <t>shadowsocks-android</t>
  </si>
  <si>
    <t>shadowsocksr-v2ray-trojan-android</t>
  </si>
  <si>
    <t>shake-it-android</t>
  </si>
  <si>
    <t>shaky-android</t>
  </si>
  <si>
    <t>shape-detection-android</t>
  </si>
  <si>
    <t>shapeofview</t>
  </si>
  <si>
    <t>share-my-number</t>
  </si>
  <si>
    <t>sharetobrowser</t>
  </si>
  <si>
    <t>sharetocomputer</t>
  </si>
  <si>
    <t>sheep</t>
  </si>
  <si>
    <t>sherlock</t>
  </si>
  <si>
    <t>sherpa-onnx</t>
  </si>
  <si>
    <t>shimmer-recyclerview-x</t>
  </si>
  <si>
    <t>shipr-community-android</t>
  </si>
  <si>
    <t>shop-with-mom</t>
  </si>
  <si>
    <t>shopapp-android</t>
  </si>
  <si>
    <t>shopkart</t>
  </si>
  <si>
    <t>shoppinglist</t>
  </si>
  <si>
    <t>shorty</t>
  </si>
  <si>
    <t>shortyz</t>
  </si>
  <si>
    <t>shouko</t>
  </si>
  <si>
    <t>show-java</t>
  </si>
  <si>
    <t>siesgstarena-android-app</t>
  </si>
  <si>
    <t>sig-gen</t>
  </si>
  <si>
    <t>sigblock-code-poc</t>
  </si>
  <si>
    <t>signalr-chatroom</t>
  </si>
  <si>
    <t>silence</t>
  </si>
  <si>
    <t>sim-password-wallet</t>
  </si>
  <si>
    <t>simacorrect</t>
  </si>
  <si>
    <t>simaromur</t>
  </si>
  <si>
    <t>simlar-android</t>
  </si>
  <si>
    <t>simple</t>
  </si>
  <si>
    <t>simple-accounting</t>
  </si>
  <si>
    <t>simple-calculator</t>
  </si>
  <si>
    <t>simple-counter</t>
  </si>
  <si>
    <t>simple-dilbert</t>
  </si>
  <si>
    <t>simple-dimple-draw</t>
  </si>
  <si>
    <t>simple-login-android</t>
  </si>
  <si>
    <t>simple-note-application</t>
  </si>
  <si>
    <t>simple-notes</t>
  </si>
  <si>
    <t>simple-paint</t>
  </si>
  <si>
    <t>simple_app_blocker</t>
  </si>
  <si>
    <t>simple_document_scanner_android</t>
  </si>
  <si>
    <t>simpleaccounting</t>
  </si>
  <si>
    <t>simpleandroidmvvm</t>
  </si>
  <si>
    <t>simplebible</t>
  </si>
  <si>
    <t>simplemarkdown</t>
  </si>
  <si>
    <t>simplenews</t>
  </si>
  <si>
    <t>simpletask-android</t>
  </si>
  <si>
    <t>simpletweet</t>
  </si>
  <si>
    <t>simplex-chat</t>
  </si>
  <si>
    <t>simplytranslate_mobile</t>
  </si>
  <si>
    <t>simtong-android</t>
  </si>
  <si>
    <t>singlefilescalablelasagnaapplication</t>
  </si>
  <si>
    <t>sk-collab</t>
  </si>
  <si>
    <t>skytube</t>
  </si>
  <si>
    <t>skytubelegacy</t>
  </si>
  <si>
    <t>skywayclient</t>
  </si>
  <si>
    <t>sleep-cycle-alarm</t>
  </si>
  <si>
    <t>slideanddraglistview</t>
  </si>
  <si>
    <t>slider</t>
  </si>
  <si>
    <t>sliding-puzzle</t>
  </si>
  <si>
    <t>slim-launcher</t>
  </si>
  <si>
    <t>slipview</t>
  </si>
  <si>
    <t>small-talk</t>
  </si>
  <si>
    <t>smart-autoclicker</t>
  </si>
  <si>
    <t>smartcookieweb</t>
  </si>
  <si>
    <t>smartdock</t>
  </si>
  <si>
    <t>smartexoplayer</t>
  </si>
  <si>
    <t>smartmediapicker</t>
  </si>
  <si>
    <t>smartproxy</t>
  </si>
  <si>
    <t>smilodon</t>
  </si>
  <si>
    <t>smooth-app</t>
  </si>
  <si>
    <t>sms-backup-plus</t>
  </si>
  <si>
    <t>sms-group-sender</t>
  </si>
  <si>
    <t>sms_my_gps</t>
  </si>
  <si>
    <t>smsforwarder</t>
  </si>
  <si>
    <t>sn4ke</t>
  </si>
  <si>
    <t>snapdroid</t>
  </si>
  <si>
    <t>snapdrop-android</t>
  </si>
  <si>
    <t>snapstreak-alarm</t>
  </si>
  <si>
    <t>snaptimepicker</t>
  </si>
  <si>
    <t>snikket-android</t>
  </si>
  <si>
    <t>snmp-cockpit</t>
  </si>
  <si>
    <t>snoredetector</t>
  </si>
  <si>
    <t>snotz</t>
  </si>
  <si>
    <t>snow</t>
  </si>
  <si>
    <t>snu_class_2021_art</t>
  </si>
  <si>
    <t>sobriety</t>
  </si>
  <si>
    <t>social-app</t>
  </si>
  <si>
    <t>socialgist</t>
  </si>
  <si>
    <t>sociofy</t>
  </si>
  <si>
    <t>socketweather</t>
  </si>
  <si>
    <t>softcodec</t>
  </si>
  <si>
    <t>sohappy</t>
  </si>
  <si>
    <t>sojodia-android</t>
  </si>
  <si>
    <t>sona-flutter</t>
  </si>
  <si>
    <t>songs</t>
  </si>
  <si>
    <t>sonicear</t>
  </si>
  <si>
    <t>sonofy</t>
  </si>
  <si>
    <t>sosaku</t>
  </si>
  <si>
    <t>sotired</t>
  </si>
  <si>
    <t>soundboard</t>
  </si>
  <si>
    <t>soundcloud_audio_player</t>
  </si>
  <si>
    <t>soundcrowd</t>
  </si>
  <si>
    <t>soundprofile</t>
  </si>
  <si>
    <t>souvenirs-android</t>
  </si>
  <si>
    <t>sozlik-android</t>
  </si>
  <si>
    <t>space-trashman-blues</t>
  </si>
  <si>
    <t>spacelaunchnow-android</t>
  </si>
  <si>
    <t>spaceship</t>
  </si>
  <si>
    <t>spaceteam-timer</t>
  </si>
  <si>
    <t>spacex-launch-tracker</t>
  </si>
  <si>
    <t>spacexfollower</t>
  </si>
  <si>
    <t>spanly</t>
  </si>
  <si>
    <t>spannablex</t>
  </si>
  <si>
    <t>sparta</t>
  </si>
  <si>
    <t>spasic-app</t>
  </si>
  <si>
    <t>speedrun-browser-android</t>
  </si>
  <si>
    <t>speld</t>
  </si>
  <si>
    <t>spending_tracker</t>
  </si>
  <si>
    <t>sph-planner</t>
  </si>
  <si>
    <t>spi</t>
  </si>
  <si>
    <t>splum</t>
  </si>
  <si>
    <t>spoilerblocker</t>
  </si>
  <si>
    <t>spot</t>
  </si>
  <si>
    <t>spotifykt</t>
  </si>
  <si>
    <t>spwaitkiller</t>
  </si>
  <si>
    <t>squircle-ce</t>
  </si>
  <si>
    <t>src</t>
  </si>
  <si>
    <t>srml</t>
  </si>
  <si>
    <t>ssh-daemon</t>
  </si>
  <si>
    <t>sslsocks</t>
  </si>
  <si>
    <t>sstreu2017</t>
  </si>
  <si>
    <t>ssvmandroid</t>
  </si>
  <si>
    <t>stable-diffusion-android</t>
  </si>
  <si>
    <t>stack</t>
  </si>
  <si>
    <t>stack_wallet</t>
  </si>
  <si>
    <t>stanley</t>
  </si>
  <si>
    <t>stardroid</t>
  </si>
  <si>
    <t>starkeverben</t>
  </si>
  <si>
    <t>starlord</t>
  </si>
  <si>
    <t>start-guide</t>
  </si>
  <si>
    <t>statex</t>
  </si>
  <si>
    <t>stato_covid19_italia_android</t>
  </si>
  <si>
    <t>status</t>
  </si>
  <si>
    <t>statusbar</t>
  </si>
  <si>
    <t>stax</t>
  </si>
  <si>
    <t>staysafe</t>
  </si>
  <si>
    <t>steamr</t>
  </si>
  <si>
    <t>steedos-notification-center</t>
  </si>
  <si>
    <t>stepper-touch</t>
  </si>
  <si>
    <t>stk-code</t>
  </si>
  <si>
    <t>stock-browser</t>
  </si>
  <si>
    <t>stockcontrol</t>
  </si>
  <si>
    <t>stopstalk-android</t>
  </si>
  <si>
    <t>stormappmaster2020</t>
  </si>
  <si>
    <t>stormappuser2020</t>
  </si>
  <si>
    <t>stream-draw-android</t>
  </si>
  <si>
    <t>streamingandroidlogger</t>
  </si>
  <si>
    <t>streetguide</t>
  </si>
  <si>
    <t>stroke-input-android</t>
  </si>
  <si>
    <t>stud</t>
  </si>
  <si>
    <t>student-alarm</t>
  </si>
  <si>
    <t>student_app</t>
  </si>
  <si>
    <t>study-buddy-app</t>
  </si>
  <si>
    <t>stylo</t>
  </si>
  <si>
    <t>sublite</t>
  </si>
  <si>
    <t>subscene</t>
  </si>
  <si>
    <t>subtlenews_android_app</t>
  </si>
  <si>
    <t>subtracks</t>
  </si>
  <si>
    <t>suddenly-wifi</t>
  </si>
  <si>
    <t>sudoku</t>
  </si>
  <si>
    <t>sunrisesunsetview</t>
  </si>
  <si>
    <t>sunsetscrob</t>
  </si>
  <si>
    <t>suntimescalendars</t>
  </si>
  <si>
    <t>super-pub-android</t>
  </si>
  <si>
    <t>superheroes</t>
  </si>
  <si>
    <t>superimage</t>
  </si>
  <si>
    <t>superquiz</t>
  </si>
  <si>
    <t>supertttandroid</t>
  </si>
  <si>
    <t>sushi</t>
  </si>
  <si>
    <t>sustcast-android-app-v1</t>
  </si>
  <si>
    <t>swadeeq</t>
  </si>
  <si>
    <t>sweetloc</t>
  </si>
  <si>
    <t>sweyer</t>
  </si>
  <si>
    <t>swift-weather-app</t>
  </si>
  <si>
    <t>swishticker</t>
  </si>
  <si>
    <t>swisscovid-app-android</t>
  </si>
  <si>
    <t>switchbutton</t>
  </si>
  <si>
    <t>switchlanguage</t>
  </si>
  <si>
    <t>symbol</t>
  </si>
  <si>
    <t>symphony</t>
  </si>
  <si>
    <t>syncplayer</t>
  </si>
  <si>
    <t>system-bridge-android-companion</t>
  </si>
  <si>
    <t>systemappmover</t>
  </si>
  <si>
    <t>szkolny-android</t>
  </si>
  <si>
    <t>t-tasks</t>
  </si>
  <si>
    <t>t4-launcher</t>
  </si>
  <si>
    <t>tacere</t>
  </si>
  <si>
    <t>tailor_made</t>
  </si>
  <si>
    <t>tailscale-android</t>
  </si>
  <si>
    <t>tajmahalapp-android</t>
  </si>
  <si>
    <t>talalarmo</t>
  </si>
  <si>
    <t>talawa</t>
  </si>
  <si>
    <t>talk-android</t>
  </si>
  <si>
    <t>task-scheduler</t>
  </si>
  <si>
    <t>taskbar</t>
  </si>
  <si>
    <t>taskly</t>
  </si>
  <si>
    <t>tasks</t>
  </si>
  <si>
    <t>tastytoast</t>
  </si>
  <si>
    <t>tat</t>
  </si>
  <si>
    <t>tat_flutter</t>
  </si>
  <si>
    <t>tblauncher</t>
  </si>
  <si>
    <t>team2</t>
  </si>
  <si>
    <t>technical-fest</t>
  </si>
  <si>
    <t>telegram-sms</t>
  </si>
  <si>
    <t>templeapp</t>
  </si>
  <si>
    <t>tensor</t>
  </si>
  <si>
    <t>tensuu</t>
  </si>
  <si>
    <t>terminal_flutter</t>
  </si>
  <si>
    <t>termux-api</t>
  </si>
  <si>
    <t>termux-app</t>
  </si>
  <si>
    <t>termux-app-bluetooth</t>
  </si>
  <si>
    <t>termux-boot</t>
  </si>
  <si>
    <t>termux-float</t>
  </si>
  <si>
    <t>termux-styling</t>
  </si>
  <si>
    <t>tes3mp-android</t>
  </si>
  <si>
    <t>tesserpg-android</t>
  </si>
  <si>
    <t>CircleCI, Travis CI, Unknown</t>
  </si>
  <si>
    <t>tetris</t>
  </si>
  <si>
    <t>textfairy</t>
  </si>
  <si>
    <t>textmatcher</t>
  </si>
  <si>
    <t>textmatic</t>
  </si>
  <si>
    <t>textpad</t>
  </si>
  <si>
    <t>textselectionwebsearch</t>
  </si>
  <si>
    <t>tfprofiler</t>
  </si>
  <si>
    <t>the-blue-alliance-android</t>
  </si>
  <si>
    <t>the-channels</t>
  </si>
  <si>
    <t>the-movie-db-kotlin</t>
  </si>
  <si>
    <t>the_calculator</t>
  </si>
  <si>
    <t>themoviedb</t>
  </si>
  <si>
    <t>themoviedb_android_app</t>
  </si>
  <si>
    <t>thenounproject</t>
  </si>
  <si>
    <t>theprincipleapp</t>
  </si>
  <si>
    <t>three-days-android</t>
  </si>
  <si>
    <t>thu-info-app</t>
  </si>
  <si>
    <t>thunder</t>
  </si>
  <si>
    <t>tic-80</t>
  </si>
  <si>
    <t>tic-tac-toe</t>
  </si>
  <si>
    <t>tickmarks</t>
  </si>
  <si>
    <t>tickmate</t>
  </si>
  <si>
    <t>tictactoe</t>
  </si>
  <si>
    <t>tilegame</t>
  </si>
  <si>
    <t>tiles-for-developers</t>
  </si>
  <si>
    <t>timber</t>
  </si>
  <si>
    <t>timebomb</t>
  </si>
  <si>
    <t>timeclock</t>
  </si>
  <si>
    <t>timelineview</t>
  </si>
  <si>
    <t>timer-machine-android</t>
  </si>
  <si>
    <t>timerinrecyclerview</t>
  </si>
  <si>
    <t>timetable</t>
  </si>
  <si>
    <t>tinc_gui</t>
  </si>
  <si>
    <t>tinfoil-facebook</t>
  </si>
  <si>
    <t>tinylisp</t>
  </si>
  <si>
    <t>tinyritro</t>
  </si>
  <si>
    <t>tisk</t>
  </si>
  <si>
    <t>titancompanion</t>
  </si>
  <si>
    <t>titlebar</t>
  </si>
  <si>
    <t>tldroid</t>
  </si>
  <si>
    <t>tmdb-client</t>
  </si>
  <si>
    <t>to-do_jetpack_compose</t>
  </si>
  <si>
    <t>toaster</t>
  </si>
  <si>
    <t>todayhistory</t>
  </si>
  <si>
    <t>todo</t>
  </si>
  <si>
    <t>todo-app</t>
  </si>
  <si>
    <t>todo-compose</t>
  </si>
  <si>
    <t>todo_app</t>
  </si>
  <si>
    <t>todolist-react-native</t>
  </si>
  <si>
    <t>todolist-room-mvvm</t>
  </si>
  <si>
    <t>todone</t>
  </si>
  <si>
    <t>todont</t>
  </si>
  <si>
    <t>todozy</t>
  </si>
  <si>
    <t>togglebuttonlayout</t>
  </si>
  <si>
    <t>togozip</t>
  </si>
  <si>
    <t>tomb5</t>
  </si>
  <si>
    <t>tonedef</t>
  </si>
  <si>
    <t>tookit</t>
  </si>
  <si>
    <t>tootapp</t>
  </si>
  <si>
    <t>topdf</t>
  </si>
  <si>
    <t>topsed-speedometer</t>
  </si>
  <si>
    <t>torgi</t>
  </si>
  <si>
    <t>torrserve</t>
  </si>
  <si>
    <t>torservices</t>
  </si>
  <si>
    <t>tortoise</t>
  </si>
  <si>
    <t>touch</t>
  </si>
  <si>
    <t>towers</t>
  </si>
  <si>
    <t>toxandroidrefimpl</t>
  </si>
  <si>
    <t>tracex</t>
  </si>
  <si>
    <t>trackingwifi</t>
  </si>
  <si>
    <t>tracktor-composeui</t>
  </si>
  <si>
    <t>trackworktime</t>
  </si>
  <si>
    <t>trading</t>
  </si>
  <si>
    <t>trail-sense</t>
  </si>
  <si>
    <t>translate</t>
  </si>
  <si>
    <t>translateyou</t>
  </si>
  <si>
    <t>translator</t>
  </si>
  <si>
    <t>transmissionic</t>
  </si>
  <si>
    <t>transportr</t>
  </si>
  <si>
    <t>transtone</t>
  </si>
  <si>
    <t>travel-wise</t>
  </si>
  <si>
    <t>travis-jr</t>
  </si>
  <si>
    <t>treetracker-android</t>
  </si>
  <si>
    <t>trekarta</t>
  </si>
  <si>
    <t>tremotesf-android</t>
  </si>
  <si>
    <t>trickytripper</t>
  </si>
  <si>
    <t>trime</t>
  </si>
  <si>
    <t>trinkster</t>
  </si>
  <si>
    <t>trip-o-meter</t>
  </si>
  <si>
    <t>tripmobile</t>
  </si>
  <si>
    <t>trippo-the_travel_guide</t>
  </si>
  <si>
    <t>troutoss</t>
  </si>
  <si>
    <t>truck-me-android</t>
  </si>
  <si>
    <t>tsukimisou</t>
  </si>
  <si>
    <t>tts-server-android</t>
  </si>
  <si>
    <t>tucanmobile</t>
  </si>
  <si>
    <t>tucao</t>
  </si>
  <si>
    <t>tuner</t>
  </si>
  <si>
    <t>turbojira</t>
  </si>
  <si>
    <t>tutanota</t>
  </si>
  <si>
    <t>tv-launcher</t>
  </si>
  <si>
    <t>tvhclient</t>
  </si>
  <si>
    <t>tvremoteplay</t>
  </si>
  <si>
    <t>twidere-android</t>
  </si>
  <si>
    <t>twiderex-android</t>
  </si>
  <si>
    <t>twilio-video-app-android</t>
  </si>
  <si>
    <t>twire</t>
  </si>
  <si>
    <t>twist-mobile</t>
  </si>
  <si>
    <t>twitchapp</t>
  </si>
  <si>
    <t>twittnuker</t>
  </si>
  <si>
    <t>txt</t>
  </si>
  <si>
    <t>typewriter</t>
  </si>
  <si>
    <t>uatranslit</t>
  </si>
  <si>
    <t>ubuntu-launcher</t>
  </si>
  <si>
    <t>udrive</t>
  </si>
  <si>
    <t>ueno</t>
  </si>
  <si>
    <t>uhabits</t>
  </si>
  <si>
    <t>uhooipicbook-android</t>
  </si>
  <si>
    <t>uhuruphotos-android</t>
  </si>
  <si>
    <t>uinspector</t>
  </si>
  <si>
    <t>ukurkecepatanstrippeds</t>
  </si>
  <si>
    <t>ulev1plus</t>
  </si>
  <si>
    <t>ultimatewordfinder</t>
  </si>
  <si>
    <t>umimecesky</t>
  </si>
  <si>
    <t>umoney</t>
  </si>
  <si>
    <t>unblockmusicpro_xposed</t>
  </si>
  <si>
    <t>unchained-android</t>
  </si>
  <si>
    <t>unciv</t>
  </si>
  <si>
    <t>unconnectify-re</t>
  </si>
  <si>
    <t>unexpected-keyboard</t>
  </si>
  <si>
    <t>unicode</t>
  </si>
  <si>
    <t>unicodepad</t>
  </si>
  <si>
    <t>unifiednlp</t>
  </si>
  <si>
    <t>unishare</t>
  </si>
  <si>
    <t>unity</t>
  </si>
  <si>
    <t>unitymodmanager</t>
  </si>
  <si>
    <t>universal-native-boilerplate</t>
  </si>
  <si>
    <t>unstoppable-wallet-android</t>
  </si>
  <si>
    <t>upcomingmovies</t>
  </si>
  <si>
    <t>upgradeall</t>
  </si>
  <si>
    <t>upnext</t>
  </si>
  <si>
    <t>urlchecker</t>
  </si>
  <si>
    <t>usbhidterminal</t>
  </si>
  <si>
    <t>usbserial</t>
  </si>
  <si>
    <t>user-controlled-decryption-operations</t>
  </si>
  <si>
    <t>userland</t>
  </si>
  <si>
    <t>utox</t>
  </si>
  <si>
    <t>v2ex-simple</t>
  </si>
  <si>
    <t>vacationdays</t>
  </si>
  <si>
    <t>vaccinfoapp</t>
  </si>
  <si>
    <t>valenbisi</t>
  </si>
  <si>
    <t>vanilla</t>
  </si>
  <si>
    <t>vergiss-nix</t>
  </si>
  <si>
    <t>vgs-checkout-android</t>
  </si>
  <si>
    <t>vibe</t>
  </si>
  <si>
    <t>video-transcoder</t>
  </si>
  <si>
    <t>videocrop</t>
  </si>
  <si>
    <t>videoeditor</t>
  </si>
  <si>
    <t>view404</t>
  </si>
  <si>
    <t>viewmodeladapter</t>
  </si>
  <si>
    <t>viewtiful</t>
  </si>
  <si>
    <t>vimusic</t>
  </si>
  <si>
    <t>vinylmusicplayer</t>
  </si>
  <si>
    <t>virtual-keycard</t>
  </si>
  <si>
    <t>virtual_traveller_flutter</t>
  </si>
  <si>
    <t>virtualxposed</t>
  </si>
  <si>
    <t>viz</t>
  </si>
  <si>
    <t>vkgeo-android</t>
  </si>
  <si>
    <t>vlillechecker</t>
  </si>
  <si>
    <t>vlsm-subnet-mask-calculator</t>
  </si>
  <si>
    <t>vmconsole</t>
  </si>
  <si>
    <t>vnavi</t>
  </si>
  <si>
    <t>vocabletrainer-android</t>
  </si>
  <si>
    <t>voice-calci</t>
  </si>
  <si>
    <t>volta</t>
  </si>
  <si>
    <t>volumekeys</t>
  </si>
  <si>
    <t>volunteery</t>
  </si>
  <si>
    <t>vsmartcard</t>
  </si>
  <si>
    <t>vt-androidclient</t>
  </si>
  <si>
    <t>vudit</t>
  </si>
  <si>
    <t>vueddit</t>
  </si>
  <si>
    <t>vuetube</t>
  </si>
  <si>
    <t>vulkan_best_practice_for_mobile_developers</t>
  </si>
  <si>
    <t>w203-canbus</t>
  </si>
  <si>
    <t>waifu</t>
  </si>
  <si>
    <t>wakelock-revamp</t>
  </si>
  <si>
    <t>wallme-wallpaper</t>
  </si>
  <si>
    <t>wallpaper</t>
  </si>
  <si>
    <t>wallpaperexport</t>
  </si>
  <si>
    <t>wanandroid</t>
  </si>
  <si>
    <t>wanandroid_compose</t>
  </si>
  <si>
    <t>wantum-android</t>
  </si>
  <si>
    <t>wasp-os-companion</t>
  </si>
  <si>
    <t>wasted</t>
  </si>
  <si>
    <t>watchcat</t>
  </si>
  <si>
    <t>watchdone</t>
  </si>
  <si>
    <t>watchlist</t>
  </si>
  <si>
    <t>watchtower</t>
  </si>
  <si>
    <t>water-me</t>
  </si>
  <si>
    <t>waterfly-iii</t>
  </si>
  <si>
    <t>watermaniac</t>
  </si>
  <si>
    <t>watermelonquotes</t>
  </si>
  <si>
    <t>watomatic</t>
  </si>
  <si>
    <t>waveswallet-android</t>
  </si>
  <si>
    <t>wawa-tabor</t>
  </si>
  <si>
    <t>wax</t>
  </si>
  <si>
    <t>waylan_android</t>
  </si>
  <si>
    <t>waypoint-compass</t>
  </si>
  <si>
    <t>wazaker</t>
  </si>
  <si>
    <t>we-trade</t>
  </si>
  <si>
    <t>wearkit</t>
  </si>
  <si>
    <t>weather-app-2020-android</t>
  </si>
  <si>
    <t>weather-app-compose</t>
  </si>
  <si>
    <t>weather-forecast-id</t>
  </si>
  <si>
    <t>weatherapp</t>
  </si>
  <si>
    <t>weatherapp-android</t>
  </si>
  <si>
    <t>weathercast</t>
  </si>
  <si>
    <t>weatherradar</t>
  </si>
  <si>
    <t>webaudio-spectrum-analyser</t>
  </si>
  <si>
    <t>webmark</t>
  </si>
  <si>
    <t>webmon</t>
  </si>
  <si>
    <t>websiterss</t>
  </si>
  <si>
    <t>webtoon</t>
  </si>
  <si>
    <t>webviewadapter</t>
  </si>
  <si>
    <t>weechat-android</t>
  </si>
  <si>
    <t>weiju-androidclient</t>
  </si>
  <si>
    <t>weipay</t>
  </si>
  <si>
    <t>wellness_meter</t>
  </si>
  <si>
    <t>wellnesscity</t>
  </si>
  <si>
    <t>werewolf</t>
  </si>
  <si>
    <t>wessager</t>
  </si>
  <si>
    <t>whats-nearby</t>
  </si>
  <si>
    <t>whatsapp-status-download</t>
  </si>
  <si>
    <t>whatsapp_status_saver</t>
  </si>
  <si>
    <t>whatsappbetaupdater</t>
  </si>
  <si>
    <t>whatsthere</t>
  </si>
  <si>
    <t>wheellog</t>
  </si>
  <si>
    <t>white-noise-player</t>
  </si>
  <si>
    <t>whooby</t>
  </si>
  <si>
    <t>whs</t>
  </si>
  <si>
    <t>whuhelper</t>
  </si>
  <si>
    <t>wifi-automatic</t>
  </si>
  <si>
    <t>wifi-radar</t>
  </si>
  <si>
    <t>wifianalyzer</t>
  </si>
  <si>
    <t>wifiauto</t>
  </si>
  <si>
    <t>wifiindoorpositioning</t>
  </si>
  <si>
    <t>wifikeyshare</t>
  </si>
  <si>
    <t>wifisdcryptolocker</t>
  </si>
  <si>
    <t>wifiview</t>
  </si>
  <si>
    <t>wiimotedsu</t>
  </si>
  <si>
    <t>wikiexplorer</t>
  </si>
  <si>
    <t>wilt-android</t>
  </si>
  <si>
    <t>wine</t>
  </si>
  <si>
    <t>wlanbackend</t>
  </si>
  <si>
    <t>wollok-mobile</t>
  </si>
  <si>
    <t>wolmo-cookbook-android</t>
  </si>
  <si>
    <t>wonkey</t>
  </si>
  <si>
    <t>woolly-app</t>
  </si>
  <si>
    <t>word-list</t>
  </si>
  <si>
    <t>wordle-kt</t>
  </si>
  <si>
    <t>wordlecompose</t>
  </si>
  <si>
    <t>wordlesolver</t>
  </si>
  <si>
    <t>wordpowermadeeasy</t>
  </si>
  <si>
    <t>wordpress-app-with-flutter</t>
  </si>
  <si>
    <t>wormhole-william-mobile</t>
  </si>
  <si>
    <t>wqthrottle</t>
  </si>
  <si>
    <t>writeily-pro</t>
  </si>
  <si>
    <t>ws2022_pme_flipsen</t>
  </si>
  <si>
    <t>wsa-installedapps</t>
  </si>
  <si>
    <t>wsandroid</t>
  </si>
  <si>
    <t>wtcounter</t>
  </si>
  <si>
    <t>wwwjdic</t>
  </si>
  <si>
    <t>xabber-android</t>
  </si>
  <si>
    <t>xbmc</t>
  </si>
  <si>
    <t>xcsoar</t>
  </si>
  <si>
    <t>xiaexpressandroid</t>
  </si>
  <si>
    <t>xiaomiode2code2022</t>
  </si>
  <si>
    <t>xiaoxiazhihu</t>
  </si>
  <si>
    <t>xifan</t>
  </si>
  <si>
    <t>xikolo-android</t>
  </si>
  <si>
    <t>xplayer</t>
  </si>
  <si>
    <t>xxpermissions</t>
  </si>
  <si>
    <t>xzil-wallet</t>
  </si>
  <si>
    <t>yaaic</t>
  </si>
  <si>
    <t>yacguide</t>
  </si>
  <si>
    <t>yana</t>
  </si>
  <si>
    <t>yelpexplorer</t>
  </si>
  <si>
    <t>yggdrasil-android</t>
  </si>
  <si>
    <t>you-coach-you</t>
  </si>
  <si>
    <t>you-have-mail</t>
  </si>
  <si>
    <t>youkai</t>
  </si>
  <si>
    <t>your-local-weather</t>
  </si>
  <si>
    <t>youtube-android</t>
  </si>
  <si>
    <t>youtune-reactnative</t>
  </si>
  <si>
    <t>ytalarm</t>
  </si>
  <si>
    <t>yubioath-flutter</t>
  </si>
  <si>
    <t>yummy</t>
  </si>
  <si>
    <t>yunshu_music</t>
  </si>
  <si>
    <t>zandy</t>
  </si>
  <si>
    <t>zapp</t>
  </si>
  <si>
    <t>zaptap</t>
  </si>
  <si>
    <t>zatca</t>
  </si>
  <si>
    <t>zazen</t>
  </si>
  <si>
    <t>zephyr</t>
  </si>
  <si>
    <t>zeptobird</t>
  </si>
  <si>
    <t>zero</t>
  </si>
  <si>
    <t>zethree</t>
  </si>
  <si>
    <t>zoo-compose</t>
  </si>
  <si>
    <t>zoomlayout</t>
  </si>
  <si>
    <t>zsmth-android</t>
  </si>
  <si>
    <t>zulip-mobile</t>
  </si>
  <si>
    <t>zup-android-tecnico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</si>
</sst>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_List%20-%20Jun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droid_repos_all_metrics"/>
      <sheetName val="Project_List"/>
      <sheetName val="Summary Stats"/>
    </sheetNames>
    <sheetDataSet>
      <sheetData sheetId="0">
        <row r="1">
          <cell r="B1" t="str">
            <v>Project Name</v>
          </cell>
          <cell r="C1" t="str">
            <v>Repository</v>
          </cell>
          <cell r="D1" t="str">
            <v>Resolved_Repository</v>
          </cell>
          <cell r="E1" t="str">
            <v>commits</v>
          </cell>
          <cell r="F1" t="str">
            <v>pull_requests</v>
          </cell>
          <cell r="G1" t="str">
            <v>contributors</v>
          </cell>
          <cell r="H1" t="str">
            <v>Size</v>
          </cell>
          <cell r="I1" t="str">
            <v>Repo_Forks</v>
          </cell>
          <cell r="J1" t="str">
            <v>Repo_Stars</v>
          </cell>
          <cell r="K1" t="str">
            <v>Issues_Count</v>
          </cell>
        </row>
        <row r="2">
          <cell r="B2" t="str">
            <v>Notifer</v>
          </cell>
          <cell r="C2" t="str">
            <v>Yanndroid/Notifer</v>
          </cell>
          <cell r="D2" t="str">
            <v>Yanndroid/Notifer</v>
          </cell>
          <cell r="E2">
            <v>1</v>
          </cell>
          <cell r="F2">
            <v>0</v>
          </cell>
          <cell r="G2">
            <v>1</v>
          </cell>
          <cell r="H2">
            <v>16008</v>
          </cell>
          <cell r="I2">
            <v>1</v>
          </cell>
          <cell r="J2">
            <v>7</v>
          </cell>
          <cell r="K2">
            <v>0</v>
          </cell>
        </row>
        <row r="3">
          <cell r="B3" t="str">
            <v>Marvel</v>
          </cell>
          <cell r="C3" t="str">
            <v>DavidUps/Marvel</v>
          </cell>
          <cell r="D3" t="str">
            <v>DavidUps/marvel</v>
          </cell>
          <cell r="E3">
            <v>1</v>
          </cell>
          <cell r="F3">
            <v>0</v>
          </cell>
          <cell r="G3">
            <v>1</v>
          </cell>
          <cell r="H3">
            <v>24092</v>
          </cell>
          <cell r="I3">
            <v>0</v>
          </cell>
          <cell r="J3">
            <v>1</v>
          </cell>
          <cell r="K3">
            <v>0</v>
          </cell>
        </row>
        <row r="4">
          <cell r="B4" t="str">
            <v>PixelGym</v>
          </cell>
          <cell r="C4" t="str">
            <v>lrusso/PixelGym</v>
          </cell>
          <cell r="D4" t="str">
            <v>lrusso/PixelGym</v>
          </cell>
          <cell r="E4">
            <v>1</v>
          </cell>
          <cell r="F4">
            <v>0</v>
          </cell>
          <cell r="G4">
            <v>1</v>
          </cell>
          <cell r="H4">
            <v>126191</v>
          </cell>
          <cell r="I4">
            <v>2</v>
          </cell>
          <cell r="J4">
            <v>4</v>
          </cell>
          <cell r="K4">
            <v>0</v>
          </cell>
        </row>
        <row r="5">
          <cell r="B5" t="str">
            <v>shimmer-recyclerview-x</v>
          </cell>
          <cell r="C5" t="str">
            <v>mike14u/shimmer-recyclerview-x</v>
          </cell>
          <cell r="D5" t="str">
            <v>mikekpl/shimmer-recyclerview-x</v>
          </cell>
          <cell r="E5">
            <v>1</v>
          </cell>
          <cell r="F5">
            <v>2</v>
          </cell>
          <cell r="G5">
            <v>1</v>
          </cell>
          <cell r="H5">
            <v>4691</v>
          </cell>
          <cell r="I5">
            <v>31</v>
          </cell>
          <cell r="J5">
            <v>211</v>
          </cell>
          <cell r="K5">
            <v>0</v>
          </cell>
        </row>
        <row r="6">
          <cell r="B6" t="str">
            <v>dinewell-carehome-app</v>
          </cell>
          <cell r="C6" t="str">
            <v>blackcrowsys/dinewell-carehome-app</v>
          </cell>
          <cell r="D6" t="str">
            <v>blackcrowsys/dinewell-carehome-app</v>
          </cell>
          <cell r="E6">
            <v>1</v>
          </cell>
          <cell r="F6">
            <v>2</v>
          </cell>
          <cell r="G6">
            <v>1</v>
          </cell>
          <cell r="H6">
            <v>245</v>
          </cell>
          <cell r="I6">
            <v>0</v>
          </cell>
          <cell r="J6">
            <v>1</v>
          </cell>
          <cell r="K6">
            <v>1</v>
          </cell>
        </row>
        <row r="7">
          <cell r="B7" t="str">
            <v>toaster</v>
          </cell>
          <cell r="C7" t="str">
            <v>mars3142/toaster</v>
          </cell>
          <cell r="D7" t="str">
            <v>mars3142/toaster</v>
          </cell>
          <cell r="E7">
            <v>1</v>
          </cell>
          <cell r="F7">
            <v>5</v>
          </cell>
          <cell r="G7">
            <v>1</v>
          </cell>
          <cell r="H7">
            <v>23801</v>
          </cell>
          <cell r="I7">
            <v>10</v>
          </cell>
          <cell r="J7">
            <v>12</v>
          </cell>
          <cell r="K7">
            <v>7</v>
          </cell>
        </row>
        <row r="8">
          <cell r="B8" t="str">
            <v>iliad</v>
          </cell>
          <cell r="C8" t="str">
            <v>iliad-app/iliad</v>
          </cell>
          <cell r="D8" t="str">
            <v>iliad-app/iliad</v>
          </cell>
          <cell r="E8">
            <v>1</v>
          </cell>
          <cell r="F8">
            <v>5</v>
          </cell>
          <cell r="G8">
            <v>4</v>
          </cell>
          <cell r="H8">
            <v>12651</v>
          </cell>
          <cell r="I8">
            <v>0</v>
          </cell>
          <cell r="J8">
            <v>5</v>
          </cell>
          <cell r="K8">
            <v>4</v>
          </cell>
        </row>
        <row r="9">
          <cell r="B9" t="str">
            <v>sim-password-wallet</v>
          </cell>
          <cell r="C9" t="str">
            <v>bertrandmartel/sim-password-wallet</v>
          </cell>
          <cell r="D9" t="str">
            <v>bertrandmartel/sim-password-wallet</v>
          </cell>
          <cell r="E9">
            <v>2</v>
          </cell>
          <cell r="F9">
            <v>0</v>
          </cell>
          <cell r="G9">
            <v>1</v>
          </cell>
          <cell r="H9">
            <v>206</v>
          </cell>
          <cell r="I9">
            <v>10</v>
          </cell>
          <cell r="J9">
            <v>12</v>
          </cell>
          <cell r="K9">
            <v>1</v>
          </cell>
        </row>
        <row r="10">
          <cell r="B10" t="str">
            <v>anchored-behavior</v>
          </cell>
          <cell r="C10" t="str">
            <v>prolificinteractive/anchored-behavior</v>
          </cell>
          <cell r="D10" t="str">
            <v>prolificinteractive/anchored-behavior</v>
          </cell>
          <cell r="E10">
            <v>2</v>
          </cell>
          <cell r="F10">
            <v>0</v>
          </cell>
          <cell r="G10">
            <v>1</v>
          </cell>
          <cell r="H10">
            <v>18950</v>
          </cell>
          <cell r="I10">
            <v>5</v>
          </cell>
          <cell r="J10">
            <v>17</v>
          </cell>
          <cell r="K10">
            <v>0</v>
          </cell>
        </row>
        <row r="11">
          <cell r="B11" t="str">
            <v>we-trade</v>
          </cell>
          <cell r="C11" t="str">
            <v>mal7othify/we-trade</v>
          </cell>
          <cell r="D11" t="str">
            <v>mal7othify/we-trade</v>
          </cell>
          <cell r="E11">
            <v>2</v>
          </cell>
          <cell r="F11">
            <v>0</v>
          </cell>
          <cell r="G11">
            <v>1</v>
          </cell>
          <cell r="H11">
            <v>1745</v>
          </cell>
          <cell r="I11">
            <v>0</v>
          </cell>
          <cell r="J11">
            <v>3</v>
          </cell>
          <cell r="K11">
            <v>0</v>
          </cell>
        </row>
        <row r="12">
          <cell r="B12" t="str">
            <v>lapd</v>
          </cell>
          <cell r="C12" t="str">
            <v>frizensami/lapd</v>
          </cell>
          <cell r="D12" t="str">
            <v>frizensami/lapd</v>
          </cell>
          <cell r="E12">
            <v>2</v>
          </cell>
          <cell r="F12">
            <v>0</v>
          </cell>
          <cell r="G12">
            <v>1</v>
          </cell>
          <cell r="H12">
            <v>4346</v>
          </cell>
          <cell r="I12">
            <v>1</v>
          </cell>
          <cell r="J12">
            <v>5</v>
          </cell>
          <cell r="K12">
            <v>0</v>
          </cell>
        </row>
        <row r="13">
          <cell r="B13" t="str">
            <v>PSP_emulator</v>
          </cell>
          <cell r="C13" t="str">
            <v>junior0803/PSP_emulator</v>
          </cell>
          <cell r="D13" t="str">
            <v>junior0803/PSP_emulator</v>
          </cell>
          <cell r="E13">
            <v>2</v>
          </cell>
          <cell r="F13">
            <v>0</v>
          </cell>
          <cell r="G13">
            <v>1</v>
          </cell>
          <cell r="H13">
            <v>363585</v>
          </cell>
          <cell r="I13">
            <v>0</v>
          </cell>
          <cell r="J13">
            <v>3</v>
          </cell>
          <cell r="K13">
            <v>0</v>
          </cell>
        </row>
        <row r="14">
          <cell r="B14" t="str">
            <v>secured-app-android</v>
          </cell>
          <cell r="C14" t="str">
            <v>SECURED-FP7/secured-app-android</v>
          </cell>
          <cell r="D14" t="str">
            <v>SECURED-FP7/secured-app-android</v>
          </cell>
          <cell r="E14">
            <v>2</v>
          </cell>
          <cell r="F14">
            <v>0</v>
          </cell>
          <cell r="G14">
            <v>1</v>
          </cell>
          <cell r="H14">
            <v>129655</v>
          </cell>
          <cell r="I14">
            <v>0</v>
          </cell>
          <cell r="J14">
            <v>1</v>
          </cell>
          <cell r="K14">
            <v>1</v>
          </cell>
        </row>
        <row r="15">
          <cell r="B15" t="str">
            <v>ulev1plus</v>
          </cell>
          <cell r="C15" t="str">
            <v>grspy/ulev1plus</v>
          </cell>
          <cell r="D15" t="str">
            <v>grspy/ulev1plus</v>
          </cell>
          <cell r="E15">
            <v>2</v>
          </cell>
          <cell r="F15">
            <v>0</v>
          </cell>
          <cell r="G15">
            <v>1</v>
          </cell>
          <cell r="H15">
            <v>94</v>
          </cell>
          <cell r="I15">
            <v>1</v>
          </cell>
          <cell r="J15">
            <v>15</v>
          </cell>
          <cell r="K15">
            <v>0</v>
          </cell>
        </row>
        <row r="16">
          <cell r="B16" t="str">
            <v>Espionage</v>
          </cell>
          <cell r="C16" t="str">
            <v>shayantabatabaee/Espionage</v>
          </cell>
          <cell r="D16" t="str">
            <v>shayantabatabaee/Espionage</v>
          </cell>
          <cell r="E16">
            <v>2</v>
          </cell>
          <cell r="F16">
            <v>0</v>
          </cell>
          <cell r="G16">
            <v>1</v>
          </cell>
          <cell r="H16">
            <v>95</v>
          </cell>
          <cell r="I16">
            <v>6</v>
          </cell>
          <cell r="J16">
            <v>19</v>
          </cell>
          <cell r="K16">
            <v>0</v>
          </cell>
        </row>
        <row r="17">
          <cell r="B17" t="str">
            <v>Typewriter</v>
          </cell>
          <cell r="C17" t="str">
            <v>Ilya-Gh/Typewriter</v>
          </cell>
          <cell r="D17" t="str">
            <v>Ilya-Gh/Typewriter</v>
          </cell>
          <cell r="E17">
            <v>2</v>
          </cell>
          <cell r="F17">
            <v>1</v>
          </cell>
          <cell r="G17">
            <v>1</v>
          </cell>
          <cell r="H17">
            <v>469</v>
          </cell>
          <cell r="I17">
            <v>5</v>
          </cell>
          <cell r="J17">
            <v>36</v>
          </cell>
          <cell r="K17">
            <v>0</v>
          </cell>
        </row>
        <row r="18">
          <cell r="B18" t="str">
            <v>LivePokemonFinder</v>
          </cell>
          <cell r="C18" t="str">
            <v>shivarajp/LivePokemonFinder</v>
          </cell>
          <cell r="D18" t="str">
            <v>shivarajp/LivePokemonFinder</v>
          </cell>
          <cell r="E18">
            <v>2</v>
          </cell>
          <cell r="F18">
            <v>1</v>
          </cell>
          <cell r="G18">
            <v>1</v>
          </cell>
          <cell r="H18">
            <v>7694</v>
          </cell>
          <cell r="I18">
            <v>0</v>
          </cell>
          <cell r="J18">
            <v>3</v>
          </cell>
          <cell r="K18">
            <v>1</v>
          </cell>
        </row>
        <row r="19">
          <cell r="B19" t="str">
            <v>mixpanel-android</v>
          </cell>
          <cell r="C19" t="str">
            <v>brave/mixpanel-android</v>
          </cell>
          <cell r="D19" t="str">
            <v>brave/mixpanel-android</v>
          </cell>
          <cell r="E19">
            <v>2</v>
          </cell>
          <cell r="F19">
            <v>1</v>
          </cell>
          <cell r="G19">
            <v>1</v>
          </cell>
          <cell r="H19">
            <v>22863</v>
          </cell>
          <cell r="I19">
            <v>5</v>
          </cell>
          <cell r="J19">
            <v>3</v>
          </cell>
          <cell r="K19">
            <v>3</v>
          </cell>
        </row>
        <row r="20">
          <cell r="B20" t="str">
            <v>osrm-text-instructions.java</v>
          </cell>
          <cell r="C20" t="str">
            <v>Project-OSRM/osrm-text-instructions.java</v>
          </cell>
          <cell r="D20" t="str">
            <v>Project-OSRM/osrm-text-instructions.java</v>
          </cell>
          <cell r="E20">
            <v>2</v>
          </cell>
          <cell r="F20">
            <v>2</v>
          </cell>
          <cell r="G20">
            <v>1</v>
          </cell>
          <cell r="H20">
            <v>255</v>
          </cell>
          <cell r="I20">
            <v>4</v>
          </cell>
          <cell r="J20">
            <v>10</v>
          </cell>
          <cell r="K20">
            <v>3</v>
          </cell>
        </row>
        <row r="21">
          <cell r="B21" t="str">
            <v>UkurKecepatanStrippeds</v>
          </cell>
          <cell r="C21" t="str">
            <v>GulajavaMinistudio/UkurKecepatanStrippeds</v>
          </cell>
          <cell r="D21" t="str">
            <v>GulajavaMinistudio/UkurKecepatanStrippeds</v>
          </cell>
          <cell r="E21">
            <v>3</v>
          </cell>
          <cell r="F21">
            <v>0</v>
          </cell>
          <cell r="G21">
            <v>1</v>
          </cell>
          <cell r="H21">
            <v>279</v>
          </cell>
          <cell r="I21">
            <v>0</v>
          </cell>
          <cell r="J21">
            <v>3</v>
          </cell>
          <cell r="K21">
            <v>0</v>
          </cell>
        </row>
        <row r="22">
          <cell r="B22" t="str">
            <v>Pendu</v>
          </cell>
          <cell r="C22" t="str">
            <v>AntoninLoubiere/Pendu</v>
          </cell>
          <cell r="D22" t="str">
            <v>AntoninLoubiere/Pendu</v>
          </cell>
          <cell r="E22">
            <v>3</v>
          </cell>
          <cell r="F22">
            <v>0</v>
          </cell>
          <cell r="G22">
            <v>1</v>
          </cell>
          <cell r="H22">
            <v>286</v>
          </cell>
          <cell r="I22">
            <v>0</v>
          </cell>
          <cell r="J22">
            <v>1</v>
          </cell>
          <cell r="K22">
            <v>0</v>
          </cell>
        </row>
        <row r="23">
          <cell r="B23" t="str">
            <v>android-dev-challenge-compose-week1</v>
          </cell>
          <cell r="C23" t="str">
            <v>Shady-Selim/android-dev-challenge-compose-week1</v>
          </cell>
          <cell r="D23" t="str">
            <v>Shady-Selim/android-dev-challenge-compose-week1</v>
          </cell>
          <cell r="E23">
            <v>3</v>
          </cell>
          <cell r="F23">
            <v>0</v>
          </cell>
          <cell r="G23">
            <v>1</v>
          </cell>
          <cell r="H23">
            <v>3704</v>
          </cell>
          <cell r="I23">
            <v>4</v>
          </cell>
          <cell r="J23">
            <v>2</v>
          </cell>
          <cell r="K23">
            <v>0</v>
          </cell>
        </row>
        <row r="24">
          <cell r="B24" t="str">
            <v>my-soothe</v>
          </cell>
          <cell r="C24" t="str">
            <v>mal7othify/my-soothe</v>
          </cell>
          <cell r="D24" t="str">
            <v>mal7othify/my-soothe</v>
          </cell>
          <cell r="E24">
            <v>3</v>
          </cell>
          <cell r="F24">
            <v>0</v>
          </cell>
          <cell r="G24">
            <v>1</v>
          </cell>
          <cell r="H24">
            <v>20452</v>
          </cell>
          <cell r="I24">
            <v>1</v>
          </cell>
          <cell r="J24">
            <v>4</v>
          </cell>
          <cell r="K24">
            <v>0</v>
          </cell>
        </row>
        <row r="25">
          <cell r="B25" t="str">
            <v>hyperupnp</v>
          </cell>
          <cell r="C25" t="str">
            <v>varbhat/hyperupnp</v>
          </cell>
          <cell r="D25" t="str">
            <v>varbhat/hyperupnp</v>
          </cell>
          <cell r="E25">
            <v>3</v>
          </cell>
          <cell r="F25">
            <v>1</v>
          </cell>
          <cell r="G25">
            <v>2</v>
          </cell>
          <cell r="H25">
            <v>772</v>
          </cell>
          <cell r="I25">
            <v>1</v>
          </cell>
          <cell r="J25">
            <v>12</v>
          </cell>
          <cell r="K25">
            <v>0</v>
          </cell>
        </row>
        <row r="26">
          <cell r="B26" t="str">
            <v>MuteCamera</v>
          </cell>
          <cell r="C26" t="str">
            <v>ciffelia/MuteCamera</v>
          </cell>
          <cell r="D26" t="str">
            <v>ciffelia/MuteCamera</v>
          </cell>
          <cell r="E26">
            <v>4</v>
          </cell>
          <cell r="F26">
            <v>0</v>
          </cell>
          <cell r="G26">
            <v>1</v>
          </cell>
          <cell r="H26">
            <v>144</v>
          </cell>
          <cell r="I26">
            <v>0</v>
          </cell>
          <cell r="J26">
            <v>2</v>
          </cell>
          <cell r="K26">
            <v>1</v>
          </cell>
        </row>
        <row r="27">
          <cell r="B27" t="str">
            <v>sms-group-sender</v>
          </cell>
          <cell r="C27" t="str">
            <v>bertrandmartel/sms-group-sender</v>
          </cell>
          <cell r="D27" t="str">
            <v>bertrandmartel/sms-group-sender</v>
          </cell>
          <cell r="E27">
            <v>4</v>
          </cell>
          <cell r="F27">
            <v>0</v>
          </cell>
          <cell r="G27">
            <v>1</v>
          </cell>
          <cell r="H27">
            <v>753</v>
          </cell>
          <cell r="I27">
            <v>0</v>
          </cell>
          <cell r="J27">
            <v>3</v>
          </cell>
          <cell r="K27">
            <v>2</v>
          </cell>
        </row>
        <row r="28">
          <cell r="B28" t="str">
            <v>Mausam-App</v>
          </cell>
          <cell r="C28" t="str">
            <v>stevie1mat/Mausam-App</v>
          </cell>
          <cell r="D28" t="str">
            <v>stevie1mat/Mausam-App</v>
          </cell>
          <cell r="E28">
            <v>4</v>
          </cell>
          <cell r="F28">
            <v>0</v>
          </cell>
          <cell r="G28">
            <v>1</v>
          </cell>
          <cell r="H28">
            <v>17138</v>
          </cell>
          <cell r="I28">
            <v>1</v>
          </cell>
          <cell r="J28">
            <v>2</v>
          </cell>
          <cell r="K28">
            <v>0</v>
          </cell>
        </row>
        <row r="29">
          <cell r="B29" t="str">
            <v>gdps-android-public</v>
          </cell>
          <cell r="C29" t="str">
            <v>qimiko/gdps-android-public</v>
          </cell>
          <cell r="D29" t="str">
            <v>qimiko/gdps-android-public</v>
          </cell>
          <cell r="E29">
            <v>4</v>
          </cell>
          <cell r="F29">
            <v>0</v>
          </cell>
          <cell r="G29">
            <v>1</v>
          </cell>
          <cell r="H29">
            <v>54923</v>
          </cell>
          <cell r="I29">
            <v>0</v>
          </cell>
          <cell r="J29">
            <v>13</v>
          </cell>
          <cell r="K29">
            <v>0</v>
          </cell>
        </row>
        <row r="30">
          <cell r="B30" t="str">
            <v>FallASleep</v>
          </cell>
          <cell r="C30" t="str">
            <v>moritzgloeckl/FallASleep</v>
          </cell>
          <cell r="D30" t="str">
            <v>moritzgloeckl/FallASleep</v>
          </cell>
          <cell r="E30">
            <v>4</v>
          </cell>
          <cell r="F30">
            <v>1</v>
          </cell>
          <cell r="G30">
            <v>2</v>
          </cell>
          <cell r="H30">
            <v>617</v>
          </cell>
          <cell r="I30">
            <v>1</v>
          </cell>
          <cell r="J30">
            <v>4</v>
          </cell>
          <cell r="K30">
            <v>1</v>
          </cell>
        </row>
        <row r="31">
          <cell r="B31" t="str">
            <v>android-dev-challenge-compose-countdown-timer</v>
          </cell>
          <cell r="C31" t="str">
            <v>HadesPTIT/android-dev-challenge-compose-countdown-timer</v>
          </cell>
          <cell r="D31" t="str">
            <v>HadesPTIT/android-dev-challenge-compose-countdown-timer</v>
          </cell>
          <cell r="E31">
            <v>4</v>
          </cell>
          <cell r="F31">
            <v>1</v>
          </cell>
          <cell r="G31">
            <v>1</v>
          </cell>
          <cell r="H31">
            <v>55440</v>
          </cell>
          <cell r="I31">
            <v>0</v>
          </cell>
          <cell r="J31">
            <v>3</v>
          </cell>
          <cell r="K31">
            <v>0</v>
          </cell>
        </row>
        <row r="32">
          <cell r="B32" t="str">
            <v>seed-android-design-system</v>
          </cell>
          <cell r="C32" t="str">
            <v>greenlabsfin/seed-android-design-system</v>
          </cell>
          <cell r="D32" t="str">
            <v>greenlabsfin/seed-android-design-system</v>
          </cell>
          <cell r="E32">
            <v>4</v>
          </cell>
          <cell r="F32">
            <v>32</v>
          </cell>
          <cell r="G32">
            <v>1</v>
          </cell>
          <cell r="H32">
            <v>3595</v>
          </cell>
          <cell r="I32">
            <v>0</v>
          </cell>
          <cell r="J32">
            <v>2</v>
          </cell>
          <cell r="K32">
            <v>0</v>
          </cell>
        </row>
        <row r="33">
          <cell r="B33" t="str">
            <v>Freezer</v>
          </cell>
          <cell r="C33" t="str">
            <v>stephan-gh/Freezer</v>
          </cell>
          <cell r="D33" t="str">
            <v>stephan-gh/Freezer</v>
          </cell>
          <cell r="E33">
            <v>5</v>
          </cell>
          <cell r="F33">
            <v>0</v>
          </cell>
          <cell r="G33">
            <v>1</v>
          </cell>
          <cell r="H33">
            <v>165</v>
          </cell>
          <cell r="I33">
            <v>0</v>
          </cell>
          <cell r="J33">
            <v>1</v>
          </cell>
          <cell r="K33">
            <v>0</v>
          </cell>
        </row>
        <row r="34">
          <cell r="B34" t="str">
            <v>HorizontalPicker</v>
          </cell>
          <cell r="C34" t="str">
            <v>Commit451/HorizontalPicker</v>
          </cell>
          <cell r="D34" t="str">
            <v>Commit451/HorizontalPicker</v>
          </cell>
          <cell r="E34">
            <v>5</v>
          </cell>
          <cell r="F34">
            <v>0</v>
          </cell>
          <cell r="G34">
            <v>1</v>
          </cell>
          <cell r="H34">
            <v>307</v>
          </cell>
          <cell r="I34">
            <v>1</v>
          </cell>
          <cell r="J34">
            <v>1</v>
          </cell>
          <cell r="K34">
            <v>0</v>
          </cell>
        </row>
        <row r="35">
          <cell r="B35" t="str">
            <v>compose-timer</v>
          </cell>
          <cell r="C35" t="str">
            <v>rizmaulana/compose-timer</v>
          </cell>
          <cell r="D35" t="str">
            <v>rizmaulana/compose-timer</v>
          </cell>
          <cell r="E35">
            <v>5</v>
          </cell>
          <cell r="F35">
            <v>0</v>
          </cell>
          <cell r="G35">
            <v>1</v>
          </cell>
          <cell r="H35">
            <v>3089</v>
          </cell>
          <cell r="I35">
            <v>0</v>
          </cell>
          <cell r="J35">
            <v>8</v>
          </cell>
          <cell r="K35">
            <v>0</v>
          </cell>
        </row>
        <row r="36">
          <cell r="B36" t="str">
            <v>Bark.Cafe</v>
          </cell>
          <cell r="C36" t="str">
            <v>chintanrparmar/Bark.Cafe</v>
          </cell>
          <cell r="D36" t="str">
            <v>chintanrparmar/Bark.Cafe</v>
          </cell>
          <cell r="E36">
            <v>5</v>
          </cell>
          <cell r="F36">
            <v>0</v>
          </cell>
          <cell r="G36">
            <v>2</v>
          </cell>
          <cell r="H36">
            <v>7851</v>
          </cell>
          <cell r="I36">
            <v>0</v>
          </cell>
          <cell r="J36">
            <v>4</v>
          </cell>
          <cell r="K36">
            <v>0</v>
          </cell>
        </row>
        <row r="37">
          <cell r="B37" t="str">
            <v>National-Geography</v>
          </cell>
          <cell r="C37" t="str">
            <v>bogerchan/National-Geography</v>
          </cell>
          <cell r="D37" t="str">
            <v>bogerchan/National-Geography</v>
          </cell>
          <cell r="E37">
            <v>5</v>
          </cell>
          <cell r="F37">
            <v>0</v>
          </cell>
          <cell r="G37">
            <v>1</v>
          </cell>
          <cell r="H37">
            <v>6518</v>
          </cell>
          <cell r="I37">
            <v>3</v>
          </cell>
          <cell r="J37">
            <v>11</v>
          </cell>
          <cell r="K37">
            <v>0</v>
          </cell>
        </row>
        <row r="38">
          <cell r="B38" t="str">
            <v>encoder</v>
          </cell>
          <cell r="C38" t="str">
            <v>q60/encoder</v>
          </cell>
          <cell r="D38" t="str">
            <v>q60/encoder</v>
          </cell>
          <cell r="E38">
            <v>5</v>
          </cell>
          <cell r="F38">
            <v>0</v>
          </cell>
          <cell r="G38">
            <v>1</v>
          </cell>
          <cell r="H38">
            <v>69</v>
          </cell>
          <cell r="I38">
            <v>0</v>
          </cell>
          <cell r="J38">
            <v>6</v>
          </cell>
          <cell r="K38">
            <v>0</v>
          </cell>
        </row>
        <row r="39">
          <cell r="B39" t="str">
            <v>Tisk</v>
          </cell>
          <cell r="C39" t="str">
            <v>Commit451/Tisk</v>
          </cell>
          <cell r="D39" t="str">
            <v>Commit451/Tisk</v>
          </cell>
          <cell r="E39">
            <v>5</v>
          </cell>
          <cell r="F39">
            <v>0</v>
          </cell>
          <cell r="G39">
            <v>1</v>
          </cell>
          <cell r="H39">
            <v>131</v>
          </cell>
          <cell r="I39">
            <v>0</v>
          </cell>
          <cell r="J39">
            <v>3</v>
          </cell>
          <cell r="K39">
            <v>0</v>
          </cell>
        </row>
        <row r="40">
          <cell r="B40" t="str">
            <v>Login-Multi-Role</v>
          </cell>
          <cell r="C40" t="str">
            <v>Suncodeid/Login-Multi-Role</v>
          </cell>
          <cell r="D40" t="str">
            <v>Suncodeid/Login-Multi-Role</v>
          </cell>
          <cell r="E40">
            <v>5</v>
          </cell>
          <cell r="F40">
            <v>0</v>
          </cell>
          <cell r="G40">
            <v>1</v>
          </cell>
          <cell r="H40">
            <v>138</v>
          </cell>
          <cell r="I40">
            <v>0</v>
          </cell>
          <cell r="J40">
            <v>2</v>
          </cell>
          <cell r="K40">
            <v>1</v>
          </cell>
        </row>
        <row r="41">
          <cell r="B41" t="str">
            <v>ShareToBrowser</v>
          </cell>
          <cell r="C41" t="str">
            <v>queler/ShareToBrowser</v>
          </cell>
          <cell r="D41" t="str">
            <v>queler/ShareToBrowser</v>
          </cell>
          <cell r="E41">
            <v>6</v>
          </cell>
          <cell r="F41">
            <v>0</v>
          </cell>
          <cell r="G41">
            <v>1</v>
          </cell>
          <cell r="H41">
            <v>88</v>
          </cell>
          <cell r="I41">
            <v>4</v>
          </cell>
          <cell r="J41">
            <v>8</v>
          </cell>
          <cell r="K41">
            <v>3</v>
          </cell>
        </row>
        <row r="42">
          <cell r="B42" t="str">
            <v>de.k3b.android.media.scanner</v>
          </cell>
          <cell r="C42" t="str">
            <v>k3b/de.k3b.android.media.scanner</v>
          </cell>
          <cell r="D42" t="str">
            <v>k3b/de.k3b.android.media.scanner</v>
          </cell>
          <cell r="E42">
            <v>6</v>
          </cell>
          <cell r="F42">
            <v>0</v>
          </cell>
          <cell r="G42">
            <v>1</v>
          </cell>
          <cell r="H42">
            <v>144</v>
          </cell>
          <cell r="I42">
            <v>2</v>
          </cell>
          <cell r="J42">
            <v>2</v>
          </cell>
          <cell r="K42">
            <v>0</v>
          </cell>
        </row>
        <row r="43">
          <cell r="B43" t="str">
            <v>OneHotMinute-Compose</v>
          </cell>
          <cell r="C43" t="str">
            <v>GuilhE/OneHotMinute-Compose</v>
          </cell>
          <cell r="D43" t="str">
            <v>GuilhE/OneHotMinute-Compose</v>
          </cell>
          <cell r="E43">
            <v>6</v>
          </cell>
          <cell r="F43">
            <v>0</v>
          </cell>
          <cell r="G43">
            <v>1</v>
          </cell>
          <cell r="H43">
            <v>1090</v>
          </cell>
          <cell r="I43">
            <v>4</v>
          </cell>
          <cell r="J43">
            <v>11</v>
          </cell>
          <cell r="K43">
            <v>0</v>
          </cell>
        </row>
        <row r="44">
          <cell r="B44" t="str">
            <v>PokemAR</v>
          </cell>
          <cell r="C44" t="str">
            <v>Akash-Ramjyothi/PokemAR</v>
          </cell>
          <cell r="D44" t="str">
            <v>Akash-Ramjyothi/PokemAR</v>
          </cell>
          <cell r="E44">
            <v>6</v>
          </cell>
          <cell r="F44">
            <v>0</v>
          </cell>
          <cell r="G44">
            <v>1</v>
          </cell>
          <cell r="H44">
            <v>29178</v>
          </cell>
          <cell r="I44">
            <v>1</v>
          </cell>
          <cell r="J44">
            <v>4</v>
          </cell>
          <cell r="K44">
            <v>0</v>
          </cell>
        </row>
        <row r="45">
          <cell r="B45" t="str">
            <v>CustomCalendar</v>
          </cell>
          <cell r="C45" t="str">
            <v>SuperCaliMan/CustomCalendar</v>
          </cell>
          <cell r="D45" t="str">
            <v>SuperCaliMan/CustomCalendar</v>
          </cell>
          <cell r="E45">
            <v>6</v>
          </cell>
          <cell r="F45">
            <v>0</v>
          </cell>
          <cell r="G45">
            <v>1</v>
          </cell>
          <cell r="H45">
            <v>22635</v>
          </cell>
          <cell r="I45">
            <v>0</v>
          </cell>
          <cell r="J45">
            <v>2</v>
          </cell>
          <cell r="K45">
            <v>0</v>
          </cell>
        </row>
        <row r="46">
          <cell r="B46" t="str">
            <v>flutter-calculator</v>
          </cell>
          <cell r="C46" t="str">
            <v>newtykins/flutter-calculator</v>
          </cell>
          <cell r="D46" t="str">
            <v>newtykip/flutter-calculator</v>
          </cell>
          <cell r="E46">
            <v>6</v>
          </cell>
          <cell r="F46">
            <v>1</v>
          </cell>
          <cell r="G46">
            <v>1</v>
          </cell>
          <cell r="H46">
            <v>1377</v>
          </cell>
          <cell r="I46">
            <v>0</v>
          </cell>
          <cell r="J46">
            <v>2</v>
          </cell>
          <cell r="K46">
            <v>1</v>
          </cell>
        </row>
        <row r="47">
          <cell r="B47" t="str">
            <v>android-taxi-client</v>
          </cell>
          <cell r="C47" t="str">
            <v>theruslanusmanov/android-taxi-client</v>
          </cell>
          <cell r="D47" t="str">
            <v>theruslanusmanov/android-taxi-client</v>
          </cell>
          <cell r="E47">
            <v>6</v>
          </cell>
          <cell r="F47">
            <v>1</v>
          </cell>
          <cell r="G47">
            <v>1</v>
          </cell>
          <cell r="H47">
            <v>49234</v>
          </cell>
          <cell r="I47">
            <v>5</v>
          </cell>
          <cell r="J47">
            <v>5</v>
          </cell>
          <cell r="K47">
            <v>2</v>
          </cell>
        </row>
        <row r="48">
          <cell r="B48" t="str">
            <v>AndroidProject-Kotlin</v>
          </cell>
          <cell r="C48" t="str">
            <v>getActivity/AndroidProject-Kotlin</v>
          </cell>
          <cell r="D48" t="str">
            <v>getActivity/AndroidProject-Kotlin</v>
          </cell>
          <cell r="E48">
            <v>6</v>
          </cell>
          <cell r="F48">
            <v>2</v>
          </cell>
          <cell r="G48">
            <v>2</v>
          </cell>
          <cell r="H48">
            <v>16844</v>
          </cell>
          <cell r="I48">
            <v>147</v>
          </cell>
          <cell r="J48">
            <v>819</v>
          </cell>
          <cell r="K48">
            <v>1</v>
          </cell>
        </row>
        <row r="49">
          <cell r="B49" t="str">
            <v>fastlane-Android-CI</v>
          </cell>
          <cell r="C49" t="str">
            <v>aftabsikander/fastlane-Android-CI</v>
          </cell>
          <cell r="D49" t="str">
            <v>aftabsikander/fastlane-Android-CI</v>
          </cell>
          <cell r="E49">
            <v>6</v>
          </cell>
          <cell r="F49">
            <v>2</v>
          </cell>
          <cell r="G49">
            <v>1</v>
          </cell>
          <cell r="H49">
            <v>116</v>
          </cell>
          <cell r="I49">
            <v>6</v>
          </cell>
          <cell r="J49">
            <v>22</v>
          </cell>
          <cell r="K49">
            <v>0</v>
          </cell>
        </row>
        <row r="50">
          <cell r="B50" t="str">
            <v>android-twa</v>
          </cell>
          <cell r="C50" t="str">
            <v>revoltchat/android-twa</v>
          </cell>
          <cell r="D50" t="str">
            <v>revoltchat/android-twa</v>
          </cell>
          <cell r="E50">
            <v>7</v>
          </cell>
          <cell r="F50">
            <v>0</v>
          </cell>
          <cell r="G50">
            <v>1</v>
          </cell>
          <cell r="H50">
            <v>205</v>
          </cell>
          <cell r="I50">
            <v>8</v>
          </cell>
          <cell r="J50">
            <v>10</v>
          </cell>
          <cell r="K50">
            <v>0</v>
          </cell>
        </row>
        <row r="51">
          <cell r="B51" t="str">
            <v>termux-app-bluetooth</v>
          </cell>
          <cell r="C51" t="str">
            <v>StevenSalazarM/termux-app-bluetooth</v>
          </cell>
          <cell r="D51" t="str">
            <v>StevenSalazarM/termux-app-bluetooth</v>
          </cell>
          <cell r="E51">
            <v>7</v>
          </cell>
          <cell r="F51">
            <v>0</v>
          </cell>
          <cell r="G51">
            <v>1</v>
          </cell>
          <cell r="H51">
            <v>637</v>
          </cell>
          <cell r="I51">
            <v>5</v>
          </cell>
          <cell r="J51">
            <v>15</v>
          </cell>
          <cell r="K51">
            <v>1</v>
          </cell>
        </row>
        <row r="52">
          <cell r="B52" t="str">
            <v>compose-challenges</v>
          </cell>
          <cell r="C52" t="str">
            <v>adneal/compose-challenges</v>
          </cell>
          <cell r="D52" t="str">
            <v>adneal/compose-challenges</v>
          </cell>
          <cell r="E52">
            <v>7</v>
          </cell>
          <cell r="F52">
            <v>0</v>
          </cell>
          <cell r="G52">
            <v>1</v>
          </cell>
          <cell r="H52">
            <v>27329</v>
          </cell>
          <cell r="I52">
            <v>0</v>
          </cell>
          <cell r="J52">
            <v>2</v>
          </cell>
          <cell r="K52">
            <v>0</v>
          </cell>
        </row>
        <row r="53">
          <cell r="B53" t="str">
            <v>FitterNumberPicker</v>
          </cell>
          <cell r="C53" t="str">
            <v>Commit451/FitterNumberPicker</v>
          </cell>
          <cell r="D53" t="str">
            <v>Commit451/FitterNumberPicker</v>
          </cell>
          <cell r="E53">
            <v>7</v>
          </cell>
          <cell r="F53">
            <v>0</v>
          </cell>
          <cell r="G53">
            <v>1</v>
          </cell>
          <cell r="H53">
            <v>104</v>
          </cell>
          <cell r="I53">
            <v>0</v>
          </cell>
          <cell r="J53">
            <v>3</v>
          </cell>
          <cell r="K53">
            <v>0</v>
          </cell>
        </row>
        <row r="54">
          <cell r="B54" t="str">
            <v>Frankenstein</v>
          </cell>
          <cell r="C54" t="str">
            <v>Commit451/Frankenstein</v>
          </cell>
          <cell r="D54" t="str">
            <v>Commit451/Frankenstein</v>
          </cell>
          <cell r="E54">
            <v>7</v>
          </cell>
          <cell r="F54">
            <v>0</v>
          </cell>
          <cell r="G54">
            <v>1</v>
          </cell>
          <cell r="H54">
            <v>106</v>
          </cell>
          <cell r="I54">
            <v>3</v>
          </cell>
          <cell r="J54">
            <v>11</v>
          </cell>
          <cell r="K54">
            <v>1</v>
          </cell>
        </row>
        <row r="55">
          <cell r="B55" t="str">
            <v>android-beacon-mqtt</v>
          </cell>
          <cell r="C55" t="str">
            <v>turbo-lab/android-beacon-mqtt</v>
          </cell>
          <cell r="D55" t="str">
            <v>turbo-lab/android-beacon-mqtt</v>
          </cell>
          <cell r="E55">
            <v>7</v>
          </cell>
          <cell r="F55">
            <v>1</v>
          </cell>
          <cell r="G55">
            <v>1</v>
          </cell>
          <cell r="H55">
            <v>2024</v>
          </cell>
          <cell r="I55">
            <v>7</v>
          </cell>
          <cell r="J55">
            <v>16</v>
          </cell>
          <cell r="K55">
            <v>14</v>
          </cell>
        </row>
        <row r="56">
          <cell r="B56" t="str">
            <v>InternalLinkMovementMethod</v>
          </cell>
          <cell r="C56" t="str">
            <v>Commit451/InternalLinkMovementMethod</v>
          </cell>
          <cell r="D56" t="str">
            <v>Commit451/InternalLinkMovementMethod</v>
          </cell>
          <cell r="E56">
            <v>7</v>
          </cell>
          <cell r="F56">
            <v>1</v>
          </cell>
          <cell r="G56">
            <v>1</v>
          </cell>
          <cell r="H56">
            <v>136</v>
          </cell>
          <cell r="I56">
            <v>2</v>
          </cell>
          <cell r="J56">
            <v>3</v>
          </cell>
          <cell r="K56">
            <v>0</v>
          </cell>
        </row>
        <row r="57">
          <cell r="B57" t="str">
            <v>Conveyor</v>
          </cell>
          <cell r="C57" t="str">
            <v>SilverTuxedo/Conveyor</v>
          </cell>
          <cell r="D57" t="str">
            <v>SilverTuxedo/Conveyor</v>
          </cell>
          <cell r="E57">
            <v>7</v>
          </cell>
          <cell r="F57">
            <v>5</v>
          </cell>
          <cell r="G57">
            <v>1</v>
          </cell>
          <cell r="H57">
            <v>2285</v>
          </cell>
          <cell r="I57">
            <v>1</v>
          </cell>
          <cell r="J57">
            <v>3</v>
          </cell>
          <cell r="K57">
            <v>1</v>
          </cell>
        </row>
        <row r="58">
          <cell r="B58" t="str">
            <v>ansvif_android</v>
          </cell>
          <cell r="C58" t="str">
            <v>oxagast/ansvif_android</v>
          </cell>
          <cell r="D58" t="str">
            <v>oxagast/ansvif_android</v>
          </cell>
          <cell r="E58">
            <v>8</v>
          </cell>
          <cell r="F58">
            <v>0</v>
          </cell>
          <cell r="G58">
            <v>1</v>
          </cell>
          <cell r="H58">
            <v>87529</v>
          </cell>
          <cell r="I58">
            <v>0</v>
          </cell>
          <cell r="J58">
            <v>2</v>
          </cell>
          <cell r="K58">
            <v>0</v>
          </cell>
        </row>
        <row r="59">
          <cell r="B59" t="str">
            <v>Weathercast</v>
          </cell>
          <cell r="C59" t="str">
            <v>vidit135g/Weathercast</v>
          </cell>
          <cell r="D59" t="str">
            <v>vidit135g/Weathercast</v>
          </cell>
          <cell r="E59">
            <v>8</v>
          </cell>
          <cell r="F59">
            <v>0</v>
          </cell>
          <cell r="G59">
            <v>1</v>
          </cell>
          <cell r="H59">
            <v>4793</v>
          </cell>
          <cell r="I59">
            <v>1</v>
          </cell>
          <cell r="J59">
            <v>2</v>
          </cell>
          <cell r="K59">
            <v>1</v>
          </cell>
        </row>
        <row r="60">
          <cell r="B60" t="str">
            <v>WifiIndoorPositioning</v>
          </cell>
          <cell r="C60" t="str">
            <v>Talentica/WifiIndoorPositioning</v>
          </cell>
          <cell r="D60" t="str">
            <v>Talentica/WifiIndoorPositioning</v>
          </cell>
          <cell r="E60">
            <v>8</v>
          </cell>
          <cell r="F60">
            <v>0</v>
          </cell>
          <cell r="G60">
            <v>1</v>
          </cell>
          <cell r="H60">
            <v>3442</v>
          </cell>
          <cell r="I60">
            <v>52</v>
          </cell>
          <cell r="J60">
            <v>94</v>
          </cell>
          <cell r="K60">
            <v>3</v>
          </cell>
        </row>
        <row r="61">
          <cell r="B61" t="str">
            <v>SSVMAndroid</v>
          </cell>
          <cell r="C61" t="str">
            <v>MikeAndrson/SSVMAndroid</v>
          </cell>
          <cell r="D61" t="str">
            <v>omeraydindev/SSVMAndroid</v>
          </cell>
          <cell r="E61">
            <v>8</v>
          </cell>
          <cell r="F61">
            <v>1</v>
          </cell>
          <cell r="G61">
            <v>1</v>
          </cell>
          <cell r="H61">
            <v>21231</v>
          </cell>
          <cell r="I61">
            <v>4</v>
          </cell>
          <cell r="J61">
            <v>15</v>
          </cell>
          <cell r="K61">
            <v>1</v>
          </cell>
        </row>
        <row r="62">
          <cell r="B62" t="str">
            <v>Miwok-App</v>
          </cell>
          <cell r="C62" t="str">
            <v>atidevs/Miwok-App</v>
          </cell>
          <cell r="D62" t="str">
            <v>atidevs/Miwok-App</v>
          </cell>
          <cell r="E62">
            <v>8</v>
          </cell>
          <cell r="F62">
            <v>3</v>
          </cell>
          <cell r="G62">
            <v>1</v>
          </cell>
          <cell r="H62">
            <v>3076</v>
          </cell>
          <cell r="I62">
            <v>0</v>
          </cell>
          <cell r="J62">
            <v>2</v>
          </cell>
          <cell r="K62">
            <v>0</v>
          </cell>
        </row>
        <row r="63">
          <cell r="B63" t="str">
            <v>draggable-menu</v>
          </cell>
          <cell r="C63" t="str">
            <v>dokar3/draggable-menu</v>
          </cell>
          <cell r="D63" t="str">
            <v>dokar3/draggable-menu</v>
          </cell>
          <cell r="E63">
            <v>8</v>
          </cell>
          <cell r="F63">
            <v>3</v>
          </cell>
          <cell r="G63">
            <v>2</v>
          </cell>
          <cell r="H63">
            <v>5277</v>
          </cell>
          <cell r="I63">
            <v>1</v>
          </cell>
          <cell r="J63">
            <v>21</v>
          </cell>
          <cell r="K63">
            <v>1</v>
          </cell>
        </row>
        <row r="64">
          <cell r="B64" t="str">
            <v>move-tickets-seats</v>
          </cell>
          <cell r="C64" t="str">
            <v>m7mdra/move-tickets-seats</v>
          </cell>
          <cell r="D64" t="str">
            <v>m7mdra/move-tickets-seats</v>
          </cell>
          <cell r="E64">
            <v>9</v>
          </cell>
          <cell r="F64">
            <v>0</v>
          </cell>
          <cell r="G64">
            <v>1</v>
          </cell>
          <cell r="H64">
            <v>415</v>
          </cell>
          <cell r="I64">
            <v>1</v>
          </cell>
          <cell r="J64">
            <v>4</v>
          </cell>
          <cell r="K64">
            <v>0</v>
          </cell>
        </row>
        <row r="65">
          <cell r="B65" t="str">
            <v>HearMeNow-DepressionChatbot-Dialogflow</v>
          </cell>
          <cell r="C65" t="str">
            <v>PoojaB26/HearMeNow-DepressionChatbot-Dialogflow</v>
          </cell>
          <cell r="D65" t="str">
            <v>PoojaB26/HearMeNow-DepressionChatbot-Dialogflow</v>
          </cell>
          <cell r="E65">
            <v>9</v>
          </cell>
          <cell r="F65">
            <v>0</v>
          </cell>
          <cell r="G65">
            <v>1</v>
          </cell>
          <cell r="H65">
            <v>971</v>
          </cell>
          <cell r="I65">
            <v>7</v>
          </cell>
          <cell r="J65">
            <v>11</v>
          </cell>
          <cell r="K65">
            <v>3</v>
          </cell>
        </row>
        <row r="66">
          <cell r="B66" t="str">
            <v>Jounce</v>
          </cell>
          <cell r="C66" t="str">
            <v>Commit451/Jounce</v>
          </cell>
          <cell r="D66" t="str">
            <v>Commit451/Jounce</v>
          </cell>
          <cell r="E66">
            <v>9</v>
          </cell>
          <cell r="F66">
            <v>0</v>
          </cell>
          <cell r="G66">
            <v>1</v>
          </cell>
          <cell r="H66">
            <v>1265</v>
          </cell>
          <cell r="I66">
            <v>1</v>
          </cell>
          <cell r="J66">
            <v>5</v>
          </cell>
          <cell r="K66">
            <v>0</v>
          </cell>
        </row>
        <row r="67">
          <cell r="B67" t="str">
            <v>WhatsApp-Status-Download</v>
          </cell>
          <cell r="C67" t="str">
            <v>KishanViramgama/WhatsApp-Status-Download</v>
          </cell>
          <cell r="D67" t="str">
            <v>KishanViramgama/WhatsApp-Status-Download</v>
          </cell>
          <cell r="E67">
            <v>9</v>
          </cell>
          <cell r="F67">
            <v>0</v>
          </cell>
          <cell r="G67">
            <v>1</v>
          </cell>
          <cell r="H67">
            <v>9004</v>
          </cell>
          <cell r="I67">
            <v>8</v>
          </cell>
          <cell r="J67">
            <v>14</v>
          </cell>
          <cell r="K67">
            <v>0</v>
          </cell>
        </row>
        <row r="68">
          <cell r="B68" t="str">
            <v>android-metronome</v>
          </cell>
          <cell r="C68" t="str">
            <v>JosielSantos/android-metronome</v>
          </cell>
          <cell r="D68" t="str">
            <v>JosielSantos/android-metronome</v>
          </cell>
          <cell r="E68">
            <v>9</v>
          </cell>
          <cell r="F68">
            <v>0</v>
          </cell>
          <cell r="G68">
            <v>1</v>
          </cell>
          <cell r="H68">
            <v>3649</v>
          </cell>
          <cell r="I68">
            <v>2</v>
          </cell>
          <cell r="J68">
            <v>7</v>
          </cell>
          <cell r="K68">
            <v>1</v>
          </cell>
        </row>
        <row r="69">
          <cell r="B69" t="str">
            <v>CoroutineAsyncTask</v>
          </cell>
          <cell r="C69" t="str">
            <v>ladrahul25/CoroutineAsyncTask</v>
          </cell>
          <cell r="D69" t="str">
            <v>ladrahul25/CoroutineAsyncTask</v>
          </cell>
          <cell r="E69">
            <v>9</v>
          </cell>
          <cell r="F69">
            <v>0</v>
          </cell>
          <cell r="G69">
            <v>2</v>
          </cell>
          <cell r="H69">
            <v>103</v>
          </cell>
          <cell r="I69">
            <v>11</v>
          </cell>
          <cell r="J69">
            <v>21</v>
          </cell>
          <cell r="K69">
            <v>1</v>
          </cell>
        </row>
        <row r="70">
          <cell r="B70" t="str">
            <v>display-nearby-places-ar-android</v>
          </cell>
          <cell r="C70" t="str">
            <v>googlecodelabs/display-nearby-places-ar-android</v>
          </cell>
          <cell r="D70" t="str">
            <v>googlemaps-samples/codelab-places-arcore-android</v>
          </cell>
          <cell r="E70">
            <v>9</v>
          </cell>
          <cell r="F70">
            <v>1</v>
          </cell>
          <cell r="G70">
            <v>2</v>
          </cell>
          <cell r="H70">
            <v>187</v>
          </cell>
          <cell r="I70">
            <v>8</v>
          </cell>
          <cell r="J70">
            <v>10</v>
          </cell>
          <cell r="K70">
            <v>9</v>
          </cell>
        </row>
        <row r="71">
          <cell r="B71" t="str">
            <v>PokeAPI-Compose</v>
          </cell>
          <cell r="C71" t="str">
            <v>manuelduarte077/PokeAPI-Compose</v>
          </cell>
          <cell r="D71" t="str">
            <v>manuelduarte077/PokeAPI-Compose</v>
          </cell>
          <cell r="E71">
            <v>9</v>
          </cell>
          <cell r="F71">
            <v>5</v>
          </cell>
          <cell r="G71">
            <v>1</v>
          </cell>
          <cell r="H71">
            <v>113</v>
          </cell>
          <cell r="I71">
            <v>0</v>
          </cell>
          <cell r="J71">
            <v>1</v>
          </cell>
          <cell r="K71">
            <v>0</v>
          </cell>
        </row>
        <row r="72">
          <cell r="B72" t="str">
            <v>Topsed-Speedometer</v>
          </cell>
          <cell r="C72" t="str">
            <v>praslnx8/Topsed-Speedometer</v>
          </cell>
          <cell r="D72" t="str">
            <v>praslnx8/Topsed-Speedometer</v>
          </cell>
          <cell r="E72">
            <v>10</v>
          </cell>
          <cell r="F72">
            <v>0</v>
          </cell>
          <cell r="G72">
            <v>2</v>
          </cell>
          <cell r="H72">
            <v>326</v>
          </cell>
          <cell r="I72">
            <v>0</v>
          </cell>
          <cell r="J72">
            <v>6</v>
          </cell>
          <cell r="K72">
            <v>0</v>
          </cell>
        </row>
        <row r="73">
          <cell r="B73" t="str">
            <v>transtone</v>
          </cell>
          <cell r="C73" t="str">
            <v>terramauthe/transtone</v>
          </cell>
          <cell r="D73" t="str">
            <v>terraboops/transtone</v>
          </cell>
          <cell r="E73">
            <v>10</v>
          </cell>
          <cell r="F73">
            <v>0</v>
          </cell>
          <cell r="G73">
            <v>1</v>
          </cell>
          <cell r="H73">
            <v>490</v>
          </cell>
          <cell r="I73">
            <v>0</v>
          </cell>
          <cell r="J73">
            <v>1</v>
          </cell>
          <cell r="K73">
            <v>9</v>
          </cell>
        </row>
        <row r="74">
          <cell r="B74" t="str">
            <v>CrimsonOTA</v>
          </cell>
          <cell r="C74" t="str">
            <v>uditkarode/CrimsonOTA</v>
          </cell>
          <cell r="D74" t="str">
            <v>uditkarode/CrimsonOTA</v>
          </cell>
          <cell r="E74">
            <v>10</v>
          </cell>
          <cell r="F74">
            <v>0</v>
          </cell>
          <cell r="G74">
            <v>1</v>
          </cell>
          <cell r="H74">
            <v>498</v>
          </cell>
          <cell r="I74">
            <v>1</v>
          </cell>
          <cell r="J74">
            <v>1</v>
          </cell>
          <cell r="K74">
            <v>0</v>
          </cell>
        </row>
        <row r="75">
          <cell r="B75" t="str">
            <v>DialerLoading</v>
          </cell>
          <cell r="C75" t="str">
            <v>SaeedMasoumi/DialerLoading</v>
          </cell>
          <cell r="D75" t="str">
            <v>SaeedMasoumi/DialerLoading</v>
          </cell>
          <cell r="E75">
            <v>10</v>
          </cell>
          <cell r="F75">
            <v>0</v>
          </cell>
          <cell r="G75">
            <v>1</v>
          </cell>
          <cell r="H75">
            <v>1262</v>
          </cell>
          <cell r="I75">
            <v>4</v>
          </cell>
          <cell r="J75">
            <v>44</v>
          </cell>
          <cell r="K75">
            <v>0</v>
          </cell>
        </row>
        <row r="76">
          <cell r="B76" t="str">
            <v>aplikasi_absen_karyawan</v>
          </cell>
          <cell r="C76" t="str">
            <v>Dimas263/aplikasi_absen_karyawan</v>
          </cell>
          <cell r="D76" t="str">
            <v>Dimas263/aplikasi_absen_karyawan</v>
          </cell>
          <cell r="E76">
            <v>10</v>
          </cell>
          <cell r="F76">
            <v>0</v>
          </cell>
          <cell r="G76">
            <v>1</v>
          </cell>
          <cell r="H76">
            <v>78</v>
          </cell>
          <cell r="I76">
            <v>0</v>
          </cell>
          <cell r="J76">
            <v>2</v>
          </cell>
          <cell r="K76">
            <v>0</v>
          </cell>
        </row>
        <row r="77">
          <cell r="B77" t="str">
            <v>Emulator-Detector</v>
          </cell>
          <cell r="C77" t="str">
            <v>dmitrikudrenko/Emulator-Detector</v>
          </cell>
          <cell r="D77" t="str">
            <v>dmitrikudrenko/Emulator-Detector</v>
          </cell>
          <cell r="E77">
            <v>10</v>
          </cell>
          <cell r="F77">
            <v>0</v>
          </cell>
          <cell r="G77">
            <v>1</v>
          </cell>
          <cell r="H77">
            <v>104</v>
          </cell>
          <cell r="I77">
            <v>4</v>
          </cell>
          <cell r="J77">
            <v>19</v>
          </cell>
          <cell r="K77">
            <v>0</v>
          </cell>
        </row>
        <row r="78">
          <cell r="B78" t="str">
            <v>FLinspirer</v>
          </cell>
          <cell r="C78" t="str">
            <v>FLinspirer/FLinspirer</v>
          </cell>
          <cell r="D78" t="str">
            <v>FLinspirer/FLinspirer</v>
          </cell>
          <cell r="E78">
            <v>10</v>
          </cell>
          <cell r="F78">
            <v>0</v>
          </cell>
          <cell r="G78">
            <v>1</v>
          </cell>
          <cell r="H78">
            <v>119</v>
          </cell>
          <cell r="I78">
            <v>3</v>
          </cell>
          <cell r="J78">
            <v>6</v>
          </cell>
          <cell r="K78">
            <v>0</v>
          </cell>
        </row>
        <row r="79">
          <cell r="B79" t="str">
            <v>QR-Generator</v>
          </cell>
          <cell r="C79" t="str">
            <v>lazy-pr0grammer/QR-Generator</v>
          </cell>
          <cell r="D79" t="str">
            <v>lazy-pr0grammer/QR-Generator</v>
          </cell>
          <cell r="E79">
            <v>10</v>
          </cell>
          <cell r="F79">
            <v>1</v>
          </cell>
          <cell r="G79">
            <v>1</v>
          </cell>
          <cell r="H79">
            <v>205</v>
          </cell>
          <cell r="I79">
            <v>1</v>
          </cell>
          <cell r="J79">
            <v>2</v>
          </cell>
          <cell r="K79">
            <v>0</v>
          </cell>
        </row>
        <row r="80">
          <cell r="B80" t="str">
            <v>Android-Webview-Darkmode-with-JavaScript</v>
          </cell>
          <cell r="C80" t="str">
            <v>mcnaveen/Android-Webview-Darkmode-with-JavaScript</v>
          </cell>
          <cell r="D80" t="str">
            <v>mcnaveen/Android-Webview-Darkmode-with-JavaScript</v>
          </cell>
          <cell r="E80">
            <v>10</v>
          </cell>
          <cell r="F80">
            <v>1</v>
          </cell>
          <cell r="G80">
            <v>2</v>
          </cell>
          <cell r="H80">
            <v>2258</v>
          </cell>
          <cell r="I80">
            <v>1</v>
          </cell>
          <cell r="J80">
            <v>3</v>
          </cell>
          <cell r="K80">
            <v>0</v>
          </cell>
        </row>
        <row r="81">
          <cell r="B81" t="str">
            <v>arcgis-android-moremap</v>
          </cell>
          <cell r="C81" t="str">
            <v>wshunli/arcgis-android-moremap</v>
          </cell>
          <cell r="D81" t="str">
            <v>wshunli/arcgis-android-moremap</v>
          </cell>
          <cell r="E81">
            <v>11</v>
          </cell>
          <cell r="F81">
            <v>0</v>
          </cell>
          <cell r="G81">
            <v>1</v>
          </cell>
          <cell r="H81">
            <v>174</v>
          </cell>
          <cell r="I81">
            <v>10</v>
          </cell>
          <cell r="J81">
            <v>39</v>
          </cell>
          <cell r="K81">
            <v>0</v>
          </cell>
        </row>
        <row r="82">
          <cell r="B82" t="str">
            <v>runstone</v>
          </cell>
          <cell r="C82" t="str">
            <v>spinda/runstone</v>
          </cell>
          <cell r="D82" t="str">
            <v>spinda/runstone</v>
          </cell>
          <cell r="E82">
            <v>11</v>
          </cell>
          <cell r="F82">
            <v>0</v>
          </cell>
          <cell r="G82">
            <v>1</v>
          </cell>
          <cell r="H82">
            <v>277</v>
          </cell>
          <cell r="I82">
            <v>1</v>
          </cell>
          <cell r="J82">
            <v>3</v>
          </cell>
          <cell r="K82">
            <v>0</v>
          </cell>
        </row>
        <row r="83">
          <cell r="B83" t="str">
            <v>weather-app-compose</v>
          </cell>
          <cell r="C83" t="str">
            <v>patriziolerede/weather-app-compose</v>
          </cell>
          <cell r="D83" t="str">
            <v>patriziolerede/weather-app-compose</v>
          </cell>
          <cell r="E83">
            <v>11</v>
          </cell>
          <cell r="F83">
            <v>0</v>
          </cell>
          <cell r="G83">
            <v>1</v>
          </cell>
          <cell r="H83">
            <v>3053</v>
          </cell>
          <cell r="I83">
            <v>0</v>
          </cell>
          <cell r="J83">
            <v>2</v>
          </cell>
          <cell r="K83">
            <v>0</v>
          </cell>
        </row>
        <row r="84">
          <cell r="B84" t="str">
            <v>puppy-adoption-app</v>
          </cell>
          <cell r="C84" t="str">
            <v>patriziolerede/puppy-adoption-app</v>
          </cell>
          <cell r="D84" t="str">
            <v>patriziolerede/puppy-adoption-app</v>
          </cell>
          <cell r="E84">
            <v>11</v>
          </cell>
          <cell r="F84">
            <v>0</v>
          </cell>
          <cell r="G84">
            <v>1</v>
          </cell>
          <cell r="H84">
            <v>14191</v>
          </cell>
          <cell r="I84">
            <v>0</v>
          </cell>
          <cell r="J84">
            <v>4</v>
          </cell>
          <cell r="K84">
            <v>0</v>
          </cell>
        </row>
        <row r="85">
          <cell r="B85" t="str">
            <v>AndroidFaceDetection</v>
          </cell>
          <cell r="C85" t="str">
            <v>lchad/AndroidFaceDetection</v>
          </cell>
          <cell r="D85" t="str">
            <v>lchad/AndroidFaceDetection</v>
          </cell>
          <cell r="E85">
            <v>11</v>
          </cell>
          <cell r="F85">
            <v>0</v>
          </cell>
          <cell r="G85">
            <v>1</v>
          </cell>
          <cell r="H85">
            <v>18122</v>
          </cell>
          <cell r="I85">
            <v>31</v>
          </cell>
          <cell r="J85">
            <v>123</v>
          </cell>
          <cell r="K85">
            <v>0</v>
          </cell>
        </row>
        <row r="86">
          <cell r="B86" t="str">
            <v>Wessager</v>
          </cell>
          <cell r="C86" t="str">
            <v>ohyooo/Wessager</v>
          </cell>
          <cell r="D86" t="str">
            <v>ohyooo/Wessager</v>
          </cell>
          <cell r="E86">
            <v>11</v>
          </cell>
          <cell r="F86">
            <v>0</v>
          </cell>
          <cell r="G86">
            <v>1</v>
          </cell>
          <cell r="H86">
            <v>69</v>
          </cell>
          <cell r="I86">
            <v>0</v>
          </cell>
          <cell r="J86">
            <v>4</v>
          </cell>
          <cell r="K86">
            <v>0</v>
          </cell>
        </row>
        <row r="87">
          <cell r="B87" t="str">
            <v>CheatSheet</v>
          </cell>
          <cell r="C87" t="str">
            <v>Commit451/CheatSheet</v>
          </cell>
          <cell r="D87" t="str">
            <v>Commit451/CheatSheet</v>
          </cell>
          <cell r="E87">
            <v>11</v>
          </cell>
          <cell r="F87">
            <v>0</v>
          </cell>
          <cell r="G87">
            <v>1</v>
          </cell>
          <cell r="H87">
            <v>113</v>
          </cell>
          <cell r="I87">
            <v>3</v>
          </cell>
          <cell r="J87">
            <v>6</v>
          </cell>
          <cell r="K87">
            <v>0</v>
          </cell>
        </row>
        <row r="88">
          <cell r="B88" t="str">
            <v>direct-net-share</v>
          </cell>
          <cell r="C88" t="str">
            <v>shinilms/direct-net-share</v>
          </cell>
          <cell r="D88" t="str">
            <v>shinil7/direct-net-share</v>
          </cell>
          <cell r="E88">
            <v>11</v>
          </cell>
          <cell r="F88">
            <v>1</v>
          </cell>
          <cell r="G88">
            <v>3</v>
          </cell>
          <cell r="H88">
            <v>140</v>
          </cell>
          <cell r="I88">
            <v>8</v>
          </cell>
          <cell r="J88">
            <v>36</v>
          </cell>
          <cell r="K88">
            <v>3</v>
          </cell>
        </row>
        <row r="89">
          <cell r="B89" t="str">
            <v>WordleCompose</v>
          </cell>
          <cell r="C89" t="str">
            <v>supertechninja/WordleCompose</v>
          </cell>
          <cell r="D89" t="str">
            <v>supertechninja/WordleCompose</v>
          </cell>
          <cell r="E89">
            <v>11</v>
          </cell>
          <cell r="F89">
            <v>1</v>
          </cell>
          <cell r="G89">
            <v>1</v>
          </cell>
          <cell r="H89">
            <v>420</v>
          </cell>
          <cell r="I89">
            <v>1</v>
          </cell>
          <cell r="J89">
            <v>5</v>
          </cell>
          <cell r="K89">
            <v>1</v>
          </cell>
        </row>
        <row r="90">
          <cell r="B90" t="str">
            <v>eastFoods</v>
          </cell>
          <cell r="C90" t="str">
            <v>kulasekara02/eastFoods</v>
          </cell>
          <cell r="D90" t="str">
            <v>kulasekara02/eastFoods</v>
          </cell>
          <cell r="E90">
            <v>11</v>
          </cell>
          <cell r="F90">
            <v>2</v>
          </cell>
          <cell r="G90">
            <v>1</v>
          </cell>
          <cell r="H90">
            <v>6861</v>
          </cell>
          <cell r="I90">
            <v>1</v>
          </cell>
          <cell r="J90">
            <v>1</v>
          </cell>
          <cell r="K90">
            <v>0</v>
          </cell>
        </row>
        <row r="91">
          <cell r="B91" t="str">
            <v>simple-note-application</v>
          </cell>
          <cell r="C91" t="str">
            <v>hieuwu/simple-note-application</v>
          </cell>
          <cell r="D91" t="str">
            <v>hieuwu/simple-note-application</v>
          </cell>
          <cell r="E91">
            <v>11</v>
          </cell>
          <cell r="F91">
            <v>3</v>
          </cell>
          <cell r="G91">
            <v>2</v>
          </cell>
          <cell r="H91">
            <v>182</v>
          </cell>
          <cell r="I91">
            <v>11</v>
          </cell>
          <cell r="J91">
            <v>11</v>
          </cell>
          <cell r="K91">
            <v>0</v>
          </cell>
        </row>
        <row r="92">
          <cell r="B92" t="str">
            <v>gallerywall</v>
          </cell>
          <cell r="C92" t="str">
            <v>bossly/gallerywall</v>
          </cell>
          <cell r="D92" t="str">
            <v>bossly/gallerywall</v>
          </cell>
          <cell r="E92">
            <v>11</v>
          </cell>
          <cell r="F92">
            <v>3</v>
          </cell>
          <cell r="G92">
            <v>1</v>
          </cell>
          <cell r="H92">
            <v>2863</v>
          </cell>
          <cell r="I92">
            <v>1</v>
          </cell>
          <cell r="J92">
            <v>6</v>
          </cell>
          <cell r="K92">
            <v>3</v>
          </cell>
        </row>
        <row r="93">
          <cell r="B93" t="str">
            <v>amlv</v>
          </cell>
          <cell r="C93" t="str">
            <v>dokar3/amlv</v>
          </cell>
          <cell r="D93" t="str">
            <v>dokar3/amlv</v>
          </cell>
          <cell r="E93">
            <v>11</v>
          </cell>
          <cell r="F93">
            <v>4</v>
          </cell>
          <cell r="G93">
            <v>1</v>
          </cell>
          <cell r="H93">
            <v>426</v>
          </cell>
          <cell r="I93">
            <v>5</v>
          </cell>
          <cell r="J93">
            <v>69</v>
          </cell>
          <cell r="K93">
            <v>1</v>
          </cell>
        </row>
        <row r="94">
          <cell r="B94" t="str">
            <v>MemoryGame</v>
          </cell>
          <cell r="C94" t="str">
            <v>hatamiarash7/MemoryGame</v>
          </cell>
          <cell r="D94" t="str">
            <v>hatamiarash7/MemoryGame</v>
          </cell>
          <cell r="E94">
            <v>11</v>
          </cell>
          <cell r="F94">
            <v>9</v>
          </cell>
          <cell r="G94">
            <v>3</v>
          </cell>
          <cell r="H94">
            <v>9127</v>
          </cell>
          <cell r="I94">
            <v>6</v>
          </cell>
          <cell r="J94">
            <v>5</v>
          </cell>
          <cell r="K94">
            <v>8</v>
          </cell>
        </row>
        <row r="95">
          <cell r="B95" t="str">
            <v>VideoEditor</v>
          </cell>
          <cell r="C95" t="str">
            <v>raghavtilak/VideoEditor</v>
          </cell>
          <cell r="D95" t="str">
            <v>raghavtilak/VideoEditor</v>
          </cell>
          <cell r="E95">
            <v>11</v>
          </cell>
          <cell r="F95">
            <v>12</v>
          </cell>
          <cell r="G95">
            <v>3</v>
          </cell>
          <cell r="H95">
            <v>2594</v>
          </cell>
          <cell r="I95">
            <v>13</v>
          </cell>
          <cell r="J95">
            <v>31</v>
          </cell>
          <cell r="K95">
            <v>0</v>
          </cell>
        </row>
        <row r="96">
          <cell r="B96" t="str">
            <v>Alldebrid</v>
          </cell>
          <cell r="C96" t="str">
            <v>Allsimon/Alldebrid</v>
          </cell>
          <cell r="D96" t="str">
            <v>Allsimon/Alldebrid</v>
          </cell>
          <cell r="E96">
            <v>12</v>
          </cell>
          <cell r="F96">
            <v>0</v>
          </cell>
          <cell r="G96">
            <v>1</v>
          </cell>
          <cell r="H96">
            <v>1164</v>
          </cell>
          <cell r="I96">
            <v>2</v>
          </cell>
          <cell r="J96">
            <v>3</v>
          </cell>
          <cell r="K96">
            <v>2</v>
          </cell>
        </row>
        <row r="97">
          <cell r="B97" t="str">
            <v>oiapp</v>
          </cell>
          <cell r="C97" t="str">
            <v>2439905184/oiapp</v>
          </cell>
          <cell r="D97" t="str">
            <v>2439905184/oiapp</v>
          </cell>
          <cell r="E97">
            <v>12</v>
          </cell>
          <cell r="F97">
            <v>0</v>
          </cell>
          <cell r="G97">
            <v>1</v>
          </cell>
          <cell r="H97">
            <v>312</v>
          </cell>
          <cell r="I97">
            <v>0</v>
          </cell>
          <cell r="J97">
            <v>2</v>
          </cell>
          <cell r="K97">
            <v>4</v>
          </cell>
        </row>
        <row r="98">
          <cell r="B98" t="str">
            <v>AdventCalender</v>
          </cell>
          <cell r="C98" t="str">
            <v>yourappsgeek/AdventCalender</v>
          </cell>
          <cell r="D98" t="str">
            <v>yourappsgeek/AdventCalender</v>
          </cell>
          <cell r="E98">
            <v>12</v>
          </cell>
          <cell r="F98">
            <v>0</v>
          </cell>
          <cell r="G98">
            <v>1</v>
          </cell>
          <cell r="H98">
            <v>696</v>
          </cell>
          <cell r="I98">
            <v>0</v>
          </cell>
          <cell r="J98">
            <v>6</v>
          </cell>
          <cell r="K98">
            <v>0</v>
          </cell>
        </row>
        <row r="99">
          <cell r="B99" t="str">
            <v>kotlin-soundboard</v>
          </cell>
          <cell r="C99" t="str">
            <v>evroon/kotlin-soundboard</v>
          </cell>
          <cell r="D99" t="str">
            <v>evroon/kotlin-soundboard</v>
          </cell>
          <cell r="E99">
            <v>12</v>
          </cell>
          <cell r="F99">
            <v>0</v>
          </cell>
          <cell r="G99">
            <v>1</v>
          </cell>
          <cell r="H99">
            <v>1453</v>
          </cell>
          <cell r="I99">
            <v>0</v>
          </cell>
          <cell r="J99">
            <v>2</v>
          </cell>
          <cell r="K99">
            <v>0</v>
          </cell>
        </row>
        <row r="100">
          <cell r="B100" t="str">
            <v>eta-android-2048</v>
          </cell>
          <cell r="C100" t="str">
            <v>Jyothsnasrinivas/eta-android-2048</v>
          </cell>
          <cell r="D100" t="str">
            <v>Jyothsnasrinivas/eta-android-2048</v>
          </cell>
          <cell r="E100">
            <v>12</v>
          </cell>
          <cell r="F100">
            <v>0</v>
          </cell>
          <cell r="G100">
            <v>2</v>
          </cell>
          <cell r="H100">
            <v>17874</v>
          </cell>
          <cell r="I100">
            <v>8</v>
          </cell>
          <cell r="J100">
            <v>57</v>
          </cell>
          <cell r="K100">
            <v>2</v>
          </cell>
        </row>
        <row r="101">
          <cell r="B101" t="str">
            <v>Dynamic-Island-Android-Full-Application</v>
          </cell>
          <cell r="C101" t="str">
            <v>MaramHarsha/Dynamic-Island-Android-Full-Application</v>
          </cell>
          <cell r="D101" t="str">
            <v>MaramHarsha/Dynamic-Island-Android-Full-Application</v>
          </cell>
          <cell r="E101">
            <v>12</v>
          </cell>
          <cell r="F101">
            <v>0</v>
          </cell>
          <cell r="G101">
            <v>1</v>
          </cell>
          <cell r="H101">
            <v>22513</v>
          </cell>
          <cell r="I101">
            <v>3</v>
          </cell>
          <cell r="J101">
            <v>9</v>
          </cell>
          <cell r="K101">
            <v>0</v>
          </cell>
        </row>
        <row r="102">
          <cell r="B102" t="str">
            <v>terminal_flutter</v>
          </cell>
          <cell r="C102" t="str">
            <v>azkadev/terminal_flutter</v>
          </cell>
          <cell r="D102" t="str">
            <v>azkadev/terminal_flutter</v>
          </cell>
          <cell r="E102">
            <v>12</v>
          </cell>
          <cell r="F102">
            <v>0</v>
          </cell>
          <cell r="G102">
            <v>1</v>
          </cell>
          <cell r="H102">
            <v>4997</v>
          </cell>
          <cell r="I102">
            <v>1</v>
          </cell>
          <cell r="J102">
            <v>1</v>
          </cell>
          <cell r="K102">
            <v>0</v>
          </cell>
        </row>
        <row r="103">
          <cell r="B103" t="str">
            <v>Viewtiful</v>
          </cell>
          <cell r="C103" t="str">
            <v>Commit451/Viewtiful</v>
          </cell>
          <cell r="D103" t="str">
            <v>Commit451/Viewtiful</v>
          </cell>
          <cell r="E103">
            <v>12</v>
          </cell>
          <cell r="F103">
            <v>0</v>
          </cell>
          <cell r="G103">
            <v>1</v>
          </cell>
          <cell r="H103">
            <v>109</v>
          </cell>
          <cell r="I103">
            <v>1</v>
          </cell>
          <cell r="J103">
            <v>18</v>
          </cell>
          <cell r="K103">
            <v>0</v>
          </cell>
        </row>
        <row r="104">
          <cell r="B104" t="str">
            <v>LeaveSheet</v>
          </cell>
          <cell r="C104" t="str">
            <v>bqliang/LeaveSheet</v>
          </cell>
          <cell r="D104" t="str">
            <v>bqliang/LeaveSheet</v>
          </cell>
          <cell r="E104">
            <v>12</v>
          </cell>
          <cell r="F104">
            <v>1</v>
          </cell>
          <cell r="G104">
            <v>1</v>
          </cell>
          <cell r="H104">
            <v>167</v>
          </cell>
          <cell r="I104">
            <v>0</v>
          </cell>
          <cell r="J104">
            <v>1</v>
          </cell>
          <cell r="K104">
            <v>0</v>
          </cell>
        </row>
        <row r="105">
          <cell r="B105" t="str">
            <v>Blast</v>
          </cell>
          <cell r="C105" t="str">
            <v>X1nto/Blast</v>
          </cell>
          <cell r="D105" t="str">
            <v>X1nto/Blast</v>
          </cell>
          <cell r="E105">
            <v>12</v>
          </cell>
          <cell r="F105">
            <v>1</v>
          </cell>
          <cell r="G105">
            <v>2</v>
          </cell>
          <cell r="H105">
            <v>345</v>
          </cell>
          <cell r="I105">
            <v>2</v>
          </cell>
          <cell r="J105">
            <v>2</v>
          </cell>
          <cell r="K105">
            <v>0</v>
          </cell>
        </row>
        <row r="106">
          <cell r="B106" t="str">
            <v>defiscan</v>
          </cell>
          <cell r="C106" t="str">
            <v>bisi-dev/defiscan</v>
          </cell>
          <cell r="D106" t="str">
            <v>bisi-dev/defiscan</v>
          </cell>
          <cell r="E106">
            <v>12</v>
          </cell>
          <cell r="F106">
            <v>1</v>
          </cell>
          <cell r="G106">
            <v>1</v>
          </cell>
          <cell r="H106">
            <v>1694</v>
          </cell>
          <cell r="I106">
            <v>2</v>
          </cell>
          <cell r="J106">
            <v>4</v>
          </cell>
          <cell r="K106">
            <v>0</v>
          </cell>
        </row>
        <row r="107">
          <cell r="B107" t="str">
            <v>ARK-Rate</v>
          </cell>
          <cell r="C107" t="str">
            <v>ARK-Builders/ARK-Rate</v>
          </cell>
          <cell r="D107" t="str">
            <v>ARK-Builders/ARK-Rate</v>
          </cell>
          <cell r="E107">
            <v>12</v>
          </cell>
          <cell r="F107">
            <v>9</v>
          </cell>
          <cell r="G107">
            <v>7</v>
          </cell>
          <cell r="H107">
            <v>355</v>
          </cell>
          <cell r="I107">
            <v>1</v>
          </cell>
          <cell r="J107">
            <v>1</v>
          </cell>
          <cell r="K107">
            <v>5</v>
          </cell>
        </row>
        <row r="108">
          <cell r="B108" t="str">
            <v>uaTranslit</v>
          </cell>
          <cell r="C108" t="str">
            <v>bossly/uaTranslit</v>
          </cell>
          <cell r="D108" t="str">
            <v>bossly/uaTranslit</v>
          </cell>
          <cell r="E108">
            <v>12</v>
          </cell>
          <cell r="F108">
            <v>12</v>
          </cell>
          <cell r="G108">
            <v>2</v>
          </cell>
          <cell r="H108">
            <v>3142</v>
          </cell>
          <cell r="I108">
            <v>0</v>
          </cell>
          <cell r="J108">
            <v>3</v>
          </cell>
          <cell r="K108">
            <v>4</v>
          </cell>
        </row>
        <row r="109">
          <cell r="B109" t="str">
            <v>flutter_instagram</v>
          </cell>
          <cell r="C109" t="str">
            <v>HadesPTIT/flutter_instagram</v>
          </cell>
          <cell r="D109" t="str">
            <v>HadesPTIT/flutter_instagram</v>
          </cell>
          <cell r="E109">
            <v>12</v>
          </cell>
          <cell r="F109">
            <v>30</v>
          </cell>
          <cell r="G109">
            <v>2</v>
          </cell>
          <cell r="H109">
            <v>20965</v>
          </cell>
          <cell r="I109">
            <v>8</v>
          </cell>
          <cell r="J109">
            <v>31</v>
          </cell>
          <cell r="K109">
            <v>18</v>
          </cell>
        </row>
        <row r="110">
          <cell r="B110" t="str">
            <v>OpenComicVine</v>
          </cell>
          <cell r="C110" t="str">
            <v>proninyaroslav/OpenComicVine</v>
          </cell>
          <cell r="D110" t="str">
            <v>proninyaroslav/OpenComicVine</v>
          </cell>
          <cell r="E110">
            <v>13</v>
          </cell>
          <cell r="F110">
            <v>0</v>
          </cell>
          <cell r="G110">
            <v>2</v>
          </cell>
          <cell r="H110">
            <v>20175</v>
          </cell>
          <cell r="I110">
            <v>0</v>
          </cell>
          <cell r="J110">
            <v>8</v>
          </cell>
          <cell r="K110">
            <v>0</v>
          </cell>
        </row>
        <row r="111">
          <cell r="B111" t="str">
            <v>Clipeus</v>
          </cell>
          <cell r="C111" t="str">
            <v>x13a/Clipeus</v>
          </cell>
          <cell r="D111" t="str">
            <v>x13a/Clipeus</v>
          </cell>
          <cell r="E111">
            <v>13</v>
          </cell>
          <cell r="F111">
            <v>0</v>
          </cell>
          <cell r="G111">
            <v>3</v>
          </cell>
          <cell r="H111">
            <v>652</v>
          </cell>
          <cell r="I111">
            <v>3</v>
          </cell>
          <cell r="J111">
            <v>31</v>
          </cell>
          <cell r="K111">
            <v>2</v>
          </cell>
        </row>
        <row r="112">
          <cell r="B112" t="str">
            <v>the-channels</v>
          </cell>
          <cell r="C112" t="str">
            <v>ofekashery/the-channels</v>
          </cell>
          <cell r="D112" t="str">
            <v>ofekashery/the-channels</v>
          </cell>
          <cell r="E112">
            <v>13</v>
          </cell>
          <cell r="F112">
            <v>0</v>
          </cell>
          <cell r="G112">
            <v>1</v>
          </cell>
          <cell r="H112">
            <v>670</v>
          </cell>
          <cell r="I112">
            <v>1</v>
          </cell>
          <cell r="J112">
            <v>6</v>
          </cell>
          <cell r="K112">
            <v>0</v>
          </cell>
        </row>
        <row r="113">
          <cell r="B113" t="str">
            <v>SnoreDetector</v>
          </cell>
          <cell r="C113" t="str">
            <v>nithinmanne/SnoreDetector</v>
          </cell>
          <cell r="D113" t="str">
            <v>nithinmanne/SnoreDetector</v>
          </cell>
          <cell r="E113">
            <v>13</v>
          </cell>
          <cell r="F113">
            <v>0</v>
          </cell>
          <cell r="G113">
            <v>1</v>
          </cell>
          <cell r="H113">
            <v>1769</v>
          </cell>
          <cell r="I113">
            <v>6</v>
          </cell>
          <cell r="J113">
            <v>12</v>
          </cell>
          <cell r="K113">
            <v>0</v>
          </cell>
        </row>
        <row r="114">
          <cell r="B114" t="str">
            <v>GestureLockView</v>
          </cell>
          <cell r="C114" t="str">
            <v>LeonDevLifeLog/GestureLockView</v>
          </cell>
          <cell r="D114" t="str">
            <v>LeonDevLifeLog/GestureLockView</v>
          </cell>
          <cell r="E114">
            <v>13</v>
          </cell>
          <cell r="F114">
            <v>0</v>
          </cell>
          <cell r="G114">
            <v>1</v>
          </cell>
          <cell r="H114">
            <v>2721</v>
          </cell>
          <cell r="I114">
            <v>4</v>
          </cell>
          <cell r="J114">
            <v>38</v>
          </cell>
          <cell r="K114">
            <v>0</v>
          </cell>
        </row>
        <row r="115">
          <cell r="B115" t="str">
            <v>Zoo-Compose</v>
          </cell>
          <cell r="C115" t="str">
            <v>GuilhE/Zoo-Compose</v>
          </cell>
          <cell r="D115" t="str">
            <v>GuilhE/Zoo-Compose</v>
          </cell>
          <cell r="E115">
            <v>13</v>
          </cell>
          <cell r="F115">
            <v>0</v>
          </cell>
          <cell r="G115">
            <v>2</v>
          </cell>
          <cell r="H115">
            <v>30668</v>
          </cell>
          <cell r="I115">
            <v>0</v>
          </cell>
          <cell r="J115">
            <v>8</v>
          </cell>
          <cell r="K115">
            <v>0</v>
          </cell>
        </row>
        <row r="116">
          <cell r="B116" t="str">
            <v>TheMovieDB_Android_App</v>
          </cell>
          <cell r="C116" t="str">
            <v>yuliansyahibr/TheMovieDB_Android_App</v>
          </cell>
          <cell r="D116" t="str">
            <v>yuliansyahibr/TheMovieDB_Android_App</v>
          </cell>
          <cell r="E116">
            <v>13</v>
          </cell>
          <cell r="F116">
            <v>0</v>
          </cell>
          <cell r="G116">
            <v>1</v>
          </cell>
          <cell r="H116">
            <v>22351</v>
          </cell>
          <cell r="I116">
            <v>1</v>
          </cell>
          <cell r="J116">
            <v>1</v>
          </cell>
          <cell r="K116">
            <v>0</v>
          </cell>
        </row>
        <row r="117">
          <cell r="B117" t="str">
            <v>Metronome</v>
          </cell>
          <cell r="C117" t="str">
            <v>Yanndroid/Metronome</v>
          </cell>
          <cell r="D117" t="str">
            <v>Yanndroid/Metronome</v>
          </cell>
          <cell r="E117">
            <v>13</v>
          </cell>
          <cell r="F117">
            <v>0</v>
          </cell>
          <cell r="G117">
            <v>1</v>
          </cell>
          <cell r="H117">
            <v>14902</v>
          </cell>
          <cell r="I117">
            <v>1</v>
          </cell>
          <cell r="J117">
            <v>8</v>
          </cell>
          <cell r="K117">
            <v>0</v>
          </cell>
        </row>
        <row r="118">
          <cell r="B118" t="str">
            <v>Muzesto</v>
          </cell>
          <cell r="C118" t="str">
            <v>rohanoid5/Muzesto</v>
          </cell>
          <cell r="D118" t="str">
            <v>rohanoid5/Muzesto</v>
          </cell>
          <cell r="E118">
            <v>13</v>
          </cell>
          <cell r="F118">
            <v>0</v>
          </cell>
          <cell r="G118">
            <v>1</v>
          </cell>
          <cell r="H118">
            <v>7070</v>
          </cell>
          <cell r="I118">
            <v>22</v>
          </cell>
          <cell r="J118">
            <v>54</v>
          </cell>
          <cell r="K118">
            <v>0</v>
          </cell>
        </row>
        <row r="119">
          <cell r="B119" t="str">
            <v>FirestoreAdapter</v>
          </cell>
          <cell r="C119" t="str">
            <v>Commit451/FirestoreAdapter</v>
          </cell>
          <cell r="D119" t="str">
            <v>Commit451/FirestoreAdapter</v>
          </cell>
          <cell r="E119">
            <v>13</v>
          </cell>
          <cell r="F119">
            <v>1</v>
          </cell>
          <cell r="G119">
            <v>1</v>
          </cell>
          <cell r="H119">
            <v>149</v>
          </cell>
          <cell r="I119">
            <v>4</v>
          </cell>
          <cell r="J119">
            <v>24</v>
          </cell>
          <cell r="K119">
            <v>0</v>
          </cell>
        </row>
        <row r="120">
          <cell r="B120" t="str">
            <v>AutoNotifyList</v>
          </cell>
          <cell r="C120" t="str">
            <v>carousell/AutoNotifyList</v>
          </cell>
          <cell r="D120" t="str">
            <v>carousell/AutoNotifyList</v>
          </cell>
          <cell r="E120">
            <v>13</v>
          </cell>
          <cell r="F120">
            <v>2</v>
          </cell>
          <cell r="G120">
            <v>1</v>
          </cell>
          <cell r="H120">
            <v>158</v>
          </cell>
          <cell r="I120">
            <v>0</v>
          </cell>
          <cell r="J120">
            <v>1</v>
          </cell>
          <cell r="K120">
            <v>0</v>
          </cell>
        </row>
        <row r="121">
          <cell r="B121" t="str">
            <v>Marky</v>
          </cell>
          <cell r="C121" t="str">
            <v>yogeshpaliyal/Marky</v>
          </cell>
          <cell r="D121" t="str">
            <v>yogeshpaliyal/Marky</v>
          </cell>
          <cell r="E121">
            <v>13</v>
          </cell>
          <cell r="F121">
            <v>2</v>
          </cell>
          <cell r="G121">
            <v>2</v>
          </cell>
          <cell r="H121">
            <v>754</v>
          </cell>
          <cell r="I121">
            <v>3</v>
          </cell>
          <cell r="J121">
            <v>10</v>
          </cell>
          <cell r="K121">
            <v>0</v>
          </cell>
        </row>
        <row r="122">
          <cell r="B122" t="str">
            <v>seven_minute_workout_android</v>
          </cell>
          <cell r="C122" t="str">
            <v>michaelcarrano/seven_minute_workout_android</v>
          </cell>
          <cell r="D122" t="str">
            <v>michaelcarrano/seven_minute_workout_android</v>
          </cell>
          <cell r="E122">
            <v>13</v>
          </cell>
          <cell r="F122">
            <v>5</v>
          </cell>
          <cell r="G122">
            <v>1</v>
          </cell>
          <cell r="H122">
            <v>6244</v>
          </cell>
          <cell r="I122">
            <v>18</v>
          </cell>
          <cell r="J122">
            <v>21</v>
          </cell>
          <cell r="K122">
            <v>5</v>
          </cell>
        </row>
        <row r="123">
          <cell r="B123" t="str">
            <v>kaptain</v>
          </cell>
          <cell r="C123" t="str">
            <v>adrielcafe/kaptain</v>
          </cell>
          <cell r="D123" t="str">
            <v>adrielcafe/kaptain</v>
          </cell>
          <cell r="E123">
            <v>14</v>
          </cell>
          <cell r="F123">
            <v>0</v>
          </cell>
          <cell r="G123">
            <v>1</v>
          </cell>
          <cell r="H123">
            <v>181</v>
          </cell>
          <cell r="I123">
            <v>3</v>
          </cell>
          <cell r="J123">
            <v>25</v>
          </cell>
          <cell r="K123">
            <v>0</v>
          </cell>
        </row>
        <row r="124">
          <cell r="B124" t="str">
            <v>cat-adoption-app</v>
          </cell>
          <cell r="C124" t="str">
            <v>mal7othify/cat-adoption-app</v>
          </cell>
          <cell r="D124" t="str">
            <v>mal7othify/cat-adoption-app</v>
          </cell>
          <cell r="E124">
            <v>14</v>
          </cell>
          <cell r="F124">
            <v>0</v>
          </cell>
          <cell r="G124">
            <v>1</v>
          </cell>
          <cell r="H124">
            <v>30166</v>
          </cell>
          <cell r="I124">
            <v>0</v>
          </cell>
          <cell r="J124">
            <v>2</v>
          </cell>
          <cell r="K124">
            <v>0</v>
          </cell>
        </row>
        <row r="125">
          <cell r="B125" t="str">
            <v>WiFiView</v>
          </cell>
          <cell r="C125" t="str">
            <v>Fast0n/WiFiView</v>
          </cell>
          <cell r="D125" t="str">
            <v>Fast0n/WiFiView</v>
          </cell>
          <cell r="E125">
            <v>14</v>
          </cell>
          <cell r="F125">
            <v>0</v>
          </cell>
          <cell r="G125">
            <v>1</v>
          </cell>
          <cell r="H125">
            <v>4556</v>
          </cell>
          <cell r="I125">
            <v>2</v>
          </cell>
          <cell r="J125">
            <v>5</v>
          </cell>
          <cell r="K125">
            <v>0</v>
          </cell>
        </row>
        <row r="126">
          <cell r="B126" t="str">
            <v>VaccinfoApp</v>
          </cell>
          <cell r="C126" t="str">
            <v>TheRakeshPurohit/VaccinfoApp</v>
          </cell>
          <cell r="D126" t="str">
            <v>TheRakeshPurohit/VaccinfoApp</v>
          </cell>
          <cell r="E126">
            <v>14</v>
          </cell>
          <cell r="F126">
            <v>0</v>
          </cell>
          <cell r="G126">
            <v>1</v>
          </cell>
          <cell r="H126">
            <v>17594</v>
          </cell>
          <cell r="I126">
            <v>0</v>
          </cell>
          <cell r="J126">
            <v>2</v>
          </cell>
          <cell r="K126">
            <v>0</v>
          </cell>
        </row>
        <row r="127">
          <cell r="B127" t="str">
            <v>BadPixels</v>
          </cell>
          <cell r="C127" t="str">
            <v>SibDev/BadPixels</v>
          </cell>
          <cell r="D127" t="str">
            <v>SibDev/BadPixels</v>
          </cell>
          <cell r="E127">
            <v>14</v>
          </cell>
          <cell r="F127">
            <v>1</v>
          </cell>
          <cell r="G127">
            <v>1</v>
          </cell>
          <cell r="H127">
            <v>937</v>
          </cell>
          <cell r="I127">
            <v>2</v>
          </cell>
          <cell r="J127">
            <v>1</v>
          </cell>
          <cell r="K127">
            <v>0</v>
          </cell>
        </row>
        <row r="128">
          <cell r="B128" t="str">
            <v>covid_tracker</v>
          </cell>
          <cell r="C128" t="str">
            <v>PeterHdd/covid_tracker</v>
          </cell>
          <cell r="D128" t="str">
            <v>PeterHdd/covid_tracker</v>
          </cell>
          <cell r="E128">
            <v>14</v>
          </cell>
          <cell r="F128">
            <v>1</v>
          </cell>
          <cell r="G128">
            <v>1</v>
          </cell>
          <cell r="H128">
            <v>3437</v>
          </cell>
          <cell r="I128">
            <v>4</v>
          </cell>
          <cell r="J128">
            <v>26</v>
          </cell>
          <cell r="K128">
            <v>0</v>
          </cell>
        </row>
        <row r="129">
          <cell r="B129" t="str">
            <v>peruvian-food-app</v>
          </cell>
          <cell r="C129" t="str">
            <v>dantehemerson/peruvian-food-app</v>
          </cell>
          <cell r="D129" t="str">
            <v>dantehemerson/peruvian-food-app</v>
          </cell>
          <cell r="E129">
            <v>14</v>
          </cell>
          <cell r="F129">
            <v>1</v>
          </cell>
          <cell r="G129">
            <v>1</v>
          </cell>
          <cell r="H129">
            <v>3979</v>
          </cell>
          <cell r="I129">
            <v>0</v>
          </cell>
          <cell r="J129">
            <v>2</v>
          </cell>
          <cell r="K129">
            <v>0</v>
          </cell>
        </row>
        <row r="130">
          <cell r="B130" t="str">
            <v>SimpleTweet</v>
          </cell>
          <cell r="C130" t="str">
            <v>nitishkaf/SimpleTweet</v>
          </cell>
          <cell r="D130" t="str">
            <v>nitishkaf/SimpleTweet</v>
          </cell>
          <cell r="E130">
            <v>14</v>
          </cell>
          <cell r="F130">
            <v>3</v>
          </cell>
          <cell r="G130">
            <v>2</v>
          </cell>
          <cell r="H130">
            <v>11841</v>
          </cell>
          <cell r="I130">
            <v>0</v>
          </cell>
          <cell r="J130">
            <v>1</v>
          </cell>
          <cell r="K130">
            <v>4</v>
          </cell>
        </row>
        <row r="131">
          <cell r="B131" t="str">
            <v>dictionary-app</v>
          </cell>
          <cell r="C131" t="str">
            <v>gonzaloguzzardi/dictionary-app</v>
          </cell>
          <cell r="D131" t="str">
            <v>gonzaloguzzardi/dictionary-app</v>
          </cell>
          <cell r="E131">
            <v>14</v>
          </cell>
          <cell r="F131">
            <v>7</v>
          </cell>
          <cell r="G131">
            <v>1</v>
          </cell>
          <cell r="H131">
            <v>4214</v>
          </cell>
          <cell r="I131">
            <v>0</v>
          </cell>
          <cell r="J131">
            <v>1</v>
          </cell>
          <cell r="K131">
            <v>0</v>
          </cell>
        </row>
        <row r="132">
          <cell r="B132" t="str">
            <v>gptAssist</v>
          </cell>
          <cell r="C132" t="str">
            <v>woheller69/gptAssist</v>
          </cell>
          <cell r="D132" t="str">
            <v>woheller69/gptAssist</v>
          </cell>
          <cell r="E132">
            <v>15</v>
          </cell>
          <cell r="F132">
            <v>0</v>
          </cell>
          <cell r="G132">
            <v>3</v>
          </cell>
          <cell r="H132">
            <v>604</v>
          </cell>
          <cell r="I132">
            <v>1</v>
          </cell>
          <cell r="J132">
            <v>79</v>
          </cell>
          <cell r="K132">
            <v>1</v>
          </cell>
        </row>
        <row r="133">
          <cell r="B133" t="str">
            <v>SwitchLanguage</v>
          </cell>
          <cell r="C133" t="str">
            <v>yy1300326388/SwitchLanguage</v>
          </cell>
          <cell r="D133" t="str">
            <v>BytesZero/SwitchLanguage</v>
          </cell>
          <cell r="E133">
            <v>15</v>
          </cell>
          <cell r="F133">
            <v>0</v>
          </cell>
          <cell r="G133">
            <v>1</v>
          </cell>
          <cell r="H133">
            <v>194</v>
          </cell>
          <cell r="I133">
            <v>0</v>
          </cell>
          <cell r="J133">
            <v>15</v>
          </cell>
          <cell r="K133">
            <v>0</v>
          </cell>
        </row>
        <row r="134">
          <cell r="B134" t="str">
            <v>Lift</v>
          </cell>
          <cell r="C134" t="str">
            <v>Commit451/Lift</v>
          </cell>
          <cell r="D134" t="str">
            <v>Commit451/Lift</v>
          </cell>
          <cell r="E134">
            <v>15</v>
          </cell>
          <cell r="F134">
            <v>0</v>
          </cell>
          <cell r="G134">
            <v>1</v>
          </cell>
          <cell r="H134">
            <v>109</v>
          </cell>
          <cell r="I134">
            <v>4</v>
          </cell>
          <cell r="J134">
            <v>10</v>
          </cell>
          <cell r="K134">
            <v>0</v>
          </cell>
        </row>
        <row r="135">
          <cell r="B135" t="str">
            <v>coil-imagegetter</v>
          </cell>
          <cell r="C135" t="str">
            <v>Commit451/coil-imagegetter</v>
          </cell>
          <cell r="D135" t="str">
            <v>Commit451/coil-imagegetter</v>
          </cell>
          <cell r="E135">
            <v>15</v>
          </cell>
          <cell r="F135">
            <v>1</v>
          </cell>
          <cell r="G135">
            <v>1</v>
          </cell>
          <cell r="H135">
            <v>217</v>
          </cell>
          <cell r="I135">
            <v>1</v>
          </cell>
          <cell r="J135">
            <v>24</v>
          </cell>
          <cell r="K135">
            <v>1</v>
          </cell>
        </row>
        <row r="136">
          <cell r="B136" t="str">
            <v>Hash-Launcher</v>
          </cell>
          <cell r="C136" t="str">
            <v>passiondroid/Hash-Launcher</v>
          </cell>
          <cell r="D136" t="str">
            <v>passiondroid/Hash-Launcher</v>
          </cell>
          <cell r="E136">
            <v>15</v>
          </cell>
          <cell r="F136">
            <v>1</v>
          </cell>
          <cell r="G136">
            <v>2</v>
          </cell>
          <cell r="H136">
            <v>2654</v>
          </cell>
          <cell r="I136">
            <v>2</v>
          </cell>
          <cell r="J136">
            <v>8</v>
          </cell>
          <cell r="K136">
            <v>0</v>
          </cell>
        </row>
        <row r="137">
          <cell r="B137" t="str">
            <v>Android-Comonadic-UI</v>
          </cell>
          <cell r="C137" t="str">
            <v>Cotel/Android-Comonadic-UI</v>
          </cell>
          <cell r="D137" t="str">
            <v>Cotel/Android-Comonadic-UI</v>
          </cell>
          <cell r="E137">
            <v>15</v>
          </cell>
          <cell r="F137">
            <v>2</v>
          </cell>
          <cell r="G137">
            <v>1</v>
          </cell>
          <cell r="H137">
            <v>155</v>
          </cell>
          <cell r="I137">
            <v>1</v>
          </cell>
          <cell r="J137">
            <v>18</v>
          </cell>
          <cell r="K137">
            <v>3</v>
          </cell>
        </row>
        <row r="138">
          <cell r="B138" t="str">
            <v>jiten-webview</v>
          </cell>
          <cell r="C138" t="str">
            <v>obfusk/jiten-webview</v>
          </cell>
          <cell r="D138" t="str">
            <v>obfusk/jiten-webview</v>
          </cell>
          <cell r="E138">
            <v>16</v>
          </cell>
          <cell r="F138">
            <v>0</v>
          </cell>
          <cell r="G138">
            <v>1</v>
          </cell>
          <cell r="H138">
            <v>1588</v>
          </cell>
          <cell r="I138">
            <v>1</v>
          </cell>
          <cell r="J138">
            <v>2</v>
          </cell>
          <cell r="K138">
            <v>1</v>
          </cell>
        </row>
        <row r="139">
          <cell r="B139" t="str">
            <v>kotlin-permissions</v>
          </cell>
          <cell r="C139" t="str">
            <v>superjobru/kotlin-permissions</v>
          </cell>
          <cell r="D139" t="str">
            <v>superjobru/kotlin-permissions</v>
          </cell>
          <cell r="E139">
            <v>16</v>
          </cell>
          <cell r="F139">
            <v>0</v>
          </cell>
          <cell r="G139">
            <v>1</v>
          </cell>
          <cell r="H139">
            <v>139</v>
          </cell>
          <cell r="I139">
            <v>7</v>
          </cell>
          <cell r="J139">
            <v>57</v>
          </cell>
          <cell r="K139">
            <v>3</v>
          </cell>
        </row>
        <row r="140">
          <cell r="B140" t="str">
            <v>bluetoothscanning</v>
          </cell>
          <cell r="C140" t="str">
            <v>manishkummar21/bluetoothscanning</v>
          </cell>
          <cell r="D140" t="str">
            <v>manishkummar21/bluetoothscanning</v>
          </cell>
          <cell r="E140">
            <v>16</v>
          </cell>
          <cell r="F140">
            <v>0</v>
          </cell>
          <cell r="G140">
            <v>2</v>
          </cell>
          <cell r="H140">
            <v>295</v>
          </cell>
          <cell r="I140">
            <v>6</v>
          </cell>
          <cell r="J140">
            <v>24</v>
          </cell>
          <cell r="K140">
            <v>3</v>
          </cell>
        </row>
        <row r="141">
          <cell r="B141" t="str">
            <v>android-gitlab-ci-build</v>
          </cell>
          <cell r="C141" t="str">
            <v>wuhenzhizao/android-gitlab-ci-build</v>
          </cell>
          <cell r="D141" t="str">
            <v>wuhenzhizao/android-gitlab-ci-build</v>
          </cell>
          <cell r="E141">
            <v>16</v>
          </cell>
          <cell r="F141">
            <v>0</v>
          </cell>
          <cell r="G141">
            <v>1</v>
          </cell>
          <cell r="H141">
            <v>548</v>
          </cell>
          <cell r="I141">
            <v>20</v>
          </cell>
          <cell r="J141">
            <v>42</v>
          </cell>
          <cell r="K141">
            <v>0</v>
          </cell>
        </row>
        <row r="142">
          <cell r="B142" t="str">
            <v>ParallaxScrollingView</v>
          </cell>
          <cell r="C142" t="str">
            <v>kibotu/ParallaxScrollingView</v>
          </cell>
          <cell r="D142" t="str">
            <v>kibotu/ParallaxScrollingView</v>
          </cell>
          <cell r="E142">
            <v>16</v>
          </cell>
          <cell r="F142">
            <v>0</v>
          </cell>
          <cell r="G142">
            <v>2</v>
          </cell>
          <cell r="H142">
            <v>21400</v>
          </cell>
          <cell r="I142">
            <v>12</v>
          </cell>
          <cell r="J142">
            <v>99</v>
          </cell>
          <cell r="K142">
            <v>0</v>
          </cell>
        </row>
        <row r="143">
          <cell r="B143" t="str">
            <v>AdbClipboard</v>
          </cell>
          <cell r="C143" t="str">
            <v>PRosenb/AdbClipboard</v>
          </cell>
          <cell r="D143" t="str">
            <v>PRosenb/AdbClipboard</v>
          </cell>
          <cell r="E143">
            <v>16</v>
          </cell>
          <cell r="F143">
            <v>0</v>
          </cell>
          <cell r="G143">
            <v>1</v>
          </cell>
          <cell r="H143">
            <v>92</v>
          </cell>
          <cell r="I143">
            <v>10</v>
          </cell>
          <cell r="J143">
            <v>44</v>
          </cell>
          <cell r="K143">
            <v>1</v>
          </cell>
        </row>
        <row r="144">
          <cell r="B144" t="str">
            <v>DeltaCamera</v>
          </cell>
          <cell r="C144" t="str">
            <v>upost/DeltaCamera</v>
          </cell>
          <cell r="D144" t="str">
            <v>upost/DeltaCamera</v>
          </cell>
          <cell r="E144">
            <v>16</v>
          </cell>
          <cell r="F144">
            <v>1</v>
          </cell>
          <cell r="G144">
            <v>2</v>
          </cell>
          <cell r="H144">
            <v>5340</v>
          </cell>
          <cell r="I144">
            <v>1</v>
          </cell>
          <cell r="J144">
            <v>17</v>
          </cell>
          <cell r="K144">
            <v>2</v>
          </cell>
        </row>
        <row r="145">
          <cell r="B145" t="str">
            <v>android-app-get-device-id</v>
          </cell>
          <cell r="C145" t="str">
            <v>Dzhuneyt/android-app-get-device-id</v>
          </cell>
          <cell r="D145" t="str">
            <v>Dzhuneyt/android-app-get-device-id</v>
          </cell>
          <cell r="E145">
            <v>16</v>
          </cell>
          <cell r="F145">
            <v>1</v>
          </cell>
          <cell r="G145">
            <v>1</v>
          </cell>
          <cell r="H145">
            <v>370</v>
          </cell>
          <cell r="I145">
            <v>0</v>
          </cell>
          <cell r="J145">
            <v>4</v>
          </cell>
          <cell r="K145">
            <v>0</v>
          </cell>
        </row>
        <row r="146">
          <cell r="B146" t="str">
            <v>android-app-eye-rest-blue-light-filter</v>
          </cell>
          <cell r="C146" t="str">
            <v>Dzhuneyt/android-app-eye-rest-blue-light-filter</v>
          </cell>
          <cell r="D146" t="str">
            <v>Dzhuneyt/android-app-eye-rest-blue-light-filter</v>
          </cell>
          <cell r="E146">
            <v>16</v>
          </cell>
          <cell r="F146">
            <v>1</v>
          </cell>
          <cell r="G146">
            <v>2</v>
          </cell>
          <cell r="H146">
            <v>608</v>
          </cell>
          <cell r="I146">
            <v>3</v>
          </cell>
          <cell r="J146">
            <v>8</v>
          </cell>
          <cell r="K146">
            <v>0</v>
          </cell>
        </row>
        <row r="147">
          <cell r="B147" t="str">
            <v>AttachContact</v>
          </cell>
          <cell r="C147" t="str">
            <v>cketti/AttachContact</v>
          </cell>
          <cell r="D147" t="str">
            <v>cketti/AttachContact</v>
          </cell>
          <cell r="E147">
            <v>16</v>
          </cell>
          <cell r="F147">
            <v>1</v>
          </cell>
          <cell r="G147">
            <v>1</v>
          </cell>
          <cell r="H147">
            <v>952</v>
          </cell>
          <cell r="I147">
            <v>0</v>
          </cell>
          <cell r="J147">
            <v>2</v>
          </cell>
          <cell r="K147">
            <v>0</v>
          </cell>
        </row>
        <row r="148">
          <cell r="B148" t="str">
            <v>MultiLanguages</v>
          </cell>
          <cell r="C148" t="str">
            <v>getActivity/MultiLanguages</v>
          </cell>
          <cell r="D148" t="str">
            <v>getActivity/MultiLanguages</v>
          </cell>
          <cell r="E148">
            <v>16</v>
          </cell>
          <cell r="F148">
            <v>1</v>
          </cell>
          <cell r="G148">
            <v>2</v>
          </cell>
          <cell r="H148">
            <v>25310</v>
          </cell>
          <cell r="I148">
            <v>91</v>
          </cell>
          <cell r="J148">
            <v>675</v>
          </cell>
          <cell r="K148">
            <v>1</v>
          </cell>
        </row>
        <row r="149">
          <cell r="B149" t="str">
            <v>draftsman</v>
          </cell>
          <cell r="C149" t="str">
            <v>gojek/draftsman</v>
          </cell>
          <cell r="D149" t="str">
            <v>gojek/draftsman</v>
          </cell>
          <cell r="E149">
            <v>16</v>
          </cell>
          <cell r="F149">
            <v>6</v>
          </cell>
          <cell r="G149">
            <v>2</v>
          </cell>
          <cell r="H149">
            <v>627</v>
          </cell>
          <cell r="I149">
            <v>16</v>
          </cell>
          <cell r="J149">
            <v>246</v>
          </cell>
          <cell r="K149">
            <v>2</v>
          </cell>
        </row>
        <row r="150">
          <cell r="B150" t="str">
            <v>challenge-ci-android</v>
          </cell>
          <cell r="C150" t="str">
            <v>devpass-tech/challenge-ci-android</v>
          </cell>
          <cell r="D150" t="str">
            <v>devpass-tech/challenge-ci-android</v>
          </cell>
          <cell r="E150">
            <v>16</v>
          </cell>
          <cell r="F150">
            <v>9</v>
          </cell>
          <cell r="G150">
            <v>4</v>
          </cell>
          <cell r="H150">
            <v>329</v>
          </cell>
          <cell r="I150">
            <v>6</v>
          </cell>
          <cell r="J150">
            <v>2</v>
          </cell>
          <cell r="K150">
            <v>3</v>
          </cell>
        </row>
        <row r="151">
          <cell r="B151" t="str">
            <v>dzikirqu-android</v>
          </cell>
          <cell r="C151" t="str">
            <v>dzikirqu/dzikirqu-android</v>
          </cell>
          <cell r="D151" t="str">
            <v>dzikirqu/dzikirqu-android</v>
          </cell>
          <cell r="E151">
            <v>16</v>
          </cell>
          <cell r="F151">
            <v>22</v>
          </cell>
          <cell r="G151">
            <v>4</v>
          </cell>
          <cell r="H151">
            <v>78222</v>
          </cell>
          <cell r="I151">
            <v>32</v>
          </cell>
          <cell r="J151">
            <v>116</v>
          </cell>
          <cell r="K151">
            <v>8</v>
          </cell>
        </row>
        <row r="152">
          <cell r="B152" t="str">
            <v>McPwn</v>
          </cell>
          <cell r="C152" t="str">
            <v>LelouBil/McPwn</v>
          </cell>
          <cell r="D152" t="str">
            <v>LelouBil/McPwn</v>
          </cell>
          <cell r="E152">
            <v>16</v>
          </cell>
          <cell r="F152">
            <v>26</v>
          </cell>
          <cell r="G152">
            <v>2</v>
          </cell>
          <cell r="H152">
            <v>271</v>
          </cell>
          <cell r="I152">
            <v>1</v>
          </cell>
          <cell r="J152">
            <v>4</v>
          </cell>
          <cell r="K152">
            <v>21</v>
          </cell>
        </row>
        <row r="153">
          <cell r="B153" t="str">
            <v>looper</v>
          </cell>
          <cell r="C153" t="str">
            <v>sellmair/looper</v>
          </cell>
          <cell r="D153" t="str">
            <v>sellmair/looper</v>
          </cell>
          <cell r="E153">
            <v>17</v>
          </cell>
          <cell r="F153">
            <v>0</v>
          </cell>
          <cell r="G153">
            <v>1</v>
          </cell>
          <cell r="H153">
            <v>145</v>
          </cell>
          <cell r="I153">
            <v>0</v>
          </cell>
          <cell r="J153">
            <v>2</v>
          </cell>
          <cell r="K153">
            <v>0</v>
          </cell>
        </row>
        <row r="154">
          <cell r="B154" t="str">
            <v>LifecycleModel</v>
          </cell>
          <cell r="C154" t="str">
            <v>JessYanCoding/LifecycleModel</v>
          </cell>
          <cell r="D154" t="str">
            <v>JessYanCoding/LifecycleModel</v>
          </cell>
          <cell r="E154">
            <v>17</v>
          </cell>
          <cell r="F154">
            <v>0</v>
          </cell>
          <cell r="G154">
            <v>1</v>
          </cell>
          <cell r="H154">
            <v>202</v>
          </cell>
          <cell r="I154">
            <v>29</v>
          </cell>
          <cell r="J154">
            <v>229</v>
          </cell>
          <cell r="K154">
            <v>0</v>
          </cell>
        </row>
        <row r="155">
          <cell r="B155" t="str">
            <v>suddenly-wifi</v>
          </cell>
          <cell r="C155" t="str">
            <v>damian-burke/suddenly-wifi</v>
          </cell>
          <cell r="D155" t="str">
            <v>damian-burke/suddenly-wifi</v>
          </cell>
          <cell r="E155">
            <v>17</v>
          </cell>
          <cell r="F155">
            <v>0</v>
          </cell>
          <cell r="G155">
            <v>1</v>
          </cell>
          <cell r="H155">
            <v>243</v>
          </cell>
          <cell r="I155">
            <v>4</v>
          </cell>
          <cell r="J155">
            <v>8</v>
          </cell>
          <cell r="K155">
            <v>0</v>
          </cell>
        </row>
        <row r="156">
          <cell r="B156" t="str">
            <v>Experiment-Compose</v>
          </cell>
          <cell r="C156" t="str">
            <v>svignesh93/Experiment-Compose</v>
          </cell>
          <cell r="D156" t="str">
            <v>svignesh93/Experiment-Compose</v>
          </cell>
          <cell r="E156">
            <v>17</v>
          </cell>
          <cell r="F156">
            <v>0</v>
          </cell>
          <cell r="G156">
            <v>1</v>
          </cell>
          <cell r="H156">
            <v>946</v>
          </cell>
          <cell r="I156">
            <v>0</v>
          </cell>
          <cell r="J156">
            <v>1</v>
          </cell>
          <cell r="K156">
            <v>0</v>
          </cell>
        </row>
        <row r="157">
          <cell r="B157" t="str">
            <v>SSTREU2017</v>
          </cell>
          <cell r="C157" t="str">
            <v>AndrewQuijano/SSTREU2017</v>
          </cell>
          <cell r="D157" t="str">
            <v>adwise-fiu/Secure_Indoor_Localization</v>
          </cell>
          <cell r="E157">
            <v>17</v>
          </cell>
          <cell r="F157">
            <v>0</v>
          </cell>
          <cell r="G157">
            <v>1</v>
          </cell>
          <cell r="H157">
            <v>4994</v>
          </cell>
          <cell r="I157">
            <v>0</v>
          </cell>
          <cell r="J157">
            <v>3</v>
          </cell>
          <cell r="K157">
            <v>0</v>
          </cell>
        </row>
        <row r="158">
          <cell r="B158" t="str">
            <v>Pokedex</v>
          </cell>
          <cell r="C158" t="str">
            <v>alvareztech/Pokedex</v>
          </cell>
          <cell r="D158" t="str">
            <v>alvareztech/Pokedex</v>
          </cell>
          <cell r="E158">
            <v>17</v>
          </cell>
          <cell r="F158">
            <v>0</v>
          </cell>
          <cell r="G158">
            <v>1</v>
          </cell>
          <cell r="H158">
            <v>102</v>
          </cell>
          <cell r="I158">
            <v>21</v>
          </cell>
          <cell r="J158">
            <v>21</v>
          </cell>
          <cell r="K158">
            <v>0</v>
          </cell>
        </row>
        <row r="159">
          <cell r="B159" t="str">
            <v>adb-wifi-setting-manager</v>
          </cell>
          <cell r="C159" t="str">
            <v>pr4bh4sh/adb-wifi-setting-manager</v>
          </cell>
          <cell r="D159" t="str">
            <v>pr4bh4sh/adb-wifi-setting-manager</v>
          </cell>
          <cell r="E159">
            <v>17</v>
          </cell>
          <cell r="F159">
            <v>1</v>
          </cell>
          <cell r="G159">
            <v>2</v>
          </cell>
          <cell r="H159">
            <v>141</v>
          </cell>
          <cell r="I159">
            <v>6</v>
          </cell>
          <cell r="J159">
            <v>42</v>
          </cell>
          <cell r="K159">
            <v>4</v>
          </cell>
        </row>
        <row r="160">
          <cell r="B160" t="str">
            <v>FrameView</v>
          </cell>
          <cell r="C160" t="str">
            <v>EarlOfEgo/FrameView</v>
          </cell>
          <cell r="D160" t="str">
            <v>EarlOfEgo/FrameView</v>
          </cell>
          <cell r="E160">
            <v>17</v>
          </cell>
          <cell r="F160">
            <v>1</v>
          </cell>
          <cell r="G160">
            <v>1</v>
          </cell>
          <cell r="H160">
            <v>844</v>
          </cell>
          <cell r="I160">
            <v>5</v>
          </cell>
          <cell r="J160">
            <v>22</v>
          </cell>
          <cell r="K160">
            <v>0</v>
          </cell>
        </row>
        <row r="161">
          <cell r="B161" t="str">
            <v>CircularProgressBar-Compose</v>
          </cell>
          <cell r="C161" t="str">
            <v>hitanshu-dhawan/CircularProgressBar-Compose</v>
          </cell>
          <cell r="D161" t="str">
            <v>hitanshu-dhawan/CircularProgressBar-Compose</v>
          </cell>
          <cell r="E161">
            <v>17</v>
          </cell>
          <cell r="F161">
            <v>1</v>
          </cell>
          <cell r="G161">
            <v>1</v>
          </cell>
          <cell r="H161">
            <v>2406</v>
          </cell>
          <cell r="I161">
            <v>3</v>
          </cell>
          <cell r="J161">
            <v>41</v>
          </cell>
          <cell r="K161">
            <v>0</v>
          </cell>
        </row>
        <row r="162">
          <cell r="B162" t="str">
            <v>BOI-Balance-Checker</v>
          </cell>
          <cell r="C162" t="str">
            <v>LukeHackett12/BOI-Balance-Checker</v>
          </cell>
          <cell r="D162" t="str">
            <v>LukeHackett12/BOI-Balance-Checker</v>
          </cell>
          <cell r="E162">
            <v>17</v>
          </cell>
          <cell r="F162">
            <v>2</v>
          </cell>
          <cell r="G162">
            <v>1</v>
          </cell>
          <cell r="H162">
            <v>177</v>
          </cell>
          <cell r="I162">
            <v>0</v>
          </cell>
          <cell r="J162">
            <v>2</v>
          </cell>
          <cell r="K162">
            <v>0</v>
          </cell>
        </row>
        <row r="163">
          <cell r="B163" t="str">
            <v>HungarianRingsForAndroid</v>
          </cell>
          <cell r="C163" t="str">
            <v>VelbazhdSoftwareLLC/HungarianRingsForAndroid</v>
          </cell>
          <cell r="D163" t="str">
            <v>VelbazhdSoftwareLLC/HungarianRingsForAndroid</v>
          </cell>
          <cell r="E163">
            <v>17</v>
          </cell>
          <cell r="F163">
            <v>3</v>
          </cell>
          <cell r="G163">
            <v>3</v>
          </cell>
          <cell r="H163">
            <v>531</v>
          </cell>
          <cell r="I163">
            <v>1</v>
          </cell>
          <cell r="J163">
            <v>3</v>
          </cell>
          <cell r="K163">
            <v>0</v>
          </cell>
        </row>
        <row r="164">
          <cell r="B164" t="str">
            <v>FileShortcut</v>
          </cell>
          <cell r="C164" t="str">
            <v>75py/FileShortcut</v>
          </cell>
          <cell r="D164" t="str">
            <v>75py/FileShortcut</v>
          </cell>
          <cell r="E164">
            <v>17</v>
          </cell>
          <cell r="F164">
            <v>5</v>
          </cell>
          <cell r="G164">
            <v>1</v>
          </cell>
          <cell r="H164">
            <v>962</v>
          </cell>
          <cell r="I164">
            <v>4</v>
          </cell>
          <cell r="J164">
            <v>14</v>
          </cell>
          <cell r="K164">
            <v>4</v>
          </cell>
        </row>
        <row r="165">
          <cell r="B165" t="str">
            <v>homepi-android</v>
          </cell>
          <cell r="C165" t="str">
            <v>homepi/homepi-android</v>
          </cell>
          <cell r="D165" t="str">
            <v>homepi/homepi-android</v>
          </cell>
          <cell r="E165">
            <v>17</v>
          </cell>
          <cell r="F165">
            <v>7</v>
          </cell>
          <cell r="G165">
            <v>1</v>
          </cell>
          <cell r="H165">
            <v>733</v>
          </cell>
          <cell r="I165">
            <v>0</v>
          </cell>
          <cell r="J165">
            <v>2</v>
          </cell>
          <cell r="K165">
            <v>0</v>
          </cell>
        </row>
        <row r="166">
          <cell r="B166" t="str">
            <v>ARK-Shelf</v>
          </cell>
          <cell r="C166" t="str">
            <v>ARK-Builders/ARK-Shelf</v>
          </cell>
          <cell r="D166" t="str">
            <v>ARK-Builders/ARK-Shelf</v>
          </cell>
          <cell r="E166">
            <v>17</v>
          </cell>
          <cell r="F166">
            <v>11</v>
          </cell>
          <cell r="G166">
            <v>4</v>
          </cell>
          <cell r="H166">
            <v>214</v>
          </cell>
          <cell r="I166">
            <v>1</v>
          </cell>
          <cell r="J166">
            <v>2</v>
          </cell>
          <cell r="K166">
            <v>9</v>
          </cell>
        </row>
        <row r="167">
          <cell r="B167" t="str">
            <v>volunteery</v>
          </cell>
          <cell r="C167" t="str">
            <v>QEDK/volunteery</v>
          </cell>
          <cell r="D167" t="str">
            <v>QEDK/volunteery</v>
          </cell>
          <cell r="E167">
            <v>17</v>
          </cell>
          <cell r="F167">
            <v>11</v>
          </cell>
          <cell r="G167">
            <v>3</v>
          </cell>
          <cell r="H167">
            <v>4614</v>
          </cell>
          <cell r="I167">
            <v>2</v>
          </cell>
          <cell r="J167">
            <v>4</v>
          </cell>
          <cell r="K167">
            <v>4</v>
          </cell>
        </row>
        <row r="168">
          <cell r="B168" t="str">
            <v>AndroidSwissKnife</v>
          </cell>
          <cell r="C168" t="str">
            <v>xmartlabs/AndroidSwissKnife</v>
          </cell>
          <cell r="D168" t="str">
            <v>xmartlabs/AndroidSwissKnife</v>
          </cell>
          <cell r="E168">
            <v>17</v>
          </cell>
          <cell r="F168">
            <v>18</v>
          </cell>
          <cell r="G168">
            <v>1</v>
          </cell>
          <cell r="H168">
            <v>259</v>
          </cell>
          <cell r="I168">
            <v>2</v>
          </cell>
          <cell r="J168">
            <v>3</v>
          </cell>
          <cell r="K168">
            <v>1</v>
          </cell>
        </row>
        <row r="169">
          <cell r="B169" t="str">
            <v>caffeinetile</v>
          </cell>
          <cell r="C169" t="str">
            <v>otaconix/caffeinetile</v>
          </cell>
          <cell r="D169" t="str">
            <v>otaconix/caffeinetile</v>
          </cell>
          <cell r="E169">
            <v>18</v>
          </cell>
          <cell r="F169">
            <v>0</v>
          </cell>
          <cell r="G169">
            <v>1</v>
          </cell>
          <cell r="H169">
            <v>70</v>
          </cell>
          <cell r="I169">
            <v>2</v>
          </cell>
          <cell r="J169">
            <v>20</v>
          </cell>
          <cell r="K169">
            <v>4</v>
          </cell>
        </row>
        <row r="170">
          <cell r="B170" t="str">
            <v>textmatic</v>
          </cell>
          <cell r="C170" t="str">
            <v>swipefintech/textmatic</v>
          </cell>
          <cell r="D170" t="str">
            <v>swipefintech/textmatic</v>
          </cell>
          <cell r="E170">
            <v>18</v>
          </cell>
          <cell r="F170">
            <v>0</v>
          </cell>
          <cell r="G170">
            <v>2</v>
          </cell>
          <cell r="H170">
            <v>145</v>
          </cell>
          <cell r="I170">
            <v>0</v>
          </cell>
          <cell r="J170">
            <v>2</v>
          </cell>
          <cell r="K170">
            <v>0</v>
          </cell>
        </row>
        <row r="171">
          <cell r="B171" t="str">
            <v>cobadge</v>
          </cell>
          <cell r="C171" t="str">
            <v>michaelgrigoryan25/cobadge</v>
          </cell>
          <cell r="D171" t="str">
            <v>mikayelgr/cobadge</v>
          </cell>
          <cell r="E171">
            <v>18</v>
          </cell>
          <cell r="F171">
            <v>0</v>
          </cell>
          <cell r="G171">
            <v>1</v>
          </cell>
          <cell r="H171">
            <v>166</v>
          </cell>
          <cell r="I171">
            <v>1</v>
          </cell>
          <cell r="J171">
            <v>5</v>
          </cell>
          <cell r="K171">
            <v>0</v>
          </cell>
        </row>
        <row r="172">
          <cell r="B172" t="str">
            <v>nospy</v>
          </cell>
          <cell r="C172" t="str">
            <v>veetaw/nospy</v>
          </cell>
          <cell r="D172" t="str">
            <v>veetaw/nospy</v>
          </cell>
          <cell r="E172">
            <v>18</v>
          </cell>
          <cell r="F172">
            <v>0</v>
          </cell>
          <cell r="G172">
            <v>1</v>
          </cell>
          <cell r="H172">
            <v>229</v>
          </cell>
          <cell r="I172">
            <v>3</v>
          </cell>
          <cell r="J172">
            <v>5</v>
          </cell>
          <cell r="K172">
            <v>1</v>
          </cell>
        </row>
        <row r="173">
          <cell r="B173" t="str">
            <v>android-sms-gateway</v>
          </cell>
          <cell r="C173" t="str">
            <v>capcom6/android-sms-gateway</v>
          </cell>
          <cell r="D173" t="str">
            <v>capcom6/android-sms-gateway</v>
          </cell>
          <cell r="E173">
            <v>18</v>
          </cell>
          <cell r="F173">
            <v>0</v>
          </cell>
          <cell r="G173">
            <v>2</v>
          </cell>
          <cell r="H173">
            <v>618</v>
          </cell>
          <cell r="I173">
            <v>0</v>
          </cell>
          <cell r="J173">
            <v>2</v>
          </cell>
          <cell r="K173">
            <v>1</v>
          </cell>
        </row>
        <row r="174">
          <cell r="B174" t="str">
            <v>NumberProgressBar</v>
          </cell>
          <cell r="C174" t="str">
            <v>YoungTr/NumberProgressBar</v>
          </cell>
          <cell r="D174" t="str">
            <v>YoungTr/NumberProgressBar</v>
          </cell>
          <cell r="E174">
            <v>18</v>
          </cell>
          <cell r="F174">
            <v>0</v>
          </cell>
          <cell r="G174">
            <v>1</v>
          </cell>
          <cell r="H174">
            <v>1674</v>
          </cell>
          <cell r="I174">
            <v>2</v>
          </cell>
          <cell r="J174">
            <v>6</v>
          </cell>
          <cell r="K174">
            <v>0</v>
          </cell>
        </row>
        <row r="175">
          <cell r="B175" t="str">
            <v>ludwig-android</v>
          </cell>
          <cell r="C175" t="str">
            <v>cuongpm/ludwig-android</v>
          </cell>
          <cell r="D175" t="str">
            <v>cuongpm/ludwig-android</v>
          </cell>
          <cell r="E175">
            <v>18</v>
          </cell>
          <cell r="F175">
            <v>0</v>
          </cell>
          <cell r="G175">
            <v>1</v>
          </cell>
          <cell r="H175">
            <v>2642</v>
          </cell>
          <cell r="I175">
            <v>3</v>
          </cell>
          <cell r="J175">
            <v>10</v>
          </cell>
          <cell r="K175">
            <v>0</v>
          </cell>
        </row>
        <row r="176">
          <cell r="B176" t="str">
            <v>dazzling-android-kt</v>
          </cell>
          <cell r="C176" t="str">
            <v>iota9star/dazzling-android-kt</v>
          </cell>
          <cell r="D176" t="str">
            <v>iota9star/dazzling-android-kt</v>
          </cell>
          <cell r="E176">
            <v>18</v>
          </cell>
          <cell r="F176">
            <v>0</v>
          </cell>
          <cell r="G176">
            <v>1</v>
          </cell>
          <cell r="H176">
            <v>10824</v>
          </cell>
          <cell r="I176">
            <v>2</v>
          </cell>
          <cell r="J176">
            <v>3</v>
          </cell>
          <cell r="K176">
            <v>0</v>
          </cell>
        </row>
        <row r="177">
          <cell r="B177" t="str">
            <v>Alakazam</v>
          </cell>
          <cell r="C177" t="str">
            <v>Commit451/Alakazam</v>
          </cell>
          <cell r="D177" t="str">
            <v>Commit451/Alakazam</v>
          </cell>
          <cell r="E177">
            <v>18</v>
          </cell>
          <cell r="F177">
            <v>0</v>
          </cell>
          <cell r="G177">
            <v>1</v>
          </cell>
          <cell r="H177">
            <v>119</v>
          </cell>
          <cell r="I177">
            <v>1</v>
          </cell>
          <cell r="J177">
            <v>9</v>
          </cell>
          <cell r="K177">
            <v>0</v>
          </cell>
        </row>
        <row r="178">
          <cell r="B178" t="str">
            <v>Ditonton</v>
          </cell>
          <cell r="C178" t="str">
            <v>phanatagama/Ditonton</v>
          </cell>
          <cell r="D178" t="str">
            <v>phanatagama/Ditonton</v>
          </cell>
          <cell r="E178">
            <v>18</v>
          </cell>
          <cell r="F178">
            <v>1</v>
          </cell>
          <cell r="G178">
            <v>2</v>
          </cell>
          <cell r="H178">
            <v>402</v>
          </cell>
          <cell r="I178">
            <v>0</v>
          </cell>
          <cell r="J178">
            <v>6</v>
          </cell>
          <cell r="K178">
            <v>1</v>
          </cell>
        </row>
        <row r="179">
          <cell r="B179" t="str">
            <v>WeatherApp</v>
          </cell>
          <cell r="C179" t="str">
            <v>RiteshPuvvada/WeatherApp</v>
          </cell>
          <cell r="D179" t="str">
            <v>RiteshPuvvada/WeatherApp</v>
          </cell>
          <cell r="E179">
            <v>18</v>
          </cell>
          <cell r="F179">
            <v>2</v>
          </cell>
          <cell r="G179">
            <v>2</v>
          </cell>
          <cell r="H179">
            <v>8675</v>
          </cell>
          <cell r="I179">
            <v>1</v>
          </cell>
          <cell r="J179">
            <v>6</v>
          </cell>
          <cell r="K179">
            <v>0</v>
          </cell>
        </row>
        <row r="180">
          <cell r="B180" t="str">
            <v>NFCReader</v>
          </cell>
          <cell r="C180" t="str">
            <v>mueller-ma/NFCReader</v>
          </cell>
          <cell r="D180" t="str">
            <v>mueller-ma/NFCReader</v>
          </cell>
          <cell r="E180">
            <v>18</v>
          </cell>
          <cell r="F180">
            <v>5</v>
          </cell>
          <cell r="G180">
            <v>3</v>
          </cell>
          <cell r="H180">
            <v>325</v>
          </cell>
          <cell r="I180">
            <v>0</v>
          </cell>
          <cell r="J180">
            <v>8</v>
          </cell>
          <cell r="K180">
            <v>5</v>
          </cell>
        </row>
        <row r="181">
          <cell r="B181" t="str">
            <v>EncryptedSharedPreferences</v>
          </cell>
          <cell r="C181" t="str">
            <v>cie6868/EncryptedSharedPreferences</v>
          </cell>
          <cell r="D181" t="str">
            <v>cie6868/EncryptedSharedPreferences</v>
          </cell>
          <cell r="E181">
            <v>18</v>
          </cell>
          <cell r="F181">
            <v>5</v>
          </cell>
          <cell r="G181">
            <v>1</v>
          </cell>
          <cell r="H181">
            <v>191</v>
          </cell>
          <cell r="I181">
            <v>0</v>
          </cell>
          <cell r="J181">
            <v>4</v>
          </cell>
          <cell r="K181">
            <v>0</v>
          </cell>
        </row>
        <row r="182">
          <cell r="B182" t="str">
            <v>Hostel</v>
          </cell>
          <cell r="C182" t="str">
            <v>andremion/Hostel</v>
          </cell>
          <cell r="D182" t="str">
            <v>andremion/Hostel</v>
          </cell>
          <cell r="E182">
            <v>18</v>
          </cell>
          <cell r="F182">
            <v>6</v>
          </cell>
          <cell r="G182">
            <v>1</v>
          </cell>
          <cell r="H182">
            <v>249</v>
          </cell>
          <cell r="I182">
            <v>0</v>
          </cell>
          <cell r="J182">
            <v>4</v>
          </cell>
          <cell r="K182">
            <v>0</v>
          </cell>
        </row>
        <row r="183">
          <cell r="B183" t="str">
            <v>BottomNavBar</v>
          </cell>
          <cell r="C183" t="str">
            <v>j-roskopf/BottomNavBar</v>
          </cell>
          <cell r="D183" t="str">
            <v>j-roskopf/BottomNavBar</v>
          </cell>
          <cell r="E183">
            <v>18</v>
          </cell>
          <cell r="F183">
            <v>6</v>
          </cell>
          <cell r="G183">
            <v>2</v>
          </cell>
          <cell r="H183">
            <v>440</v>
          </cell>
          <cell r="I183">
            <v>4</v>
          </cell>
          <cell r="J183">
            <v>14</v>
          </cell>
          <cell r="K183">
            <v>1</v>
          </cell>
        </row>
        <row r="184">
          <cell r="B184" t="str">
            <v>WikiExplorer</v>
          </cell>
          <cell r="C184" t="str">
            <v>JonasKress/WikiExplorer</v>
          </cell>
          <cell r="D184" t="str">
            <v>JonasKress/WikiExplorer</v>
          </cell>
          <cell r="E184">
            <v>18</v>
          </cell>
          <cell r="F184">
            <v>65</v>
          </cell>
          <cell r="G184">
            <v>2</v>
          </cell>
          <cell r="H184">
            <v>9224</v>
          </cell>
          <cell r="I184">
            <v>1</v>
          </cell>
          <cell r="J184">
            <v>2</v>
          </cell>
          <cell r="K184">
            <v>10</v>
          </cell>
        </row>
        <row r="185">
          <cell r="B185" t="str">
            <v>android-font-binder</v>
          </cell>
          <cell r="C185" t="str">
            <v>DroidsOnRoids/android-font-binder</v>
          </cell>
          <cell r="D185" t="str">
            <v>DroidsOnRoids/android-font-binder</v>
          </cell>
          <cell r="E185">
            <v>19</v>
          </cell>
          <cell r="F185">
            <v>0</v>
          </cell>
          <cell r="G185">
            <v>1</v>
          </cell>
          <cell r="H185">
            <v>164</v>
          </cell>
          <cell r="I185">
            <v>1</v>
          </cell>
          <cell r="J185">
            <v>3</v>
          </cell>
          <cell r="K185">
            <v>0</v>
          </cell>
        </row>
        <row r="186">
          <cell r="B186" t="str">
            <v>Virtual-Keycard</v>
          </cell>
          <cell r="C186" t="str">
            <v>eriknellessen/Virtual-Keycard</v>
          </cell>
          <cell r="D186" t="str">
            <v>eriknellessen/Virtual-Keycard</v>
          </cell>
          <cell r="E186">
            <v>19</v>
          </cell>
          <cell r="F186">
            <v>0</v>
          </cell>
          <cell r="G186">
            <v>1</v>
          </cell>
          <cell r="H186">
            <v>1316</v>
          </cell>
          <cell r="I186">
            <v>7</v>
          </cell>
          <cell r="J186">
            <v>19</v>
          </cell>
          <cell r="K186">
            <v>1</v>
          </cell>
        </row>
        <row r="187">
          <cell r="B187" t="str">
            <v>android2048</v>
          </cell>
          <cell r="C187" t="str">
            <v>smallSohoSolo/android2048</v>
          </cell>
          <cell r="D187" t="str">
            <v>owenlongbo/android2048</v>
          </cell>
          <cell r="E187">
            <v>19</v>
          </cell>
          <cell r="F187">
            <v>0</v>
          </cell>
          <cell r="G187">
            <v>1</v>
          </cell>
          <cell r="H187">
            <v>6336</v>
          </cell>
          <cell r="I187">
            <v>43</v>
          </cell>
          <cell r="J187">
            <v>114</v>
          </cell>
          <cell r="K187">
            <v>0</v>
          </cell>
        </row>
        <row r="188">
          <cell r="B188" t="str">
            <v>DuoCamera</v>
          </cell>
          <cell r="C188" t="str">
            <v>iglaweb/DuoCamera</v>
          </cell>
          <cell r="D188" t="str">
            <v>iglaweb/DuoCamera</v>
          </cell>
          <cell r="E188">
            <v>19</v>
          </cell>
          <cell r="F188">
            <v>0</v>
          </cell>
          <cell r="G188">
            <v>1</v>
          </cell>
          <cell r="H188">
            <v>9645</v>
          </cell>
          <cell r="I188">
            <v>0</v>
          </cell>
          <cell r="J188">
            <v>5</v>
          </cell>
          <cell r="K188">
            <v>1</v>
          </cell>
        </row>
        <row r="189">
          <cell r="B189" t="str">
            <v>Pokedex</v>
          </cell>
          <cell r="C189" t="str">
            <v>cscoderr/Pokedex</v>
          </cell>
          <cell r="D189" t="str">
            <v>cscoderr/Pokedex</v>
          </cell>
          <cell r="E189">
            <v>19</v>
          </cell>
          <cell r="F189">
            <v>0</v>
          </cell>
          <cell r="G189">
            <v>1</v>
          </cell>
          <cell r="H189">
            <v>20530</v>
          </cell>
          <cell r="I189">
            <v>2</v>
          </cell>
          <cell r="J189">
            <v>24</v>
          </cell>
          <cell r="K189">
            <v>0</v>
          </cell>
        </row>
        <row r="190">
          <cell r="B190" t="str">
            <v>Duress</v>
          </cell>
          <cell r="C190" t="str">
            <v>x13a/Duress</v>
          </cell>
          <cell r="D190" t="str">
            <v>x13a/Duress</v>
          </cell>
          <cell r="E190">
            <v>19</v>
          </cell>
          <cell r="F190">
            <v>1</v>
          </cell>
          <cell r="G190">
            <v>1</v>
          </cell>
          <cell r="H190">
            <v>959</v>
          </cell>
          <cell r="I190">
            <v>6</v>
          </cell>
          <cell r="J190">
            <v>211</v>
          </cell>
          <cell r="K190">
            <v>11</v>
          </cell>
        </row>
        <row r="191">
          <cell r="B191" t="str">
            <v>EbeveynKontrolluTwitter</v>
          </cell>
          <cell r="C191" t="str">
            <v>altnokburcu/EbeveynKontrolluTwitter</v>
          </cell>
          <cell r="D191" t="str">
            <v>altnokburcu/EbeveynKontrolluTwitter</v>
          </cell>
          <cell r="E191">
            <v>19</v>
          </cell>
          <cell r="F191">
            <v>1</v>
          </cell>
          <cell r="G191">
            <v>1</v>
          </cell>
          <cell r="H191">
            <v>71258</v>
          </cell>
          <cell r="I191">
            <v>1</v>
          </cell>
          <cell r="J191">
            <v>4</v>
          </cell>
          <cell r="K191">
            <v>0</v>
          </cell>
        </row>
        <row r="192">
          <cell r="B192" t="str">
            <v>ToggleButtonLayout</v>
          </cell>
          <cell r="C192" t="str">
            <v>savvyapps/ToggleButtonLayout</v>
          </cell>
          <cell r="D192" t="str">
            <v>savvyapps/ToggleButtonLayout</v>
          </cell>
          <cell r="E192">
            <v>19</v>
          </cell>
          <cell r="F192">
            <v>2</v>
          </cell>
          <cell r="G192">
            <v>2</v>
          </cell>
          <cell r="H192">
            <v>371</v>
          </cell>
          <cell r="I192">
            <v>29</v>
          </cell>
          <cell r="J192">
            <v>229</v>
          </cell>
          <cell r="K192">
            <v>8</v>
          </cell>
        </row>
        <row r="193">
          <cell r="B193" t="str">
            <v>Arcade-Plaza</v>
          </cell>
          <cell r="C193" t="str">
            <v>aryamangodara/Arcade-Plaza</v>
          </cell>
          <cell r="D193" t="str">
            <v>aryamangodara/Arcade-Plaza</v>
          </cell>
          <cell r="E193">
            <v>19</v>
          </cell>
          <cell r="F193">
            <v>3</v>
          </cell>
          <cell r="G193">
            <v>2</v>
          </cell>
          <cell r="H193">
            <v>733</v>
          </cell>
          <cell r="I193">
            <v>11</v>
          </cell>
          <cell r="J193">
            <v>25</v>
          </cell>
          <cell r="K193">
            <v>4</v>
          </cell>
        </row>
        <row r="194">
          <cell r="B194" t="str">
            <v>FloatingActionButton-Menu</v>
          </cell>
          <cell r="C194" t="str">
            <v>ajay-dewari/FloatingActionButton-Menu</v>
          </cell>
          <cell r="D194" t="str">
            <v>ajay-dewari/FloatingActionButton-Menu</v>
          </cell>
          <cell r="E194">
            <v>19</v>
          </cell>
          <cell r="F194">
            <v>4</v>
          </cell>
          <cell r="G194">
            <v>2</v>
          </cell>
          <cell r="H194">
            <v>170</v>
          </cell>
          <cell r="I194">
            <v>38</v>
          </cell>
          <cell r="J194">
            <v>135</v>
          </cell>
          <cell r="K194">
            <v>3</v>
          </cell>
        </row>
        <row r="195">
          <cell r="B195" t="str">
            <v>DeezerKMP</v>
          </cell>
          <cell r="C195" t="str">
            <v>PhongHuynh93/DeezerKMP</v>
          </cell>
          <cell r="D195" t="str">
            <v>PhongHuynh93/DeezerKMP</v>
          </cell>
          <cell r="E195">
            <v>19</v>
          </cell>
          <cell r="F195">
            <v>7</v>
          </cell>
          <cell r="G195">
            <v>1</v>
          </cell>
          <cell r="H195">
            <v>3624</v>
          </cell>
          <cell r="I195">
            <v>0</v>
          </cell>
          <cell r="J195">
            <v>2</v>
          </cell>
          <cell r="K195">
            <v>0</v>
          </cell>
        </row>
        <row r="196">
          <cell r="B196" t="str">
            <v>OtpView</v>
          </cell>
          <cell r="C196" t="str">
            <v>aabhasr1/OtpView</v>
          </cell>
          <cell r="D196" t="str">
            <v>aabhasr1/OtpView</v>
          </cell>
          <cell r="E196">
            <v>19</v>
          </cell>
          <cell r="F196">
            <v>9</v>
          </cell>
          <cell r="G196">
            <v>1</v>
          </cell>
          <cell r="H196">
            <v>2521</v>
          </cell>
          <cell r="I196">
            <v>83</v>
          </cell>
          <cell r="J196">
            <v>288</v>
          </cell>
          <cell r="K196">
            <v>35</v>
          </cell>
        </row>
        <row r="197">
          <cell r="B197" t="str">
            <v>Android-RxFirebase</v>
          </cell>
          <cell r="C197" t="str">
            <v>ezhome/Android-RxFirebase</v>
          </cell>
          <cell r="D197" t="str">
            <v>ezhome/Android-RxFirebase</v>
          </cell>
          <cell r="E197">
            <v>19</v>
          </cell>
          <cell r="F197">
            <v>15</v>
          </cell>
          <cell r="G197">
            <v>2</v>
          </cell>
          <cell r="H197">
            <v>133</v>
          </cell>
          <cell r="I197">
            <v>5</v>
          </cell>
          <cell r="J197">
            <v>29</v>
          </cell>
          <cell r="K197">
            <v>2</v>
          </cell>
        </row>
        <row r="198">
          <cell r="B198" t="str">
            <v>nearbychat</v>
          </cell>
          <cell r="C198" t="str">
            <v>EzraLopez/nearbychat</v>
          </cell>
          <cell r="D198" t="str">
            <v>EzraLopez/nearbychat</v>
          </cell>
          <cell r="E198">
            <v>20</v>
          </cell>
          <cell r="F198">
            <v>0</v>
          </cell>
          <cell r="G198">
            <v>1</v>
          </cell>
          <cell r="H198">
            <v>163</v>
          </cell>
          <cell r="I198">
            <v>11</v>
          </cell>
          <cell r="J198">
            <v>103</v>
          </cell>
          <cell r="K198">
            <v>8</v>
          </cell>
        </row>
        <row r="199">
          <cell r="B199" t="str">
            <v>WebViewAdapter</v>
          </cell>
          <cell r="C199" t="str">
            <v>kibotu/WebViewAdapter</v>
          </cell>
          <cell r="D199" t="str">
            <v>kibotu/WebViewAdapter</v>
          </cell>
          <cell r="E199">
            <v>20</v>
          </cell>
          <cell r="F199">
            <v>0</v>
          </cell>
          <cell r="G199">
            <v>1</v>
          </cell>
          <cell r="H199">
            <v>169</v>
          </cell>
          <cell r="I199">
            <v>0</v>
          </cell>
          <cell r="J199">
            <v>1</v>
          </cell>
          <cell r="K199">
            <v>0</v>
          </cell>
        </row>
        <row r="200">
          <cell r="B200" t="str">
            <v>FastExoPlayerSeeker</v>
          </cell>
          <cell r="C200" t="str">
            <v>kibotu/FastExoPlayerSeeker</v>
          </cell>
          <cell r="D200" t="str">
            <v>kibotu/FastExoPlayerSeeker</v>
          </cell>
          <cell r="E200">
            <v>20</v>
          </cell>
          <cell r="F200">
            <v>0</v>
          </cell>
          <cell r="G200">
            <v>1</v>
          </cell>
          <cell r="H200">
            <v>60679</v>
          </cell>
          <cell r="I200">
            <v>8</v>
          </cell>
          <cell r="J200">
            <v>39</v>
          </cell>
          <cell r="K200">
            <v>0</v>
          </cell>
        </row>
        <row r="201">
          <cell r="B201" t="str">
            <v>anilist</v>
          </cell>
          <cell r="C201" t="str">
            <v>andraantariksa/anilist</v>
          </cell>
          <cell r="D201" t="str">
            <v>andraantariksa/anilist</v>
          </cell>
          <cell r="E201">
            <v>20</v>
          </cell>
          <cell r="F201">
            <v>0</v>
          </cell>
          <cell r="G201">
            <v>1</v>
          </cell>
          <cell r="H201">
            <v>976</v>
          </cell>
          <cell r="I201">
            <v>0</v>
          </cell>
          <cell r="J201">
            <v>2</v>
          </cell>
          <cell r="K201">
            <v>0</v>
          </cell>
        </row>
        <row r="202">
          <cell r="B202" t="str">
            <v>MorphTransitions</v>
          </cell>
          <cell r="C202" t="str">
            <v>Commit451/MorphTransitions</v>
          </cell>
          <cell r="D202" t="str">
            <v>Commit451/MorphTransitions</v>
          </cell>
          <cell r="E202">
            <v>20</v>
          </cell>
          <cell r="F202">
            <v>0</v>
          </cell>
          <cell r="G202">
            <v>1</v>
          </cell>
          <cell r="H202">
            <v>137</v>
          </cell>
          <cell r="I202">
            <v>3</v>
          </cell>
          <cell r="J202">
            <v>27</v>
          </cell>
          <cell r="K202">
            <v>1</v>
          </cell>
        </row>
        <row r="203">
          <cell r="B203" t="str">
            <v>BookSearch</v>
          </cell>
          <cell r="C203" t="str">
            <v>ksu3101/BookSearch</v>
          </cell>
          <cell r="D203" t="str">
            <v>ksu3101/BookSearch</v>
          </cell>
          <cell r="E203">
            <v>20</v>
          </cell>
          <cell r="F203">
            <v>1</v>
          </cell>
          <cell r="G203">
            <v>1</v>
          </cell>
          <cell r="H203">
            <v>461</v>
          </cell>
          <cell r="I203">
            <v>0</v>
          </cell>
          <cell r="J203">
            <v>1</v>
          </cell>
          <cell r="K203">
            <v>1</v>
          </cell>
        </row>
        <row r="204">
          <cell r="B204" t="str">
            <v>nitmgpt</v>
          </cell>
          <cell r="C204" t="str">
            <v>deskbtm/nitmgpt</v>
          </cell>
          <cell r="D204" t="str">
            <v>deskbtm/nitmgpt</v>
          </cell>
          <cell r="E204">
            <v>20</v>
          </cell>
          <cell r="F204">
            <v>1</v>
          </cell>
          <cell r="G204">
            <v>1</v>
          </cell>
          <cell r="H204">
            <v>787</v>
          </cell>
          <cell r="I204">
            <v>5</v>
          </cell>
          <cell r="J204">
            <v>76</v>
          </cell>
          <cell r="K204">
            <v>3</v>
          </cell>
        </row>
        <row r="205">
          <cell r="B205" t="str">
            <v>Toaster</v>
          </cell>
          <cell r="C205" t="str">
            <v>invissvenska/Toaster</v>
          </cell>
          <cell r="D205" t="str">
            <v>invissvenska/Toaster</v>
          </cell>
          <cell r="E205">
            <v>20</v>
          </cell>
          <cell r="F205">
            <v>6</v>
          </cell>
          <cell r="G205">
            <v>1</v>
          </cell>
          <cell r="H205">
            <v>562</v>
          </cell>
          <cell r="I205">
            <v>2</v>
          </cell>
          <cell r="J205">
            <v>14</v>
          </cell>
          <cell r="K205">
            <v>0</v>
          </cell>
        </row>
        <row r="206">
          <cell r="B206" t="str">
            <v>CallConfirm</v>
          </cell>
          <cell r="C206" t="str">
            <v>75py/CallConfirm</v>
          </cell>
          <cell r="D206" t="str">
            <v>75py/CallConfirm</v>
          </cell>
          <cell r="E206">
            <v>20</v>
          </cell>
          <cell r="F206">
            <v>6</v>
          </cell>
          <cell r="G206">
            <v>1</v>
          </cell>
          <cell r="H206">
            <v>2533</v>
          </cell>
          <cell r="I206">
            <v>3</v>
          </cell>
          <cell r="J206">
            <v>4</v>
          </cell>
          <cell r="K206">
            <v>3</v>
          </cell>
        </row>
        <row r="207">
          <cell r="B207" t="str">
            <v>android-app-cortesia-webview</v>
          </cell>
          <cell r="C207" t="str">
            <v>profmaddo/android-app-cortesia-webview</v>
          </cell>
          <cell r="D207" t="str">
            <v>profmaddo/android-app-cortesia-webview</v>
          </cell>
          <cell r="E207">
            <v>20</v>
          </cell>
          <cell r="F207">
            <v>7</v>
          </cell>
          <cell r="G207">
            <v>3</v>
          </cell>
          <cell r="H207">
            <v>161</v>
          </cell>
          <cell r="I207">
            <v>15</v>
          </cell>
          <cell r="J207">
            <v>7</v>
          </cell>
          <cell r="K207">
            <v>0</v>
          </cell>
        </row>
        <row r="208">
          <cell r="B208" t="str">
            <v>zup-android-tecnico</v>
          </cell>
          <cell r="C208" t="str">
            <v>institutotim/zup-android-tecnico</v>
          </cell>
          <cell r="D208" t="str">
            <v>institutotim/zup-android-tecnico</v>
          </cell>
          <cell r="E208">
            <v>20</v>
          </cell>
          <cell r="F208">
            <v>7</v>
          </cell>
          <cell r="G208">
            <v>5</v>
          </cell>
          <cell r="H208">
            <v>1359</v>
          </cell>
          <cell r="I208">
            <v>5</v>
          </cell>
          <cell r="J208">
            <v>2</v>
          </cell>
          <cell r="K208">
            <v>3</v>
          </cell>
        </row>
        <row r="209">
          <cell r="B209" t="str">
            <v>EasyLocationFetch</v>
          </cell>
          <cell r="C209" t="str">
            <v>anirudhmpai/EasyLocationFetch</v>
          </cell>
          <cell r="D209" t="str">
            <v>anirudhmpai/EasyLocationFetch</v>
          </cell>
          <cell r="E209">
            <v>20</v>
          </cell>
          <cell r="F209">
            <v>15</v>
          </cell>
          <cell r="G209">
            <v>2</v>
          </cell>
          <cell r="H209">
            <v>212</v>
          </cell>
          <cell r="I209">
            <v>2</v>
          </cell>
          <cell r="J209">
            <v>23</v>
          </cell>
          <cell r="K209">
            <v>11</v>
          </cell>
        </row>
        <row r="210">
          <cell r="B210" t="str">
            <v>pageindicator</v>
          </cell>
          <cell r="C210" t="str">
            <v>chahine/pageindicator</v>
          </cell>
          <cell r="D210" t="str">
            <v>chahine/pageindicator</v>
          </cell>
          <cell r="E210">
            <v>20</v>
          </cell>
          <cell r="F210">
            <v>19</v>
          </cell>
          <cell r="G210">
            <v>2</v>
          </cell>
          <cell r="H210">
            <v>14792</v>
          </cell>
          <cell r="I210">
            <v>42</v>
          </cell>
          <cell r="J210">
            <v>258</v>
          </cell>
          <cell r="K210">
            <v>14</v>
          </cell>
        </row>
        <row r="211">
          <cell r="B211" t="str">
            <v>behe-explorer</v>
          </cell>
          <cell r="C211" t="str">
            <v>VladThodo/behe-explorer</v>
          </cell>
          <cell r="D211" t="str">
            <v>VladThodo/behe-explorer</v>
          </cell>
          <cell r="E211">
            <v>20</v>
          </cell>
          <cell r="F211">
            <v>23</v>
          </cell>
          <cell r="G211">
            <v>1</v>
          </cell>
          <cell r="H211">
            <v>2478</v>
          </cell>
          <cell r="I211">
            <v>26</v>
          </cell>
          <cell r="J211">
            <v>41</v>
          </cell>
          <cell r="K211">
            <v>10</v>
          </cell>
        </row>
        <row r="212">
          <cell r="B212" t="str">
            <v>Volta</v>
          </cell>
          <cell r="C212" t="str">
            <v>x13a/Volta</v>
          </cell>
          <cell r="D212" t="str">
            <v>x13a/Volta</v>
          </cell>
          <cell r="E212">
            <v>21</v>
          </cell>
          <cell r="F212">
            <v>0</v>
          </cell>
          <cell r="G212">
            <v>1</v>
          </cell>
          <cell r="H212">
            <v>961</v>
          </cell>
          <cell r="I212">
            <v>3</v>
          </cell>
          <cell r="J212">
            <v>27</v>
          </cell>
          <cell r="K212">
            <v>3</v>
          </cell>
        </row>
        <row r="213">
          <cell r="B213" t="str">
            <v>Face_Animate</v>
          </cell>
          <cell r="C213" t="str">
            <v>Masquerade0097/Face_Animate</v>
          </cell>
          <cell r="D213" t="str">
            <v>Masquerade0097/Face_Animate</v>
          </cell>
          <cell r="E213">
            <v>21</v>
          </cell>
          <cell r="F213">
            <v>0</v>
          </cell>
          <cell r="G213">
            <v>1</v>
          </cell>
          <cell r="H213">
            <v>202</v>
          </cell>
          <cell r="I213">
            <v>3</v>
          </cell>
          <cell r="J213">
            <v>6</v>
          </cell>
          <cell r="K213">
            <v>0</v>
          </cell>
        </row>
        <row r="214">
          <cell r="B214" t="str">
            <v>nkit-launcher</v>
          </cell>
          <cell r="C214" t="str">
            <v>nkitsaini/nkit-launcher</v>
          </cell>
          <cell r="D214" t="str">
            <v>nkitsaini/nkit-launcher</v>
          </cell>
          <cell r="E214">
            <v>21</v>
          </cell>
          <cell r="F214">
            <v>0</v>
          </cell>
          <cell r="G214">
            <v>1</v>
          </cell>
          <cell r="H214">
            <v>221</v>
          </cell>
          <cell r="I214">
            <v>0</v>
          </cell>
          <cell r="J214">
            <v>1</v>
          </cell>
          <cell r="K214">
            <v>0</v>
          </cell>
        </row>
        <row r="215">
          <cell r="B215" t="str">
            <v>mCerebrum-Omron</v>
          </cell>
          <cell r="C215" t="str">
            <v>MD2Korg/mCerebrum-Omron</v>
          </cell>
          <cell r="D215" t="str">
            <v>MD2Korg/mCerebrum-Omron</v>
          </cell>
          <cell r="E215">
            <v>21</v>
          </cell>
          <cell r="F215">
            <v>0</v>
          </cell>
          <cell r="G215">
            <v>4</v>
          </cell>
          <cell r="H215">
            <v>244</v>
          </cell>
          <cell r="I215">
            <v>2</v>
          </cell>
          <cell r="J215">
            <v>4</v>
          </cell>
          <cell r="K215">
            <v>0</v>
          </cell>
        </row>
        <row r="216">
          <cell r="B216" t="str">
            <v>MultipleStatusLayout</v>
          </cell>
          <cell r="C216" t="str">
            <v>wulijie/MultipleStatusLayout</v>
          </cell>
          <cell r="D216" t="str">
            <v>kumaleap/MultipleStatusLayout</v>
          </cell>
          <cell r="E216">
            <v>21</v>
          </cell>
          <cell r="F216">
            <v>0</v>
          </cell>
          <cell r="G216">
            <v>1</v>
          </cell>
          <cell r="H216">
            <v>433</v>
          </cell>
          <cell r="I216">
            <v>2</v>
          </cell>
          <cell r="J216">
            <v>2</v>
          </cell>
          <cell r="K216">
            <v>0</v>
          </cell>
        </row>
        <row r="217">
          <cell r="B217" t="str">
            <v>cloud-launcher</v>
          </cell>
          <cell r="C217" t="str">
            <v>kjbaker-uk/cloud-launcher</v>
          </cell>
          <cell r="D217" t="str">
            <v>kjbaker-uk/cloud-launcher</v>
          </cell>
          <cell r="E217">
            <v>21</v>
          </cell>
          <cell r="F217">
            <v>0</v>
          </cell>
          <cell r="G217">
            <v>1</v>
          </cell>
          <cell r="H217">
            <v>853</v>
          </cell>
          <cell r="I217">
            <v>4</v>
          </cell>
          <cell r="J217">
            <v>6</v>
          </cell>
          <cell r="K217">
            <v>1</v>
          </cell>
        </row>
        <row r="218">
          <cell r="B218" t="str">
            <v>VolumeKeys</v>
          </cell>
          <cell r="C218" t="str">
            <v>hammmmy/VolumeKeys</v>
          </cell>
          <cell r="D218" t="str">
            <v>hammmmy/VolumeKeys</v>
          </cell>
          <cell r="E218">
            <v>21</v>
          </cell>
          <cell r="F218">
            <v>0</v>
          </cell>
          <cell r="G218">
            <v>1</v>
          </cell>
          <cell r="H218">
            <v>869</v>
          </cell>
          <cell r="I218">
            <v>0</v>
          </cell>
          <cell r="J218">
            <v>3</v>
          </cell>
          <cell r="K218">
            <v>0</v>
          </cell>
        </row>
        <row r="219">
          <cell r="B219" t="str">
            <v>Heed</v>
          </cell>
          <cell r="C219" t="str">
            <v>SAGARSURI/Heed</v>
          </cell>
          <cell r="D219" t="str">
            <v>SAGARSURI/Heed</v>
          </cell>
          <cell r="E219">
            <v>21</v>
          </cell>
          <cell r="F219">
            <v>0</v>
          </cell>
          <cell r="G219">
            <v>2</v>
          </cell>
          <cell r="H219">
            <v>13222</v>
          </cell>
          <cell r="I219">
            <v>0</v>
          </cell>
          <cell r="J219">
            <v>3</v>
          </cell>
          <cell r="K219">
            <v>0</v>
          </cell>
        </row>
        <row r="220">
          <cell r="B220" t="str">
            <v>wasp-os-companion</v>
          </cell>
          <cell r="C220" t="str">
            <v>taitberlette/wasp-os-companion</v>
          </cell>
          <cell r="D220" t="str">
            <v>taitberlette/wasp-os-companion</v>
          </cell>
          <cell r="E220">
            <v>21</v>
          </cell>
          <cell r="F220">
            <v>0</v>
          </cell>
          <cell r="G220">
            <v>1</v>
          </cell>
          <cell r="H220">
            <v>29300</v>
          </cell>
          <cell r="I220">
            <v>12</v>
          </cell>
          <cell r="J220">
            <v>36</v>
          </cell>
          <cell r="K220">
            <v>4</v>
          </cell>
        </row>
        <row r="221">
          <cell r="B221" t="str">
            <v>NotesX</v>
          </cell>
          <cell r="C221" t="str">
            <v>Vaibhav2002/NotesX</v>
          </cell>
          <cell r="D221" t="str">
            <v>Vaibhav2002/NotesX</v>
          </cell>
          <cell r="E221">
            <v>21</v>
          </cell>
          <cell r="F221">
            <v>0</v>
          </cell>
          <cell r="G221">
            <v>1</v>
          </cell>
          <cell r="H221">
            <v>11939</v>
          </cell>
          <cell r="I221">
            <v>3</v>
          </cell>
          <cell r="J221">
            <v>12</v>
          </cell>
          <cell r="K221">
            <v>0</v>
          </cell>
        </row>
        <row r="222">
          <cell r="B222" t="str">
            <v>TimerInRecyclerView</v>
          </cell>
          <cell r="C222" t="str">
            <v>Manikkumar1988/TimerInRecyclerView</v>
          </cell>
          <cell r="D222" t="str">
            <v>Manikkumar1988/TimerInRecyclerView</v>
          </cell>
          <cell r="E222">
            <v>21</v>
          </cell>
          <cell r="F222">
            <v>0</v>
          </cell>
          <cell r="G222">
            <v>1</v>
          </cell>
          <cell r="H222">
            <v>8913</v>
          </cell>
          <cell r="I222">
            <v>8</v>
          </cell>
          <cell r="J222">
            <v>30</v>
          </cell>
          <cell r="K222">
            <v>0</v>
          </cell>
        </row>
        <row r="223">
          <cell r="B223" t="str">
            <v>Movie-List-By-Jetpack-Compose-01</v>
          </cell>
          <cell r="C223" t="str">
            <v>razaghimahdi/Movie-List-By-Jetpack-Compose-01</v>
          </cell>
          <cell r="D223" t="str">
            <v>razaghimahdi/Movie-List-By-Jetpack-Compose-01</v>
          </cell>
          <cell r="E223">
            <v>21</v>
          </cell>
          <cell r="F223">
            <v>1</v>
          </cell>
          <cell r="G223">
            <v>1</v>
          </cell>
          <cell r="H223">
            <v>486</v>
          </cell>
          <cell r="I223">
            <v>0</v>
          </cell>
          <cell r="J223">
            <v>3</v>
          </cell>
          <cell r="K223">
            <v>0</v>
          </cell>
        </row>
        <row r="224">
          <cell r="B224" t="str">
            <v>nfc-explorer</v>
          </cell>
          <cell r="C224" t="str">
            <v>infertux/nfc-explorer</v>
          </cell>
          <cell r="D224" t="str">
            <v>infertux/nfc-explorer</v>
          </cell>
          <cell r="E224">
            <v>21</v>
          </cell>
          <cell r="F224">
            <v>1</v>
          </cell>
          <cell r="G224">
            <v>2</v>
          </cell>
          <cell r="H224">
            <v>1821</v>
          </cell>
          <cell r="I224">
            <v>13</v>
          </cell>
          <cell r="J224">
            <v>13</v>
          </cell>
          <cell r="K224">
            <v>0</v>
          </cell>
        </row>
        <row r="225">
          <cell r="B225" t="str">
            <v>android.embeddedserver</v>
          </cell>
          <cell r="C225" t="str">
            <v>nphausg/android.embeddedserver</v>
          </cell>
          <cell r="D225" t="str">
            <v>nphausg/android.embeddedserver</v>
          </cell>
          <cell r="E225">
            <v>21</v>
          </cell>
          <cell r="F225">
            <v>1</v>
          </cell>
          <cell r="G225">
            <v>2</v>
          </cell>
          <cell r="H225">
            <v>6806</v>
          </cell>
          <cell r="I225">
            <v>5</v>
          </cell>
          <cell r="J225">
            <v>19</v>
          </cell>
          <cell r="K225">
            <v>3</v>
          </cell>
        </row>
        <row r="226">
          <cell r="B226" t="str">
            <v>aio_myday_app</v>
          </cell>
          <cell r="C226" t="str">
            <v>Arsybai/aio_myday_app</v>
          </cell>
          <cell r="D226" t="str">
            <v>Arsybai/aio_myday_app</v>
          </cell>
          <cell r="E226">
            <v>21</v>
          </cell>
          <cell r="F226">
            <v>2</v>
          </cell>
          <cell r="G226">
            <v>3</v>
          </cell>
          <cell r="H226">
            <v>844</v>
          </cell>
          <cell r="I226">
            <v>3</v>
          </cell>
          <cell r="J226">
            <v>5</v>
          </cell>
          <cell r="K226">
            <v>0</v>
          </cell>
        </row>
        <row r="227">
          <cell r="B227" t="str">
            <v>NewsApp-Retrofit</v>
          </cell>
          <cell r="C227" t="str">
            <v>JahidHasanCO/NewsApp-Retrofit</v>
          </cell>
          <cell r="D227" t="str">
            <v>JahidHasanCO/NewsApp-Retrofit</v>
          </cell>
          <cell r="E227">
            <v>21</v>
          </cell>
          <cell r="F227">
            <v>2</v>
          </cell>
          <cell r="G227">
            <v>2</v>
          </cell>
          <cell r="H227">
            <v>4041</v>
          </cell>
          <cell r="I227">
            <v>1</v>
          </cell>
          <cell r="J227">
            <v>4</v>
          </cell>
          <cell r="K227">
            <v>0</v>
          </cell>
        </row>
        <row r="228">
          <cell r="B228" t="str">
            <v>RecyclerviewListeners</v>
          </cell>
          <cell r="C228" t="str">
            <v>sallySalem/RecyclerviewListeners</v>
          </cell>
          <cell r="D228" t="str">
            <v>sallySalem/RecyclerviewListeners</v>
          </cell>
          <cell r="E228">
            <v>21</v>
          </cell>
          <cell r="F228">
            <v>5</v>
          </cell>
          <cell r="G228">
            <v>1</v>
          </cell>
          <cell r="H228">
            <v>389</v>
          </cell>
          <cell r="I228">
            <v>2</v>
          </cell>
          <cell r="J228">
            <v>8</v>
          </cell>
          <cell r="K228">
            <v>1</v>
          </cell>
        </row>
        <row r="229">
          <cell r="B229" t="str">
            <v>Finance-Manager</v>
          </cell>
          <cell r="C229" t="str">
            <v>josharsh/Finance-Manager</v>
          </cell>
          <cell r="D229" t="str">
            <v>josharsh/Finance-Manager</v>
          </cell>
          <cell r="E229">
            <v>21</v>
          </cell>
          <cell r="F229">
            <v>7</v>
          </cell>
          <cell r="G229">
            <v>5</v>
          </cell>
          <cell r="H229">
            <v>1818</v>
          </cell>
          <cell r="I229">
            <v>17</v>
          </cell>
          <cell r="J229">
            <v>10</v>
          </cell>
          <cell r="K229">
            <v>4</v>
          </cell>
        </row>
        <row r="230">
          <cell r="B230" t="str">
            <v>textmatcher</v>
          </cell>
          <cell r="C230" t="str">
            <v>santalu/textmatcher</v>
          </cell>
          <cell r="D230" t="str">
            <v>santalu/textmatcher</v>
          </cell>
          <cell r="E230">
            <v>22</v>
          </cell>
          <cell r="F230">
            <v>0</v>
          </cell>
          <cell r="G230">
            <v>1</v>
          </cell>
          <cell r="H230">
            <v>174</v>
          </cell>
          <cell r="I230">
            <v>3</v>
          </cell>
          <cell r="J230">
            <v>68</v>
          </cell>
          <cell r="K230">
            <v>0</v>
          </cell>
        </row>
        <row r="231">
          <cell r="B231" t="str">
            <v>RickAndMorty</v>
          </cell>
          <cell r="C231" t="str">
            <v>alexkrafts/RickAndMorty</v>
          </cell>
          <cell r="D231" t="str">
            <v>alexey-kravtsov-tc/RickAndMorty</v>
          </cell>
          <cell r="E231">
            <v>22</v>
          </cell>
          <cell r="F231">
            <v>0</v>
          </cell>
          <cell r="G231">
            <v>1</v>
          </cell>
          <cell r="H231">
            <v>195</v>
          </cell>
          <cell r="I231">
            <v>0</v>
          </cell>
          <cell r="J231">
            <v>1</v>
          </cell>
          <cell r="K231">
            <v>0</v>
          </cell>
        </row>
        <row r="232">
          <cell r="B232" t="str">
            <v>Android-SegmentView</v>
          </cell>
          <cell r="C232" t="str">
            <v>trinnguyen/Android-SegmentView</v>
          </cell>
          <cell r="D232" t="str">
            <v>trinnguyen/Android-SegmentView</v>
          </cell>
          <cell r="E232">
            <v>22</v>
          </cell>
          <cell r="F232">
            <v>0</v>
          </cell>
          <cell r="G232">
            <v>1</v>
          </cell>
          <cell r="H232">
            <v>226</v>
          </cell>
          <cell r="I232">
            <v>1</v>
          </cell>
          <cell r="J232">
            <v>3</v>
          </cell>
          <cell r="K232">
            <v>0</v>
          </cell>
        </row>
        <row r="233">
          <cell r="B233" t="str">
            <v>flutter-weather</v>
          </cell>
          <cell r="C233" t="str">
            <v>albertopeam/flutter-weather</v>
          </cell>
          <cell r="D233" t="str">
            <v>albertopeam/flutter-weather</v>
          </cell>
          <cell r="E233">
            <v>22</v>
          </cell>
          <cell r="F233">
            <v>0</v>
          </cell>
          <cell r="G233">
            <v>1</v>
          </cell>
          <cell r="H233">
            <v>383</v>
          </cell>
          <cell r="I233">
            <v>1</v>
          </cell>
          <cell r="J233">
            <v>9</v>
          </cell>
          <cell r="K233">
            <v>0</v>
          </cell>
        </row>
        <row r="234">
          <cell r="B234" t="str">
            <v>compose-kotlin-repositories</v>
          </cell>
          <cell r="C234" t="str">
            <v>matiascalvo/compose-kotlin-repositories</v>
          </cell>
          <cell r="D234" t="str">
            <v>matiascalvo/compose-kotlin-repositories</v>
          </cell>
          <cell r="E234">
            <v>22</v>
          </cell>
          <cell r="F234">
            <v>0</v>
          </cell>
          <cell r="G234">
            <v>1</v>
          </cell>
          <cell r="H234">
            <v>1694</v>
          </cell>
          <cell r="I234">
            <v>5</v>
          </cell>
          <cell r="J234">
            <v>20</v>
          </cell>
          <cell r="K234">
            <v>0</v>
          </cell>
        </row>
        <row r="235">
          <cell r="B235" t="str">
            <v>Chat-App</v>
          </cell>
          <cell r="C235" t="str">
            <v>Masquerade0097/Chat-App</v>
          </cell>
          <cell r="D235" t="str">
            <v>Masquerade0097/Chat-App</v>
          </cell>
          <cell r="E235">
            <v>22</v>
          </cell>
          <cell r="F235">
            <v>0</v>
          </cell>
          <cell r="G235">
            <v>1</v>
          </cell>
          <cell r="H235">
            <v>109</v>
          </cell>
          <cell r="I235">
            <v>1</v>
          </cell>
          <cell r="J235">
            <v>4</v>
          </cell>
          <cell r="K235">
            <v>0</v>
          </cell>
        </row>
        <row r="236">
          <cell r="B236" t="str">
            <v>InkPageIndicator</v>
          </cell>
          <cell r="C236" t="str">
            <v>Commit451/InkPageIndicator</v>
          </cell>
          <cell r="D236" t="str">
            <v>Commit451/InkPageIndicator</v>
          </cell>
          <cell r="E236">
            <v>22</v>
          </cell>
          <cell r="F236">
            <v>1</v>
          </cell>
          <cell r="G236">
            <v>1</v>
          </cell>
          <cell r="H236">
            <v>171</v>
          </cell>
          <cell r="I236">
            <v>23</v>
          </cell>
          <cell r="J236">
            <v>154</v>
          </cell>
          <cell r="K236">
            <v>0</v>
          </cell>
        </row>
        <row r="237">
          <cell r="B237" t="str">
            <v>VideoCrop</v>
          </cell>
          <cell r="C237" t="str">
            <v>CherryPerry/VideoCrop</v>
          </cell>
          <cell r="D237" t="str">
            <v>CherryPerry/VideoCrop</v>
          </cell>
          <cell r="E237">
            <v>22</v>
          </cell>
          <cell r="F237">
            <v>1</v>
          </cell>
          <cell r="G237">
            <v>1</v>
          </cell>
          <cell r="H237">
            <v>1494</v>
          </cell>
          <cell r="I237">
            <v>7</v>
          </cell>
          <cell r="J237">
            <v>45</v>
          </cell>
          <cell r="K237">
            <v>1</v>
          </cell>
        </row>
        <row r="238">
          <cell r="B238" t="str">
            <v>DividerSeekBar</v>
          </cell>
          <cell r="C238" t="str">
            <v>hongbeomi/DividerSeekBar</v>
          </cell>
          <cell r="D238" t="str">
            <v>hongbeomi/DividerSeekBar</v>
          </cell>
          <cell r="E238">
            <v>22</v>
          </cell>
          <cell r="F238">
            <v>1</v>
          </cell>
          <cell r="G238">
            <v>1</v>
          </cell>
          <cell r="H238">
            <v>3844</v>
          </cell>
          <cell r="I238">
            <v>2</v>
          </cell>
          <cell r="J238">
            <v>15</v>
          </cell>
          <cell r="K238">
            <v>1</v>
          </cell>
        </row>
        <row r="239">
          <cell r="B239" t="str">
            <v>Todo-App</v>
          </cell>
          <cell r="C239" t="str">
            <v>kapillamba4/Todo-App</v>
          </cell>
          <cell r="D239" t="str">
            <v>kapillamba4/Todo-App</v>
          </cell>
          <cell r="E239">
            <v>22</v>
          </cell>
          <cell r="F239">
            <v>2</v>
          </cell>
          <cell r="G239">
            <v>2</v>
          </cell>
          <cell r="H239">
            <v>243</v>
          </cell>
          <cell r="I239">
            <v>3</v>
          </cell>
          <cell r="J239">
            <v>4</v>
          </cell>
          <cell r="K239">
            <v>1</v>
          </cell>
        </row>
        <row r="240">
          <cell r="B240" t="str">
            <v>PlayCode</v>
          </cell>
          <cell r="C240" t="str">
            <v>Chandra-Sekhar-Bala/PlayCode</v>
          </cell>
          <cell r="D240" t="str">
            <v>Chandra-Sekhar-Bala/PlayCode</v>
          </cell>
          <cell r="E240">
            <v>22</v>
          </cell>
          <cell r="F240">
            <v>2</v>
          </cell>
          <cell r="G240">
            <v>2</v>
          </cell>
          <cell r="H240">
            <v>5648</v>
          </cell>
          <cell r="I240">
            <v>2</v>
          </cell>
          <cell r="J240">
            <v>8</v>
          </cell>
          <cell r="K240">
            <v>0</v>
          </cell>
        </row>
        <row r="241">
          <cell r="B241" t="str">
            <v>QPassword</v>
          </cell>
          <cell r="C241" t="str">
            <v>liying2008/QPassword</v>
          </cell>
          <cell r="D241" t="str">
            <v>liying2008/QPassword</v>
          </cell>
          <cell r="E241">
            <v>22</v>
          </cell>
          <cell r="F241">
            <v>3</v>
          </cell>
          <cell r="G241">
            <v>1</v>
          </cell>
          <cell r="H241">
            <v>1932</v>
          </cell>
          <cell r="I241">
            <v>4</v>
          </cell>
          <cell r="J241">
            <v>2</v>
          </cell>
          <cell r="K241">
            <v>0</v>
          </cell>
        </row>
        <row r="242">
          <cell r="B242" t="str">
            <v>Android-TemporaryBrightness</v>
          </cell>
          <cell r="C242" t="str">
            <v>75py/Android-TemporaryBrightness</v>
          </cell>
          <cell r="D242" t="str">
            <v>75py/Android-TemporaryBrightness</v>
          </cell>
          <cell r="E242">
            <v>22</v>
          </cell>
          <cell r="F242">
            <v>3</v>
          </cell>
          <cell r="G242">
            <v>1</v>
          </cell>
          <cell r="H242">
            <v>3075</v>
          </cell>
          <cell r="I242">
            <v>0</v>
          </cell>
          <cell r="J242">
            <v>1</v>
          </cell>
          <cell r="K242">
            <v>0</v>
          </cell>
        </row>
        <row r="243">
          <cell r="B243" t="str">
            <v>Life-Dots</v>
          </cell>
          <cell r="C243" t="str">
            <v>XilinJia/Life-Dots</v>
          </cell>
          <cell r="D243" t="str">
            <v>XilinJia/Life-Dots</v>
          </cell>
          <cell r="E243">
            <v>22</v>
          </cell>
          <cell r="F243">
            <v>4</v>
          </cell>
          <cell r="G243">
            <v>1</v>
          </cell>
          <cell r="H243">
            <v>5770</v>
          </cell>
          <cell r="I243">
            <v>2</v>
          </cell>
          <cell r="J243">
            <v>11</v>
          </cell>
          <cell r="K243">
            <v>0</v>
          </cell>
        </row>
        <row r="244">
          <cell r="B244" t="str">
            <v>MonoAdapter</v>
          </cell>
          <cell r="C244" t="str">
            <v>carousell/MonoAdapter</v>
          </cell>
          <cell r="D244" t="str">
            <v>carousell/MonoAdapter</v>
          </cell>
          <cell r="E244">
            <v>22</v>
          </cell>
          <cell r="F244">
            <v>4</v>
          </cell>
          <cell r="G244">
            <v>1</v>
          </cell>
          <cell r="H244">
            <v>168</v>
          </cell>
          <cell r="I244">
            <v>1</v>
          </cell>
          <cell r="J244">
            <v>19</v>
          </cell>
          <cell r="K244">
            <v>0</v>
          </cell>
        </row>
        <row r="245">
          <cell r="B245" t="str">
            <v>maps-platform-101-android</v>
          </cell>
          <cell r="C245" t="str">
            <v>googlecodelabs/maps-platform-101-android</v>
          </cell>
          <cell r="D245" t="str">
            <v>googlemaps-samples/codelab-maps-platform-101-android-kotlin</v>
          </cell>
          <cell r="E245">
            <v>22</v>
          </cell>
          <cell r="F245">
            <v>6</v>
          </cell>
          <cell r="G245">
            <v>2</v>
          </cell>
          <cell r="H245">
            <v>1427</v>
          </cell>
          <cell r="I245">
            <v>23</v>
          </cell>
          <cell r="J245">
            <v>25</v>
          </cell>
          <cell r="K245">
            <v>3</v>
          </cell>
        </row>
        <row r="246">
          <cell r="B246" t="str">
            <v>android-navigation-with-compose</v>
          </cell>
          <cell r="C246" t="str">
            <v>RajashekarRaju/android-navigation-with-compose</v>
          </cell>
          <cell r="D246" t="str">
            <v>RajashekarRaju/android-navigation-with-compose</v>
          </cell>
          <cell r="E246">
            <v>22</v>
          </cell>
          <cell r="F246">
            <v>6</v>
          </cell>
          <cell r="G246">
            <v>1</v>
          </cell>
          <cell r="H246">
            <v>74410</v>
          </cell>
          <cell r="I246">
            <v>2</v>
          </cell>
          <cell r="J246">
            <v>5</v>
          </cell>
          <cell r="K246">
            <v>0</v>
          </cell>
        </row>
        <row r="247">
          <cell r="B247" t="str">
            <v>GlowButton</v>
          </cell>
          <cell r="C247" t="str">
            <v>SanojPunchihewa/GlowButton</v>
          </cell>
          <cell r="D247" t="str">
            <v>SanojPunchihewa/GlowButton</v>
          </cell>
          <cell r="E247">
            <v>22</v>
          </cell>
          <cell r="F247">
            <v>33</v>
          </cell>
          <cell r="G247">
            <v>2</v>
          </cell>
          <cell r="H247">
            <v>303</v>
          </cell>
          <cell r="I247">
            <v>24</v>
          </cell>
          <cell r="J247">
            <v>58</v>
          </cell>
          <cell r="K247">
            <v>10</v>
          </cell>
        </row>
        <row r="248">
          <cell r="B248" t="str">
            <v>touch</v>
          </cell>
          <cell r="C248" t="str">
            <v>pwittchen/touch</v>
          </cell>
          <cell r="D248" t="str">
            <v>pwittchen/touch</v>
          </cell>
          <cell r="E248">
            <v>23</v>
          </cell>
          <cell r="F248">
            <v>0</v>
          </cell>
          <cell r="G248">
            <v>1</v>
          </cell>
          <cell r="H248">
            <v>176</v>
          </cell>
          <cell r="I248">
            <v>0</v>
          </cell>
          <cell r="J248">
            <v>3</v>
          </cell>
          <cell r="K248">
            <v>1</v>
          </cell>
        </row>
        <row r="249">
          <cell r="B249" t="str">
            <v>AutoScrollTextView</v>
          </cell>
          <cell r="C249" t="str">
            <v>ronghao/AutoScrollTextView</v>
          </cell>
          <cell r="D249" t="str">
            <v>ronghao/AutoScrollTextView</v>
          </cell>
          <cell r="E249">
            <v>23</v>
          </cell>
          <cell r="F249">
            <v>0</v>
          </cell>
          <cell r="G249">
            <v>1</v>
          </cell>
          <cell r="H249">
            <v>664</v>
          </cell>
          <cell r="I249">
            <v>4</v>
          </cell>
          <cell r="J249">
            <v>30</v>
          </cell>
          <cell r="K249">
            <v>1</v>
          </cell>
        </row>
        <row r="250">
          <cell r="B250" t="str">
            <v>BrailleBox</v>
          </cell>
          <cell r="C250" t="str">
            <v>hitherejoe/BrailleBox</v>
          </cell>
          <cell r="D250" t="str">
            <v>hitherejoe/BrailleBox</v>
          </cell>
          <cell r="E250">
            <v>23</v>
          </cell>
          <cell r="F250">
            <v>0</v>
          </cell>
          <cell r="G250">
            <v>1</v>
          </cell>
          <cell r="H250">
            <v>3557</v>
          </cell>
          <cell r="I250">
            <v>7</v>
          </cell>
          <cell r="J250">
            <v>25</v>
          </cell>
          <cell r="K250">
            <v>1</v>
          </cell>
        </row>
        <row r="251">
          <cell r="B251" t="str">
            <v>BrainTeaser</v>
          </cell>
          <cell r="C251" t="str">
            <v>EnisHalimi/BrainTeaser</v>
          </cell>
          <cell r="D251" t="str">
            <v>EnisHalimi/BrainTeaser</v>
          </cell>
          <cell r="E251">
            <v>23</v>
          </cell>
          <cell r="F251">
            <v>0</v>
          </cell>
          <cell r="G251">
            <v>2</v>
          </cell>
          <cell r="H251">
            <v>3690</v>
          </cell>
          <cell r="I251">
            <v>8</v>
          </cell>
          <cell r="J251">
            <v>11</v>
          </cell>
          <cell r="K251">
            <v>0</v>
          </cell>
        </row>
        <row r="252">
          <cell r="B252" t="str">
            <v>ComicsApp</v>
          </cell>
          <cell r="C252" t="str">
            <v>sanjmen/ComicsApp</v>
          </cell>
          <cell r="D252" t="str">
            <v>sanjmen/ComicsApp</v>
          </cell>
          <cell r="E252">
            <v>23</v>
          </cell>
          <cell r="F252">
            <v>0</v>
          </cell>
          <cell r="G252">
            <v>1</v>
          </cell>
          <cell r="H252">
            <v>8181</v>
          </cell>
          <cell r="I252">
            <v>0</v>
          </cell>
          <cell r="J252">
            <v>3</v>
          </cell>
          <cell r="K252">
            <v>0</v>
          </cell>
        </row>
        <row r="253">
          <cell r="B253" t="str">
            <v>Simple_Document_Scanner_Android</v>
          </cell>
          <cell r="C253" t="str">
            <v>shubham0204/Simple_Document_Scanner_Android</v>
          </cell>
          <cell r="D253" t="str">
            <v>shubham0204/Simple_Document_Scanner_Android</v>
          </cell>
          <cell r="E253">
            <v>23</v>
          </cell>
          <cell r="F253">
            <v>0</v>
          </cell>
          <cell r="G253">
            <v>1</v>
          </cell>
          <cell r="H253">
            <v>245315</v>
          </cell>
          <cell r="I253">
            <v>0</v>
          </cell>
          <cell r="J253">
            <v>3</v>
          </cell>
          <cell r="K253">
            <v>0</v>
          </cell>
        </row>
        <row r="254">
          <cell r="B254" t="str">
            <v>QScan</v>
          </cell>
          <cell r="C254" t="str">
            <v>Henry-Hiles/QScan</v>
          </cell>
          <cell r="D254" t="str">
            <v>Henry-Hiles/QScan</v>
          </cell>
          <cell r="E254">
            <v>23</v>
          </cell>
          <cell r="F254">
            <v>0</v>
          </cell>
          <cell r="G254">
            <v>1</v>
          </cell>
          <cell r="H254">
            <v>105</v>
          </cell>
          <cell r="I254">
            <v>0</v>
          </cell>
          <cell r="J254">
            <v>5</v>
          </cell>
          <cell r="K254">
            <v>0</v>
          </cell>
        </row>
        <row r="255">
          <cell r="B255" t="str">
            <v>UpcomingMovies</v>
          </cell>
          <cell r="C255" t="str">
            <v>dchandrani/UpcomingMovies</v>
          </cell>
          <cell r="D255" t="str">
            <v>dchandrani/UpcomingMovies</v>
          </cell>
          <cell r="E255">
            <v>23</v>
          </cell>
          <cell r="F255">
            <v>1</v>
          </cell>
          <cell r="G255">
            <v>1</v>
          </cell>
          <cell r="H255">
            <v>199</v>
          </cell>
          <cell r="I255">
            <v>3</v>
          </cell>
          <cell r="J255">
            <v>5</v>
          </cell>
          <cell r="K255">
            <v>0</v>
          </cell>
        </row>
        <row r="256">
          <cell r="B256" t="str">
            <v>Viz</v>
          </cell>
          <cell r="C256" t="str">
            <v>svrana/Viz</v>
          </cell>
          <cell r="D256" t="str">
            <v>svrana/Viz</v>
          </cell>
          <cell r="E256">
            <v>23</v>
          </cell>
          <cell r="F256">
            <v>4</v>
          </cell>
          <cell r="G256">
            <v>2</v>
          </cell>
          <cell r="H256">
            <v>595</v>
          </cell>
          <cell r="I256">
            <v>6</v>
          </cell>
          <cell r="J256">
            <v>11</v>
          </cell>
          <cell r="K256">
            <v>2</v>
          </cell>
        </row>
        <row r="257">
          <cell r="B257" t="str">
            <v>PlayWord</v>
          </cell>
          <cell r="C257" t="str">
            <v>jitendra3109/PlayWord</v>
          </cell>
          <cell r="D257" t="str">
            <v>jitendra3109/PlayWord</v>
          </cell>
          <cell r="E257">
            <v>23</v>
          </cell>
          <cell r="F257">
            <v>4</v>
          </cell>
          <cell r="G257">
            <v>1</v>
          </cell>
          <cell r="H257">
            <v>36768</v>
          </cell>
          <cell r="I257">
            <v>4</v>
          </cell>
          <cell r="J257">
            <v>3</v>
          </cell>
          <cell r="K257">
            <v>5</v>
          </cell>
        </row>
        <row r="258">
          <cell r="B258" t="str">
            <v>Canvass-app</v>
          </cell>
          <cell r="C258" t="str">
            <v>CYB3R-G0D/Canvass-app</v>
          </cell>
          <cell r="D258" t="str">
            <v>CYB3R-G0D/Canvass-app</v>
          </cell>
          <cell r="E258">
            <v>23</v>
          </cell>
          <cell r="F258">
            <v>7</v>
          </cell>
          <cell r="G258">
            <v>3</v>
          </cell>
          <cell r="H258">
            <v>5510</v>
          </cell>
          <cell r="I258">
            <v>0</v>
          </cell>
          <cell r="J258">
            <v>5</v>
          </cell>
          <cell r="K258">
            <v>1</v>
          </cell>
        </row>
        <row r="259">
          <cell r="B259" t="str">
            <v>t4-launcher</v>
          </cell>
          <cell r="C259" t="str">
            <v>rsteube/t4-launcher</v>
          </cell>
          <cell r="D259" t="str">
            <v>rsteube/t4-launcher</v>
          </cell>
          <cell r="E259">
            <v>23</v>
          </cell>
          <cell r="F259">
            <v>9</v>
          </cell>
          <cell r="G259">
            <v>1</v>
          </cell>
          <cell r="H259">
            <v>64</v>
          </cell>
          <cell r="I259">
            <v>1</v>
          </cell>
          <cell r="J259">
            <v>2</v>
          </cell>
          <cell r="K259">
            <v>8</v>
          </cell>
        </row>
        <row r="260">
          <cell r="B260" t="str">
            <v>piping-phone-android</v>
          </cell>
          <cell r="C260" t="str">
            <v>nwtgck/piping-phone-android</v>
          </cell>
          <cell r="D260" t="str">
            <v>nwtgck/piping-phone-android</v>
          </cell>
          <cell r="E260">
            <v>23</v>
          </cell>
          <cell r="F260">
            <v>59</v>
          </cell>
          <cell r="G260">
            <v>2</v>
          </cell>
          <cell r="H260">
            <v>150</v>
          </cell>
          <cell r="I260">
            <v>0</v>
          </cell>
          <cell r="J260">
            <v>1</v>
          </cell>
          <cell r="K260">
            <v>6</v>
          </cell>
        </row>
        <row r="261">
          <cell r="B261" t="str">
            <v>slider</v>
          </cell>
          <cell r="C261" t="str">
            <v>devisnik/slider</v>
          </cell>
          <cell r="D261" t="str">
            <v>devisnik/slider</v>
          </cell>
          <cell r="E261">
            <v>24</v>
          </cell>
          <cell r="F261">
            <v>0</v>
          </cell>
          <cell r="G261">
            <v>1</v>
          </cell>
          <cell r="H261">
            <v>2436</v>
          </cell>
          <cell r="I261">
            <v>2</v>
          </cell>
          <cell r="J261">
            <v>4</v>
          </cell>
          <cell r="K261">
            <v>0</v>
          </cell>
        </row>
        <row r="262">
          <cell r="B262" t="str">
            <v>AndroidThings-Mirror</v>
          </cell>
          <cell r="C262" t="str">
            <v>ToxicBakery/AndroidThings-Mirror</v>
          </cell>
          <cell r="D262" t="str">
            <v>ToxicBakery/AndroidThings-Mirror</v>
          </cell>
          <cell r="E262">
            <v>24</v>
          </cell>
          <cell r="F262">
            <v>0</v>
          </cell>
          <cell r="G262">
            <v>1</v>
          </cell>
          <cell r="H262">
            <v>179</v>
          </cell>
          <cell r="I262">
            <v>1</v>
          </cell>
          <cell r="J262">
            <v>2</v>
          </cell>
          <cell r="K262">
            <v>0</v>
          </cell>
        </row>
        <row r="263">
          <cell r="B263" t="str">
            <v>DocumentOCR</v>
          </cell>
          <cell r="C263" t="str">
            <v>Tardo/DocumentOCR</v>
          </cell>
          <cell r="D263" t="str">
            <v>Tardo/DocumentOCR</v>
          </cell>
          <cell r="E263">
            <v>24</v>
          </cell>
          <cell r="F263">
            <v>0</v>
          </cell>
          <cell r="G263">
            <v>1</v>
          </cell>
          <cell r="H263">
            <v>25024</v>
          </cell>
          <cell r="I263">
            <v>2</v>
          </cell>
          <cell r="J263">
            <v>4</v>
          </cell>
          <cell r="K263">
            <v>0</v>
          </cell>
        </row>
        <row r="264">
          <cell r="B264" t="str">
            <v>Age-Gender_Estimation_TF-Android</v>
          </cell>
          <cell r="C264" t="str">
            <v>shubham0204/Age-Gender_Estimation_TF-Android</v>
          </cell>
          <cell r="D264" t="str">
            <v>shubham0204/Age-Gender_Estimation_TF-Android</v>
          </cell>
          <cell r="E264">
            <v>24</v>
          </cell>
          <cell r="F264">
            <v>0</v>
          </cell>
          <cell r="G264">
            <v>1</v>
          </cell>
          <cell r="H264">
            <v>23796</v>
          </cell>
          <cell r="I264">
            <v>12</v>
          </cell>
          <cell r="J264">
            <v>36</v>
          </cell>
          <cell r="K264">
            <v>0</v>
          </cell>
        </row>
        <row r="265">
          <cell r="B265" t="str">
            <v>AndroidWheel</v>
          </cell>
          <cell r="C265" t="str">
            <v>zhanzengyu/AndroidWheel</v>
          </cell>
          <cell r="D265" t="str">
            <v>zhanzengyu/AndroidWheel</v>
          </cell>
          <cell r="E265">
            <v>24</v>
          </cell>
          <cell r="F265">
            <v>2</v>
          </cell>
          <cell r="G265">
            <v>1</v>
          </cell>
          <cell r="H265">
            <v>582</v>
          </cell>
          <cell r="I265">
            <v>1</v>
          </cell>
          <cell r="J265">
            <v>7</v>
          </cell>
          <cell r="K265">
            <v>0</v>
          </cell>
        </row>
        <row r="266">
          <cell r="B266" t="str">
            <v>MioCheck</v>
          </cell>
          <cell r="C266" t="str">
            <v>wiomoc/MioCheck</v>
          </cell>
          <cell r="D266" t="str">
            <v>wiomoc/MioCheck</v>
          </cell>
          <cell r="E266">
            <v>24</v>
          </cell>
          <cell r="F266">
            <v>3</v>
          </cell>
          <cell r="G266">
            <v>3</v>
          </cell>
          <cell r="H266">
            <v>656</v>
          </cell>
          <cell r="I266">
            <v>0</v>
          </cell>
          <cell r="J266">
            <v>2</v>
          </cell>
          <cell r="K266">
            <v>0</v>
          </cell>
        </row>
        <row r="267">
          <cell r="B267" t="str">
            <v>NextcloudPasswords</v>
          </cell>
          <cell r="C267" t="str">
            <v>hegocre/NextcloudPasswords</v>
          </cell>
          <cell r="D267" t="str">
            <v>hegocre/NextcloudPasswords</v>
          </cell>
          <cell r="E267">
            <v>24</v>
          </cell>
          <cell r="F267">
            <v>4</v>
          </cell>
          <cell r="G267">
            <v>1</v>
          </cell>
          <cell r="H267">
            <v>2131</v>
          </cell>
          <cell r="I267">
            <v>0</v>
          </cell>
          <cell r="J267">
            <v>7</v>
          </cell>
          <cell r="K267">
            <v>1</v>
          </cell>
        </row>
        <row r="268">
          <cell r="B268" t="str">
            <v>countdowns-android</v>
          </cell>
          <cell r="C268" t="str">
            <v>WillieCubed/countdowns-android</v>
          </cell>
          <cell r="D268" t="str">
            <v>WillieCubed/chronos-android</v>
          </cell>
          <cell r="E268">
            <v>24</v>
          </cell>
          <cell r="F268">
            <v>5</v>
          </cell>
          <cell r="G268">
            <v>1</v>
          </cell>
          <cell r="H268">
            <v>555</v>
          </cell>
          <cell r="I268">
            <v>0</v>
          </cell>
          <cell r="J268">
            <v>2</v>
          </cell>
          <cell r="K268">
            <v>4</v>
          </cell>
        </row>
        <row r="269">
          <cell r="B269" t="str">
            <v>Anime-Twist</v>
          </cell>
          <cell r="C269" t="str">
            <v>meta-boy/Anime-Twist</v>
          </cell>
          <cell r="D269" t="str">
            <v>meta-boy/Anime-Twist</v>
          </cell>
          <cell r="E269">
            <v>24</v>
          </cell>
          <cell r="F269">
            <v>6</v>
          </cell>
          <cell r="G269">
            <v>1</v>
          </cell>
          <cell r="H269">
            <v>1227</v>
          </cell>
          <cell r="I269">
            <v>11</v>
          </cell>
          <cell r="J269">
            <v>39</v>
          </cell>
          <cell r="K269">
            <v>3</v>
          </cell>
        </row>
        <row r="270">
          <cell r="B270" t="str">
            <v>AndroidProject</v>
          </cell>
          <cell r="C270" t="str">
            <v>getActivity/AndroidProject</v>
          </cell>
          <cell r="D270" t="str">
            <v>getActivity/AndroidProject</v>
          </cell>
          <cell r="E270">
            <v>24</v>
          </cell>
          <cell r="F270">
            <v>8</v>
          </cell>
          <cell r="G270">
            <v>2</v>
          </cell>
          <cell r="H270">
            <v>89374</v>
          </cell>
          <cell r="I270">
            <v>1198</v>
          </cell>
          <cell r="J270">
            <v>5513</v>
          </cell>
          <cell r="K270">
            <v>1</v>
          </cell>
        </row>
        <row r="271">
          <cell r="B271" t="str">
            <v>GaugeProgressView</v>
          </cell>
          <cell r="C271" t="str">
            <v>edgar-zigis/GaugeProgressView</v>
          </cell>
          <cell r="D271" t="str">
            <v>edgar-zigis/GaugeProgressView</v>
          </cell>
          <cell r="E271">
            <v>24</v>
          </cell>
          <cell r="F271">
            <v>9</v>
          </cell>
          <cell r="G271">
            <v>2</v>
          </cell>
          <cell r="H271">
            <v>471</v>
          </cell>
          <cell r="I271">
            <v>1</v>
          </cell>
          <cell r="J271">
            <v>17</v>
          </cell>
          <cell r="K271">
            <v>0</v>
          </cell>
        </row>
        <row r="272">
          <cell r="B272" t="str">
            <v>notes</v>
          </cell>
          <cell r="C272" t="str">
            <v>plplmax/notes</v>
          </cell>
          <cell r="D272" t="str">
            <v>plplmax/notes</v>
          </cell>
          <cell r="E272">
            <v>24</v>
          </cell>
          <cell r="F272">
            <v>11</v>
          </cell>
          <cell r="G272">
            <v>1</v>
          </cell>
          <cell r="H272">
            <v>212</v>
          </cell>
          <cell r="I272">
            <v>0</v>
          </cell>
          <cell r="J272">
            <v>1</v>
          </cell>
          <cell r="K272">
            <v>0</v>
          </cell>
        </row>
        <row r="273">
          <cell r="B273" t="str">
            <v>OpenAir-Android</v>
          </cell>
          <cell r="C273" t="str">
            <v>openairapp/OpenAir-Android</v>
          </cell>
          <cell r="D273" t="str">
            <v>openairapp/OpenAir-Android</v>
          </cell>
          <cell r="E273">
            <v>24</v>
          </cell>
          <cell r="F273">
            <v>11</v>
          </cell>
          <cell r="G273">
            <v>2</v>
          </cell>
          <cell r="H273">
            <v>364</v>
          </cell>
          <cell r="I273">
            <v>0</v>
          </cell>
          <cell r="J273">
            <v>2</v>
          </cell>
          <cell r="K273">
            <v>6</v>
          </cell>
        </row>
        <row r="274">
          <cell r="B274" t="str">
            <v>Jagrati</v>
          </cell>
          <cell r="C274" t="str">
            <v>BitByte-TPC/Jagrati</v>
          </cell>
          <cell r="D274" t="str">
            <v>BitByte-TPC/Jagrati</v>
          </cell>
          <cell r="E274">
            <v>24</v>
          </cell>
          <cell r="F274">
            <v>11</v>
          </cell>
          <cell r="G274">
            <v>3</v>
          </cell>
          <cell r="H274">
            <v>621</v>
          </cell>
          <cell r="I274">
            <v>1</v>
          </cell>
          <cell r="J274">
            <v>1</v>
          </cell>
          <cell r="K274">
            <v>3</v>
          </cell>
        </row>
        <row r="275">
          <cell r="B275" t="str">
            <v>Dimba</v>
          </cell>
          <cell r="C275" t="str">
            <v>odaridavid/Dimba</v>
          </cell>
          <cell r="D275" t="str">
            <v>odaridavid/Dimba</v>
          </cell>
          <cell r="E275">
            <v>24</v>
          </cell>
          <cell r="F275">
            <v>13</v>
          </cell>
          <cell r="G275">
            <v>1</v>
          </cell>
          <cell r="H275">
            <v>754</v>
          </cell>
          <cell r="I275">
            <v>7</v>
          </cell>
          <cell r="J275">
            <v>18</v>
          </cell>
          <cell r="K275">
            <v>25</v>
          </cell>
        </row>
        <row r="276">
          <cell r="B276" t="str">
            <v>VLSM-Subnet-Mask-Calculator</v>
          </cell>
          <cell r="C276" t="str">
            <v>srbrettle/VLSM-Subnet-Mask-Calculator</v>
          </cell>
          <cell r="D276" t="str">
            <v>srbrettle/VLSM-Subnet-Mask-Calculator</v>
          </cell>
          <cell r="E276">
            <v>25</v>
          </cell>
          <cell r="F276">
            <v>0</v>
          </cell>
          <cell r="G276">
            <v>1</v>
          </cell>
          <cell r="H276">
            <v>679</v>
          </cell>
          <cell r="I276">
            <v>1</v>
          </cell>
          <cell r="J276">
            <v>2</v>
          </cell>
          <cell r="K276">
            <v>0</v>
          </cell>
        </row>
        <row r="277">
          <cell r="B277" t="str">
            <v>sigblock-code-poc</v>
          </cell>
          <cell r="C277" t="str">
            <v>obfusk/sigblock-code-poc</v>
          </cell>
          <cell r="D277" t="str">
            <v>obfusk/sigblock-code-poc</v>
          </cell>
          <cell r="E277">
            <v>25</v>
          </cell>
          <cell r="F277">
            <v>1</v>
          </cell>
          <cell r="G277">
            <v>1</v>
          </cell>
          <cell r="H277">
            <v>145</v>
          </cell>
          <cell r="I277">
            <v>2</v>
          </cell>
          <cell r="J277">
            <v>5</v>
          </cell>
          <cell r="K277">
            <v>0</v>
          </cell>
        </row>
        <row r="278">
          <cell r="B278" t="str">
            <v>OneDrawable</v>
          </cell>
          <cell r="C278" t="str">
            <v>maoruibin/OneDrawable</v>
          </cell>
          <cell r="D278" t="str">
            <v>maoruibin/OneDrawable</v>
          </cell>
          <cell r="E278">
            <v>25</v>
          </cell>
          <cell r="F278">
            <v>1</v>
          </cell>
          <cell r="G278">
            <v>1</v>
          </cell>
          <cell r="H278">
            <v>162</v>
          </cell>
          <cell r="I278">
            <v>35</v>
          </cell>
          <cell r="J278">
            <v>297</v>
          </cell>
          <cell r="K278">
            <v>3</v>
          </cell>
        </row>
        <row r="279">
          <cell r="B279" t="str">
            <v>MyAnimeViewer</v>
          </cell>
          <cell r="C279" t="str">
            <v>SalmanTKhan/MyAnimeViewer</v>
          </cell>
          <cell r="D279" t="str">
            <v>SalmanTKhan/MyAnimeViewer</v>
          </cell>
          <cell r="E279">
            <v>25</v>
          </cell>
          <cell r="F279">
            <v>1</v>
          </cell>
          <cell r="G279">
            <v>1</v>
          </cell>
          <cell r="H279">
            <v>610</v>
          </cell>
          <cell r="I279">
            <v>3</v>
          </cell>
          <cell r="J279">
            <v>6</v>
          </cell>
          <cell r="K279">
            <v>0</v>
          </cell>
        </row>
        <row r="280">
          <cell r="B280" t="str">
            <v>snmp-cockpit</v>
          </cell>
          <cell r="C280" t="str">
            <v>emschu/snmp-cockpit</v>
          </cell>
          <cell r="D280" t="str">
            <v>emschu/snmp-cockpit</v>
          </cell>
          <cell r="E280">
            <v>25</v>
          </cell>
          <cell r="F280">
            <v>1</v>
          </cell>
          <cell r="G280">
            <v>2</v>
          </cell>
          <cell r="H280">
            <v>4359</v>
          </cell>
          <cell r="I280">
            <v>1</v>
          </cell>
          <cell r="J280">
            <v>3</v>
          </cell>
          <cell r="K280">
            <v>1</v>
          </cell>
        </row>
        <row r="281">
          <cell r="B281" t="str">
            <v>MszProgressIndicator</v>
          </cell>
          <cell r="C281" t="str">
            <v>EhsanMsz/MszProgressIndicator</v>
          </cell>
          <cell r="D281" t="str">
            <v>EhsanMsz/MszProgressIndicator</v>
          </cell>
          <cell r="E281">
            <v>25</v>
          </cell>
          <cell r="F281">
            <v>1</v>
          </cell>
          <cell r="G281">
            <v>1</v>
          </cell>
          <cell r="H281">
            <v>2563</v>
          </cell>
          <cell r="I281">
            <v>5</v>
          </cell>
          <cell r="J281">
            <v>32</v>
          </cell>
          <cell r="K281">
            <v>0</v>
          </cell>
        </row>
        <row r="282">
          <cell r="B282" t="str">
            <v>DropdownTextView</v>
          </cell>
          <cell r="C282" t="str">
            <v>hakobast/DropdownTextView</v>
          </cell>
          <cell r="D282" t="str">
            <v>hakobast/DropdownTextView</v>
          </cell>
          <cell r="E282">
            <v>25</v>
          </cell>
          <cell r="F282">
            <v>1</v>
          </cell>
          <cell r="G282">
            <v>1</v>
          </cell>
          <cell r="H282">
            <v>3797</v>
          </cell>
          <cell r="I282">
            <v>35</v>
          </cell>
          <cell r="J282">
            <v>331</v>
          </cell>
          <cell r="K282">
            <v>5</v>
          </cell>
        </row>
        <row r="283">
          <cell r="B283" t="str">
            <v>scrabble</v>
          </cell>
          <cell r="C283" t="str">
            <v>gabriaraujo/scrabble</v>
          </cell>
          <cell r="D283" t="str">
            <v>gabriaraujo/scrabble</v>
          </cell>
          <cell r="E283">
            <v>25</v>
          </cell>
          <cell r="F283">
            <v>1</v>
          </cell>
          <cell r="G283">
            <v>1</v>
          </cell>
          <cell r="H283">
            <v>4417</v>
          </cell>
          <cell r="I283">
            <v>0</v>
          </cell>
          <cell r="J283">
            <v>2</v>
          </cell>
          <cell r="K283">
            <v>0</v>
          </cell>
        </row>
        <row r="284">
          <cell r="B284" t="str">
            <v>MityURL</v>
          </cell>
          <cell r="C284" t="str">
            <v>FirePing32/MityURL</v>
          </cell>
          <cell r="D284" t="str">
            <v>FirePing32/MityURL</v>
          </cell>
          <cell r="E284">
            <v>25</v>
          </cell>
          <cell r="F284">
            <v>2</v>
          </cell>
          <cell r="G284">
            <v>1</v>
          </cell>
          <cell r="H284">
            <v>234</v>
          </cell>
          <cell r="I284">
            <v>1</v>
          </cell>
          <cell r="J284">
            <v>6</v>
          </cell>
          <cell r="K284">
            <v>1</v>
          </cell>
        </row>
        <row r="285">
          <cell r="B285" t="str">
            <v>WQthrottle</v>
          </cell>
          <cell r="C285" t="str">
            <v>MRwangqi/WQthrottle</v>
          </cell>
          <cell r="D285" t="str">
            <v>MRwangqi/WQthrottle</v>
          </cell>
          <cell r="E285">
            <v>25</v>
          </cell>
          <cell r="F285">
            <v>2</v>
          </cell>
          <cell r="G285">
            <v>1</v>
          </cell>
          <cell r="H285">
            <v>436</v>
          </cell>
          <cell r="I285">
            <v>6</v>
          </cell>
          <cell r="J285">
            <v>25</v>
          </cell>
          <cell r="K285">
            <v>0</v>
          </cell>
        </row>
        <row r="286">
          <cell r="B286" t="str">
            <v>Unconnectify-Re</v>
          </cell>
          <cell r="C286" t="str">
            <v>husaynhakeem/Unconnectify-Re</v>
          </cell>
          <cell r="D286" t="str">
            <v>husaynhakeem/Unconnectify-Re</v>
          </cell>
          <cell r="E286">
            <v>25</v>
          </cell>
          <cell r="F286">
            <v>2</v>
          </cell>
          <cell r="G286">
            <v>1</v>
          </cell>
          <cell r="H286">
            <v>4087</v>
          </cell>
          <cell r="I286">
            <v>0</v>
          </cell>
          <cell r="J286">
            <v>3</v>
          </cell>
          <cell r="K286">
            <v>0</v>
          </cell>
        </row>
        <row r="287">
          <cell r="B287" t="str">
            <v>stream-draw-android</v>
          </cell>
          <cell r="C287" t="str">
            <v>GetStream/stream-draw-android</v>
          </cell>
          <cell r="D287" t="str">
            <v>GetStream/stream-draw-android</v>
          </cell>
          <cell r="E287">
            <v>25</v>
          </cell>
          <cell r="F287">
            <v>2</v>
          </cell>
          <cell r="G287">
            <v>2</v>
          </cell>
          <cell r="H287">
            <v>11679</v>
          </cell>
          <cell r="I287">
            <v>18</v>
          </cell>
          <cell r="J287">
            <v>301</v>
          </cell>
          <cell r="K287">
            <v>0</v>
          </cell>
        </row>
        <row r="288">
          <cell r="B288" t="str">
            <v>To-Do_Jetpack_Compose</v>
          </cell>
          <cell r="C288" t="str">
            <v>kafri8889/To-Do_Jetpack_Compose</v>
          </cell>
          <cell r="D288" t="str">
            <v>kafri8889/To-Do_Jetpack_Compose</v>
          </cell>
          <cell r="E288">
            <v>25</v>
          </cell>
          <cell r="F288">
            <v>6</v>
          </cell>
          <cell r="G288">
            <v>1</v>
          </cell>
          <cell r="H288">
            <v>716</v>
          </cell>
          <cell r="I288">
            <v>1</v>
          </cell>
          <cell r="J288">
            <v>7</v>
          </cell>
          <cell r="K288">
            <v>0</v>
          </cell>
        </row>
        <row r="289">
          <cell r="B289" t="str">
            <v>how-to-flutter</v>
          </cell>
          <cell r="C289" t="str">
            <v>jonashackt/how-to-flutter</v>
          </cell>
          <cell r="D289" t="str">
            <v>jonashackt/how-to-flutter</v>
          </cell>
          <cell r="E289">
            <v>25</v>
          </cell>
          <cell r="F289">
            <v>6</v>
          </cell>
          <cell r="G289">
            <v>3</v>
          </cell>
          <cell r="H289">
            <v>8081</v>
          </cell>
          <cell r="I289">
            <v>0</v>
          </cell>
          <cell r="J289">
            <v>1</v>
          </cell>
          <cell r="K289">
            <v>4</v>
          </cell>
        </row>
        <row r="290">
          <cell r="B290" t="str">
            <v>AndroidKTX</v>
          </cell>
          <cell r="C290" t="str">
            <v>AndroidKTX/AndroidKTX</v>
          </cell>
          <cell r="D290" t="str">
            <v>AndroidKTX/AndroidKTX</v>
          </cell>
          <cell r="E290">
            <v>25</v>
          </cell>
          <cell r="F290">
            <v>6</v>
          </cell>
          <cell r="G290">
            <v>1</v>
          </cell>
          <cell r="H290">
            <v>8775</v>
          </cell>
          <cell r="I290">
            <v>4</v>
          </cell>
          <cell r="J290">
            <v>16</v>
          </cell>
          <cell r="K290">
            <v>0</v>
          </cell>
        </row>
        <row r="291">
          <cell r="B291" t="str">
            <v>android-clean-arquitecture</v>
          </cell>
          <cell r="C291" t="str">
            <v>gonzaloguzzardi/android-clean-arquitecture</v>
          </cell>
          <cell r="D291" t="str">
            <v>gonzaloguzzardi/android-clean-arquitecture</v>
          </cell>
          <cell r="E291">
            <v>25</v>
          </cell>
          <cell r="F291">
            <v>11</v>
          </cell>
          <cell r="G291">
            <v>1</v>
          </cell>
          <cell r="H291">
            <v>8715</v>
          </cell>
          <cell r="I291">
            <v>0</v>
          </cell>
          <cell r="J291">
            <v>1</v>
          </cell>
          <cell r="K291">
            <v>0</v>
          </cell>
        </row>
        <row r="292">
          <cell r="B292" t="str">
            <v>TimeBomb</v>
          </cell>
          <cell r="C292" t="str">
            <v>kibotu/TimeBomb</v>
          </cell>
          <cell r="D292" t="str">
            <v>kibotu/TimeBomb</v>
          </cell>
          <cell r="E292">
            <v>26</v>
          </cell>
          <cell r="F292">
            <v>0</v>
          </cell>
          <cell r="G292">
            <v>1</v>
          </cell>
          <cell r="H292">
            <v>149</v>
          </cell>
          <cell r="I292">
            <v>4</v>
          </cell>
          <cell r="J292">
            <v>22</v>
          </cell>
          <cell r="K292">
            <v>0</v>
          </cell>
        </row>
        <row r="293">
          <cell r="B293" t="str">
            <v>FilePickerDialog-master</v>
          </cell>
          <cell r="C293" t="str">
            <v>abbasalim/FilePickerDialog-master</v>
          </cell>
          <cell r="D293" t="str">
            <v>abbasalim/FilePickerDialog-master</v>
          </cell>
          <cell r="E293">
            <v>26</v>
          </cell>
          <cell r="F293">
            <v>0</v>
          </cell>
          <cell r="G293">
            <v>1</v>
          </cell>
          <cell r="H293">
            <v>182</v>
          </cell>
          <cell r="I293">
            <v>1</v>
          </cell>
          <cell r="J293">
            <v>7</v>
          </cell>
          <cell r="K293">
            <v>1</v>
          </cell>
        </row>
        <row r="294">
          <cell r="B294" t="str">
            <v>boilerplate</v>
          </cell>
          <cell r="C294" t="str">
            <v>yasincidem/boilerplate</v>
          </cell>
          <cell r="D294" t="str">
            <v>yasincidem/boilerplate</v>
          </cell>
          <cell r="E294">
            <v>26</v>
          </cell>
          <cell r="F294">
            <v>0</v>
          </cell>
          <cell r="G294">
            <v>1</v>
          </cell>
          <cell r="H294">
            <v>214</v>
          </cell>
          <cell r="I294">
            <v>0</v>
          </cell>
          <cell r="J294">
            <v>2</v>
          </cell>
          <cell r="K294">
            <v>0</v>
          </cell>
        </row>
        <row r="295">
          <cell r="B295" t="str">
            <v>ComposeThemeSwitch</v>
          </cell>
          <cell r="C295" t="str">
            <v>tminet/ComposeThemeSwitch</v>
          </cell>
          <cell r="D295" t="str">
            <v>tminet/ComposeThemeSwitch</v>
          </cell>
          <cell r="E295">
            <v>26</v>
          </cell>
          <cell r="F295">
            <v>0</v>
          </cell>
          <cell r="G295">
            <v>1</v>
          </cell>
          <cell r="H295">
            <v>372</v>
          </cell>
          <cell r="I295">
            <v>0</v>
          </cell>
          <cell r="J295">
            <v>6</v>
          </cell>
          <cell r="K295">
            <v>0</v>
          </cell>
        </row>
        <row r="296">
          <cell r="B296" t="str">
            <v>flutter-timesheet</v>
          </cell>
          <cell r="C296" t="str">
            <v>digitalkaoz/flutter-timesheet</v>
          </cell>
          <cell r="D296" t="str">
            <v>digitalkaoz/flutter-timesheet</v>
          </cell>
          <cell r="E296">
            <v>26</v>
          </cell>
          <cell r="F296">
            <v>0</v>
          </cell>
          <cell r="G296">
            <v>1</v>
          </cell>
          <cell r="H296">
            <v>8887</v>
          </cell>
          <cell r="I296">
            <v>0</v>
          </cell>
          <cell r="J296">
            <v>1</v>
          </cell>
          <cell r="K296">
            <v>0</v>
          </cell>
        </row>
        <row r="297">
          <cell r="B297" t="str">
            <v>voice-calci</v>
          </cell>
          <cell r="C297" t="str">
            <v>rahulworld/voice-calci</v>
          </cell>
          <cell r="D297" t="str">
            <v>rahulworld/voice-calci</v>
          </cell>
          <cell r="E297">
            <v>26</v>
          </cell>
          <cell r="F297">
            <v>1</v>
          </cell>
          <cell r="G297">
            <v>1</v>
          </cell>
          <cell r="H297">
            <v>205</v>
          </cell>
          <cell r="I297">
            <v>4</v>
          </cell>
          <cell r="J297">
            <v>4</v>
          </cell>
          <cell r="K297">
            <v>2</v>
          </cell>
        </row>
        <row r="298">
          <cell r="B298" t="str">
            <v>Flutter-Music-App</v>
          </cell>
          <cell r="C298" t="str">
            <v>OpenConsultingGroup/Flutter-Music-App</v>
          </cell>
          <cell r="D298" t="str">
            <v>OpenConsultingGroup/Flutter-Music-App</v>
          </cell>
          <cell r="E298">
            <v>26</v>
          </cell>
          <cell r="F298">
            <v>1</v>
          </cell>
          <cell r="G298">
            <v>3</v>
          </cell>
          <cell r="H298">
            <v>1974</v>
          </cell>
          <cell r="I298">
            <v>69</v>
          </cell>
          <cell r="J298">
            <v>260</v>
          </cell>
          <cell r="K298">
            <v>4</v>
          </cell>
        </row>
        <row r="299">
          <cell r="B299" t="str">
            <v>trading</v>
          </cell>
          <cell r="C299" t="str">
            <v>mcode8/trading</v>
          </cell>
          <cell r="D299" t="str">
            <v>lkant8/trading</v>
          </cell>
          <cell r="E299">
            <v>26</v>
          </cell>
          <cell r="F299">
            <v>7</v>
          </cell>
          <cell r="G299">
            <v>2</v>
          </cell>
          <cell r="H299">
            <v>135</v>
          </cell>
          <cell r="I299">
            <v>1</v>
          </cell>
          <cell r="J299">
            <v>2</v>
          </cell>
          <cell r="K299">
            <v>1</v>
          </cell>
        </row>
        <row r="300">
          <cell r="B300" t="str">
            <v>SunriseSunsetView</v>
          </cell>
          <cell r="C300" t="str">
            <v>fennifith/SunriseSunsetView</v>
          </cell>
          <cell r="D300" t="str">
            <v>fennifith/SunriseSunsetView</v>
          </cell>
          <cell r="E300">
            <v>27</v>
          </cell>
          <cell r="F300">
            <v>0</v>
          </cell>
          <cell r="G300">
            <v>1</v>
          </cell>
          <cell r="H300">
            <v>171</v>
          </cell>
          <cell r="I300">
            <v>4</v>
          </cell>
          <cell r="J300">
            <v>9</v>
          </cell>
          <cell r="K300">
            <v>1</v>
          </cell>
        </row>
        <row r="301">
          <cell r="B301" t="str">
            <v>ANE-BranchIO</v>
          </cell>
          <cell r="C301" t="str">
            <v>airnativeextensions/ANE-BranchIO</v>
          </cell>
          <cell r="D301" t="str">
            <v>airnativeextensions/ANE-BranchIO</v>
          </cell>
          <cell r="E301">
            <v>27</v>
          </cell>
          <cell r="F301">
            <v>0</v>
          </cell>
          <cell r="G301">
            <v>1</v>
          </cell>
          <cell r="H301">
            <v>229013</v>
          </cell>
          <cell r="I301">
            <v>1</v>
          </cell>
          <cell r="J301">
            <v>3</v>
          </cell>
          <cell r="K301">
            <v>0</v>
          </cell>
        </row>
        <row r="302">
          <cell r="B302" t="str">
            <v>SwitchButton</v>
          </cell>
          <cell r="C302" t="str">
            <v>ronghao/SwitchButton</v>
          </cell>
          <cell r="D302" t="str">
            <v>ronghao/SwitchButton</v>
          </cell>
          <cell r="E302">
            <v>27</v>
          </cell>
          <cell r="F302">
            <v>0</v>
          </cell>
          <cell r="G302">
            <v>1</v>
          </cell>
          <cell r="H302">
            <v>803</v>
          </cell>
          <cell r="I302">
            <v>0</v>
          </cell>
          <cell r="J302">
            <v>20</v>
          </cell>
          <cell r="K302">
            <v>0</v>
          </cell>
        </row>
        <row r="303">
          <cell r="B303" t="str">
            <v>Modularized-Marvel-Showcase</v>
          </cell>
          <cell r="C303" t="str">
            <v>MayconCardoso/Modularized-Marvel-Showcase</v>
          </cell>
          <cell r="D303" t="str">
            <v>MayconCardoso/Modularized-Marvel-Showcase</v>
          </cell>
          <cell r="E303">
            <v>27</v>
          </cell>
          <cell r="F303">
            <v>0</v>
          </cell>
          <cell r="G303">
            <v>1</v>
          </cell>
          <cell r="H303">
            <v>13261</v>
          </cell>
          <cell r="I303">
            <v>0</v>
          </cell>
          <cell r="J303">
            <v>5</v>
          </cell>
          <cell r="K303">
            <v>0</v>
          </cell>
        </row>
        <row r="304">
          <cell r="B304" t="str">
            <v>GithubVisualizer</v>
          </cell>
          <cell r="C304" t="str">
            <v>dheerajkotwani/GithubVisualizer</v>
          </cell>
          <cell r="D304" t="str">
            <v>dheerajkotwani/GithubVisualizer</v>
          </cell>
          <cell r="E304">
            <v>27</v>
          </cell>
          <cell r="F304">
            <v>0</v>
          </cell>
          <cell r="G304">
            <v>1</v>
          </cell>
          <cell r="H304">
            <v>10508</v>
          </cell>
          <cell r="I304">
            <v>24</v>
          </cell>
          <cell r="J304">
            <v>106</v>
          </cell>
          <cell r="K304">
            <v>1</v>
          </cell>
        </row>
        <row r="305">
          <cell r="B305" t="str">
            <v>SpoilerBlocker</v>
          </cell>
          <cell r="C305" t="str">
            <v>muthuraj57/SpoilerBlocker</v>
          </cell>
          <cell r="D305" t="str">
            <v>muthuraj57/SpoilerBlocker</v>
          </cell>
          <cell r="E305">
            <v>27</v>
          </cell>
          <cell r="F305">
            <v>1</v>
          </cell>
          <cell r="G305">
            <v>1</v>
          </cell>
          <cell r="H305">
            <v>1497</v>
          </cell>
          <cell r="I305">
            <v>2</v>
          </cell>
          <cell r="J305">
            <v>3</v>
          </cell>
          <cell r="K305">
            <v>1</v>
          </cell>
        </row>
        <row r="306">
          <cell r="B306" t="str">
            <v>AndroidScreenShot_SysApi</v>
          </cell>
          <cell r="C306" t="str">
            <v>BruceWind/AndroidScreenShot_SysApi</v>
          </cell>
          <cell r="D306" t="str">
            <v>BruceWind/AndroidScreenShot_SysApi</v>
          </cell>
          <cell r="E306">
            <v>27</v>
          </cell>
          <cell r="F306">
            <v>2</v>
          </cell>
          <cell r="G306">
            <v>2</v>
          </cell>
          <cell r="H306">
            <v>141</v>
          </cell>
          <cell r="I306">
            <v>130</v>
          </cell>
          <cell r="J306">
            <v>674</v>
          </cell>
          <cell r="K306">
            <v>2</v>
          </cell>
        </row>
        <row r="307">
          <cell r="B307" t="str">
            <v>sealedx</v>
          </cell>
          <cell r="C307" t="str">
            <v>skydoves/sealedx</v>
          </cell>
          <cell r="D307" t="str">
            <v>skydoves/sealedx</v>
          </cell>
          <cell r="E307">
            <v>27</v>
          </cell>
          <cell r="F307">
            <v>2</v>
          </cell>
          <cell r="G307">
            <v>1</v>
          </cell>
          <cell r="H307">
            <v>251</v>
          </cell>
          <cell r="I307">
            <v>6</v>
          </cell>
          <cell r="J307">
            <v>236</v>
          </cell>
          <cell r="K307">
            <v>1</v>
          </cell>
        </row>
        <row r="308">
          <cell r="B308" t="str">
            <v>WSA-InstalledApps</v>
          </cell>
          <cell r="C308" t="str">
            <v>infinitepower18/WSA-InstalledApps</v>
          </cell>
          <cell r="D308" t="str">
            <v>infinitepower18/WSA-InstalledApps</v>
          </cell>
          <cell r="E308">
            <v>27</v>
          </cell>
          <cell r="F308">
            <v>2</v>
          </cell>
          <cell r="G308">
            <v>3</v>
          </cell>
          <cell r="H308">
            <v>275</v>
          </cell>
          <cell r="I308">
            <v>6</v>
          </cell>
          <cell r="J308">
            <v>10</v>
          </cell>
          <cell r="K308">
            <v>0</v>
          </cell>
        </row>
        <row r="309">
          <cell r="B309" t="str">
            <v>reddit-viewer</v>
          </cell>
          <cell r="C309" t="str">
            <v>gowth6m/reddit-viewer</v>
          </cell>
          <cell r="D309" t="str">
            <v>gowth6m/reddit-viewer</v>
          </cell>
          <cell r="E309">
            <v>27</v>
          </cell>
          <cell r="F309">
            <v>2</v>
          </cell>
          <cell r="G309">
            <v>1</v>
          </cell>
          <cell r="H309">
            <v>5862</v>
          </cell>
          <cell r="I309">
            <v>0</v>
          </cell>
          <cell r="J309">
            <v>1</v>
          </cell>
          <cell r="K309">
            <v>0</v>
          </cell>
        </row>
        <row r="310">
          <cell r="B310" t="str">
            <v>RickAndMorty</v>
          </cell>
          <cell r="C310" t="str">
            <v>jrodriguezva/RickAndMorty</v>
          </cell>
          <cell r="D310" t="str">
            <v>jrodriguezva/RickAndMorty</v>
          </cell>
          <cell r="E310">
            <v>27</v>
          </cell>
          <cell r="F310">
            <v>3</v>
          </cell>
          <cell r="G310">
            <v>3</v>
          </cell>
          <cell r="H310">
            <v>538</v>
          </cell>
          <cell r="I310">
            <v>1</v>
          </cell>
          <cell r="J310">
            <v>7</v>
          </cell>
          <cell r="K310">
            <v>1</v>
          </cell>
        </row>
        <row r="311">
          <cell r="B311" t="str">
            <v>Random_facts_generator</v>
          </cell>
          <cell r="C311" t="str">
            <v>vukan-markovic/Random_facts_generator</v>
          </cell>
          <cell r="D311" t="str">
            <v>vukan-markovic/Random_facts_generator</v>
          </cell>
          <cell r="E311">
            <v>27</v>
          </cell>
          <cell r="F311">
            <v>7</v>
          </cell>
          <cell r="G311">
            <v>3</v>
          </cell>
          <cell r="H311">
            <v>613</v>
          </cell>
          <cell r="I311">
            <v>0</v>
          </cell>
          <cell r="J311">
            <v>2</v>
          </cell>
          <cell r="K311">
            <v>0</v>
          </cell>
        </row>
        <row r="312">
          <cell r="B312" t="str">
            <v>flappybird</v>
          </cell>
          <cell r="C312" t="str">
            <v>kostasdrakonakis/flappybird</v>
          </cell>
          <cell r="D312" t="str">
            <v>kostasdrakonakis/flappybird</v>
          </cell>
          <cell r="E312">
            <v>27</v>
          </cell>
          <cell r="F312">
            <v>7</v>
          </cell>
          <cell r="G312">
            <v>2</v>
          </cell>
          <cell r="H312">
            <v>1858</v>
          </cell>
          <cell r="I312">
            <v>11</v>
          </cell>
          <cell r="J312">
            <v>18</v>
          </cell>
          <cell r="K312">
            <v>0</v>
          </cell>
        </row>
        <row r="313">
          <cell r="B313" t="str">
            <v>android-invoice-generator</v>
          </cell>
          <cell r="C313" t="str">
            <v>fidisys/android-invoice-generator</v>
          </cell>
          <cell r="D313" t="str">
            <v>fidisys/android-invoice-generator</v>
          </cell>
          <cell r="E313">
            <v>27</v>
          </cell>
          <cell r="F313">
            <v>8</v>
          </cell>
          <cell r="G313">
            <v>1</v>
          </cell>
          <cell r="H313">
            <v>259</v>
          </cell>
          <cell r="I313">
            <v>6</v>
          </cell>
          <cell r="J313">
            <v>4</v>
          </cell>
          <cell r="K313">
            <v>1</v>
          </cell>
        </row>
        <row r="314">
          <cell r="B314" t="str">
            <v>material-sudoku</v>
          </cell>
          <cell r="C314" t="str">
            <v>jdamcd/material-sudoku</v>
          </cell>
          <cell r="D314" t="str">
            <v>jdamcd/material-sudoku</v>
          </cell>
          <cell r="E314">
            <v>27</v>
          </cell>
          <cell r="F314">
            <v>10</v>
          </cell>
          <cell r="G314">
            <v>1</v>
          </cell>
          <cell r="H314">
            <v>1572</v>
          </cell>
          <cell r="I314">
            <v>19</v>
          </cell>
          <cell r="J314">
            <v>62</v>
          </cell>
          <cell r="K314">
            <v>2</v>
          </cell>
        </row>
        <row r="315">
          <cell r="B315" t="str">
            <v>labeled-range-slider</v>
          </cell>
          <cell r="C315" t="str">
            <v>a-frank/labeled-range-slider</v>
          </cell>
          <cell r="D315" t="str">
            <v>a-frank/labeled-range-slider</v>
          </cell>
          <cell r="E315">
            <v>28</v>
          </cell>
          <cell r="F315">
            <v>0</v>
          </cell>
          <cell r="G315">
            <v>1</v>
          </cell>
          <cell r="H315">
            <v>148</v>
          </cell>
          <cell r="I315">
            <v>0</v>
          </cell>
          <cell r="J315">
            <v>6</v>
          </cell>
          <cell r="K315">
            <v>0</v>
          </cell>
        </row>
        <row r="316">
          <cell r="B316" t="str">
            <v>FirebaseChatApp</v>
          </cell>
          <cell r="C316" t="str">
            <v>odaridavid/FirebaseChatApp</v>
          </cell>
          <cell r="D316" t="str">
            <v>odaridavid/FirebaseChatApp</v>
          </cell>
          <cell r="E316">
            <v>28</v>
          </cell>
          <cell r="F316">
            <v>0</v>
          </cell>
          <cell r="G316">
            <v>1</v>
          </cell>
          <cell r="H316">
            <v>416</v>
          </cell>
          <cell r="I316">
            <v>6</v>
          </cell>
          <cell r="J316">
            <v>22</v>
          </cell>
          <cell r="K316">
            <v>9</v>
          </cell>
        </row>
        <row r="317">
          <cell r="B317" t="str">
            <v>Modularized-Flicker-Showcase</v>
          </cell>
          <cell r="C317" t="str">
            <v>MayconCardoso/Modularized-Flicker-Showcase</v>
          </cell>
          <cell r="D317" t="str">
            <v>MayconCardoso/Modularized-Flicker-Showcase</v>
          </cell>
          <cell r="E317">
            <v>28</v>
          </cell>
          <cell r="F317">
            <v>0</v>
          </cell>
          <cell r="G317">
            <v>1</v>
          </cell>
          <cell r="H317">
            <v>738</v>
          </cell>
          <cell r="I317">
            <v>0</v>
          </cell>
          <cell r="J317">
            <v>2</v>
          </cell>
          <cell r="K317">
            <v>0</v>
          </cell>
        </row>
        <row r="318">
          <cell r="B318" t="str">
            <v>flutter-healthbook</v>
          </cell>
          <cell r="C318" t="str">
            <v>fuvidani/flutter-healthbook</v>
          </cell>
          <cell r="D318" t="str">
            <v>fuvidani/flutter-healthbook</v>
          </cell>
          <cell r="E318">
            <v>28</v>
          </cell>
          <cell r="F318">
            <v>0</v>
          </cell>
          <cell r="G318">
            <v>1</v>
          </cell>
          <cell r="H318">
            <v>2481</v>
          </cell>
          <cell r="I318">
            <v>5</v>
          </cell>
          <cell r="J318">
            <v>9</v>
          </cell>
          <cell r="K318">
            <v>0</v>
          </cell>
        </row>
        <row r="319">
          <cell r="B319" t="str">
            <v>TraceX</v>
          </cell>
          <cell r="C319" t="str">
            <v>rommansabbir/TraceX</v>
          </cell>
          <cell r="D319" t="str">
            <v>rommansabbir/TraceX</v>
          </cell>
          <cell r="E319">
            <v>28</v>
          </cell>
          <cell r="F319">
            <v>2</v>
          </cell>
          <cell r="G319">
            <v>1</v>
          </cell>
          <cell r="H319">
            <v>159</v>
          </cell>
          <cell r="I319">
            <v>1</v>
          </cell>
          <cell r="J319">
            <v>7</v>
          </cell>
          <cell r="K319">
            <v>0</v>
          </cell>
        </row>
        <row r="320">
          <cell r="B320" t="str">
            <v>TookIt</v>
          </cell>
          <cell r="C320" t="str">
            <v>sarafanshul/TookIt</v>
          </cell>
          <cell r="D320" t="str">
            <v>sarafanshul/TookIt</v>
          </cell>
          <cell r="E320">
            <v>28</v>
          </cell>
          <cell r="F320">
            <v>2</v>
          </cell>
          <cell r="G320">
            <v>1</v>
          </cell>
          <cell r="H320">
            <v>10200</v>
          </cell>
          <cell r="I320">
            <v>1</v>
          </cell>
          <cell r="J320">
            <v>2</v>
          </cell>
          <cell r="K320">
            <v>0</v>
          </cell>
        </row>
        <row r="321">
          <cell r="B321" t="str">
            <v>quick-calculation</v>
          </cell>
          <cell r="C321" t="str">
            <v>SubhamTyagi/quick-calculation</v>
          </cell>
          <cell r="D321" t="str">
            <v>SubhamTyagi/quick-calculation</v>
          </cell>
          <cell r="E321">
            <v>28</v>
          </cell>
          <cell r="F321">
            <v>3</v>
          </cell>
          <cell r="G321">
            <v>3</v>
          </cell>
          <cell r="H321">
            <v>732</v>
          </cell>
          <cell r="I321">
            <v>6</v>
          </cell>
          <cell r="J321">
            <v>11</v>
          </cell>
          <cell r="K321">
            <v>3</v>
          </cell>
        </row>
        <row r="322">
          <cell r="B322" t="str">
            <v>mpp-kotlin</v>
          </cell>
          <cell r="C322" t="str">
            <v>rafaeltoledo/mpp-kotlin</v>
          </cell>
          <cell r="D322" t="str">
            <v>rafaeltoledo/mpp-kotlin</v>
          </cell>
          <cell r="E322">
            <v>28</v>
          </cell>
          <cell r="F322">
            <v>3</v>
          </cell>
          <cell r="G322">
            <v>2</v>
          </cell>
          <cell r="H322">
            <v>977</v>
          </cell>
          <cell r="I322">
            <v>1</v>
          </cell>
          <cell r="J322">
            <v>9</v>
          </cell>
          <cell r="K322">
            <v>0</v>
          </cell>
        </row>
        <row r="323">
          <cell r="B323" t="str">
            <v>Car-Server</v>
          </cell>
          <cell r="C323" t="str">
            <v>Shenggan/Car-Server</v>
          </cell>
          <cell r="D323" t="str">
            <v>Shenggan/Car-Server</v>
          </cell>
          <cell r="E323">
            <v>28</v>
          </cell>
          <cell r="F323">
            <v>4</v>
          </cell>
          <cell r="G323">
            <v>2</v>
          </cell>
          <cell r="H323">
            <v>660</v>
          </cell>
          <cell r="I323">
            <v>9</v>
          </cell>
          <cell r="J323">
            <v>11</v>
          </cell>
          <cell r="K323">
            <v>1</v>
          </cell>
        </row>
        <row r="324">
          <cell r="B324" t="str">
            <v>SegmentedArcView</v>
          </cell>
          <cell r="C324" t="str">
            <v>edgar-zigis/SegmentedArcView</v>
          </cell>
          <cell r="D324" t="str">
            <v>edgar-zigis/SegmentedArcView</v>
          </cell>
          <cell r="E324">
            <v>28</v>
          </cell>
          <cell r="F324">
            <v>11</v>
          </cell>
          <cell r="G324">
            <v>2</v>
          </cell>
          <cell r="H324">
            <v>885</v>
          </cell>
          <cell r="I324">
            <v>5</v>
          </cell>
          <cell r="J324">
            <v>95</v>
          </cell>
          <cell r="K324">
            <v>0</v>
          </cell>
        </row>
        <row r="325">
          <cell r="B325" t="str">
            <v>MealMania</v>
          </cell>
          <cell r="C325" t="str">
            <v>hifeful/MealMania</v>
          </cell>
          <cell r="D325" t="str">
            <v>hifeful/MealMania</v>
          </cell>
          <cell r="E325">
            <v>29</v>
          </cell>
          <cell r="F325">
            <v>0</v>
          </cell>
          <cell r="G325">
            <v>1</v>
          </cell>
          <cell r="H325">
            <v>205</v>
          </cell>
          <cell r="I325">
            <v>0</v>
          </cell>
          <cell r="J325">
            <v>1</v>
          </cell>
          <cell r="K325">
            <v>0</v>
          </cell>
        </row>
        <row r="326">
          <cell r="B326" t="str">
            <v>TVRemotePlay</v>
          </cell>
          <cell r="C326" t="str">
            <v>dodohua/TVRemotePlay</v>
          </cell>
          <cell r="D326" t="str">
            <v>dodohua/TVRemotePlay</v>
          </cell>
          <cell r="E326">
            <v>29</v>
          </cell>
          <cell r="F326">
            <v>0</v>
          </cell>
          <cell r="G326">
            <v>1</v>
          </cell>
          <cell r="H326">
            <v>23006</v>
          </cell>
          <cell r="I326">
            <v>33</v>
          </cell>
          <cell r="J326">
            <v>31</v>
          </cell>
          <cell r="K326">
            <v>5</v>
          </cell>
        </row>
        <row r="327">
          <cell r="B327" t="str">
            <v>spi</v>
          </cell>
          <cell r="C327" t="str">
            <v>afirez/spi</v>
          </cell>
          <cell r="D327" t="str">
            <v>afirez/spi</v>
          </cell>
          <cell r="E327">
            <v>29</v>
          </cell>
          <cell r="F327">
            <v>0</v>
          </cell>
          <cell r="G327">
            <v>1</v>
          </cell>
          <cell r="H327">
            <v>4931</v>
          </cell>
          <cell r="I327">
            <v>3</v>
          </cell>
          <cell r="J327">
            <v>17</v>
          </cell>
          <cell r="K327">
            <v>1</v>
          </cell>
        </row>
        <row r="328">
          <cell r="B328" t="str">
            <v>Mutify</v>
          </cell>
          <cell r="C328" t="str">
            <v>teekamsuthar/Mutify</v>
          </cell>
          <cell r="D328" t="str">
            <v>teekamsuthar/Mutify</v>
          </cell>
          <cell r="E328">
            <v>29</v>
          </cell>
          <cell r="F328">
            <v>3</v>
          </cell>
          <cell r="G328">
            <v>3</v>
          </cell>
          <cell r="H328">
            <v>994</v>
          </cell>
          <cell r="I328">
            <v>17</v>
          </cell>
          <cell r="J328">
            <v>59</v>
          </cell>
          <cell r="K328">
            <v>6</v>
          </cell>
        </row>
        <row r="329">
          <cell r="B329" t="str">
            <v>AppFeedback-android</v>
          </cell>
          <cell r="C329" t="str">
            <v>yahoojapan/AppFeedback-android</v>
          </cell>
          <cell r="D329" t="str">
            <v>yahoojapan/AppFeedback-android</v>
          </cell>
          <cell r="E329">
            <v>29</v>
          </cell>
          <cell r="F329">
            <v>4</v>
          </cell>
          <cell r="G329">
            <v>1</v>
          </cell>
          <cell r="H329">
            <v>2137</v>
          </cell>
          <cell r="I329">
            <v>6</v>
          </cell>
          <cell r="J329">
            <v>20</v>
          </cell>
          <cell r="K329">
            <v>2</v>
          </cell>
        </row>
        <row r="330">
          <cell r="B330" t="str">
            <v>af-pay</v>
          </cell>
          <cell r="C330" t="str">
            <v>Jamling/af-pay</v>
          </cell>
          <cell r="D330" t="str">
            <v>Jamling/af-pay</v>
          </cell>
          <cell r="E330">
            <v>29</v>
          </cell>
          <cell r="F330">
            <v>4</v>
          </cell>
          <cell r="G330">
            <v>2</v>
          </cell>
          <cell r="H330">
            <v>3651</v>
          </cell>
          <cell r="I330">
            <v>22</v>
          </cell>
          <cell r="J330">
            <v>108</v>
          </cell>
          <cell r="K330">
            <v>0</v>
          </cell>
        </row>
        <row r="331">
          <cell r="B331" t="str">
            <v>euphony-hub-collector</v>
          </cell>
          <cell r="C331" t="str">
            <v>euphony-io/euphony-hub-collector</v>
          </cell>
          <cell r="D331" t="str">
            <v>euphony-io/euphony-hub-collector</v>
          </cell>
          <cell r="E331">
            <v>29</v>
          </cell>
          <cell r="F331">
            <v>21</v>
          </cell>
          <cell r="G331">
            <v>6</v>
          </cell>
          <cell r="H331">
            <v>174</v>
          </cell>
          <cell r="I331">
            <v>7</v>
          </cell>
          <cell r="J331">
            <v>4</v>
          </cell>
          <cell r="K331">
            <v>7</v>
          </cell>
        </row>
        <row r="332">
          <cell r="B332" t="str">
            <v>native</v>
          </cell>
          <cell r="C332" t="str">
            <v>staart/native</v>
          </cell>
          <cell r="D332" t="str">
            <v>staart/native</v>
          </cell>
          <cell r="E332">
            <v>29</v>
          </cell>
          <cell r="F332">
            <v>27</v>
          </cell>
          <cell r="G332">
            <v>3</v>
          </cell>
          <cell r="H332">
            <v>1333</v>
          </cell>
          <cell r="I332">
            <v>13</v>
          </cell>
          <cell r="J332">
            <v>10</v>
          </cell>
          <cell r="K332">
            <v>19</v>
          </cell>
        </row>
        <row r="333">
          <cell r="B333" t="str">
            <v>Semantic</v>
          </cell>
          <cell r="C333" t="str">
            <v>abd3lraouf/Semantic</v>
          </cell>
          <cell r="D333" t="str">
            <v>abd3lraouf/Semantic</v>
          </cell>
          <cell r="E333">
            <v>29</v>
          </cell>
          <cell r="F333">
            <v>60</v>
          </cell>
          <cell r="G333">
            <v>2</v>
          </cell>
          <cell r="H333">
            <v>740</v>
          </cell>
          <cell r="I333">
            <v>0</v>
          </cell>
          <cell r="J333">
            <v>9</v>
          </cell>
          <cell r="K333">
            <v>10</v>
          </cell>
        </row>
        <row r="334">
          <cell r="B334" t="str">
            <v>LevelProgressBar</v>
          </cell>
          <cell r="C334" t="str">
            <v>rezaiyan/LevelProgressBar</v>
          </cell>
          <cell r="D334" t="str">
            <v>rezaiyan/LevelProgressBar</v>
          </cell>
          <cell r="E334">
            <v>30</v>
          </cell>
          <cell r="F334">
            <v>0</v>
          </cell>
          <cell r="G334">
            <v>1</v>
          </cell>
          <cell r="H334">
            <v>4880</v>
          </cell>
          <cell r="I334">
            <v>9</v>
          </cell>
          <cell r="J334">
            <v>69</v>
          </cell>
          <cell r="K334">
            <v>0</v>
          </cell>
        </row>
        <row r="335">
          <cell r="B335" t="str">
            <v>Flutter-Movie</v>
          </cell>
          <cell r="C335" t="str">
            <v>yash786agg/Flutter-Movie</v>
          </cell>
          <cell r="D335" t="str">
            <v>yash786agg/Flutter-Movie</v>
          </cell>
          <cell r="E335">
            <v>30</v>
          </cell>
          <cell r="F335">
            <v>0</v>
          </cell>
          <cell r="G335">
            <v>1</v>
          </cell>
          <cell r="H335">
            <v>28930</v>
          </cell>
          <cell r="I335">
            <v>3</v>
          </cell>
          <cell r="J335">
            <v>6</v>
          </cell>
          <cell r="K335">
            <v>0</v>
          </cell>
        </row>
        <row r="336">
          <cell r="B336" t="str">
            <v>GoLearning</v>
          </cell>
          <cell r="C336" t="str">
            <v>Johan-Palacios/GoLearning</v>
          </cell>
          <cell r="D336" t="str">
            <v>Johan-Palacios/GoLearning</v>
          </cell>
          <cell r="E336">
            <v>30</v>
          </cell>
          <cell r="F336">
            <v>1</v>
          </cell>
          <cell r="G336">
            <v>1</v>
          </cell>
          <cell r="H336">
            <v>41180</v>
          </cell>
          <cell r="I336">
            <v>0</v>
          </cell>
          <cell r="J336">
            <v>2</v>
          </cell>
          <cell r="K336">
            <v>0</v>
          </cell>
        </row>
        <row r="337">
          <cell r="B337" t="str">
            <v>SkyWayClient</v>
          </cell>
          <cell r="C337" t="str">
            <v>Takahana/SkyWayClient</v>
          </cell>
          <cell r="D337" t="str">
            <v>Takahana/SkyWayClient</v>
          </cell>
          <cell r="E337">
            <v>30</v>
          </cell>
          <cell r="F337">
            <v>4</v>
          </cell>
          <cell r="G337">
            <v>1</v>
          </cell>
          <cell r="H337">
            <v>171</v>
          </cell>
          <cell r="I337">
            <v>0</v>
          </cell>
          <cell r="J337">
            <v>1</v>
          </cell>
          <cell r="K337">
            <v>1</v>
          </cell>
        </row>
        <row r="338">
          <cell r="B338" t="str">
            <v>JsonViewer</v>
          </cell>
          <cell r="C338" t="str">
            <v>smuyyh/JsonViewer</v>
          </cell>
          <cell r="D338" t="str">
            <v>smuyyh/JsonViewer</v>
          </cell>
          <cell r="E338">
            <v>30</v>
          </cell>
          <cell r="F338">
            <v>5</v>
          </cell>
          <cell r="G338">
            <v>3</v>
          </cell>
          <cell r="H338">
            <v>323</v>
          </cell>
          <cell r="I338">
            <v>51</v>
          </cell>
          <cell r="J338">
            <v>165</v>
          </cell>
          <cell r="K338">
            <v>2</v>
          </cell>
        </row>
        <row r="339">
          <cell r="B339" t="str">
            <v>clarifai-android-starter</v>
          </cell>
          <cell r="C339" t="str">
            <v>Clarifai/clarifai-android-starter</v>
          </cell>
          <cell r="D339" t="str">
            <v>Clarifai/clarifai-android-starter</v>
          </cell>
          <cell r="E339">
            <v>30</v>
          </cell>
          <cell r="F339">
            <v>8</v>
          </cell>
          <cell r="G339">
            <v>6</v>
          </cell>
          <cell r="H339">
            <v>153</v>
          </cell>
          <cell r="I339">
            <v>33</v>
          </cell>
          <cell r="J339">
            <v>37</v>
          </cell>
          <cell r="K339">
            <v>1</v>
          </cell>
        </row>
        <row r="340">
          <cell r="B340" t="str">
            <v>karma</v>
          </cell>
          <cell r="C340" t="str">
            <v>esafirm/karma</v>
          </cell>
          <cell r="D340" t="str">
            <v>esafirm/karma</v>
          </cell>
          <cell r="E340">
            <v>30</v>
          </cell>
          <cell r="F340">
            <v>8</v>
          </cell>
          <cell r="G340">
            <v>1</v>
          </cell>
          <cell r="H340">
            <v>236</v>
          </cell>
          <cell r="I340">
            <v>0</v>
          </cell>
          <cell r="J340">
            <v>9</v>
          </cell>
          <cell r="K340">
            <v>0</v>
          </cell>
        </row>
        <row r="341">
          <cell r="B341" t="str">
            <v>fast-face-android</v>
          </cell>
          <cell r="C341" t="str">
            <v>gicheonkang/fast-face-android</v>
          </cell>
          <cell r="D341" t="str">
            <v>gicheonkang/fast-face-android</v>
          </cell>
          <cell r="E341">
            <v>31</v>
          </cell>
          <cell r="F341">
            <v>0</v>
          </cell>
          <cell r="G341">
            <v>1</v>
          </cell>
          <cell r="H341">
            <v>177893</v>
          </cell>
          <cell r="I341">
            <v>132</v>
          </cell>
          <cell r="J341">
            <v>377</v>
          </cell>
          <cell r="K341">
            <v>4</v>
          </cell>
        </row>
        <row r="342">
          <cell r="B342" t="str">
            <v>OpenCookieClicker</v>
          </cell>
          <cell r="C342" t="str">
            <v>fym35/OpenCookieClicker</v>
          </cell>
          <cell r="D342" t="str">
            <v>fym35/OpenCookieClicker</v>
          </cell>
          <cell r="E342">
            <v>31</v>
          </cell>
          <cell r="F342">
            <v>1</v>
          </cell>
          <cell r="G342">
            <v>1</v>
          </cell>
          <cell r="H342">
            <v>337</v>
          </cell>
          <cell r="I342">
            <v>2</v>
          </cell>
          <cell r="J342">
            <v>1</v>
          </cell>
          <cell r="K342">
            <v>0</v>
          </cell>
        </row>
        <row r="343">
          <cell r="B343" t="str">
            <v>leihen</v>
          </cell>
          <cell r="C343" t="str">
            <v>gruessung/leihen</v>
          </cell>
          <cell r="D343" t="str">
            <v>gruessung/leihen</v>
          </cell>
          <cell r="E343">
            <v>31</v>
          </cell>
          <cell r="F343">
            <v>1</v>
          </cell>
          <cell r="G343">
            <v>1</v>
          </cell>
          <cell r="H343">
            <v>6481</v>
          </cell>
          <cell r="I343">
            <v>0</v>
          </cell>
          <cell r="J343">
            <v>3</v>
          </cell>
          <cell r="K343">
            <v>4</v>
          </cell>
        </row>
        <row r="344">
          <cell r="B344" t="str">
            <v>premiumer</v>
          </cell>
          <cell r="C344" t="str">
            <v>tslamic/premiumer</v>
          </cell>
          <cell r="D344" t="str">
            <v>tslamic/premiumer</v>
          </cell>
          <cell r="E344">
            <v>31</v>
          </cell>
          <cell r="F344">
            <v>2</v>
          </cell>
          <cell r="G344">
            <v>2</v>
          </cell>
          <cell r="H344">
            <v>150</v>
          </cell>
          <cell r="I344">
            <v>22</v>
          </cell>
          <cell r="J344">
            <v>154</v>
          </cell>
          <cell r="K344">
            <v>2</v>
          </cell>
        </row>
        <row r="345">
          <cell r="B345" t="str">
            <v>ExpenseTracker</v>
          </cell>
          <cell r="C345" t="str">
            <v>clementgarbay/ExpenseTracker</v>
          </cell>
          <cell r="D345" t="str">
            <v>clementgarbay/ExpenseTracker</v>
          </cell>
          <cell r="E345">
            <v>31</v>
          </cell>
          <cell r="F345">
            <v>3</v>
          </cell>
          <cell r="G345">
            <v>2</v>
          </cell>
          <cell r="H345">
            <v>187</v>
          </cell>
          <cell r="I345">
            <v>2</v>
          </cell>
          <cell r="J345">
            <v>1</v>
          </cell>
          <cell r="K345">
            <v>1</v>
          </cell>
        </row>
        <row r="346">
          <cell r="B346" t="str">
            <v>WallpaperExport</v>
          </cell>
          <cell r="C346" t="str">
            <v>cvzi/WallpaperExport</v>
          </cell>
          <cell r="D346" t="str">
            <v>cvzi/WallpaperExport</v>
          </cell>
          <cell r="E346">
            <v>31</v>
          </cell>
          <cell r="F346">
            <v>4</v>
          </cell>
          <cell r="G346">
            <v>3</v>
          </cell>
          <cell r="H346">
            <v>231</v>
          </cell>
          <cell r="I346">
            <v>0</v>
          </cell>
          <cell r="J346">
            <v>9</v>
          </cell>
          <cell r="K346">
            <v>0</v>
          </cell>
        </row>
        <row r="347">
          <cell r="B347" t="str">
            <v>SpWaitKiller</v>
          </cell>
          <cell r="C347" t="str">
            <v>Knight-ZXW/SpWaitKiller</v>
          </cell>
          <cell r="D347" t="str">
            <v>Knight-ZXW/SpWaitKiller</v>
          </cell>
          <cell r="E347">
            <v>31</v>
          </cell>
          <cell r="F347">
            <v>5</v>
          </cell>
          <cell r="G347">
            <v>2</v>
          </cell>
          <cell r="H347">
            <v>132</v>
          </cell>
          <cell r="I347">
            <v>6</v>
          </cell>
          <cell r="J347">
            <v>50</v>
          </cell>
          <cell r="K347">
            <v>0</v>
          </cell>
        </row>
        <row r="348">
          <cell r="B348" t="str">
            <v>MathView</v>
          </cell>
          <cell r="C348" t="str">
            <v>Nishant-Pathak/MathView</v>
          </cell>
          <cell r="D348" t="str">
            <v>Nishant-Pathak/MathView</v>
          </cell>
          <cell r="E348">
            <v>31</v>
          </cell>
          <cell r="F348">
            <v>7</v>
          </cell>
          <cell r="G348">
            <v>3</v>
          </cell>
          <cell r="H348">
            <v>3128</v>
          </cell>
          <cell r="I348">
            <v>21</v>
          </cell>
          <cell r="J348">
            <v>83</v>
          </cell>
          <cell r="K348">
            <v>4</v>
          </cell>
        </row>
        <row r="349">
          <cell r="B349" t="str">
            <v>Smilodon</v>
          </cell>
          <cell r="C349" t="str">
            <v>Matrix159/Smilodon</v>
          </cell>
          <cell r="D349" t="str">
            <v>joshing-dev/Smilodon</v>
          </cell>
          <cell r="E349">
            <v>31</v>
          </cell>
          <cell r="F349">
            <v>9</v>
          </cell>
          <cell r="G349">
            <v>2</v>
          </cell>
          <cell r="H349">
            <v>268</v>
          </cell>
          <cell r="I349">
            <v>0</v>
          </cell>
          <cell r="J349">
            <v>2</v>
          </cell>
          <cell r="K349">
            <v>6</v>
          </cell>
        </row>
        <row r="350">
          <cell r="B350" t="str">
            <v>TicTacToe</v>
          </cell>
          <cell r="C350" t="str">
            <v>BorisGautier/TicTacToe</v>
          </cell>
          <cell r="D350" t="str">
            <v>BorisGautier/TicTacToe</v>
          </cell>
          <cell r="E350">
            <v>31</v>
          </cell>
          <cell r="F350">
            <v>11</v>
          </cell>
          <cell r="G350">
            <v>1</v>
          </cell>
          <cell r="H350">
            <v>9783</v>
          </cell>
          <cell r="I350">
            <v>0</v>
          </cell>
          <cell r="J350">
            <v>1</v>
          </cell>
          <cell r="K350">
            <v>0</v>
          </cell>
        </row>
        <row r="351">
          <cell r="B351" t="str">
            <v>yggdrasil-android</v>
          </cell>
          <cell r="C351" t="str">
            <v>yggdrasil-network/yggdrasil-android</v>
          </cell>
          <cell r="D351" t="str">
            <v>yggdrasil-network/yggdrasil-android</v>
          </cell>
          <cell r="E351">
            <v>31</v>
          </cell>
          <cell r="F351">
            <v>19</v>
          </cell>
          <cell r="G351">
            <v>7</v>
          </cell>
          <cell r="H351">
            <v>11635</v>
          </cell>
          <cell r="I351">
            <v>14</v>
          </cell>
          <cell r="J351">
            <v>78</v>
          </cell>
          <cell r="K351">
            <v>12</v>
          </cell>
        </row>
        <row r="352">
          <cell r="B352" t="str">
            <v>sa-android</v>
          </cell>
          <cell r="C352" t="str">
            <v>njitdev/sa-android</v>
          </cell>
          <cell r="D352" t="str">
            <v>njitdev/sa-android</v>
          </cell>
          <cell r="E352">
            <v>31</v>
          </cell>
          <cell r="F352">
            <v>30</v>
          </cell>
          <cell r="G352">
            <v>3</v>
          </cell>
          <cell r="H352">
            <v>335</v>
          </cell>
          <cell r="I352">
            <v>0</v>
          </cell>
          <cell r="J352">
            <v>3</v>
          </cell>
          <cell r="K352">
            <v>5</v>
          </cell>
        </row>
        <row r="353">
          <cell r="B353" t="str">
            <v>kNOw-Corona</v>
          </cell>
          <cell r="C353" t="str">
            <v>pradeeshmp/kNOw-Corona</v>
          </cell>
          <cell r="D353" t="str">
            <v>pradeeshmp/kNOw-Corona</v>
          </cell>
          <cell r="E353">
            <v>32</v>
          </cell>
          <cell r="F353">
            <v>0</v>
          </cell>
          <cell r="G353">
            <v>1</v>
          </cell>
          <cell r="H353">
            <v>13549</v>
          </cell>
          <cell r="I353">
            <v>5</v>
          </cell>
          <cell r="J353">
            <v>14</v>
          </cell>
          <cell r="K353">
            <v>0</v>
          </cell>
        </row>
        <row r="354">
          <cell r="B354" t="str">
            <v>LuaDroid</v>
          </cell>
          <cell r="C354" t="str">
            <v>jie-meng/LuaDroid</v>
          </cell>
          <cell r="D354" t="str">
            <v>jie-meng/LuaDroid</v>
          </cell>
          <cell r="E354">
            <v>32</v>
          </cell>
          <cell r="F354">
            <v>0</v>
          </cell>
          <cell r="G354">
            <v>1</v>
          </cell>
          <cell r="H354">
            <v>4966</v>
          </cell>
          <cell r="I354">
            <v>1</v>
          </cell>
          <cell r="J354">
            <v>6</v>
          </cell>
          <cell r="K354">
            <v>0</v>
          </cell>
        </row>
        <row r="355">
          <cell r="B355" t="str">
            <v>aap-juce-frequalizer</v>
          </cell>
          <cell r="C355" t="str">
            <v>atsushieno/aap-juce-frequalizer</v>
          </cell>
          <cell r="D355" t="str">
            <v>atsushieno/aap-juce-frequalizer</v>
          </cell>
          <cell r="E355">
            <v>32</v>
          </cell>
          <cell r="F355">
            <v>0</v>
          </cell>
          <cell r="G355">
            <v>1</v>
          </cell>
          <cell r="H355">
            <v>102</v>
          </cell>
          <cell r="I355">
            <v>0</v>
          </cell>
          <cell r="J355">
            <v>1</v>
          </cell>
          <cell r="K355">
            <v>0</v>
          </cell>
        </row>
        <row r="356">
          <cell r="B356" t="str">
            <v>NotiCap</v>
          </cell>
          <cell r="C356" t="str">
            <v>SapuSeven/NotiCap</v>
          </cell>
          <cell r="D356" t="str">
            <v>SapuSeven/NotiCap</v>
          </cell>
          <cell r="E356">
            <v>32</v>
          </cell>
          <cell r="F356">
            <v>1</v>
          </cell>
          <cell r="G356">
            <v>1</v>
          </cell>
          <cell r="H356">
            <v>1796</v>
          </cell>
          <cell r="I356">
            <v>1</v>
          </cell>
          <cell r="J356">
            <v>2</v>
          </cell>
          <cell r="K356">
            <v>0</v>
          </cell>
        </row>
        <row r="357">
          <cell r="B357" t="str">
            <v>Bindapter</v>
          </cell>
          <cell r="C357" t="str">
            <v>silmood/Bindapter</v>
          </cell>
          <cell r="D357" t="str">
            <v>silmood/Bindapter</v>
          </cell>
          <cell r="E357">
            <v>32</v>
          </cell>
          <cell r="F357">
            <v>1</v>
          </cell>
          <cell r="G357">
            <v>1</v>
          </cell>
          <cell r="H357">
            <v>2468</v>
          </cell>
          <cell r="I357">
            <v>2</v>
          </cell>
          <cell r="J357">
            <v>19</v>
          </cell>
          <cell r="K357">
            <v>2</v>
          </cell>
        </row>
        <row r="358">
          <cell r="B358" t="str">
            <v>BatteryTile</v>
          </cell>
          <cell r="C358" t="str">
            <v>CominAtYou/BatteryTile</v>
          </cell>
          <cell r="D358" t="str">
            <v>CominAtYou/BatteryTile</v>
          </cell>
          <cell r="E358">
            <v>32</v>
          </cell>
          <cell r="F358">
            <v>2</v>
          </cell>
          <cell r="G358">
            <v>4</v>
          </cell>
          <cell r="H358">
            <v>145</v>
          </cell>
          <cell r="I358">
            <v>0</v>
          </cell>
          <cell r="J358">
            <v>6</v>
          </cell>
          <cell r="K358">
            <v>1</v>
          </cell>
        </row>
        <row r="359">
          <cell r="B359" t="str">
            <v>motorsport-circuits</v>
          </cell>
          <cell r="C359" t="str">
            <v>noln/motorsport-circuits</v>
          </cell>
          <cell r="D359" t="str">
            <v>noln/motorsport-circuits</v>
          </cell>
          <cell r="E359">
            <v>32</v>
          </cell>
          <cell r="F359">
            <v>6</v>
          </cell>
          <cell r="G359">
            <v>1</v>
          </cell>
          <cell r="H359">
            <v>478</v>
          </cell>
          <cell r="I359">
            <v>1</v>
          </cell>
          <cell r="J359">
            <v>1</v>
          </cell>
          <cell r="K359">
            <v>0</v>
          </cell>
        </row>
        <row r="360">
          <cell r="B360" t="str">
            <v>SingleFileScalableLasagnaApplication</v>
          </cell>
          <cell r="C360" t="str">
            <v>KotlinersKt/SingleFileScalableLasagnaApplication</v>
          </cell>
          <cell r="D360" t="str">
            <v>KotlinersKt/SingleFileScalableLasagnaApplication</v>
          </cell>
          <cell r="E360">
            <v>32</v>
          </cell>
          <cell r="F360">
            <v>11</v>
          </cell>
          <cell r="G360">
            <v>3</v>
          </cell>
          <cell r="H360">
            <v>3563</v>
          </cell>
          <cell r="I360">
            <v>3</v>
          </cell>
          <cell r="J360">
            <v>2</v>
          </cell>
          <cell r="K360">
            <v>0</v>
          </cell>
        </row>
        <row r="361">
          <cell r="B361" t="str">
            <v>churrascometro</v>
          </cell>
          <cell r="C361" t="str">
            <v>robertoduessmann/churrascometro</v>
          </cell>
          <cell r="D361" t="str">
            <v>robertoduessmann/churrascometro</v>
          </cell>
          <cell r="E361">
            <v>32</v>
          </cell>
          <cell r="F361">
            <v>12</v>
          </cell>
          <cell r="G361">
            <v>5</v>
          </cell>
          <cell r="H361">
            <v>205</v>
          </cell>
          <cell r="I361">
            <v>5</v>
          </cell>
          <cell r="J361">
            <v>4</v>
          </cell>
          <cell r="K361">
            <v>2</v>
          </cell>
        </row>
        <row r="362">
          <cell r="B362" t="str">
            <v>lastcaller</v>
          </cell>
          <cell r="C362" t="str">
            <v>dinosaurwithakatana/lastcaller</v>
          </cell>
          <cell r="D362" t="str">
            <v>dinosaurwithakatana/lastcaller</v>
          </cell>
          <cell r="E362">
            <v>33</v>
          </cell>
          <cell r="F362">
            <v>0</v>
          </cell>
          <cell r="G362">
            <v>1</v>
          </cell>
          <cell r="H362">
            <v>1562</v>
          </cell>
          <cell r="I362">
            <v>4</v>
          </cell>
          <cell r="J362">
            <v>4</v>
          </cell>
          <cell r="K362">
            <v>0</v>
          </cell>
        </row>
        <row r="363">
          <cell r="B363" t="str">
            <v>tinyritro</v>
          </cell>
          <cell r="C363" t="str">
            <v>hotstu/tinyritro</v>
          </cell>
          <cell r="D363" t="str">
            <v>hotstu/tinyritro</v>
          </cell>
          <cell r="E363">
            <v>33</v>
          </cell>
          <cell r="F363">
            <v>0</v>
          </cell>
          <cell r="G363">
            <v>1</v>
          </cell>
          <cell r="H363">
            <v>191</v>
          </cell>
          <cell r="I363">
            <v>2</v>
          </cell>
          <cell r="J363">
            <v>2</v>
          </cell>
          <cell r="K363">
            <v>0</v>
          </cell>
        </row>
        <row r="364">
          <cell r="B364" t="str">
            <v>PassShout</v>
          </cell>
          <cell r="C364" t="str">
            <v>nelsonjchen/PassShout</v>
          </cell>
          <cell r="D364" t="str">
            <v>nelsonjchen/PassShout</v>
          </cell>
          <cell r="E364">
            <v>33</v>
          </cell>
          <cell r="F364">
            <v>0</v>
          </cell>
          <cell r="G364">
            <v>1</v>
          </cell>
          <cell r="H364">
            <v>2038</v>
          </cell>
          <cell r="I364">
            <v>0</v>
          </cell>
          <cell r="J364">
            <v>1</v>
          </cell>
          <cell r="K364">
            <v>0</v>
          </cell>
        </row>
        <row r="365">
          <cell r="B365" t="str">
            <v>xifan</v>
          </cell>
          <cell r="C365" t="str">
            <v>betroy/xifan</v>
          </cell>
          <cell r="D365" t="str">
            <v>betroy/xifan</v>
          </cell>
          <cell r="E365">
            <v>33</v>
          </cell>
          <cell r="F365">
            <v>0</v>
          </cell>
          <cell r="G365">
            <v>1</v>
          </cell>
          <cell r="H365">
            <v>2147</v>
          </cell>
          <cell r="I365">
            <v>19</v>
          </cell>
          <cell r="J365">
            <v>74</v>
          </cell>
          <cell r="K365">
            <v>1</v>
          </cell>
        </row>
        <row r="366">
          <cell r="B366" t="str">
            <v>ZapTap</v>
          </cell>
          <cell r="C366" t="str">
            <v>betterclever/ZapTap</v>
          </cell>
          <cell r="D366" t="str">
            <v>betterclever/ZapTap</v>
          </cell>
          <cell r="E366">
            <v>33</v>
          </cell>
          <cell r="F366">
            <v>0</v>
          </cell>
          <cell r="G366">
            <v>1</v>
          </cell>
          <cell r="H366">
            <v>3046</v>
          </cell>
          <cell r="I366">
            <v>29</v>
          </cell>
          <cell r="J366">
            <v>49</v>
          </cell>
          <cell r="K366">
            <v>4</v>
          </cell>
        </row>
        <row r="367">
          <cell r="B367" t="str">
            <v>flutter_developer_portfolio</v>
          </cell>
          <cell r="C367" t="str">
            <v>StevenChege/flutter_developer_portfolio</v>
          </cell>
          <cell r="D367" t="str">
            <v>StevenChege/flutter_developer_portfolio</v>
          </cell>
          <cell r="E367">
            <v>33</v>
          </cell>
          <cell r="F367">
            <v>0</v>
          </cell>
          <cell r="G367">
            <v>2</v>
          </cell>
          <cell r="H367">
            <v>21426</v>
          </cell>
          <cell r="I367">
            <v>1</v>
          </cell>
          <cell r="J367">
            <v>2</v>
          </cell>
          <cell r="K367">
            <v>0</v>
          </cell>
        </row>
        <row r="368">
          <cell r="B368" t="str">
            <v>pdd-flow</v>
          </cell>
          <cell r="C368" t="str">
            <v>GianpaMX/pdd-flow</v>
          </cell>
          <cell r="D368" t="str">
            <v>GianpaMX/pdd-flow</v>
          </cell>
          <cell r="E368">
            <v>33</v>
          </cell>
          <cell r="F368">
            <v>1</v>
          </cell>
          <cell r="G368">
            <v>2</v>
          </cell>
          <cell r="H368">
            <v>273</v>
          </cell>
          <cell r="I368">
            <v>1</v>
          </cell>
          <cell r="J368">
            <v>3</v>
          </cell>
          <cell r="K368">
            <v>0</v>
          </cell>
        </row>
        <row r="369">
          <cell r="B369" t="str">
            <v>hair-segmentation</v>
          </cell>
          <cell r="C369" t="str">
            <v>thangtran480/hair-segmentation</v>
          </cell>
          <cell r="D369" t="str">
            <v>thangtran480/hair-segmentation</v>
          </cell>
          <cell r="E369">
            <v>33</v>
          </cell>
          <cell r="F369">
            <v>2</v>
          </cell>
          <cell r="G369">
            <v>2</v>
          </cell>
          <cell r="H369">
            <v>272011</v>
          </cell>
          <cell r="I369">
            <v>66</v>
          </cell>
          <cell r="J369">
            <v>227</v>
          </cell>
          <cell r="K369">
            <v>3</v>
          </cell>
        </row>
        <row r="370">
          <cell r="B370" t="str">
            <v>TimeLineView</v>
          </cell>
          <cell r="C370" t="str">
            <v>jerryOkafor/TimeLineView</v>
          </cell>
          <cell r="D370" t="str">
            <v>jerryOkafor/TimeLineView</v>
          </cell>
          <cell r="E370">
            <v>33</v>
          </cell>
          <cell r="F370">
            <v>3</v>
          </cell>
          <cell r="G370">
            <v>3</v>
          </cell>
          <cell r="H370">
            <v>2033</v>
          </cell>
          <cell r="I370">
            <v>43</v>
          </cell>
          <cell r="J370">
            <v>355</v>
          </cell>
          <cell r="K370">
            <v>0</v>
          </cell>
        </row>
        <row r="371">
          <cell r="B371" t="str">
            <v>Dictionary</v>
          </cell>
          <cell r="C371" t="str">
            <v>ragvax/Dictionary</v>
          </cell>
          <cell r="D371" t="str">
            <v>ragvax/Dictionary</v>
          </cell>
          <cell r="E371">
            <v>33</v>
          </cell>
          <cell r="F371">
            <v>6</v>
          </cell>
          <cell r="G371">
            <v>1</v>
          </cell>
          <cell r="H371">
            <v>992</v>
          </cell>
          <cell r="I371">
            <v>1</v>
          </cell>
          <cell r="J371">
            <v>15</v>
          </cell>
          <cell r="K371">
            <v>0</v>
          </cell>
        </row>
        <row r="372">
          <cell r="B372" t="str">
            <v>Epoch</v>
          </cell>
          <cell r="C372" t="str">
            <v>Spikeysanju/Epoch</v>
          </cell>
          <cell r="D372" t="str">
            <v>Spikeysanju/Epoch</v>
          </cell>
          <cell r="E372">
            <v>33</v>
          </cell>
          <cell r="F372">
            <v>9</v>
          </cell>
          <cell r="G372">
            <v>1</v>
          </cell>
          <cell r="H372">
            <v>776</v>
          </cell>
          <cell r="I372">
            <v>13</v>
          </cell>
          <cell r="J372">
            <v>70</v>
          </cell>
          <cell r="K372">
            <v>0</v>
          </cell>
        </row>
        <row r="373">
          <cell r="B373" t="str">
            <v>Trippo-The_Travel_Guide</v>
          </cell>
          <cell r="C373" t="str">
            <v>nuhkoca/Trippo-The_Travel_Guide</v>
          </cell>
          <cell r="D373" t="str">
            <v>nuhkoca/Trippo-The_Travel_Guide</v>
          </cell>
          <cell r="E373">
            <v>33</v>
          </cell>
          <cell r="F373">
            <v>18</v>
          </cell>
          <cell r="G373">
            <v>1</v>
          </cell>
          <cell r="H373">
            <v>3774</v>
          </cell>
          <cell r="I373">
            <v>8</v>
          </cell>
          <cell r="J373">
            <v>29</v>
          </cell>
          <cell r="K373">
            <v>0</v>
          </cell>
        </row>
        <row r="374">
          <cell r="B374" t="str">
            <v>markdownr</v>
          </cell>
          <cell r="C374" t="str">
            <v>sanzoghenzo/markdownr</v>
          </cell>
          <cell r="D374" t="str">
            <v>sanzoghenzo/markdownr</v>
          </cell>
          <cell r="E374">
            <v>33</v>
          </cell>
          <cell r="F374">
            <v>30</v>
          </cell>
          <cell r="G374">
            <v>4</v>
          </cell>
          <cell r="H374">
            <v>168</v>
          </cell>
          <cell r="I374">
            <v>4</v>
          </cell>
          <cell r="J374">
            <v>49</v>
          </cell>
          <cell r="K374">
            <v>6</v>
          </cell>
        </row>
        <row r="375">
          <cell r="B375" t="str">
            <v>hilt-sandbox</v>
          </cell>
          <cell r="C375" t="str">
            <v>rafaeltoledo/hilt-sandbox</v>
          </cell>
          <cell r="D375" t="str">
            <v>rafaeltoledo/hilt-sandbox</v>
          </cell>
          <cell r="E375">
            <v>34</v>
          </cell>
          <cell r="F375">
            <v>0</v>
          </cell>
          <cell r="G375">
            <v>1</v>
          </cell>
          <cell r="H375">
            <v>265</v>
          </cell>
          <cell r="I375">
            <v>0</v>
          </cell>
          <cell r="J375">
            <v>2</v>
          </cell>
          <cell r="K375">
            <v>0</v>
          </cell>
        </row>
        <row r="376">
          <cell r="B376" t="str">
            <v>flutter-social</v>
          </cell>
          <cell r="C376" t="str">
            <v>jeroenouw/flutter-social</v>
          </cell>
          <cell r="D376" t="str">
            <v>jeroenouw/flutter-social</v>
          </cell>
          <cell r="E376">
            <v>34</v>
          </cell>
          <cell r="F376">
            <v>0</v>
          </cell>
          <cell r="G376">
            <v>1</v>
          </cell>
          <cell r="H376">
            <v>476</v>
          </cell>
          <cell r="I376">
            <v>3</v>
          </cell>
          <cell r="J376">
            <v>4</v>
          </cell>
          <cell r="K376">
            <v>0</v>
          </cell>
        </row>
        <row r="377">
          <cell r="B377" t="str">
            <v>ImagePicker</v>
          </cell>
          <cell r="C377" t="str">
            <v>tikivn/ImagePicker</v>
          </cell>
          <cell r="D377" t="str">
            <v>tikivn/ImagePicker</v>
          </cell>
          <cell r="E377">
            <v>34</v>
          </cell>
          <cell r="F377">
            <v>1</v>
          </cell>
          <cell r="G377">
            <v>2</v>
          </cell>
          <cell r="H377">
            <v>181</v>
          </cell>
          <cell r="I377">
            <v>0</v>
          </cell>
          <cell r="J377">
            <v>1</v>
          </cell>
          <cell r="K377">
            <v>0</v>
          </cell>
        </row>
        <row r="378">
          <cell r="B378" t="str">
            <v>Humanizer</v>
          </cell>
          <cell r="C378" t="str">
            <v>pratikvar/Humanizer</v>
          </cell>
          <cell r="D378" t="str">
            <v>pratikvar/Humanizer</v>
          </cell>
          <cell r="E378">
            <v>34</v>
          </cell>
          <cell r="F378">
            <v>1</v>
          </cell>
          <cell r="G378">
            <v>1</v>
          </cell>
          <cell r="H378">
            <v>181</v>
          </cell>
          <cell r="I378">
            <v>2</v>
          </cell>
          <cell r="J378">
            <v>8</v>
          </cell>
          <cell r="K378">
            <v>1</v>
          </cell>
        </row>
        <row r="379">
          <cell r="B379" t="str">
            <v>BeeShell</v>
          </cell>
          <cell r="C379" t="str">
            <v>zhanghai/BeeShell</v>
          </cell>
          <cell r="D379" t="str">
            <v>zhanghai/BeeShell</v>
          </cell>
          <cell r="E379">
            <v>34</v>
          </cell>
          <cell r="F379">
            <v>1</v>
          </cell>
          <cell r="G379">
            <v>1</v>
          </cell>
          <cell r="H379">
            <v>370</v>
          </cell>
          <cell r="I379">
            <v>2</v>
          </cell>
          <cell r="J379">
            <v>78</v>
          </cell>
          <cell r="K379">
            <v>0</v>
          </cell>
        </row>
        <row r="380">
          <cell r="B380" t="str">
            <v>stock-browser</v>
          </cell>
          <cell r="C380" t="str">
            <v>jurajkusnier/stock-browser</v>
          </cell>
          <cell r="D380" t="str">
            <v>jurajkusnier/stock-browser</v>
          </cell>
          <cell r="E380">
            <v>34</v>
          </cell>
          <cell r="F380">
            <v>1</v>
          </cell>
          <cell r="G380">
            <v>1</v>
          </cell>
          <cell r="H380">
            <v>12934</v>
          </cell>
          <cell r="I380">
            <v>3</v>
          </cell>
          <cell r="J380">
            <v>24</v>
          </cell>
          <cell r="K380">
            <v>0</v>
          </cell>
        </row>
        <row r="381">
          <cell r="B381" t="str">
            <v>NotiNotes</v>
          </cell>
          <cell r="C381" t="str">
            <v>Yanndroid/NotiNotes</v>
          </cell>
          <cell r="D381" t="str">
            <v>Yanndroid/NotiNotes</v>
          </cell>
          <cell r="E381">
            <v>34</v>
          </cell>
          <cell r="F381">
            <v>2</v>
          </cell>
          <cell r="G381">
            <v>2</v>
          </cell>
          <cell r="H381">
            <v>28687</v>
          </cell>
          <cell r="I381">
            <v>2</v>
          </cell>
          <cell r="J381">
            <v>28</v>
          </cell>
          <cell r="K381">
            <v>8</v>
          </cell>
        </row>
        <row r="382">
          <cell r="B382" t="str">
            <v>WordPress-App-with-Flutter</v>
          </cell>
          <cell r="C382" t="str">
            <v>atiqsamtia/WordPress-App-with-Flutter</v>
          </cell>
          <cell r="D382" t="str">
            <v>atiqsamtia/WordPress-App-with-Flutter</v>
          </cell>
          <cell r="E382">
            <v>34</v>
          </cell>
          <cell r="F382">
            <v>4</v>
          </cell>
          <cell r="G382">
            <v>3</v>
          </cell>
          <cell r="H382">
            <v>5337</v>
          </cell>
          <cell r="I382">
            <v>71</v>
          </cell>
          <cell r="J382">
            <v>157</v>
          </cell>
          <cell r="K382">
            <v>3</v>
          </cell>
        </row>
        <row r="383">
          <cell r="B383" t="str">
            <v>Mercy-Emotion-SNS</v>
          </cell>
          <cell r="C383" t="str">
            <v>mercy-project/Mercy-Emotion-SNS</v>
          </cell>
          <cell r="D383" t="str">
            <v>mercy-project/Mercy-Emotion-SNS</v>
          </cell>
          <cell r="E383">
            <v>34</v>
          </cell>
          <cell r="F383">
            <v>4</v>
          </cell>
          <cell r="G383">
            <v>2</v>
          </cell>
          <cell r="H383">
            <v>7464</v>
          </cell>
          <cell r="I383">
            <v>2</v>
          </cell>
          <cell r="J383">
            <v>1</v>
          </cell>
          <cell r="K383">
            <v>0</v>
          </cell>
        </row>
        <row r="384">
          <cell r="B384" t="str">
            <v>watermaniac</v>
          </cell>
          <cell r="C384" t="str">
            <v>artur-ios-dev/watermaniac</v>
          </cell>
          <cell r="D384" t="str">
            <v>artur-ios-dev/watermaniac</v>
          </cell>
          <cell r="E384">
            <v>34</v>
          </cell>
          <cell r="F384">
            <v>8</v>
          </cell>
          <cell r="G384">
            <v>3</v>
          </cell>
          <cell r="H384">
            <v>4818</v>
          </cell>
          <cell r="I384">
            <v>59</v>
          </cell>
          <cell r="J384">
            <v>161</v>
          </cell>
          <cell r="K384">
            <v>9</v>
          </cell>
        </row>
        <row r="385">
          <cell r="B385" t="str">
            <v>android-notification-converter</v>
          </cell>
          <cell r="C385" t="str">
            <v>hugokiehl/android-notification-converter</v>
          </cell>
          <cell r="D385" t="str">
            <v>hugokiehl/android-notification-converter</v>
          </cell>
          <cell r="E385">
            <v>34</v>
          </cell>
          <cell r="F385">
            <v>9</v>
          </cell>
          <cell r="G385">
            <v>1</v>
          </cell>
          <cell r="H385">
            <v>6731</v>
          </cell>
          <cell r="I385">
            <v>2</v>
          </cell>
          <cell r="J385">
            <v>4</v>
          </cell>
          <cell r="K385">
            <v>2</v>
          </cell>
        </row>
        <row r="386">
          <cell r="B386" t="str">
            <v>BTLE-Scanner-Compat</v>
          </cell>
          <cell r="C386" t="str">
            <v>ToxicBakery/BTLE-Scanner-Compat</v>
          </cell>
          <cell r="D386" t="str">
            <v>ToxicBakery/BTLE-Scanner-Compat</v>
          </cell>
          <cell r="E386">
            <v>34</v>
          </cell>
          <cell r="F386">
            <v>12</v>
          </cell>
          <cell r="G386">
            <v>1</v>
          </cell>
          <cell r="H386">
            <v>171</v>
          </cell>
          <cell r="I386">
            <v>3</v>
          </cell>
          <cell r="J386">
            <v>2</v>
          </cell>
          <cell r="K386">
            <v>1</v>
          </cell>
        </row>
        <row r="387">
          <cell r="B387" t="str">
            <v>ssh-daemon</v>
          </cell>
          <cell r="C387" t="str">
            <v>jazzm0/ssh-daemon</v>
          </cell>
          <cell r="D387" t="str">
            <v>jazzm0/ssh-daemon</v>
          </cell>
          <cell r="E387">
            <v>34</v>
          </cell>
          <cell r="F387">
            <v>25</v>
          </cell>
          <cell r="G387">
            <v>7</v>
          </cell>
          <cell r="H387">
            <v>2436</v>
          </cell>
          <cell r="I387">
            <v>6</v>
          </cell>
          <cell r="J387">
            <v>25</v>
          </cell>
          <cell r="K387">
            <v>5</v>
          </cell>
        </row>
        <row r="388">
          <cell r="B388" t="str">
            <v>hunters</v>
          </cell>
          <cell r="C388" t="str">
            <v>mboukadir/hunters</v>
          </cell>
          <cell r="D388" t="str">
            <v>mboukadir/hunters</v>
          </cell>
          <cell r="E388">
            <v>34</v>
          </cell>
          <cell r="F388">
            <v>34</v>
          </cell>
          <cell r="G388">
            <v>1</v>
          </cell>
          <cell r="H388">
            <v>12268</v>
          </cell>
          <cell r="I388">
            <v>0</v>
          </cell>
          <cell r="J388">
            <v>5</v>
          </cell>
          <cell r="K388">
            <v>0</v>
          </cell>
        </row>
        <row r="389">
          <cell r="B389" t="str">
            <v>flutter-hackernews</v>
          </cell>
          <cell r="C389" t="str">
            <v>sreejithbnaick/flutter-hackernews</v>
          </cell>
          <cell r="D389" t="str">
            <v>sreejithbnaick/flutter-hackernews</v>
          </cell>
          <cell r="E389">
            <v>35</v>
          </cell>
          <cell r="F389">
            <v>0</v>
          </cell>
          <cell r="G389">
            <v>3</v>
          </cell>
          <cell r="H389">
            <v>273</v>
          </cell>
          <cell r="I389">
            <v>0</v>
          </cell>
          <cell r="J389">
            <v>4</v>
          </cell>
          <cell r="K389">
            <v>0</v>
          </cell>
        </row>
        <row r="390">
          <cell r="B390" t="str">
            <v>simple-counter</v>
          </cell>
          <cell r="C390" t="str">
            <v>odaridavid/simple-counter</v>
          </cell>
          <cell r="D390" t="str">
            <v>odaridavid/simple-counter</v>
          </cell>
          <cell r="E390">
            <v>35</v>
          </cell>
          <cell r="F390">
            <v>0</v>
          </cell>
          <cell r="G390">
            <v>1</v>
          </cell>
          <cell r="H390">
            <v>1573</v>
          </cell>
          <cell r="I390">
            <v>1</v>
          </cell>
          <cell r="J390">
            <v>5</v>
          </cell>
          <cell r="K390">
            <v>3</v>
          </cell>
        </row>
        <row r="391">
          <cell r="B391" t="str">
            <v>Latticify</v>
          </cell>
          <cell r="C391" t="str">
            <v>TonnyL/Latticify</v>
          </cell>
          <cell r="D391" t="str">
            <v>TonnyL/Latticify</v>
          </cell>
          <cell r="E391">
            <v>35</v>
          </cell>
          <cell r="F391">
            <v>0</v>
          </cell>
          <cell r="G391">
            <v>1</v>
          </cell>
          <cell r="H391">
            <v>1661</v>
          </cell>
          <cell r="I391">
            <v>4</v>
          </cell>
          <cell r="J391">
            <v>42</v>
          </cell>
          <cell r="K391">
            <v>2</v>
          </cell>
        </row>
        <row r="392">
          <cell r="B392" t="str">
            <v>Microsphere</v>
          </cell>
          <cell r="C392" t="str">
            <v>linzuzeng/Microsphere</v>
          </cell>
          <cell r="D392" t="str">
            <v>linzuzeng/Microsphere</v>
          </cell>
          <cell r="E392">
            <v>35</v>
          </cell>
          <cell r="F392">
            <v>0</v>
          </cell>
          <cell r="G392">
            <v>1</v>
          </cell>
          <cell r="H392">
            <v>122251</v>
          </cell>
          <cell r="I392">
            <v>0</v>
          </cell>
          <cell r="J392">
            <v>5</v>
          </cell>
          <cell r="K392">
            <v>0</v>
          </cell>
        </row>
        <row r="393">
          <cell r="B393" t="str">
            <v>ProgressableImageView</v>
          </cell>
          <cell r="C393" t="str">
            <v>gungoren/ProgressableImageView</v>
          </cell>
          <cell r="D393" t="str">
            <v>gungoren/ProgressableImageView</v>
          </cell>
          <cell r="E393">
            <v>35</v>
          </cell>
          <cell r="F393">
            <v>1</v>
          </cell>
          <cell r="G393">
            <v>1</v>
          </cell>
          <cell r="H393">
            <v>24377</v>
          </cell>
          <cell r="I393">
            <v>6</v>
          </cell>
          <cell r="J393">
            <v>87</v>
          </cell>
          <cell r="K393">
            <v>0</v>
          </cell>
        </row>
        <row r="394">
          <cell r="B394" t="str">
            <v>TheNounProject</v>
          </cell>
          <cell r="C394" t="str">
            <v>graviton57/TheNounProject</v>
          </cell>
          <cell r="D394" t="str">
            <v>graviton57/TheNounProject</v>
          </cell>
          <cell r="E394">
            <v>35</v>
          </cell>
          <cell r="F394">
            <v>1</v>
          </cell>
          <cell r="G394">
            <v>1</v>
          </cell>
          <cell r="H394">
            <v>787</v>
          </cell>
          <cell r="I394">
            <v>1</v>
          </cell>
          <cell r="J394">
            <v>7</v>
          </cell>
          <cell r="K394">
            <v>0</v>
          </cell>
        </row>
        <row r="395">
          <cell r="B395" t="str">
            <v>SpannableX</v>
          </cell>
          <cell r="C395" t="str">
            <v>TxcA/SpannableX</v>
          </cell>
          <cell r="D395" t="str">
            <v>TxcA/SpannableX</v>
          </cell>
          <cell r="E395">
            <v>35</v>
          </cell>
          <cell r="F395">
            <v>1</v>
          </cell>
          <cell r="G395">
            <v>2</v>
          </cell>
          <cell r="H395">
            <v>2875</v>
          </cell>
          <cell r="I395">
            <v>3</v>
          </cell>
          <cell r="J395">
            <v>65</v>
          </cell>
          <cell r="K395">
            <v>2</v>
          </cell>
        </row>
        <row r="396">
          <cell r="B396" t="str">
            <v>Music-Player</v>
          </cell>
          <cell r="C396" t="str">
            <v>Hash-Studios/Music-Player</v>
          </cell>
          <cell r="D396" t="str">
            <v>Hash-Studios/Music-Player</v>
          </cell>
          <cell r="E396">
            <v>35</v>
          </cell>
          <cell r="F396">
            <v>2</v>
          </cell>
          <cell r="G396">
            <v>2</v>
          </cell>
          <cell r="H396">
            <v>132755</v>
          </cell>
          <cell r="I396">
            <v>7</v>
          </cell>
          <cell r="J396">
            <v>15</v>
          </cell>
          <cell r="K396">
            <v>2</v>
          </cell>
        </row>
        <row r="397">
          <cell r="B397" t="str">
            <v>PreferencesExtension</v>
          </cell>
          <cell r="C397" t="str">
            <v>Jintin/PreferencesExtension</v>
          </cell>
          <cell r="D397" t="str">
            <v>Jintin/PreferencesExtension</v>
          </cell>
          <cell r="E397">
            <v>35</v>
          </cell>
          <cell r="F397">
            <v>9</v>
          </cell>
          <cell r="G397">
            <v>1</v>
          </cell>
          <cell r="H397">
            <v>190</v>
          </cell>
          <cell r="I397">
            <v>0</v>
          </cell>
          <cell r="J397">
            <v>9</v>
          </cell>
          <cell r="K397">
            <v>0</v>
          </cell>
        </row>
        <row r="398">
          <cell r="B398" t="str">
            <v>jumpdontdie</v>
          </cell>
          <cell r="C398" t="str">
            <v>danirod/jumpdontdie</v>
          </cell>
          <cell r="D398" t="str">
            <v>danirod/jumpdontdie</v>
          </cell>
          <cell r="E398">
            <v>35</v>
          </cell>
          <cell r="F398">
            <v>39</v>
          </cell>
          <cell r="G398">
            <v>4</v>
          </cell>
          <cell r="H398">
            <v>5938</v>
          </cell>
          <cell r="I398">
            <v>30</v>
          </cell>
          <cell r="J398">
            <v>49</v>
          </cell>
          <cell r="K398">
            <v>3</v>
          </cell>
        </row>
        <row r="399">
          <cell r="B399" t="str">
            <v>CovidToday-Android</v>
          </cell>
          <cell r="C399" t="str">
            <v>tinacious/CovidToday-Android</v>
          </cell>
          <cell r="D399" t="str">
            <v>tinacious/CovidToday-Android</v>
          </cell>
          <cell r="E399">
            <v>36</v>
          </cell>
          <cell r="F399">
            <v>0</v>
          </cell>
          <cell r="G399">
            <v>1</v>
          </cell>
          <cell r="H399">
            <v>440</v>
          </cell>
          <cell r="I399">
            <v>0</v>
          </cell>
          <cell r="J399">
            <v>1</v>
          </cell>
          <cell r="K399">
            <v>2</v>
          </cell>
        </row>
        <row r="400">
          <cell r="B400" t="str">
            <v>Logcat</v>
          </cell>
          <cell r="C400" t="str">
            <v>getActivity/Logcat</v>
          </cell>
          <cell r="D400" t="str">
            <v>getActivity/Logcat</v>
          </cell>
          <cell r="E400">
            <v>36</v>
          </cell>
          <cell r="F400">
            <v>0</v>
          </cell>
          <cell r="G400">
            <v>2</v>
          </cell>
          <cell r="H400">
            <v>50088</v>
          </cell>
          <cell r="I400">
            <v>71</v>
          </cell>
          <cell r="J400">
            <v>578</v>
          </cell>
          <cell r="K400">
            <v>1</v>
          </cell>
        </row>
        <row r="401">
          <cell r="B401" t="str">
            <v>CodeBlitzApp</v>
          </cell>
          <cell r="C401" t="str">
            <v>skas-labs/CodeBlitzApp</v>
          </cell>
          <cell r="D401" t="str">
            <v>skas-labs/CodeBlitzApp</v>
          </cell>
          <cell r="E401">
            <v>36</v>
          </cell>
          <cell r="F401">
            <v>1</v>
          </cell>
          <cell r="G401">
            <v>1</v>
          </cell>
          <cell r="H401">
            <v>702</v>
          </cell>
          <cell r="I401">
            <v>0</v>
          </cell>
          <cell r="J401">
            <v>2</v>
          </cell>
          <cell r="K401">
            <v>0</v>
          </cell>
        </row>
        <row r="402">
          <cell r="B402" t="str">
            <v>imagesearcher</v>
          </cell>
          <cell r="C402" t="str">
            <v>OHermesJunior/imagesearcher</v>
          </cell>
          <cell r="D402" t="str">
            <v>OHermesJunior/imagesearcher</v>
          </cell>
          <cell r="E402">
            <v>36</v>
          </cell>
          <cell r="F402">
            <v>1</v>
          </cell>
          <cell r="G402">
            <v>1</v>
          </cell>
          <cell r="H402">
            <v>2941</v>
          </cell>
          <cell r="I402">
            <v>2</v>
          </cell>
          <cell r="J402">
            <v>8</v>
          </cell>
          <cell r="K402">
            <v>4</v>
          </cell>
        </row>
        <row r="403">
          <cell r="B403" t="str">
            <v>you-coach-you</v>
          </cell>
          <cell r="C403" t="str">
            <v>aabeling/you-coach-you</v>
          </cell>
          <cell r="D403" t="str">
            <v>aabeling/you-coach-you</v>
          </cell>
          <cell r="E403">
            <v>36</v>
          </cell>
          <cell r="F403">
            <v>1</v>
          </cell>
          <cell r="G403">
            <v>1</v>
          </cell>
          <cell r="H403">
            <v>5248</v>
          </cell>
          <cell r="I403">
            <v>0</v>
          </cell>
          <cell r="J403">
            <v>1</v>
          </cell>
          <cell r="K403">
            <v>0</v>
          </cell>
        </row>
        <row r="404">
          <cell r="B404" t="str">
            <v>mypetsage</v>
          </cell>
          <cell r="C404" t="str">
            <v>peternijssen/mypetsage</v>
          </cell>
          <cell r="D404" t="str">
            <v>peternijssen/mypetsage</v>
          </cell>
          <cell r="E404">
            <v>36</v>
          </cell>
          <cell r="F404">
            <v>1</v>
          </cell>
          <cell r="G404">
            <v>2</v>
          </cell>
          <cell r="H404">
            <v>6218</v>
          </cell>
          <cell r="I404">
            <v>1</v>
          </cell>
          <cell r="J404">
            <v>2</v>
          </cell>
          <cell r="K404">
            <v>0</v>
          </cell>
        </row>
        <row r="405">
          <cell r="B405" t="str">
            <v>Sentry</v>
          </cell>
          <cell r="C405" t="str">
            <v>x13a/Sentry</v>
          </cell>
          <cell r="D405" t="str">
            <v>x13a/Sentry</v>
          </cell>
          <cell r="E405">
            <v>36</v>
          </cell>
          <cell r="F405">
            <v>2</v>
          </cell>
          <cell r="G405">
            <v>2</v>
          </cell>
          <cell r="H405">
            <v>703</v>
          </cell>
          <cell r="I405">
            <v>7</v>
          </cell>
          <cell r="J405">
            <v>69</v>
          </cell>
          <cell r="K405">
            <v>11</v>
          </cell>
        </row>
        <row r="406">
          <cell r="B406" t="str">
            <v>interfast</v>
          </cell>
          <cell r="C406" t="str">
            <v>Husseinfo/interfast</v>
          </cell>
          <cell r="D406" t="str">
            <v>Husseinfo/interfast</v>
          </cell>
          <cell r="E406">
            <v>36</v>
          </cell>
          <cell r="F406">
            <v>2</v>
          </cell>
          <cell r="G406">
            <v>2</v>
          </cell>
          <cell r="H406">
            <v>2330</v>
          </cell>
          <cell r="I406">
            <v>1</v>
          </cell>
          <cell r="J406">
            <v>7</v>
          </cell>
          <cell r="K406">
            <v>1</v>
          </cell>
        </row>
        <row r="407">
          <cell r="B407" t="str">
            <v>open2share</v>
          </cell>
          <cell r="C407" t="str">
            <v>linesoft2/open2share</v>
          </cell>
          <cell r="D407" t="str">
            <v>linesoft2/open2share</v>
          </cell>
          <cell r="E407">
            <v>36</v>
          </cell>
          <cell r="F407">
            <v>3</v>
          </cell>
          <cell r="G407">
            <v>5</v>
          </cell>
          <cell r="H407">
            <v>12019</v>
          </cell>
          <cell r="I407">
            <v>38</v>
          </cell>
          <cell r="J407">
            <v>486</v>
          </cell>
          <cell r="K407">
            <v>5</v>
          </cell>
        </row>
        <row r="408">
          <cell r="B408" t="str">
            <v>share-my-number</v>
          </cell>
          <cell r="C408" t="str">
            <v>characterdog/share-my-number</v>
          </cell>
          <cell r="D408" t="str">
            <v>characterdog/share-my-number</v>
          </cell>
          <cell r="E408">
            <v>36</v>
          </cell>
          <cell r="F408">
            <v>8</v>
          </cell>
          <cell r="G408">
            <v>2</v>
          </cell>
          <cell r="H408">
            <v>2257</v>
          </cell>
          <cell r="I408">
            <v>7</v>
          </cell>
          <cell r="J408">
            <v>22</v>
          </cell>
          <cell r="K408">
            <v>10</v>
          </cell>
        </row>
        <row r="409">
          <cell r="B409" t="str">
            <v>GitExplorer-Android</v>
          </cell>
          <cell r="C409" t="str">
            <v>Shashank02051997/GitExplorer-Android</v>
          </cell>
          <cell r="D409" t="str">
            <v>Shashank02051997/GitExplorer-Android</v>
          </cell>
          <cell r="E409">
            <v>36</v>
          </cell>
          <cell r="F409">
            <v>58</v>
          </cell>
          <cell r="G409">
            <v>2</v>
          </cell>
          <cell r="H409">
            <v>3612</v>
          </cell>
          <cell r="I409">
            <v>22</v>
          </cell>
          <cell r="J409">
            <v>127</v>
          </cell>
          <cell r="K409">
            <v>6</v>
          </cell>
        </row>
        <row r="410">
          <cell r="B410" t="str">
            <v>MotionLock</v>
          </cell>
          <cell r="C410" t="str">
            <v>Divested-Mobile/MotionLock</v>
          </cell>
          <cell r="D410" t="str">
            <v>Divested-Mobile/MotionLock</v>
          </cell>
          <cell r="E410">
            <v>37</v>
          </cell>
          <cell r="F410">
            <v>0</v>
          </cell>
          <cell r="G410">
            <v>6</v>
          </cell>
          <cell r="H410">
            <v>619</v>
          </cell>
          <cell r="I410">
            <v>2</v>
          </cell>
          <cell r="J410">
            <v>8</v>
          </cell>
          <cell r="K410">
            <v>0</v>
          </cell>
        </row>
        <row r="411">
          <cell r="B411" t="str">
            <v>Sudoku</v>
          </cell>
          <cell r="C411" t="str">
            <v>Yanndroid/Sudoku</v>
          </cell>
          <cell r="D411" t="str">
            <v>Yanndroid/Sudoku</v>
          </cell>
          <cell r="E411">
            <v>37</v>
          </cell>
          <cell r="F411">
            <v>0</v>
          </cell>
          <cell r="G411">
            <v>1</v>
          </cell>
          <cell r="H411">
            <v>38429</v>
          </cell>
          <cell r="I411">
            <v>1</v>
          </cell>
          <cell r="J411">
            <v>13</v>
          </cell>
          <cell r="K411">
            <v>0</v>
          </cell>
        </row>
        <row r="412">
          <cell r="B412" t="str">
            <v>piano-tiles-clone</v>
          </cell>
          <cell r="C412" t="str">
            <v>amirisback/piano-tiles-clone</v>
          </cell>
          <cell r="D412" t="str">
            <v>amirisback/piano-tiles-clone</v>
          </cell>
          <cell r="E412">
            <v>37</v>
          </cell>
          <cell r="F412">
            <v>0</v>
          </cell>
          <cell r="G412">
            <v>1</v>
          </cell>
          <cell r="H412">
            <v>11233</v>
          </cell>
          <cell r="I412">
            <v>3</v>
          </cell>
          <cell r="J412">
            <v>9</v>
          </cell>
          <cell r="K412">
            <v>0</v>
          </cell>
        </row>
        <row r="413">
          <cell r="B413" t="str">
            <v>cyirc-mobile</v>
          </cell>
          <cell r="C413" t="str">
            <v>Shillos/cyirc-mobile</v>
          </cell>
          <cell r="D413" t="str">
            <v>Shillos/cyirc-mobile</v>
          </cell>
          <cell r="E413">
            <v>37</v>
          </cell>
          <cell r="F413">
            <v>1</v>
          </cell>
          <cell r="G413">
            <v>1</v>
          </cell>
          <cell r="H413">
            <v>1842</v>
          </cell>
          <cell r="I413">
            <v>2</v>
          </cell>
          <cell r="J413">
            <v>2</v>
          </cell>
          <cell r="K413">
            <v>0</v>
          </cell>
        </row>
        <row r="414">
          <cell r="B414" t="str">
            <v>best-seller-book-app</v>
          </cell>
          <cell r="C414" t="str">
            <v>ichsanulalifwan/best-seller-book-app</v>
          </cell>
          <cell r="D414" t="str">
            <v>ichsanulalifwan/best-seller-book-app</v>
          </cell>
          <cell r="E414">
            <v>37</v>
          </cell>
          <cell r="F414">
            <v>2</v>
          </cell>
          <cell r="G414">
            <v>1</v>
          </cell>
          <cell r="H414">
            <v>266</v>
          </cell>
          <cell r="I414">
            <v>0</v>
          </cell>
          <cell r="J414">
            <v>1</v>
          </cell>
          <cell r="K414">
            <v>0</v>
          </cell>
        </row>
        <row r="415">
          <cell r="B415" t="str">
            <v>my-career</v>
          </cell>
          <cell r="C415" t="str">
            <v>ephelsa/my-career</v>
          </cell>
          <cell r="D415" t="str">
            <v>ephelsa/my-career</v>
          </cell>
          <cell r="E415">
            <v>37</v>
          </cell>
          <cell r="F415">
            <v>2</v>
          </cell>
          <cell r="G415">
            <v>1</v>
          </cell>
          <cell r="H415">
            <v>401</v>
          </cell>
          <cell r="I415">
            <v>0</v>
          </cell>
          <cell r="J415">
            <v>2</v>
          </cell>
          <cell r="K415">
            <v>5</v>
          </cell>
        </row>
        <row r="416">
          <cell r="B416" t="str">
            <v>GBooks</v>
          </cell>
          <cell r="C416" t="str">
            <v>gdsc-bbsbec/GBooks</v>
          </cell>
          <cell r="D416" t="str">
            <v>gdsc-bbsbec/GBooks</v>
          </cell>
          <cell r="E416">
            <v>37</v>
          </cell>
          <cell r="F416">
            <v>2</v>
          </cell>
          <cell r="G416">
            <v>6</v>
          </cell>
          <cell r="H416">
            <v>2881</v>
          </cell>
          <cell r="I416">
            <v>7</v>
          </cell>
          <cell r="J416">
            <v>12</v>
          </cell>
          <cell r="K416">
            <v>0</v>
          </cell>
        </row>
        <row r="417">
          <cell r="B417" t="str">
            <v>QiYuTkAndroid</v>
          </cell>
          <cell r="C417" t="str">
            <v>QiYuTechOrg/QiYuTkAndroid</v>
          </cell>
          <cell r="D417" t="str">
            <v>QiYuTechOrg/QiYuTkAndroid</v>
          </cell>
          <cell r="E417">
            <v>37</v>
          </cell>
          <cell r="F417">
            <v>3</v>
          </cell>
          <cell r="G417">
            <v>1</v>
          </cell>
          <cell r="H417">
            <v>7653</v>
          </cell>
          <cell r="I417">
            <v>59</v>
          </cell>
          <cell r="J417">
            <v>86</v>
          </cell>
          <cell r="K417">
            <v>1</v>
          </cell>
        </row>
        <row r="418">
          <cell r="B418" t="str">
            <v>my_pos_android</v>
          </cell>
          <cell r="C418" t="str">
            <v>farsheel/my_pos_android</v>
          </cell>
          <cell r="D418" t="str">
            <v>farsheel/my_pos_android</v>
          </cell>
          <cell r="E418">
            <v>37</v>
          </cell>
          <cell r="F418">
            <v>7</v>
          </cell>
          <cell r="G418">
            <v>2</v>
          </cell>
          <cell r="H418">
            <v>3069</v>
          </cell>
          <cell r="I418">
            <v>1</v>
          </cell>
          <cell r="J418">
            <v>3</v>
          </cell>
          <cell r="K418">
            <v>0</v>
          </cell>
        </row>
        <row r="419">
          <cell r="B419" t="str">
            <v>flutter_permission_using_bloc</v>
          </cell>
          <cell r="C419" t="str">
            <v>NaagAlgates/flutter_permission_using_bloc</v>
          </cell>
          <cell r="D419" t="str">
            <v>NaagAlgates/flutter_permission_using_bloc</v>
          </cell>
          <cell r="E419">
            <v>37</v>
          </cell>
          <cell r="F419">
            <v>8</v>
          </cell>
          <cell r="G419">
            <v>1</v>
          </cell>
          <cell r="H419">
            <v>113</v>
          </cell>
          <cell r="I419">
            <v>1</v>
          </cell>
          <cell r="J419">
            <v>2</v>
          </cell>
          <cell r="K419">
            <v>0</v>
          </cell>
        </row>
        <row r="420">
          <cell r="B420" t="str">
            <v>club-android</v>
          </cell>
          <cell r="C420" t="str">
            <v>inu-appcenter/club-android</v>
          </cell>
          <cell r="D420" t="str">
            <v>inu-appcenter/club-android</v>
          </cell>
          <cell r="E420">
            <v>37</v>
          </cell>
          <cell r="F420">
            <v>12</v>
          </cell>
          <cell r="G420">
            <v>2</v>
          </cell>
          <cell r="H420">
            <v>1627</v>
          </cell>
          <cell r="I420">
            <v>0</v>
          </cell>
          <cell r="J420">
            <v>2</v>
          </cell>
          <cell r="K420">
            <v>1</v>
          </cell>
        </row>
        <row r="421">
          <cell r="B421" t="str">
            <v>DesignOverlay-Android</v>
          </cell>
          <cell r="C421" t="str">
            <v>Manabu-GT/DesignOverlay-Android</v>
          </cell>
          <cell r="D421" t="str">
            <v>Manabu-GT/DesignOverlay-Android</v>
          </cell>
          <cell r="E421">
            <v>37</v>
          </cell>
          <cell r="F421">
            <v>13</v>
          </cell>
          <cell r="G421">
            <v>2</v>
          </cell>
          <cell r="H421">
            <v>920</v>
          </cell>
          <cell r="I421">
            <v>28</v>
          </cell>
          <cell r="J421">
            <v>203</v>
          </cell>
          <cell r="K421">
            <v>0</v>
          </cell>
        </row>
        <row r="422">
          <cell r="B422" t="str">
            <v>IchnaeaNlpBackend</v>
          </cell>
          <cell r="C422" t="str">
            <v>microg/IchnaeaNlpBackend</v>
          </cell>
          <cell r="D422" t="str">
            <v>microg/IchnaeaNlpBackend</v>
          </cell>
          <cell r="E422">
            <v>37</v>
          </cell>
          <cell r="F422">
            <v>15</v>
          </cell>
          <cell r="G422">
            <v>8</v>
          </cell>
          <cell r="H422">
            <v>211</v>
          </cell>
          <cell r="I422">
            <v>29</v>
          </cell>
          <cell r="J422">
            <v>94</v>
          </cell>
          <cell r="K422">
            <v>21</v>
          </cell>
        </row>
        <row r="423">
          <cell r="B423" t="str">
            <v>Packman</v>
          </cell>
          <cell r="C423" t="str">
            <v>TonnyL/Packman</v>
          </cell>
          <cell r="D423" t="str">
            <v>TonnyL/Packman</v>
          </cell>
          <cell r="E423">
            <v>37</v>
          </cell>
          <cell r="F423">
            <v>18</v>
          </cell>
          <cell r="G423">
            <v>1</v>
          </cell>
          <cell r="H423">
            <v>524</v>
          </cell>
          <cell r="I423">
            <v>0</v>
          </cell>
          <cell r="J423">
            <v>7</v>
          </cell>
          <cell r="K423">
            <v>0</v>
          </cell>
        </row>
        <row r="424">
          <cell r="B424" t="str">
            <v>MobilePrism</v>
          </cell>
          <cell r="C424" t="str">
            <v>bleibdirtroy/MobilePrism</v>
          </cell>
          <cell r="D424" t="str">
            <v>bleibdirtroy/MobilePrism</v>
          </cell>
          <cell r="E424">
            <v>37</v>
          </cell>
          <cell r="F424">
            <v>21</v>
          </cell>
          <cell r="G424">
            <v>2</v>
          </cell>
          <cell r="H424">
            <v>52902</v>
          </cell>
          <cell r="I424">
            <v>1</v>
          </cell>
          <cell r="J424">
            <v>4</v>
          </cell>
          <cell r="K424">
            <v>9</v>
          </cell>
        </row>
        <row r="425">
          <cell r="B425" t="str">
            <v>RapidOcrAndroidOnnxCompose</v>
          </cell>
          <cell r="C425" t="str">
            <v>RapidAI/RapidOcrAndroidOnnxCompose</v>
          </cell>
          <cell r="D425" t="str">
            <v>RapidAI/RapidOcrAndroidOnnxCompose</v>
          </cell>
          <cell r="E425">
            <v>38</v>
          </cell>
          <cell r="F425">
            <v>0</v>
          </cell>
          <cell r="G425">
            <v>2</v>
          </cell>
          <cell r="H425">
            <v>313</v>
          </cell>
          <cell r="I425">
            <v>1</v>
          </cell>
          <cell r="J425">
            <v>5</v>
          </cell>
          <cell r="K425">
            <v>0</v>
          </cell>
        </row>
        <row r="426">
          <cell r="B426" t="str">
            <v>iconic-tab-bar</v>
          </cell>
          <cell r="C426" t="str">
            <v>bigscreen/iconic-tab-bar</v>
          </cell>
          <cell r="D426" t="str">
            <v>bigscreen/iconic-tab-bar</v>
          </cell>
          <cell r="E426">
            <v>38</v>
          </cell>
          <cell r="F426">
            <v>0</v>
          </cell>
          <cell r="G426">
            <v>1</v>
          </cell>
          <cell r="H426">
            <v>333</v>
          </cell>
          <cell r="I426">
            <v>1</v>
          </cell>
          <cell r="J426">
            <v>12</v>
          </cell>
          <cell r="K426">
            <v>0</v>
          </cell>
        </row>
        <row r="427">
          <cell r="B427" t="str">
            <v>netflix</v>
          </cell>
          <cell r="C427" t="str">
            <v>qolbudr/netflix</v>
          </cell>
          <cell r="D427" t="str">
            <v>qolbudr/netflix</v>
          </cell>
          <cell r="E427">
            <v>38</v>
          </cell>
          <cell r="F427">
            <v>0</v>
          </cell>
          <cell r="G427">
            <v>1</v>
          </cell>
          <cell r="H427">
            <v>920</v>
          </cell>
          <cell r="I427">
            <v>1</v>
          </cell>
          <cell r="J427">
            <v>5</v>
          </cell>
          <cell r="K427">
            <v>0</v>
          </cell>
        </row>
        <row r="428">
          <cell r="B428" t="str">
            <v>MeFab</v>
          </cell>
          <cell r="C428" t="str">
            <v>Hussienfahmy/MeFab</v>
          </cell>
          <cell r="D428" t="str">
            <v>Hussienfahmy/MeFab</v>
          </cell>
          <cell r="E428">
            <v>38</v>
          </cell>
          <cell r="F428">
            <v>1</v>
          </cell>
          <cell r="G428">
            <v>2</v>
          </cell>
          <cell r="H428">
            <v>5629</v>
          </cell>
          <cell r="I428">
            <v>1</v>
          </cell>
          <cell r="J428">
            <v>11</v>
          </cell>
          <cell r="K428">
            <v>0</v>
          </cell>
        </row>
        <row r="429">
          <cell r="B429" t="str">
            <v>mhabit</v>
          </cell>
          <cell r="C429" t="str">
            <v>FriesI23/mhabit</v>
          </cell>
          <cell r="D429" t="str">
            <v>FriesI23/mhabit</v>
          </cell>
          <cell r="E429">
            <v>38</v>
          </cell>
          <cell r="F429">
            <v>15</v>
          </cell>
          <cell r="G429">
            <v>19</v>
          </cell>
          <cell r="H429">
            <v>90284</v>
          </cell>
          <cell r="I429">
            <v>2</v>
          </cell>
          <cell r="J429">
            <v>76</v>
          </cell>
          <cell r="K429">
            <v>16</v>
          </cell>
        </row>
        <row r="430">
          <cell r="B430" t="str">
            <v>AndroidNotificationShowcase</v>
          </cell>
          <cell r="C430" t="str">
            <v>kobakei/AndroidNotificationShowcase</v>
          </cell>
          <cell r="D430" t="str">
            <v>kobakei/AndroidNotificationShowcase</v>
          </cell>
          <cell r="E430">
            <v>39</v>
          </cell>
          <cell r="F430">
            <v>0</v>
          </cell>
          <cell r="G430">
            <v>1</v>
          </cell>
          <cell r="H430">
            <v>194</v>
          </cell>
          <cell r="I430">
            <v>1</v>
          </cell>
          <cell r="J430">
            <v>18</v>
          </cell>
          <cell r="K430">
            <v>0</v>
          </cell>
        </row>
        <row r="431">
          <cell r="B431" t="str">
            <v>ble-starter-android</v>
          </cell>
          <cell r="C431" t="str">
            <v>PunchThrough/ble-starter-android</v>
          </cell>
          <cell r="D431" t="str">
            <v>PunchThrough/ble-starter-android</v>
          </cell>
          <cell r="E431">
            <v>39</v>
          </cell>
          <cell r="F431">
            <v>0</v>
          </cell>
          <cell r="G431">
            <v>1</v>
          </cell>
          <cell r="H431">
            <v>200</v>
          </cell>
          <cell r="I431">
            <v>81</v>
          </cell>
          <cell r="J431">
            <v>185</v>
          </cell>
          <cell r="K431">
            <v>6</v>
          </cell>
        </row>
        <row r="432">
          <cell r="B432" t="str">
            <v>devto-android</v>
          </cell>
          <cell r="C432" t="str">
            <v>androidbroadcast/devto-android</v>
          </cell>
          <cell r="D432" t="str">
            <v>androidbroadcast/devto-android</v>
          </cell>
          <cell r="E432">
            <v>39</v>
          </cell>
          <cell r="F432">
            <v>1</v>
          </cell>
          <cell r="G432">
            <v>1</v>
          </cell>
          <cell r="H432">
            <v>264</v>
          </cell>
          <cell r="I432">
            <v>4</v>
          </cell>
          <cell r="J432">
            <v>78</v>
          </cell>
          <cell r="K432">
            <v>0</v>
          </cell>
        </row>
        <row r="433">
          <cell r="B433" t="str">
            <v>MirrorDisplay</v>
          </cell>
          <cell r="C433" t="str">
            <v>elijahverdoorn/MirrorDisplay</v>
          </cell>
          <cell r="D433" t="str">
            <v>elijahverdoorn/MirrorDisplay</v>
          </cell>
          <cell r="E433">
            <v>39</v>
          </cell>
          <cell r="F433">
            <v>3</v>
          </cell>
          <cell r="G433">
            <v>1</v>
          </cell>
          <cell r="H433">
            <v>381</v>
          </cell>
          <cell r="I433">
            <v>0</v>
          </cell>
          <cell r="J433">
            <v>1</v>
          </cell>
          <cell r="K433">
            <v>4</v>
          </cell>
        </row>
        <row r="434">
          <cell r="B434" t="str">
            <v>OPMT</v>
          </cell>
          <cell r="C434" t="str">
            <v>20Nick/OPMT</v>
          </cell>
          <cell r="D434" t="str">
            <v>20Nick/OPMT</v>
          </cell>
          <cell r="E434">
            <v>39</v>
          </cell>
          <cell r="F434">
            <v>5</v>
          </cell>
          <cell r="G434">
            <v>2</v>
          </cell>
          <cell r="H434">
            <v>583</v>
          </cell>
          <cell r="I434">
            <v>1</v>
          </cell>
          <cell r="J434">
            <v>5</v>
          </cell>
          <cell r="K434">
            <v>1</v>
          </cell>
        </row>
        <row r="435">
          <cell r="B435" t="str">
            <v>Speld</v>
          </cell>
          <cell r="C435" t="str">
            <v>yogeshpaliyal/Speld</v>
          </cell>
          <cell r="D435" t="str">
            <v>yogeshpaliyal/Speld</v>
          </cell>
          <cell r="E435">
            <v>39</v>
          </cell>
          <cell r="F435">
            <v>6</v>
          </cell>
          <cell r="G435">
            <v>4</v>
          </cell>
          <cell r="H435">
            <v>310</v>
          </cell>
          <cell r="I435">
            <v>1</v>
          </cell>
          <cell r="J435">
            <v>15</v>
          </cell>
          <cell r="K435">
            <v>0</v>
          </cell>
        </row>
        <row r="436">
          <cell r="B436" t="str">
            <v>millennium-for-reddit</v>
          </cell>
          <cell r="C436" t="str">
            <v>gdickmann/millennium-for-reddit</v>
          </cell>
          <cell r="D436" t="str">
            <v>gdickmann/millennium-for-reddit</v>
          </cell>
          <cell r="E436">
            <v>39</v>
          </cell>
          <cell r="F436">
            <v>8</v>
          </cell>
          <cell r="G436">
            <v>3</v>
          </cell>
          <cell r="H436">
            <v>133</v>
          </cell>
          <cell r="I436">
            <v>3</v>
          </cell>
          <cell r="J436">
            <v>9</v>
          </cell>
          <cell r="K436">
            <v>0</v>
          </cell>
        </row>
        <row r="437">
          <cell r="B437" t="str">
            <v>XiaoxiaZhihu</v>
          </cell>
          <cell r="C437" t="str">
            <v>LiushuiXiaoxia/XiaoxiaZhihu</v>
          </cell>
          <cell r="D437" t="str">
            <v>LiushuiXiaoxia/XiaoxiaZhihu</v>
          </cell>
          <cell r="E437">
            <v>39</v>
          </cell>
          <cell r="F437">
            <v>10</v>
          </cell>
          <cell r="G437">
            <v>2</v>
          </cell>
          <cell r="H437">
            <v>1853</v>
          </cell>
          <cell r="I437">
            <v>8</v>
          </cell>
          <cell r="J437">
            <v>46</v>
          </cell>
          <cell r="K437">
            <v>0</v>
          </cell>
        </row>
        <row r="438">
          <cell r="B438" t="str">
            <v>ns-usbloader-mobile</v>
          </cell>
          <cell r="C438" t="str">
            <v>developersu/ns-usbloader-mobile</v>
          </cell>
          <cell r="D438" t="str">
            <v>developersu/ns-usbloader-mobile</v>
          </cell>
          <cell r="E438">
            <v>39</v>
          </cell>
          <cell r="F438">
            <v>11</v>
          </cell>
          <cell r="G438">
            <v>5</v>
          </cell>
          <cell r="H438">
            <v>1553</v>
          </cell>
          <cell r="I438">
            <v>18</v>
          </cell>
          <cell r="J438">
            <v>185</v>
          </cell>
          <cell r="K438">
            <v>6</v>
          </cell>
        </row>
        <row r="439">
          <cell r="B439" t="str">
            <v>KotlinAndroidBase</v>
          </cell>
          <cell r="C439" t="str">
            <v>HaneetGH/KotlinAndroidBase</v>
          </cell>
          <cell r="D439" t="str">
            <v>HaneetGH/KotlinAndroidBase</v>
          </cell>
          <cell r="E439">
            <v>39</v>
          </cell>
          <cell r="F439">
            <v>15</v>
          </cell>
          <cell r="G439">
            <v>1</v>
          </cell>
          <cell r="H439">
            <v>185</v>
          </cell>
          <cell r="I439">
            <v>6</v>
          </cell>
          <cell r="J439">
            <v>12</v>
          </cell>
          <cell r="K439">
            <v>0</v>
          </cell>
        </row>
        <row r="440">
          <cell r="B440" t="str">
            <v>Palette-Compose</v>
          </cell>
          <cell r="C440" t="str">
            <v>Akashkamble/Palette-Compose</v>
          </cell>
          <cell r="D440" t="str">
            <v>Akashkamble/Palette-Compose</v>
          </cell>
          <cell r="E440">
            <v>39</v>
          </cell>
          <cell r="F440">
            <v>16</v>
          </cell>
          <cell r="G440">
            <v>2</v>
          </cell>
          <cell r="H440">
            <v>370</v>
          </cell>
          <cell r="I440">
            <v>0</v>
          </cell>
          <cell r="J440">
            <v>3</v>
          </cell>
          <cell r="K440">
            <v>0</v>
          </cell>
        </row>
        <row r="441">
          <cell r="B441" t="str">
            <v>EasyThread</v>
          </cell>
          <cell r="C441" t="str">
            <v>yjfnypeu/EasyThread</v>
          </cell>
          <cell r="D441" t="str">
            <v>yjfnypeu/EasyThread</v>
          </cell>
          <cell r="E441">
            <v>40</v>
          </cell>
          <cell r="F441">
            <v>0</v>
          </cell>
          <cell r="G441">
            <v>1</v>
          </cell>
          <cell r="H441">
            <v>210</v>
          </cell>
          <cell r="I441">
            <v>50</v>
          </cell>
          <cell r="J441">
            <v>284</v>
          </cell>
          <cell r="K441">
            <v>2</v>
          </cell>
        </row>
        <row r="442">
          <cell r="B442" t="str">
            <v>if26-projet-android</v>
          </cell>
          <cell r="C442" t="str">
            <v>Calinou/if26-projet-android</v>
          </cell>
          <cell r="D442" t="str">
            <v>Calinou/if26-projet-android</v>
          </cell>
          <cell r="E442">
            <v>40</v>
          </cell>
          <cell r="F442">
            <v>0</v>
          </cell>
          <cell r="G442">
            <v>1</v>
          </cell>
          <cell r="H442">
            <v>309</v>
          </cell>
          <cell r="I442">
            <v>0</v>
          </cell>
          <cell r="J442">
            <v>1</v>
          </cell>
          <cell r="K442">
            <v>0</v>
          </cell>
        </row>
        <row r="443">
          <cell r="B443" t="str">
            <v>Spanly</v>
          </cell>
          <cell r="C443" t="str">
            <v>joshuadeguzman/Spanly</v>
          </cell>
          <cell r="D443" t="str">
            <v>joshuadeguzman/Spanly</v>
          </cell>
          <cell r="E443">
            <v>40</v>
          </cell>
          <cell r="F443">
            <v>0</v>
          </cell>
          <cell r="G443">
            <v>1</v>
          </cell>
          <cell r="H443">
            <v>2887</v>
          </cell>
          <cell r="I443">
            <v>6</v>
          </cell>
          <cell r="J443">
            <v>3</v>
          </cell>
          <cell r="K443">
            <v>0</v>
          </cell>
        </row>
        <row r="444">
          <cell r="B444" t="str">
            <v>Simple-Dimple-Draw</v>
          </cell>
          <cell r="C444" t="str">
            <v>l3ger0j/Simple-Dimple-Draw</v>
          </cell>
          <cell r="D444" t="str">
            <v>l3ger0j/Simple-Dimple-Draw</v>
          </cell>
          <cell r="E444">
            <v>40</v>
          </cell>
          <cell r="F444">
            <v>0</v>
          </cell>
          <cell r="G444">
            <v>1</v>
          </cell>
          <cell r="H444">
            <v>2666</v>
          </cell>
          <cell r="I444">
            <v>0</v>
          </cell>
          <cell r="J444">
            <v>1</v>
          </cell>
          <cell r="K444">
            <v>0</v>
          </cell>
        </row>
        <row r="445">
          <cell r="B445" t="str">
            <v>UnblockMusicPro_Xposed</v>
          </cell>
          <cell r="C445" t="str">
            <v>nining377/UnblockMusicPro_Xposed</v>
          </cell>
          <cell r="D445" t="str">
            <v>nining377/UnblockMusicPro_Xposed</v>
          </cell>
          <cell r="E445">
            <v>40</v>
          </cell>
          <cell r="F445">
            <v>3</v>
          </cell>
          <cell r="G445">
            <v>3</v>
          </cell>
          <cell r="H445">
            <v>30025</v>
          </cell>
          <cell r="I445">
            <v>75</v>
          </cell>
          <cell r="J445">
            <v>1478</v>
          </cell>
          <cell r="K445">
            <v>44</v>
          </cell>
        </row>
        <row r="446">
          <cell r="B446" t="str">
            <v>SnapTimePicker</v>
          </cell>
          <cell r="C446" t="str">
            <v>akexorcist/SnapTimePicker</v>
          </cell>
          <cell r="D446" t="str">
            <v>akexorcist/SnapTimePicker</v>
          </cell>
          <cell r="E446">
            <v>40</v>
          </cell>
          <cell r="F446">
            <v>9</v>
          </cell>
          <cell r="G446">
            <v>4</v>
          </cell>
          <cell r="H446">
            <v>703</v>
          </cell>
          <cell r="I446">
            <v>25</v>
          </cell>
          <cell r="J446">
            <v>121</v>
          </cell>
          <cell r="K446">
            <v>2</v>
          </cell>
        </row>
        <row r="447">
          <cell r="B447" t="str">
            <v>QuotesApp</v>
          </cell>
          <cell r="C447" t="str">
            <v>gouravkhunger/QuotesApp</v>
          </cell>
          <cell r="D447" t="str">
            <v>gouravkhunger/QuotesApp</v>
          </cell>
          <cell r="E447">
            <v>40</v>
          </cell>
          <cell r="F447">
            <v>10</v>
          </cell>
          <cell r="G447">
            <v>6</v>
          </cell>
          <cell r="H447">
            <v>2829</v>
          </cell>
          <cell r="I447">
            <v>13</v>
          </cell>
          <cell r="J447">
            <v>38</v>
          </cell>
          <cell r="K447">
            <v>3</v>
          </cell>
        </row>
        <row r="448">
          <cell r="B448" t="str">
            <v>BuddhaQuotes</v>
          </cell>
          <cell r="C448" t="str">
            <v>BanDev/BuddhaQuotes</v>
          </cell>
          <cell r="D448" t="str">
            <v>BanDev/BuddhaQuotes</v>
          </cell>
          <cell r="E448">
            <v>40</v>
          </cell>
          <cell r="F448">
            <v>134</v>
          </cell>
          <cell r="G448">
            <v>3</v>
          </cell>
          <cell r="H448">
            <v>97457</v>
          </cell>
          <cell r="I448">
            <v>16</v>
          </cell>
          <cell r="J448">
            <v>23</v>
          </cell>
          <cell r="K448">
            <v>10</v>
          </cell>
        </row>
        <row r="449">
          <cell r="B449" t="str">
            <v>WLANBackend</v>
          </cell>
          <cell r="C449" t="str">
            <v>Divested-Mobile/WLANBackend</v>
          </cell>
          <cell r="D449" t="str">
            <v>Divested-Mobile/WLANBackend</v>
          </cell>
          <cell r="E449">
            <v>41</v>
          </cell>
          <cell r="F449">
            <v>0</v>
          </cell>
          <cell r="G449">
            <v>7</v>
          </cell>
          <cell r="H449">
            <v>575</v>
          </cell>
          <cell r="I449">
            <v>2</v>
          </cell>
          <cell r="J449">
            <v>4</v>
          </cell>
          <cell r="K449">
            <v>0</v>
          </cell>
        </row>
        <row r="450">
          <cell r="B450" t="str">
            <v>CodeEditText</v>
          </cell>
          <cell r="C450" t="str">
            <v>lwjfork/CodeEditText</v>
          </cell>
          <cell r="D450" t="str">
            <v>lwjfork/CodeEditText</v>
          </cell>
          <cell r="E450">
            <v>41</v>
          </cell>
          <cell r="F450">
            <v>0</v>
          </cell>
          <cell r="G450">
            <v>1</v>
          </cell>
          <cell r="H450">
            <v>188</v>
          </cell>
          <cell r="I450">
            <v>2</v>
          </cell>
          <cell r="J450">
            <v>25</v>
          </cell>
          <cell r="K450">
            <v>3</v>
          </cell>
        </row>
        <row r="451">
          <cell r="B451" t="str">
            <v>wifiauto</v>
          </cell>
          <cell r="C451" t="str">
            <v>alexandreroman/wifiauto</v>
          </cell>
          <cell r="D451" t="str">
            <v>alexandreroman/wifiauto</v>
          </cell>
          <cell r="E451">
            <v>41</v>
          </cell>
          <cell r="F451">
            <v>1</v>
          </cell>
          <cell r="G451">
            <v>1</v>
          </cell>
          <cell r="H451">
            <v>887</v>
          </cell>
          <cell r="I451">
            <v>1</v>
          </cell>
          <cell r="J451">
            <v>6</v>
          </cell>
          <cell r="K451">
            <v>0</v>
          </cell>
        </row>
        <row r="452">
          <cell r="B452" t="str">
            <v>SmartProxy</v>
          </cell>
          <cell r="C452" t="str">
            <v>zxc111/SmartProxy</v>
          </cell>
          <cell r="D452" t="str">
            <v>zxc111/SmartProxy</v>
          </cell>
          <cell r="E452">
            <v>41</v>
          </cell>
          <cell r="F452">
            <v>4</v>
          </cell>
          <cell r="G452">
            <v>3</v>
          </cell>
          <cell r="H452">
            <v>1934</v>
          </cell>
          <cell r="I452">
            <v>7</v>
          </cell>
          <cell r="J452">
            <v>13</v>
          </cell>
          <cell r="K452">
            <v>2</v>
          </cell>
        </row>
        <row r="453">
          <cell r="B453" t="str">
            <v>Cocwallpaper-android-</v>
          </cell>
          <cell r="C453" t="str">
            <v>kavindyasinthasilva/Cocwallpaper-android-</v>
          </cell>
          <cell r="D453" t="str">
            <v>kavindyasinthasilva/Cocwallpaper-android-</v>
          </cell>
          <cell r="E453">
            <v>41</v>
          </cell>
          <cell r="F453">
            <v>4</v>
          </cell>
          <cell r="G453">
            <v>2</v>
          </cell>
          <cell r="H453">
            <v>51109</v>
          </cell>
          <cell r="I453">
            <v>7</v>
          </cell>
          <cell r="J453">
            <v>5</v>
          </cell>
          <cell r="K453">
            <v>3</v>
          </cell>
        </row>
        <row r="454">
          <cell r="B454" t="str">
            <v>AndroidKeyLogger</v>
          </cell>
          <cell r="C454" t="str">
            <v>gokulrajanpillai/AndroidKeyLogger</v>
          </cell>
          <cell r="D454" t="str">
            <v>gokulrajanpillai/AndroidKeyLogger</v>
          </cell>
          <cell r="E454">
            <v>41</v>
          </cell>
          <cell r="F454">
            <v>8</v>
          </cell>
          <cell r="G454">
            <v>1</v>
          </cell>
          <cell r="H454">
            <v>8783</v>
          </cell>
          <cell r="I454">
            <v>5</v>
          </cell>
          <cell r="J454">
            <v>14</v>
          </cell>
          <cell r="K454">
            <v>3</v>
          </cell>
        </row>
        <row r="455">
          <cell r="B455" t="str">
            <v>Android-Object-Detection</v>
          </cell>
          <cell r="C455" t="str">
            <v>tzutalin/Android-Object-Detection</v>
          </cell>
          <cell r="D455" t="str">
            <v>tzutalin/Android-Object-Detection</v>
          </cell>
          <cell r="E455">
            <v>41</v>
          </cell>
          <cell r="F455">
            <v>8</v>
          </cell>
          <cell r="G455">
            <v>1</v>
          </cell>
          <cell r="H455">
            <v>21910</v>
          </cell>
          <cell r="I455">
            <v>147</v>
          </cell>
          <cell r="J455">
            <v>301</v>
          </cell>
          <cell r="K455">
            <v>9</v>
          </cell>
        </row>
        <row r="456">
          <cell r="B456" t="str">
            <v>NumberSlidingPicker</v>
          </cell>
          <cell r="C456" t="str">
            <v>sephiroth74/NumberSlidingPicker</v>
          </cell>
          <cell r="D456" t="str">
            <v>sephiroth74/NumberSlidingPicker</v>
          </cell>
          <cell r="E456">
            <v>41</v>
          </cell>
          <cell r="F456">
            <v>9</v>
          </cell>
          <cell r="G456">
            <v>3</v>
          </cell>
          <cell r="H456">
            <v>1956</v>
          </cell>
          <cell r="I456">
            <v>53</v>
          </cell>
          <cell r="J456">
            <v>317</v>
          </cell>
          <cell r="K456">
            <v>15</v>
          </cell>
        </row>
        <row r="457">
          <cell r="B457" t="str">
            <v>listen1_mobile</v>
          </cell>
          <cell r="C457" t="str">
            <v>listen1/listen1_mobile</v>
          </cell>
          <cell r="D457" t="str">
            <v>listen1/listen1_mobile</v>
          </cell>
          <cell r="E457">
            <v>41</v>
          </cell>
          <cell r="F457">
            <v>12</v>
          </cell>
          <cell r="G457">
            <v>4</v>
          </cell>
          <cell r="H457">
            <v>530</v>
          </cell>
          <cell r="I457">
            <v>447</v>
          </cell>
          <cell r="J457">
            <v>2241</v>
          </cell>
          <cell r="K457">
            <v>165</v>
          </cell>
        </row>
        <row r="458">
          <cell r="B458" t="str">
            <v>graphhopper-maps-capacitor</v>
          </cell>
          <cell r="C458" t="str">
            <v>boldtrn/graphhopper-maps-capacitor</v>
          </cell>
          <cell r="D458" t="str">
            <v>boldtrn/graphhopper-maps-capacitor</v>
          </cell>
          <cell r="E458">
            <v>41</v>
          </cell>
          <cell r="F458">
            <v>20</v>
          </cell>
          <cell r="G458">
            <v>6</v>
          </cell>
          <cell r="H458">
            <v>5656</v>
          </cell>
          <cell r="I458">
            <v>1</v>
          </cell>
          <cell r="J458">
            <v>7</v>
          </cell>
          <cell r="K458">
            <v>3</v>
          </cell>
        </row>
        <row r="459">
          <cell r="B459" t="str">
            <v>Android-CovidBedRest</v>
          </cell>
          <cell r="C459" t="str">
            <v>odiapratama/Android-CovidBedRest</v>
          </cell>
          <cell r="D459" t="str">
            <v>odiapratama/Android-CovidBedRest</v>
          </cell>
          <cell r="E459">
            <v>41</v>
          </cell>
          <cell r="F459">
            <v>27</v>
          </cell>
          <cell r="G459">
            <v>2</v>
          </cell>
          <cell r="H459">
            <v>2652</v>
          </cell>
          <cell r="I459">
            <v>2</v>
          </cell>
          <cell r="J459">
            <v>2</v>
          </cell>
          <cell r="K459">
            <v>0</v>
          </cell>
        </row>
        <row r="460">
          <cell r="B460" t="str">
            <v>candymem</v>
          </cell>
          <cell r="C460" t="str">
            <v>tube42/candymem</v>
          </cell>
          <cell r="D460" t="str">
            <v>tube42/candymem</v>
          </cell>
          <cell r="E460">
            <v>42</v>
          </cell>
          <cell r="F460">
            <v>0</v>
          </cell>
          <cell r="G460">
            <v>1</v>
          </cell>
          <cell r="H460">
            <v>4013</v>
          </cell>
          <cell r="I460">
            <v>3</v>
          </cell>
          <cell r="J460">
            <v>18</v>
          </cell>
          <cell r="K460">
            <v>0</v>
          </cell>
        </row>
        <row r="461">
          <cell r="B461" t="str">
            <v>SoftCodec</v>
          </cell>
          <cell r="C461" t="str">
            <v>BruceWind/SoftCodec</v>
          </cell>
          <cell r="D461" t="str">
            <v>BruceWind/SoftCodec</v>
          </cell>
          <cell r="E461">
            <v>42</v>
          </cell>
          <cell r="F461">
            <v>0</v>
          </cell>
          <cell r="G461">
            <v>1</v>
          </cell>
          <cell r="H461">
            <v>8531</v>
          </cell>
          <cell r="I461">
            <v>4</v>
          </cell>
          <cell r="J461">
            <v>9</v>
          </cell>
          <cell r="K461">
            <v>0</v>
          </cell>
        </row>
        <row r="462">
          <cell r="B462" t="str">
            <v>ToPDF</v>
          </cell>
          <cell r="C462" t="str">
            <v>giang428/ToPDF</v>
          </cell>
          <cell r="D462" t="str">
            <v>giang428/ToPDF</v>
          </cell>
          <cell r="E462">
            <v>42</v>
          </cell>
          <cell r="F462">
            <v>0</v>
          </cell>
          <cell r="G462">
            <v>1</v>
          </cell>
          <cell r="H462">
            <v>49563</v>
          </cell>
          <cell r="I462">
            <v>2</v>
          </cell>
          <cell r="J462">
            <v>2</v>
          </cell>
          <cell r="K462">
            <v>0</v>
          </cell>
        </row>
        <row r="463">
          <cell r="B463" t="str">
            <v>android-minimal-todo</v>
          </cell>
          <cell r="C463" t="str">
            <v>cuongpm/android-minimal-todo</v>
          </cell>
          <cell r="D463" t="str">
            <v>cuongpm/android-minimal-todo</v>
          </cell>
          <cell r="E463">
            <v>42</v>
          </cell>
          <cell r="F463">
            <v>4</v>
          </cell>
          <cell r="G463">
            <v>1</v>
          </cell>
          <cell r="H463">
            <v>192</v>
          </cell>
          <cell r="I463">
            <v>6</v>
          </cell>
          <cell r="J463">
            <v>17</v>
          </cell>
          <cell r="K463">
            <v>9</v>
          </cell>
        </row>
        <row r="464">
          <cell r="B464" t="str">
            <v>NominatimGeocoderBackend</v>
          </cell>
          <cell r="C464" t="str">
            <v>microg/NominatimGeocoderBackend</v>
          </cell>
          <cell r="D464" t="str">
            <v>microg/NominatimGeocoderBackend</v>
          </cell>
          <cell r="E464">
            <v>42</v>
          </cell>
          <cell r="F464">
            <v>16</v>
          </cell>
          <cell r="G464">
            <v>6</v>
          </cell>
          <cell r="H464">
            <v>184</v>
          </cell>
          <cell r="I464">
            <v>18</v>
          </cell>
          <cell r="J464">
            <v>61</v>
          </cell>
          <cell r="K464">
            <v>5</v>
          </cell>
        </row>
        <row r="465">
          <cell r="B465" t="str">
            <v>NMedia</v>
          </cell>
          <cell r="C465" t="str">
            <v>EkaterinaT89/NMedia</v>
          </cell>
          <cell r="D465" t="str">
            <v>EkaterinaT89/NMedia</v>
          </cell>
          <cell r="E465">
            <v>42</v>
          </cell>
          <cell r="F465">
            <v>37</v>
          </cell>
          <cell r="G465">
            <v>1</v>
          </cell>
          <cell r="H465">
            <v>1038</v>
          </cell>
          <cell r="I465">
            <v>1</v>
          </cell>
          <cell r="J465">
            <v>1</v>
          </cell>
          <cell r="K465">
            <v>17</v>
          </cell>
        </row>
        <row r="466">
          <cell r="B466" t="str">
            <v>Schlachtensee</v>
          </cell>
          <cell r="C466" t="str">
            <v>kibotu/Schlachtensee</v>
          </cell>
          <cell r="D466" t="str">
            <v>kibotu/Schlachtensee</v>
          </cell>
          <cell r="E466">
            <v>43</v>
          </cell>
          <cell r="F466">
            <v>0</v>
          </cell>
          <cell r="G466">
            <v>1</v>
          </cell>
          <cell r="H466">
            <v>2540</v>
          </cell>
          <cell r="I466">
            <v>0</v>
          </cell>
          <cell r="J466">
            <v>3</v>
          </cell>
          <cell r="K466">
            <v>0</v>
          </cell>
        </row>
        <row r="467">
          <cell r="B467" t="str">
            <v>PopularMovies</v>
          </cell>
          <cell r="C467" t="str">
            <v>hammmmy/PopularMovies</v>
          </cell>
          <cell r="D467" t="str">
            <v>hammmmy/PopularMovies</v>
          </cell>
          <cell r="E467">
            <v>43</v>
          </cell>
          <cell r="F467">
            <v>0</v>
          </cell>
          <cell r="G467">
            <v>1</v>
          </cell>
          <cell r="H467">
            <v>42471</v>
          </cell>
          <cell r="I467">
            <v>1</v>
          </cell>
          <cell r="J467">
            <v>5</v>
          </cell>
          <cell r="K467">
            <v>0</v>
          </cell>
        </row>
        <row r="468">
          <cell r="B468" t="str">
            <v>ApkLauncher_legacy</v>
          </cell>
          <cell r="C468" t="str">
            <v>luoqii/ApkLauncher_legacy</v>
          </cell>
          <cell r="D468" t="str">
            <v>luoqii/ApkLauncher_legacy</v>
          </cell>
          <cell r="E468">
            <v>43</v>
          </cell>
          <cell r="F468">
            <v>0</v>
          </cell>
          <cell r="G468">
            <v>2</v>
          </cell>
          <cell r="H468">
            <v>10294</v>
          </cell>
          <cell r="I468">
            <v>1</v>
          </cell>
          <cell r="J468">
            <v>1</v>
          </cell>
          <cell r="K468">
            <v>0</v>
          </cell>
        </row>
        <row r="469">
          <cell r="B469" t="str">
            <v>Quoteiko</v>
          </cell>
          <cell r="C469" t="str">
            <v>gat786/Quoteiko</v>
          </cell>
          <cell r="D469" t="str">
            <v>gat786/Quoteiko</v>
          </cell>
          <cell r="E469">
            <v>43</v>
          </cell>
          <cell r="F469">
            <v>1</v>
          </cell>
          <cell r="G469">
            <v>1</v>
          </cell>
          <cell r="H469">
            <v>4649</v>
          </cell>
          <cell r="I469">
            <v>1</v>
          </cell>
          <cell r="J469">
            <v>1</v>
          </cell>
          <cell r="K469">
            <v>1</v>
          </cell>
        </row>
        <row r="470">
          <cell r="B470" t="str">
            <v>flutter_japanese_restaurant_app</v>
          </cell>
          <cell r="C470" t="str">
            <v>SinaSys/flutter_japanese_restaurant_app</v>
          </cell>
          <cell r="D470" t="str">
            <v>SinaSys/flutter_japanese_restaurant_app</v>
          </cell>
          <cell r="E470">
            <v>43</v>
          </cell>
          <cell r="F470">
            <v>1</v>
          </cell>
          <cell r="G470">
            <v>2</v>
          </cell>
          <cell r="H470">
            <v>11024</v>
          </cell>
          <cell r="I470">
            <v>35</v>
          </cell>
          <cell r="J470">
            <v>93</v>
          </cell>
          <cell r="K470">
            <v>0</v>
          </cell>
        </row>
        <row r="471">
          <cell r="B471" t="str">
            <v>6502Android</v>
          </cell>
          <cell r="C471" t="str">
            <v>felipecsl/6502Android</v>
          </cell>
          <cell r="D471" t="str">
            <v>felipecsl/6502Android</v>
          </cell>
          <cell r="E471">
            <v>43</v>
          </cell>
          <cell r="F471">
            <v>3</v>
          </cell>
          <cell r="G471">
            <v>1</v>
          </cell>
          <cell r="H471">
            <v>1037</v>
          </cell>
          <cell r="I471">
            <v>3</v>
          </cell>
          <cell r="J471">
            <v>13</v>
          </cell>
          <cell r="K471">
            <v>0</v>
          </cell>
        </row>
        <row r="472">
          <cell r="B472" t="str">
            <v>CircularTimer</v>
          </cell>
          <cell r="C472" t="str">
            <v>sureshmaidaragi1919/CircularTimer</v>
          </cell>
          <cell r="D472" t="str">
            <v>sureshmaidaragi1919/CircularTimer</v>
          </cell>
          <cell r="E472">
            <v>43</v>
          </cell>
          <cell r="F472">
            <v>4</v>
          </cell>
          <cell r="G472">
            <v>4</v>
          </cell>
          <cell r="H472">
            <v>4023</v>
          </cell>
          <cell r="I472">
            <v>7</v>
          </cell>
          <cell r="J472">
            <v>7</v>
          </cell>
          <cell r="K472">
            <v>0</v>
          </cell>
        </row>
        <row r="473">
          <cell r="B473" t="str">
            <v>AppleWifiNlpBackend</v>
          </cell>
          <cell r="C473" t="str">
            <v>microg/AppleWifiNlpBackend</v>
          </cell>
          <cell r="D473" t="str">
            <v>microg/AppleWifiNlpBackend</v>
          </cell>
          <cell r="E473">
            <v>43</v>
          </cell>
          <cell r="F473">
            <v>5</v>
          </cell>
          <cell r="G473">
            <v>3</v>
          </cell>
          <cell r="H473">
            <v>207</v>
          </cell>
          <cell r="I473">
            <v>13</v>
          </cell>
          <cell r="J473">
            <v>62</v>
          </cell>
          <cell r="K473">
            <v>12</v>
          </cell>
        </row>
        <row r="474">
          <cell r="B474" t="str">
            <v>YelpExplorer</v>
          </cell>
          <cell r="C474" t="str">
            <v>matthieucoisne/YelpExplorer</v>
          </cell>
          <cell r="D474" t="str">
            <v>matthieucoisne/YelpExplorer</v>
          </cell>
          <cell r="E474">
            <v>43</v>
          </cell>
          <cell r="F474">
            <v>15</v>
          </cell>
          <cell r="G474">
            <v>1</v>
          </cell>
          <cell r="H474">
            <v>347</v>
          </cell>
          <cell r="I474">
            <v>1</v>
          </cell>
          <cell r="J474">
            <v>7</v>
          </cell>
          <cell r="K474">
            <v>5</v>
          </cell>
        </row>
        <row r="475">
          <cell r="B475" t="str">
            <v>learn-digits</v>
          </cell>
          <cell r="C475" t="str">
            <v>foxtrotdev/learn-digits</v>
          </cell>
          <cell r="D475" t="str">
            <v>foxtrotdev/learn-digits</v>
          </cell>
          <cell r="E475">
            <v>44</v>
          </cell>
          <cell r="F475">
            <v>0</v>
          </cell>
          <cell r="G475">
            <v>3</v>
          </cell>
          <cell r="H475">
            <v>18942</v>
          </cell>
          <cell r="I475">
            <v>1</v>
          </cell>
          <cell r="J475">
            <v>5</v>
          </cell>
          <cell r="K475">
            <v>1</v>
          </cell>
        </row>
        <row r="476">
          <cell r="B476" t="str">
            <v>headingcalculator</v>
          </cell>
          <cell r="C476" t="str">
            <v>eugmes/headingcalculator</v>
          </cell>
          <cell r="D476" t="str">
            <v>eugmes/headingcalculator</v>
          </cell>
          <cell r="E476">
            <v>44</v>
          </cell>
          <cell r="F476">
            <v>0</v>
          </cell>
          <cell r="G476">
            <v>1</v>
          </cell>
          <cell r="H476">
            <v>141</v>
          </cell>
          <cell r="I476">
            <v>0</v>
          </cell>
          <cell r="J476">
            <v>1</v>
          </cell>
          <cell r="K476">
            <v>1</v>
          </cell>
        </row>
        <row r="477">
          <cell r="B477" t="str">
            <v>EasyShapeView</v>
          </cell>
          <cell r="C477" t="str">
            <v>mkrupal09/EasyShapeView</v>
          </cell>
          <cell r="D477" t="str">
            <v>mkrupal09/EasyShapeView</v>
          </cell>
          <cell r="E477">
            <v>44</v>
          </cell>
          <cell r="F477">
            <v>0</v>
          </cell>
          <cell r="G477">
            <v>2</v>
          </cell>
          <cell r="H477">
            <v>434</v>
          </cell>
          <cell r="I477">
            <v>0</v>
          </cell>
          <cell r="J477">
            <v>6</v>
          </cell>
          <cell r="K477">
            <v>0</v>
          </cell>
        </row>
        <row r="478">
          <cell r="B478" t="str">
            <v>MyApplication</v>
          </cell>
          <cell r="C478" t="str">
            <v>zfb132/MyApplication</v>
          </cell>
          <cell r="D478" t="str">
            <v>zfb132/MyApplication</v>
          </cell>
          <cell r="E478">
            <v>44</v>
          </cell>
          <cell r="F478">
            <v>0</v>
          </cell>
          <cell r="G478">
            <v>1</v>
          </cell>
          <cell r="H478">
            <v>12680</v>
          </cell>
          <cell r="I478">
            <v>0</v>
          </cell>
          <cell r="J478">
            <v>1</v>
          </cell>
          <cell r="K478">
            <v>0</v>
          </cell>
        </row>
        <row r="479">
          <cell r="B479" t="str">
            <v>Toaster</v>
          </cell>
          <cell r="C479" t="str">
            <v>getActivity/Toaster</v>
          </cell>
          <cell r="D479" t="str">
            <v>getActivity/Toaster</v>
          </cell>
          <cell r="E479">
            <v>44</v>
          </cell>
          <cell r="F479">
            <v>1</v>
          </cell>
          <cell r="G479">
            <v>2</v>
          </cell>
          <cell r="H479">
            <v>55620</v>
          </cell>
          <cell r="I479">
            <v>360</v>
          </cell>
          <cell r="J479">
            <v>2617</v>
          </cell>
          <cell r="K479">
            <v>3</v>
          </cell>
        </row>
        <row r="480">
          <cell r="B480" t="str">
            <v>Cloudy</v>
          </cell>
          <cell r="C480" t="str">
            <v>hongbeomi/Cloudy</v>
          </cell>
          <cell r="D480" t="str">
            <v>hongbeomi/Cloudy</v>
          </cell>
          <cell r="E480">
            <v>44</v>
          </cell>
          <cell r="F480">
            <v>1</v>
          </cell>
          <cell r="G480">
            <v>1</v>
          </cell>
          <cell r="H480">
            <v>81120</v>
          </cell>
          <cell r="I480">
            <v>0</v>
          </cell>
          <cell r="J480">
            <v>12</v>
          </cell>
          <cell r="K480">
            <v>0</v>
          </cell>
        </row>
        <row r="481">
          <cell r="B481" t="str">
            <v>Superheroes</v>
          </cell>
          <cell r="C481" t="str">
            <v>Carapacik/Superheroes</v>
          </cell>
          <cell r="D481" t="str">
            <v>Carapacik/Superheroes</v>
          </cell>
          <cell r="E481">
            <v>44</v>
          </cell>
          <cell r="F481">
            <v>5</v>
          </cell>
          <cell r="G481">
            <v>1</v>
          </cell>
          <cell r="H481">
            <v>20711</v>
          </cell>
          <cell r="I481">
            <v>0</v>
          </cell>
          <cell r="J481">
            <v>1</v>
          </cell>
          <cell r="K481">
            <v>0</v>
          </cell>
        </row>
        <row r="482">
          <cell r="B482" t="str">
            <v>notipush</v>
          </cell>
          <cell r="C482" t="str">
            <v>timonback/notipush</v>
          </cell>
          <cell r="D482" t="str">
            <v>timonback/notipush</v>
          </cell>
          <cell r="E482">
            <v>44</v>
          </cell>
          <cell r="F482">
            <v>5</v>
          </cell>
          <cell r="G482">
            <v>1</v>
          </cell>
          <cell r="H482">
            <v>7821</v>
          </cell>
          <cell r="I482">
            <v>0</v>
          </cell>
          <cell r="J482">
            <v>1</v>
          </cell>
          <cell r="K482">
            <v>0</v>
          </cell>
        </row>
        <row r="483">
          <cell r="B483" t="str">
            <v>JetCountrypicker</v>
          </cell>
          <cell r="C483" t="str">
            <v>canopas/JetCountrypicker</v>
          </cell>
          <cell r="D483" t="str">
            <v>canopas/compose-country-picker</v>
          </cell>
          <cell r="E483">
            <v>44</v>
          </cell>
          <cell r="F483">
            <v>6</v>
          </cell>
          <cell r="G483">
            <v>6</v>
          </cell>
          <cell r="H483">
            <v>2634</v>
          </cell>
          <cell r="I483">
            <v>1</v>
          </cell>
          <cell r="J483">
            <v>33</v>
          </cell>
          <cell r="K483">
            <v>0</v>
          </cell>
        </row>
        <row r="484">
          <cell r="B484" t="str">
            <v>Photo_Club</v>
          </cell>
          <cell r="C484" t="str">
            <v>vukan-markovic/Photo_Club</v>
          </cell>
          <cell r="D484" t="str">
            <v>vukan-markovic/Photo_Club</v>
          </cell>
          <cell r="E484">
            <v>44</v>
          </cell>
          <cell r="F484">
            <v>10</v>
          </cell>
          <cell r="G484">
            <v>3</v>
          </cell>
          <cell r="H484">
            <v>17737</v>
          </cell>
          <cell r="I484">
            <v>0</v>
          </cell>
          <cell r="J484">
            <v>3</v>
          </cell>
          <cell r="K484">
            <v>0</v>
          </cell>
        </row>
        <row r="485">
          <cell r="B485" t="str">
            <v>randomizer</v>
          </cell>
          <cell r="C485" t="str">
            <v>kostasdrakonakis/randomizer</v>
          </cell>
          <cell r="D485" t="str">
            <v>kostasdrakonakis/randomizer</v>
          </cell>
          <cell r="E485">
            <v>44</v>
          </cell>
          <cell r="F485">
            <v>14</v>
          </cell>
          <cell r="G485">
            <v>2</v>
          </cell>
          <cell r="H485">
            <v>174</v>
          </cell>
          <cell r="I485">
            <v>0</v>
          </cell>
          <cell r="J485">
            <v>2</v>
          </cell>
          <cell r="K485">
            <v>0</v>
          </cell>
        </row>
        <row r="486">
          <cell r="B486" t="str">
            <v>clipboardzanager</v>
          </cell>
          <cell r="C486" t="str">
            <v>veler/clipboardzanager</v>
          </cell>
          <cell r="D486" t="str">
            <v>veler/clipboardzanager</v>
          </cell>
          <cell r="E486">
            <v>44</v>
          </cell>
          <cell r="F486">
            <v>42</v>
          </cell>
          <cell r="G486">
            <v>4</v>
          </cell>
          <cell r="H486">
            <v>919</v>
          </cell>
          <cell r="I486">
            <v>18</v>
          </cell>
          <cell r="J486">
            <v>108</v>
          </cell>
          <cell r="K486">
            <v>14</v>
          </cell>
        </row>
        <row r="487">
          <cell r="B487" t="str">
            <v>AliyunGradleConfig</v>
          </cell>
          <cell r="C487" t="str">
            <v>gzu-liyujiang/AliyunGradleConfig</v>
          </cell>
          <cell r="D487" t="str">
            <v>gzu-liyujiang/AliyunGradleConfig</v>
          </cell>
          <cell r="E487">
            <v>45</v>
          </cell>
          <cell r="F487">
            <v>0</v>
          </cell>
          <cell r="G487">
            <v>1</v>
          </cell>
          <cell r="H487">
            <v>226</v>
          </cell>
          <cell r="I487">
            <v>21</v>
          </cell>
          <cell r="J487">
            <v>63</v>
          </cell>
          <cell r="K487">
            <v>0</v>
          </cell>
        </row>
        <row r="488">
          <cell r="B488" t="str">
            <v>spaceteam-timer</v>
          </cell>
          <cell r="C488" t="str">
            <v>palfrey/spaceteam-timer</v>
          </cell>
          <cell r="D488" t="str">
            <v>palfrey/spaceteam-timer</v>
          </cell>
          <cell r="E488">
            <v>45</v>
          </cell>
          <cell r="F488">
            <v>0</v>
          </cell>
          <cell r="G488">
            <v>1</v>
          </cell>
          <cell r="H488">
            <v>29993</v>
          </cell>
          <cell r="I488">
            <v>0</v>
          </cell>
          <cell r="J488">
            <v>1</v>
          </cell>
          <cell r="K488">
            <v>0</v>
          </cell>
        </row>
        <row r="489">
          <cell r="B489" t="str">
            <v>ZATCA</v>
          </cell>
          <cell r="C489" t="str">
            <v>iabdelgawaad/ZATCA</v>
          </cell>
          <cell r="D489" t="str">
            <v>iabdelgawaad/ZATCA</v>
          </cell>
          <cell r="E489">
            <v>45</v>
          </cell>
          <cell r="F489">
            <v>0</v>
          </cell>
          <cell r="G489">
            <v>1</v>
          </cell>
          <cell r="H489">
            <v>873</v>
          </cell>
          <cell r="I489">
            <v>5</v>
          </cell>
          <cell r="J489">
            <v>15</v>
          </cell>
          <cell r="K489">
            <v>0</v>
          </cell>
        </row>
        <row r="490">
          <cell r="B490" t="str">
            <v>wallpaper</v>
          </cell>
          <cell r="C490" t="str">
            <v>amirisback/wallpaper</v>
          </cell>
          <cell r="D490" t="str">
            <v>amirisback/wallpaper</v>
          </cell>
          <cell r="E490">
            <v>45</v>
          </cell>
          <cell r="F490">
            <v>0</v>
          </cell>
          <cell r="G490">
            <v>1</v>
          </cell>
          <cell r="H490">
            <v>8805</v>
          </cell>
          <cell r="I490">
            <v>1</v>
          </cell>
          <cell r="J490">
            <v>6</v>
          </cell>
          <cell r="K490">
            <v>0</v>
          </cell>
        </row>
        <row r="491">
          <cell r="B491" t="str">
            <v>SearchTwitter</v>
          </cell>
          <cell r="C491" t="str">
            <v>pwittchen/SearchTwitter</v>
          </cell>
          <cell r="D491" t="str">
            <v>pwittchen/SearchTwitter</v>
          </cell>
          <cell r="E491">
            <v>45</v>
          </cell>
          <cell r="F491">
            <v>1</v>
          </cell>
          <cell r="G491">
            <v>1</v>
          </cell>
          <cell r="H491">
            <v>245</v>
          </cell>
          <cell r="I491">
            <v>5</v>
          </cell>
          <cell r="J491">
            <v>15</v>
          </cell>
          <cell r="K491">
            <v>0</v>
          </cell>
        </row>
        <row r="492">
          <cell r="B492" t="str">
            <v>mood-tracker-android</v>
          </cell>
          <cell r="C492" t="str">
            <v>fbernutz/mood-tracker-android</v>
          </cell>
          <cell r="D492" t="str">
            <v>fbernutz/mood-tracker-android</v>
          </cell>
          <cell r="E492">
            <v>45</v>
          </cell>
          <cell r="F492">
            <v>2</v>
          </cell>
          <cell r="G492">
            <v>1</v>
          </cell>
          <cell r="H492">
            <v>211</v>
          </cell>
          <cell r="I492">
            <v>1</v>
          </cell>
          <cell r="J492">
            <v>4</v>
          </cell>
          <cell r="K492">
            <v>0</v>
          </cell>
        </row>
        <row r="493">
          <cell r="B493" t="str">
            <v>gofun-android</v>
          </cell>
          <cell r="C493" t="str">
            <v>AkshayChordiya/gofun-android</v>
          </cell>
          <cell r="D493" t="str">
            <v>AkshayChordiya/gofun-android</v>
          </cell>
          <cell r="E493">
            <v>45</v>
          </cell>
          <cell r="F493">
            <v>3</v>
          </cell>
          <cell r="G493">
            <v>3</v>
          </cell>
          <cell r="H493">
            <v>775</v>
          </cell>
          <cell r="I493">
            <v>7</v>
          </cell>
          <cell r="J493">
            <v>21</v>
          </cell>
          <cell r="K493">
            <v>0</v>
          </cell>
        </row>
        <row r="494">
          <cell r="B494" t="str">
            <v>OpenFE-Android</v>
          </cell>
          <cell r="C494" t="str">
            <v>DATL4G/OpenFE-Android</v>
          </cell>
          <cell r="D494" t="str">
            <v>DatL4g/OpenFE-Android</v>
          </cell>
          <cell r="E494">
            <v>45</v>
          </cell>
          <cell r="F494">
            <v>3</v>
          </cell>
          <cell r="G494">
            <v>1</v>
          </cell>
          <cell r="H494">
            <v>1060</v>
          </cell>
          <cell r="I494">
            <v>1</v>
          </cell>
          <cell r="J494">
            <v>2</v>
          </cell>
          <cell r="K494">
            <v>2</v>
          </cell>
        </row>
        <row r="495">
          <cell r="B495" t="str">
            <v>WatermelonQuotes</v>
          </cell>
          <cell r="C495" t="str">
            <v>avdyushin/WatermelonQuotes</v>
          </cell>
          <cell r="D495" t="str">
            <v>avdyushin/WatermelonQuotes</v>
          </cell>
          <cell r="E495">
            <v>45</v>
          </cell>
          <cell r="F495">
            <v>3</v>
          </cell>
          <cell r="G495">
            <v>1</v>
          </cell>
          <cell r="H495">
            <v>1216</v>
          </cell>
          <cell r="I495">
            <v>2</v>
          </cell>
          <cell r="J495">
            <v>2</v>
          </cell>
          <cell r="K495">
            <v>0</v>
          </cell>
        </row>
        <row r="496">
          <cell r="B496" t="str">
            <v>WatchTower</v>
          </cell>
          <cell r="C496" t="str">
            <v>adibfara/WatchTower</v>
          </cell>
          <cell r="D496" t="str">
            <v>adibfara/WatchTower</v>
          </cell>
          <cell r="E496">
            <v>45</v>
          </cell>
          <cell r="F496">
            <v>4</v>
          </cell>
          <cell r="G496">
            <v>2</v>
          </cell>
          <cell r="H496">
            <v>2134</v>
          </cell>
          <cell r="I496">
            <v>18</v>
          </cell>
          <cell r="J496">
            <v>299</v>
          </cell>
          <cell r="K496">
            <v>5</v>
          </cell>
        </row>
        <row r="497">
          <cell r="B497" t="str">
            <v>steamr</v>
          </cell>
          <cell r="C497" t="str">
            <v>PascalHonegger/steamr</v>
          </cell>
          <cell r="D497" t="str">
            <v>PascalHonegger/steamr</v>
          </cell>
          <cell r="E497">
            <v>45</v>
          </cell>
          <cell r="F497">
            <v>6</v>
          </cell>
          <cell r="G497">
            <v>2</v>
          </cell>
          <cell r="H497">
            <v>1551</v>
          </cell>
          <cell r="I497">
            <v>0</v>
          </cell>
          <cell r="J497">
            <v>1</v>
          </cell>
          <cell r="K497">
            <v>0</v>
          </cell>
        </row>
        <row r="498">
          <cell r="B498" t="str">
            <v>LabeledSeekSlider</v>
          </cell>
          <cell r="C498" t="str">
            <v>edgar-zigis/LabeledSeekSlider</v>
          </cell>
          <cell r="D498" t="str">
            <v>edgar-zigis/LabeledSeekSlider</v>
          </cell>
          <cell r="E498">
            <v>45</v>
          </cell>
          <cell r="F498">
            <v>7</v>
          </cell>
          <cell r="G498">
            <v>1</v>
          </cell>
          <cell r="H498">
            <v>1241</v>
          </cell>
          <cell r="I498">
            <v>3</v>
          </cell>
          <cell r="J498">
            <v>78</v>
          </cell>
          <cell r="K498">
            <v>0</v>
          </cell>
        </row>
        <row r="499">
          <cell r="B499" t="str">
            <v>ModalBottomSheetDialog</v>
          </cell>
          <cell r="C499" t="str">
            <v>invissvenska/ModalBottomSheetDialog</v>
          </cell>
          <cell r="D499" t="str">
            <v>invissvenska/ModalBottomSheetDialog</v>
          </cell>
          <cell r="E499">
            <v>45</v>
          </cell>
          <cell r="F499">
            <v>11</v>
          </cell>
          <cell r="G499">
            <v>2</v>
          </cell>
          <cell r="H499">
            <v>5883</v>
          </cell>
          <cell r="I499">
            <v>11</v>
          </cell>
          <cell r="J499">
            <v>71</v>
          </cell>
          <cell r="K499">
            <v>0</v>
          </cell>
        </row>
        <row r="500">
          <cell r="B500" t="str">
            <v>adopt-me-compose</v>
          </cell>
          <cell r="C500" t="str">
            <v>riggaroo/adopt-me-compose</v>
          </cell>
          <cell r="D500" t="str">
            <v>riggaroo/adopt-me-compose</v>
          </cell>
          <cell r="E500">
            <v>46</v>
          </cell>
          <cell r="F500">
            <v>0</v>
          </cell>
          <cell r="G500">
            <v>1</v>
          </cell>
          <cell r="H500">
            <v>27366</v>
          </cell>
          <cell r="I500">
            <v>3</v>
          </cell>
          <cell r="J500">
            <v>69</v>
          </cell>
          <cell r="K500">
            <v>0</v>
          </cell>
        </row>
        <row r="501">
          <cell r="B501" t="str">
            <v>DoubanMovie</v>
          </cell>
          <cell r="C501" t="str">
            <v>fourcels/DoubanMovie</v>
          </cell>
          <cell r="D501" t="str">
            <v>fourcels/DoubanMovie</v>
          </cell>
          <cell r="E501">
            <v>46</v>
          </cell>
          <cell r="F501">
            <v>0</v>
          </cell>
          <cell r="G501">
            <v>1</v>
          </cell>
          <cell r="H501">
            <v>4526</v>
          </cell>
          <cell r="I501">
            <v>1</v>
          </cell>
          <cell r="J501">
            <v>4</v>
          </cell>
          <cell r="K501">
            <v>0</v>
          </cell>
        </row>
        <row r="502">
          <cell r="B502" t="str">
            <v>sasycakeawayapp</v>
          </cell>
          <cell r="C502" t="str">
            <v>Sasycakeaway/sasycakeawayapp</v>
          </cell>
          <cell r="D502" t="str">
            <v>Sasycakeaway/sasycakeawayapp</v>
          </cell>
          <cell r="E502">
            <v>46</v>
          </cell>
          <cell r="F502">
            <v>0</v>
          </cell>
          <cell r="G502">
            <v>2</v>
          </cell>
          <cell r="H502">
            <v>46970</v>
          </cell>
          <cell r="I502">
            <v>0</v>
          </cell>
          <cell r="J502">
            <v>1</v>
          </cell>
          <cell r="K502">
            <v>0</v>
          </cell>
        </row>
        <row r="503">
          <cell r="B503" t="str">
            <v>Easel</v>
          </cell>
          <cell r="C503" t="str">
            <v>Commit451/Easel</v>
          </cell>
          <cell r="D503" t="str">
            <v>Commit451/Easel</v>
          </cell>
          <cell r="E503">
            <v>46</v>
          </cell>
          <cell r="F503">
            <v>1</v>
          </cell>
          <cell r="G503">
            <v>1</v>
          </cell>
          <cell r="H503">
            <v>158</v>
          </cell>
          <cell r="I503">
            <v>13</v>
          </cell>
          <cell r="J503">
            <v>137</v>
          </cell>
          <cell r="K503">
            <v>2</v>
          </cell>
        </row>
        <row r="504">
          <cell r="B504" t="str">
            <v>movistartv</v>
          </cell>
          <cell r="C504" t="str">
            <v>josemmo/movistartv</v>
          </cell>
          <cell r="D504" t="str">
            <v>josemmo/movistartv</v>
          </cell>
          <cell r="E504">
            <v>46</v>
          </cell>
          <cell r="F504">
            <v>1</v>
          </cell>
          <cell r="G504">
            <v>2</v>
          </cell>
          <cell r="H504">
            <v>405</v>
          </cell>
          <cell r="I504">
            <v>5</v>
          </cell>
          <cell r="J504">
            <v>12</v>
          </cell>
          <cell r="K504">
            <v>0</v>
          </cell>
        </row>
        <row r="505">
          <cell r="B505" t="str">
            <v>FlutterWechat</v>
          </cell>
          <cell r="C505" t="str">
            <v>lujiahao0708/FlutterWechat</v>
          </cell>
          <cell r="D505" t="str">
            <v>lujiahao0708/FlutterWechat</v>
          </cell>
          <cell r="E505">
            <v>46</v>
          </cell>
          <cell r="F505">
            <v>1</v>
          </cell>
          <cell r="G505">
            <v>1</v>
          </cell>
          <cell r="H505">
            <v>11541</v>
          </cell>
          <cell r="I505">
            <v>4</v>
          </cell>
          <cell r="J505">
            <v>7</v>
          </cell>
          <cell r="K505">
            <v>0</v>
          </cell>
        </row>
        <row r="506">
          <cell r="B506" t="str">
            <v>got-trivia</v>
          </cell>
          <cell r="C506" t="str">
            <v>AdoraNwodo/got-trivia</v>
          </cell>
          <cell r="D506" t="str">
            <v>AdoraNwodo/got-trivia</v>
          </cell>
          <cell r="E506">
            <v>46</v>
          </cell>
          <cell r="F506">
            <v>3</v>
          </cell>
          <cell r="G506">
            <v>3</v>
          </cell>
          <cell r="H506">
            <v>9178</v>
          </cell>
          <cell r="I506">
            <v>14</v>
          </cell>
          <cell r="J506">
            <v>26</v>
          </cell>
          <cell r="K506">
            <v>1</v>
          </cell>
        </row>
        <row r="507">
          <cell r="B507" t="str">
            <v>simple-paint</v>
          </cell>
          <cell r="C507" t="str">
            <v>feronikanm/simple-paint</v>
          </cell>
          <cell r="D507" t="str">
            <v>feronikanm/simple-paint</v>
          </cell>
          <cell r="E507">
            <v>46</v>
          </cell>
          <cell r="F507">
            <v>3</v>
          </cell>
          <cell r="G507">
            <v>2</v>
          </cell>
          <cell r="H507">
            <v>2355</v>
          </cell>
          <cell r="I507">
            <v>5</v>
          </cell>
          <cell r="J507">
            <v>14</v>
          </cell>
          <cell r="K507">
            <v>0</v>
          </cell>
        </row>
        <row r="508">
          <cell r="B508" t="str">
            <v>Android_Dev_Quick</v>
          </cell>
          <cell r="C508" t="str">
            <v>longluo/Android_Dev_Quick</v>
          </cell>
          <cell r="D508" t="str">
            <v>longluo/Android-RapidDev</v>
          </cell>
          <cell r="E508">
            <v>46</v>
          </cell>
          <cell r="F508">
            <v>3</v>
          </cell>
          <cell r="G508">
            <v>2</v>
          </cell>
          <cell r="H508">
            <v>13155</v>
          </cell>
          <cell r="I508">
            <v>0</v>
          </cell>
          <cell r="J508">
            <v>2</v>
          </cell>
          <cell r="K508">
            <v>0</v>
          </cell>
        </row>
        <row r="509">
          <cell r="B509" t="str">
            <v>ToDoList-Room-MVVM</v>
          </cell>
          <cell r="C509" t="str">
            <v>agustiyann/ToDoList-Room-MVVM</v>
          </cell>
          <cell r="D509" t="str">
            <v>agustiyann/ToDoList-Room-MVVM</v>
          </cell>
          <cell r="E509">
            <v>46</v>
          </cell>
          <cell r="F509">
            <v>4</v>
          </cell>
          <cell r="G509">
            <v>3</v>
          </cell>
          <cell r="H509">
            <v>4369</v>
          </cell>
          <cell r="I509">
            <v>3</v>
          </cell>
          <cell r="J509">
            <v>12</v>
          </cell>
          <cell r="K509">
            <v>0</v>
          </cell>
        </row>
        <row r="510">
          <cell r="B510" t="str">
            <v>SmartExoPlayer</v>
          </cell>
          <cell r="C510" t="str">
            <v>Kunalapk/SmartExoPlayer</v>
          </cell>
          <cell r="D510" t="str">
            <v>Kunalapk/SmartExoPlayer</v>
          </cell>
          <cell r="E510">
            <v>46</v>
          </cell>
          <cell r="F510">
            <v>5</v>
          </cell>
          <cell r="G510">
            <v>2</v>
          </cell>
          <cell r="H510">
            <v>213</v>
          </cell>
          <cell r="I510">
            <v>1</v>
          </cell>
          <cell r="J510">
            <v>4</v>
          </cell>
          <cell r="K510">
            <v>0</v>
          </cell>
        </row>
        <row r="511">
          <cell r="B511" t="str">
            <v>portfolio</v>
          </cell>
          <cell r="C511" t="str">
            <v>joaopaulovieira-dev/portfolio</v>
          </cell>
          <cell r="D511" t="str">
            <v>joaopaulovieira-dev/portfolio</v>
          </cell>
          <cell r="E511">
            <v>46</v>
          </cell>
          <cell r="F511">
            <v>17</v>
          </cell>
          <cell r="G511">
            <v>2</v>
          </cell>
          <cell r="H511">
            <v>30224</v>
          </cell>
          <cell r="I511">
            <v>1</v>
          </cell>
          <cell r="J511">
            <v>7</v>
          </cell>
          <cell r="K511">
            <v>0</v>
          </cell>
        </row>
        <row r="512">
          <cell r="B512" t="str">
            <v>calef</v>
          </cell>
          <cell r="C512" t="str">
            <v>k3b/calef</v>
          </cell>
          <cell r="D512" t="str">
            <v>k3b/calef</v>
          </cell>
          <cell r="E512">
            <v>47</v>
          </cell>
          <cell r="F512">
            <v>0</v>
          </cell>
          <cell r="G512">
            <v>1</v>
          </cell>
          <cell r="H512">
            <v>405</v>
          </cell>
          <cell r="I512">
            <v>0</v>
          </cell>
          <cell r="J512">
            <v>6</v>
          </cell>
          <cell r="K512">
            <v>2</v>
          </cell>
        </row>
        <row r="513">
          <cell r="B513" t="str">
            <v>PowerButton</v>
          </cell>
          <cell r="C513" t="str">
            <v>turleo/PowerButton</v>
          </cell>
          <cell r="D513" t="str">
            <v>turleo/PowerButton</v>
          </cell>
          <cell r="E513">
            <v>47</v>
          </cell>
          <cell r="F513">
            <v>0</v>
          </cell>
          <cell r="G513">
            <v>2</v>
          </cell>
          <cell r="H513">
            <v>10354</v>
          </cell>
          <cell r="I513">
            <v>2</v>
          </cell>
          <cell r="J513">
            <v>4</v>
          </cell>
          <cell r="K513">
            <v>0</v>
          </cell>
        </row>
        <row r="514">
          <cell r="B514" t="str">
            <v>APODKTM</v>
          </cell>
          <cell r="C514" t="str">
            <v>llopisdon/APODKTM</v>
          </cell>
          <cell r="D514" t="str">
            <v>machineinteractive/APODKTM</v>
          </cell>
          <cell r="E514">
            <v>47</v>
          </cell>
          <cell r="F514">
            <v>0</v>
          </cell>
          <cell r="G514">
            <v>1</v>
          </cell>
          <cell r="H514">
            <v>21619</v>
          </cell>
          <cell r="I514">
            <v>0</v>
          </cell>
          <cell r="J514">
            <v>3</v>
          </cell>
          <cell r="K514">
            <v>0</v>
          </cell>
        </row>
        <row r="515">
          <cell r="B515" t="str">
            <v>ntravel-app</v>
          </cell>
          <cell r="C515" t="str">
            <v>williamniemiec/ntravel-app</v>
          </cell>
          <cell r="D515" t="str">
            <v>williamniemiec/ntravel-app</v>
          </cell>
          <cell r="E515">
            <v>47</v>
          </cell>
          <cell r="F515">
            <v>0</v>
          </cell>
          <cell r="G515">
            <v>1</v>
          </cell>
          <cell r="H515">
            <v>10199</v>
          </cell>
          <cell r="I515">
            <v>0</v>
          </cell>
          <cell r="J515">
            <v>1</v>
          </cell>
          <cell r="K515">
            <v>0</v>
          </cell>
        </row>
        <row r="516">
          <cell r="B516" t="str">
            <v>CanvasScript</v>
          </cell>
          <cell r="C516" t="str">
            <v>52inc/CanvasScript</v>
          </cell>
          <cell r="D516" t="str">
            <v>52inc/CanvasScript</v>
          </cell>
          <cell r="E516">
            <v>47</v>
          </cell>
          <cell r="F516">
            <v>1</v>
          </cell>
          <cell r="G516">
            <v>1</v>
          </cell>
          <cell r="H516">
            <v>240</v>
          </cell>
          <cell r="I516">
            <v>1</v>
          </cell>
          <cell r="J516">
            <v>2</v>
          </cell>
          <cell r="K516">
            <v>0</v>
          </cell>
        </row>
        <row r="517">
          <cell r="B517" t="str">
            <v>MyGitHubUser</v>
          </cell>
          <cell r="C517" t="str">
            <v>reskimulud/MyGitHubUser</v>
          </cell>
          <cell r="D517" t="str">
            <v>reskimulud/MyGitHubUser</v>
          </cell>
          <cell r="E517">
            <v>47</v>
          </cell>
          <cell r="F517">
            <v>1</v>
          </cell>
          <cell r="G517">
            <v>1</v>
          </cell>
          <cell r="H517">
            <v>3136</v>
          </cell>
          <cell r="I517">
            <v>0</v>
          </cell>
          <cell r="J517">
            <v>2</v>
          </cell>
          <cell r="K517">
            <v>0</v>
          </cell>
        </row>
        <row r="518">
          <cell r="B518" t="str">
            <v>Sociofy</v>
          </cell>
          <cell r="C518" t="str">
            <v>Vaibhav2002/Sociofy</v>
          </cell>
          <cell r="D518" t="str">
            <v>Vaibhav2002/Sociofy</v>
          </cell>
          <cell r="E518">
            <v>47</v>
          </cell>
          <cell r="F518">
            <v>1</v>
          </cell>
          <cell r="G518">
            <v>1</v>
          </cell>
          <cell r="H518">
            <v>43289</v>
          </cell>
          <cell r="I518">
            <v>5</v>
          </cell>
          <cell r="J518">
            <v>22</v>
          </cell>
          <cell r="K518">
            <v>0</v>
          </cell>
        </row>
        <row r="519">
          <cell r="B519" t="str">
            <v>FastAdapter</v>
          </cell>
          <cell r="C519" t="str">
            <v>aizuzi/FastAdapter</v>
          </cell>
          <cell r="D519" t="str">
            <v>aizuzi/FastAdapter</v>
          </cell>
          <cell r="E519">
            <v>47</v>
          </cell>
          <cell r="F519">
            <v>12</v>
          </cell>
          <cell r="G519">
            <v>1</v>
          </cell>
          <cell r="H519">
            <v>206</v>
          </cell>
          <cell r="I519">
            <v>20</v>
          </cell>
          <cell r="J519">
            <v>169</v>
          </cell>
          <cell r="K519">
            <v>0</v>
          </cell>
        </row>
        <row r="520">
          <cell r="B520" t="str">
            <v>opengapps_downloader</v>
          </cell>
          <cell r="C520" t="str">
            <v>daktak/opengapps_downloader</v>
          </cell>
          <cell r="D520" t="str">
            <v>daktak/opengapps_downloader</v>
          </cell>
          <cell r="E520">
            <v>47</v>
          </cell>
          <cell r="F520">
            <v>14</v>
          </cell>
          <cell r="G520">
            <v>3</v>
          </cell>
          <cell r="H520">
            <v>3565</v>
          </cell>
          <cell r="I520">
            <v>1</v>
          </cell>
          <cell r="J520">
            <v>20</v>
          </cell>
          <cell r="K520">
            <v>4</v>
          </cell>
        </row>
        <row r="521">
          <cell r="B521" t="str">
            <v>Assume</v>
          </cell>
          <cell r="C521" t="str">
            <v>aniketbhoite/Assume</v>
          </cell>
          <cell r="D521" t="str">
            <v>aniketbhoite/Assume</v>
          </cell>
          <cell r="E521">
            <v>47</v>
          </cell>
          <cell r="F521">
            <v>14</v>
          </cell>
          <cell r="G521">
            <v>2</v>
          </cell>
          <cell r="H521">
            <v>234</v>
          </cell>
          <cell r="I521">
            <v>1</v>
          </cell>
          <cell r="J521">
            <v>25</v>
          </cell>
          <cell r="K521">
            <v>1</v>
          </cell>
        </row>
        <row r="522">
          <cell r="B522" t="str">
            <v>snow</v>
          </cell>
          <cell r="C522" t="str">
            <v>baitmooth/snow</v>
          </cell>
          <cell r="D522" t="str">
            <v>baitmooth/snow</v>
          </cell>
          <cell r="E522">
            <v>47</v>
          </cell>
          <cell r="F522">
            <v>15</v>
          </cell>
          <cell r="G522">
            <v>4</v>
          </cell>
          <cell r="H522">
            <v>16437</v>
          </cell>
          <cell r="I522">
            <v>6</v>
          </cell>
          <cell r="J522">
            <v>14</v>
          </cell>
          <cell r="K522">
            <v>7</v>
          </cell>
        </row>
        <row r="523">
          <cell r="B523" t="str">
            <v>RecyclerKit</v>
          </cell>
          <cell r="C523" t="str">
            <v>revolut-mobile/RecyclerKit</v>
          </cell>
          <cell r="D523" t="str">
            <v>revolut-mobile/RecyclerKit</v>
          </cell>
          <cell r="E523">
            <v>47</v>
          </cell>
          <cell r="F523">
            <v>18</v>
          </cell>
          <cell r="G523">
            <v>11</v>
          </cell>
          <cell r="H523">
            <v>236</v>
          </cell>
          <cell r="I523">
            <v>8</v>
          </cell>
          <cell r="J523">
            <v>36</v>
          </cell>
          <cell r="K523">
            <v>0</v>
          </cell>
        </row>
        <row r="524">
          <cell r="B524" t="str">
            <v>AnimeArch</v>
          </cell>
          <cell r="C524" t="str">
            <v>halilozcan/AnimeArch</v>
          </cell>
          <cell r="D524" t="str">
            <v>halilozcan/AnimeArch</v>
          </cell>
          <cell r="E524">
            <v>47</v>
          </cell>
          <cell r="F524">
            <v>19</v>
          </cell>
          <cell r="G524">
            <v>1</v>
          </cell>
          <cell r="H524">
            <v>1021</v>
          </cell>
          <cell r="I524">
            <v>10</v>
          </cell>
          <cell r="J524">
            <v>90</v>
          </cell>
          <cell r="K524">
            <v>0</v>
          </cell>
        </row>
        <row r="525">
          <cell r="B525" t="str">
            <v>dndplayer</v>
          </cell>
          <cell r="C525" t="str">
            <v>dwnste/dndplayer</v>
          </cell>
          <cell r="D525" t="str">
            <v>dwnste/dndplayer</v>
          </cell>
          <cell r="E525">
            <v>47</v>
          </cell>
          <cell r="F525">
            <v>21</v>
          </cell>
          <cell r="G525">
            <v>1</v>
          </cell>
          <cell r="H525">
            <v>1966</v>
          </cell>
          <cell r="I525">
            <v>0</v>
          </cell>
          <cell r="J525">
            <v>2</v>
          </cell>
          <cell r="K525">
            <v>11</v>
          </cell>
        </row>
        <row r="526">
          <cell r="B526" t="str">
            <v>btox</v>
          </cell>
          <cell r="C526" t="str">
            <v>TokTok/btox</v>
          </cell>
          <cell r="D526" t="str">
            <v>TokTok/bTox</v>
          </cell>
          <cell r="E526">
            <v>47</v>
          </cell>
          <cell r="F526">
            <v>31</v>
          </cell>
          <cell r="G526">
            <v>6</v>
          </cell>
          <cell r="H526">
            <v>411</v>
          </cell>
          <cell r="I526">
            <v>4</v>
          </cell>
          <cell r="J526">
            <v>12</v>
          </cell>
          <cell r="K526">
            <v>4</v>
          </cell>
        </row>
        <row r="527">
          <cell r="B527" t="str">
            <v>Klimatic</v>
          </cell>
          <cell r="C527" t="str">
            <v>developer-shivam/Klimatic</v>
          </cell>
          <cell r="D527" t="str">
            <v>developer-shivam/Klimatic</v>
          </cell>
          <cell r="E527">
            <v>47</v>
          </cell>
          <cell r="F527">
            <v>42</v>
          </cell>
          <cell r="G527">
            <v>2</v>
          </cell>
          <cell r="H527">
            <v>5711</v>
          </cell>
          <cell r="I527">
            <v>2</v>
          </cell>
          <cell r="J527">
            <v>34</v>
          </cell>
          <cell r="K527">
            <v>0</v>
          </cell>
        </row>
        <row r="528">
          <cell r="B528" t="str">
            <v>KungFoo</v>
          </cell>
          <cell r="C528" t="str">
            <v>poseidn/KungFoo</v>
          </cell>
          <cell r="D528" t="str">
            <v>poseidn/KungFoo</v>
          </cell>
          <cell r="E528">
            <v>48</v>
          </cell>
          <cell r="F528">
            <v>0</v>
          </cell>
          <cell r="G528">
            <v>1</v>
          </cell>
          <cell r="H528">
            <v>61212</v>
          </cell>
          <cell r="I528">
            <v>3</v>
          </cell>
          <cell r="J528">
            <v>6</v>
          </cell>
          <cell r="K528">
            <v>1</v>
          </cell>
        </row>
        <row r="529">
          <cell r="B529" t="str">
            <v>streetguide</v>
          </cell>
          <cell r="C529" t="str">
            <v>kofemann/streetguide</v>
          </cell>
          <cell r="D529" t="str">
            <v>kofemann/streetguide</v>
          </cell>
          <cell r="E529">
            <v>48</v>
          </cell>
          <cell r="F529">
            <v>0</v>
          </cell>
          <cell r="G529">
            <v>1</v>
          </cell>
          <cell r="H529">
            <v>252</v>
          </cell>
          <cell r="I529">
            <v>1</v>
          </cell>
          <cell r="J529">
            <v>2</v>
          </cell>
          <cell r="K529">
            <v>0</v>
          </cell>
        </row>
        <row r="530">
          <cell r="B530" t="str">
            <v>MemerizeApp</v>
          </cell>
          <cell r="C530" t="str">
            <v>SuhasDissa/MemerizeApp</v>
          </cell>
          <cell r="D530" t="str">
            <v>SuhasDissa/MemerizeApp</v>
          </cell>
          <cell r="E530">
            <v>48</v>
          </cell>
          <cell r="F530">
            <v>0</v>
          </cell>
          <cell r="G530">
            <v>4</v>
          </cell>
          <cell r="H530">
            <v>448</v>
          </cell>
          <cell r="I530">
            <v>0</v>
          </cell>
          <cell r="J530">
            <v>2</v>
          </cell>
          <cell r="K530">
            <v>0</v>
          </cell>
        </row>
        <row r="531">
          <cell r="B531" t="str">
            <v>StatusBar</v>
          </cell>
          <cell r="C531" t="str">
            <v>liangjingkanji/StatusBar</v>
          </cell>
          <cell r="D531" t="str">
            <v>liangjingkanji/StatusBar</v>
          </cell>
          <cell r="E531">
            <v>48</v>
          </cell>
          <cell r="F531">
            <v>0</v>
          </cell>
          <cell r="G531">
            <v>2</v>
          </cell>
          <cell r="H531">
            <v>1069</v>
          </cell>
          <cell r="I531">
            <v>18</v>
          </cell>
          <cell r="J531">
            <v>189</v>
          </cell>
          <cell r="K531">
            <v>0</v>
          </cell>
        </row>
        <row r="532">
          <cell r="B532" t="str">
            <v>Mobile-Jisho</v>
          </cell>
          <cell r="C532" t="str">
            <v>surajsau/Mobile-Jisho</v>
          </cell>
          <cell r="D532" t="str">
            <v>surajsau/Mobile-Jisho</v>
          </cell>
          <cell r="E532">
            <v>48</v>
          </cell>
          <cell r="F532">
            <v>0</v>
          </cell>
          <cell r="G532">
            <v>1</v>
          </cell>
          <cell r="H532">
            <v>45489</v>
          </cell>
          <cell r="I532">
            <v>0</v>
          </cell>
          <cell r="J532">
            <v>16</v>
          </cell>
          <cell r="K532">
            <v>3</v>
          </cell>
        </row>
        <row r="533">
          <cell r="B533" t="str">
            <v>TitleBar</v>
          </cell>
          <cell r="C533" t="str">
            <v>getActivity/TitleBar</v>
          </cell>
          <cell r="D533" t="str">
            <v>getActivity/TitleBar</v>
          </cell>
          <cell r="E533">
            <v>48</v>
          </cell>
          <cell r="F533">
            <v>1</v>
          </cell>
          <cell r="G533">
            <v>3</v>
          </cell>
          <cell r="H533">
            <v>37048</v>
          </cell>
          <cell r="I533">
            <v>198</v>
          </cell>
          <cell r="J533">
            <v>1494</v>
          </cell>
          <cell r="K533">
            <v>2</v>
          </cell>
        </row>
        <row r="534">
          <cell r="B534" t="str">
            <v>Clean-SmS-Forwarding</v>
          </cell>
          <cell r="C534" t="str">
            <v>autosquid/Clean-SmS-Forwarding</v>
          </cell>
          <cell r="D534" t="str">
            <v>autosquid/Clean-SmS-Forwarding</v>
          </cell>
          <cell r="E534">
            <v>48</v>
          </cell>
          <cell r="F534">
            <v>2</v>
          </cell>
          <cell r="G534">
            <v>4</v>
          </cell>
          <cell r="H534">
            <v>2128</v>
          </cell>
          <cell r="I534">
            <v>19</v>
          </cell>
          <cell r="J534">
            <v>88</v>
          </cell>
          <cell r="K534">
            <v>1</v>
          </cell>
        </row>
        <row r="535">
          <cell r="B535" t="str">
            <v>sms_my_gps</v>
          </cell>
          <cell r="C535" t="str">
            <v>anevero/sms_my_gps</v>
          </cell>
          <cell r="D535" t="str">
            <v>anevero/sms_my_gps</v>
          </cell>
          <cell r="E535">
            <v>48</v>
          </cell>
          <cell r="F535">
            <v>3</v>
          </cell>
          <cell r="G535">
            <v>2</v>
          </cell>
          <cell r="H535">
            <v>556</v>
          </cell>
          <cell r="I535">
            <v>2</v>
          </cell>
          <cell r="J535">
            <v>10</v>
          </cell>
          <cell r="K535">
            <v>0</v>
          </cell>
        </row>
        <row r="536">
          <cell r="B536" t="str">
            <v>hello-react-native</v>
          </cell>
          <cell r="C536" t="str">
            <v>ariya/hello-react-native</v>
          </cell>
          <cell r="D536" t="str">
            <v>ariya/hello-react-native</v>
          </cell>
          <cell r="E536">
            <v>48</v>
          </cell>
          <cell r="F536">
            <v>3</v>
          </cell>
          <cell r="G536">
            <v>1</v>
          </cell>
          <cell r="H536">
            <v>844</v>
          </cell>
          <cell r="I536">
            <v>38</v>
          </cell>
          <cell r="J536">
            <v>20</v>
          </cell>
          <cell r="K536">
            <v>0</v>
          </cell>
        </row>
        <row r="537">
          <cell r="B537" t="str">
            <v>Ratatosk</v>
          </cell>
          <cell r="C537" t="str">
            <v>danielceinos/Ratatosk</v>
          </cell>
          <cell r="D537" t="str">
            <v>danielceinos/Ratatosk</v>
          </cell>
          <cell r="E537">
            <v>48</v>
          </cell>
          <cell r="F537">
            <v>3</v>
          </cell>
          <cell r="G537">
            <v>1</v>
          </cell>
          <cell r="H537">
            <v>2049</v>
          </cell>
          <cell r="I537">
            <v>0</v>
          </cell>
          <cell r="J537">
            <v>5</v>
          </cell>
          <cell r="K537">
            <v>3</v>
          </cell>
        </row>
        <row r="538">
          <cell r="B538" t="str">
            <v>unicode</v>
          </cell>
          <cell r="C538" t="str">
            <v>vadiole/unicode</v>
          </cell>
          <cell r="D538" t="str">
            <v>vadiole/unicode</v>
          </cell>
          <cell r="E538">
            <v>48</v>
          </cell>
          <cell r="F538">
            <v>11</v>
          </cell>
          <cell r="G538">
            <v>1</v>
          </cell>
          <cell r="H538">
            <v>7755</v>
          </cell>
          <cell r="I538">
            <v>1</v>
          </cell>
          <cell r="J538">
            <v>6</v>
          </cell>
          <cell r="K538">
            <v>1</v>
          </cell>
        </row>
        <row r="539">
          <cell r="B539" t="str">
            <v>torservices</v>
          </cell>
          <cell r="C539" t="str">
            <v>guardianproject/torservices</v>
          </cell>
          <cell r="D539" t="str">
            <v>guardianproject/torservices</v>
          </cell>
          <cell r="E539">
            <v>49</v>
          </cell>
          <cell r="F539">
            <v>0</v>
          </cell>
          <cell r="G539">
            <v>4</v>
          </cell>
          <cell r="H539">
            <v>501</v>
          </cell>
          <cell r="I539">
            <v>1</v>
          </cell>
          <cell r="J539">
            <v>5</v>
          </cell>
          <cell r="K539">
            <v>0</v>
          </cell>
        </row>
        <row r="540">
          <cell r="B540" t="str">
            <v>LazyDB</v>
          </cell>
          <cell r="C540" t="str">
            <v>ClaymanTwinkle/LazyDB</v>
          </cell>
          <cell r="D540" t="str">
            <v>ClaymanTwinkle/LazyDB</v>
          </cell>
          <cell r="E540">
            <v>49</v>
          </cell>
          <cell r="F540">
            <v>0</v>
          </cell>
          <cell r="G540">
            <v>1</v>
          </cell>
          <cell r="H540">
            <v>213</v>
          </cell>
          <cell r="I540">
            <v>3</v>
          </cell>
          <cell r="J540">
            <v>10</v>
          </cell>
          <cell r="K540">
            <v>0</v>
          </cell>
        </row>
        <row r="541">
          <cell r="B541" t="str">
            <v>Ocnus</v>
          </cell>
          <cell r="C541" t="str">
            <v>Lustiges-aus-dem-Computer/Ocnus</v>
          </cell>
          <cell r="D541" t="str">
            <v>Lustiges-aus-dem-Computer/Ocnus</v>
          </cell>
          <cell r="E541">
            <v>49</v>
          </cell>
          <cell r="F541">
            <v>0</v>
          </cell>
          <cell r="G541">
            <v>1</v>
          </cell>
          <cell r="H541">
            <v>383</v>
          </cell>
          <cell r="I541">
            <v>1</v>
          </cell>
          <cell r="J541">
            <v>4</v>
          </cell>
          <cell r="K541">
            <v>0</v>
          </cell>
        </row>
        <row r="542">
          <cell r="B542" t="str">
            <v>flutter-ci-deployment</v>
          </cell>
          <cell r="C542" t="str">
            <v>StoneMonarch/flutter-ci-deployment</v>
          </cell>
          <cell r="D542" t="str">
            <v>StoneMonarch/flutter-ci-deployment</v>
          </cell>
          <cell r="E542">
            <v>49</v>
          </cell>
          <cell r="F542">
            <v>2</v>
          </cell>
          <cell r="G542">
            <v>1</v>
          </cell>
          <cell r="H542">
            <v>107</v>
          </cell>
          <cell r="I542">
            <v>1</v>
          </cell>
          <cell r="J542">
            <v>1</v>
          </cell>
          <cell r="K542">
            <v>0</v>
          </cell>
        </row>
        <row r="543">
          <cell r="B543" t="str">
            <v>diagonal-imageview</v>
          </cell>
          <cell r="C543" t="str">
            <v>santalu/diagonal-imageview</v>
          </cell>
          <cell r="D543" t="str">
            <v>santalu/diagonal-imageview</v>
          </cell>
          <cell r="E543">
            <v>49</v>
          </cell>
          <cell r="F543">
            <v>3</v>
          </cell>
          <cell r="G543">
            <v>1</v>
          </cell>
          <cell r="H543">
            <v>12711</v>
          </cell>
          <cell r="I543">
            <v>35</v>
          </cell>
          <cell r="J543">
            <v>258</v>
          </cell>
          <cell r="K543">
            <v>0</v>
          </cell>
        </row>
        <row r="544">
          <cell r="B544" t="str">
            <v>aspect-ratio-imageview</v>
          </cell>
          <cell r="C544" t="str">
            <v>santalu/aspect-ratio-imageview</v>
          </cell>
          <cell r="D544" t="str">
            <v>santalu/aspect-ratio-imageview</v>
          </cell>
          <cell r="E544">
            <v>49</v>
          </cell>
          <cell r="F544">
            <v>5</v>
          </cell>
          <cell r="G544">
            <v>2</v>
          </cell>
          <cell r="H544">
            <v>7353</v>
          </cell>
          <cell r="I544">
            <v>21</v>
          </cell>
          <cell r="J544">
            <v>72</v>
          </cell>
          <cell r="K544">
            <v>0</v>
          </cell>
        </row>
        <row r="545">
          <cell r="B545" t="str">
            <v>compose-ui-book</v>
          </cell>
          <cell r="C545" t="str">
            <v>esafirm/compose-ui-book</v>
          </cell>
          <cell r="D545" t="str">
            <v>esafirm/compose-ui-book</v>
          </cell>
          <cell r="E545">
            <v>49</v>
          </cell>
          <cell r="F545">
            <v>19</v>
          </cell>
          <cell r="G545">
            <v>1</v>
          </cell>
          <cell r="H545">
            <v>1484</v>
          </cell>
          <cell r="I545">
            <v>0</v>
          </cell>
          <cell r="J545">
            <v>67</v>
          </cell>
          <cell r="K545">
            <v>6</v>
          </cell>
        </row>
        <row r="546">
          <cell r="B546" t="str">
            <v>SlipView</v>
          </cell>
          <cell r="C546" t="str">
            <v>annybudong/SlipView</v>
          </cell>
          <cell r="D546" t="str">
            <v>annybudong/SlipView</v>
          </cell>
          <cell r="E546">
            <v>50</v>
          </cell>
          <cell r="F546">
            <v>0</v>
          </cell>
          <cell r="G546">
            <v>1</v>
          </cell>
          <cell r="H546">
            <v>190</v>
          </cell>
          <cell r="I546">
            <v>0</v>
          </cell>
          <cell r="J546">
            <v>6</v>
          </cell>
          <cell r="K546">
            <v>0</v>
          </cell>
        </row>
        <row r="547">
          <cell r="B547" t="str">
            <v>Calculator</v>
          </cell>
          <cell r="C547" t="str">
            <v>Naresh-chandanbatve/Calculator</v>
          </cell>
          <cell r="D547" t="str">
            <v>Naresh-chandanbatve/Calculator</v>
          </cell>
          <cell r="E547">
            <v>50</v>
          </cell>
          <cell r="F547">
            <v>1</v>
          </cell>
          <cell r="G547">
            <v>2</v>
          </cell>
          <cell r="H547">
            <v>714</v>
          </cell>
          <cell r="I547">
            <v>2</v>
          </cell>
          <cell r="J547">
            <v>1</v>
          </cell>
          <cell r="K547">
            <v>4</v>
          </cell>
        </row>
        <row r="548">
          <cell r="B548" t="str">
            <v>jetpuppy</v>
          </cell>
          <cell r="C548" t="str">
            <v>ericktijerou/jetpuppy</v>
          </cell>
          <cell r="D548" t="str">
            <v>ericktijerou/jetpuppy</v>
          </cell>
          <cell r="E548">
            <v>50</v>
          </cell>
          <cell r="F548">
            <v>1</v>
          </cell>
          <cell r="G548">
            <v>1</v>
          </cell>
          <cell r="H548">
            <v>124809</v>
          </cell>
          <cell r="I548">
            <v>17</v>
          </cell>
          <cell r="J548">
            <v>87</v>
          </cell>
          <cell r="K548">
            <v>2</v>
          </cell>
        </row>
        <row r="549">
          <cell r="B549" t="str">
            <v>AlarmAndJob</v>
          </cell>
          <cell r="C549" t="str">
            <v>dxsdyhm/AlarmAndJob</v>
          </cell>
          <cell r="D549" t="str">
            <v>dxsdyhm/AlarmAndJob</v>
          </cell>
          <cell r="E549">
            <v>50</v>
          </cell>
          <cell r="F549">
            <v>2</v>
          </cell>
          <cell r="G549">
            <v>2</v>
          </cell>
          <cell r="H549">
            <v>175</v>
          </cell>
          <cell r="I549">
            <v>8</v>
          </cell>
          <cell r="J549">
            <v>78</v>
          </cell>
          <cell r="K549">
            <v>2</v>
          </cell>
        </row>
        <row r="550">
          <cell r="B550" t="str">
            <v>WhatsApp_Status_Saver</v>
          </cell>
          <cell r="C550" t="str">
            <v>GauthamAsir/WhatsApp_Status_Saver</v>
          </cell>
          <cell r="D550" t="str">
            <v>GauthamAsir/WhatsApp_Status_Saver</v>
          </cell>
          <cell r="E550">
            <v>50</v>
          </cell>
          <cell r="F550">
            <v>2</v>
          </cell>
          <cell r="G550">
            <v>1</v>
          </cell>
          <cell r="H550">
            <v>335</v>
          </cell>
          <cell r="I550">
            <v>41</v>
          </cell>
          <cell r="J550">
            <v>78</v>
          </cell>
          <cell r="K550">
            <v>4</v>
          </cell>
        </row>
        <row r="551">
          <cell r="B551" t="str">
            <v>GoCorona</v>
          </cell>
          <cell r="C551" t="str">
            <v>Sushant-Hande/GoCorona</v>
          </cell>
          <cell r="D551" t="str">
            <v>Sushant-Hande/GoCorona</v>
          </cell>
          <cell r="E551">
            <v>50</v>
          </cell>
          <cell r="F551">
            <v>8</v>
          </cell>
          <cell r="G551">
            <v>1</v>
          </cell>
          <cell r="H551">
            <v>15251</v>
          </cell>
          <cell r="I551">
            <v>7</v>
          </cell>
          <cell r="J551">
            <v>11</v>
          </cell>
          <cell r="K551">
            <v>0</v>
          </cell>
        </row>
        <row r="552">
          <cell r="B552" t="str">
            <v>Task-Scheduler</v>
          </cell>
          <cell r="C552" t="str">
            <v>AmartyaSingh97/Task-Scheduler</v>
          </cell>
          <cell r="D552" t="str">
            <v>AmartyaSingh97/Task-Scheduler</v>
          </cell>
          <cell r="E552">
            <v>50</v>
          </cell>
          <cell r="F552">
            <v>12</v>
          </cell>
          <cell r="G552">
            <v>3</v>
          </cell>
          <cell r="H552">
            <v>247</v>
          </cell>
          <cell r="I552">
            <v>0</v>
          </cell>
          <cell r="J552">
            <v>3</v>
          </cell>
          <cell r="K552">
            <v>10</v>
          </cell>
        </row>
        <row r="553">
          <cell r="B553" t="str">
            <v>Collapsible-Calendar-View-Android</v>
          </cell>
          <cell r="C553" t="str">
            <v>shrikanth7698/Collapsible-Calendar-View-Android</v>
          </cell>
          <cell r="D553" t="str">
            <v>shrikanth7698/Collapsible-Calendar-View-Android</v>
          </cell>
          <cell r="E553">
            <v>50</v>
          </cell>
          <cell r="F553">
            <v>21</v>
          </cell>
          <cell r="G553">
            <v>4</v>
          </cell>
          <cell r="H553">
            <v>2347</v>
          </cell>
          <cell r="I553">
            <v>114</v>
          </cell>
          <cell r="J553">
            <v>406</v>
          </cell>
          <cell r="K553">
            <v>31</v>
          </cell>
        </row>
        <row r="554">
          <cell r="B554" t="str">
            <v>ShareToComputer</v>
          </cell>
          <cell r="C554" t="str">
            <v>jimmod/ShareToComputer</v>
          </cell>
          <cell r="D554" t="str">
            <v>jimmod/ShareToComputer</v>
          </cell>
          <cell r="E554">
            <v>50</v>
          </cell>
          <cell r="F554">
            <v>47</v>
          </cell>
          <cell r="G554">
            <v>6</v>
          </cell>
          <cell r="H554">
            <v>2111</v>
          </cell>
          <cell r="I554">
            <v>28</v>
          </cell>
          <cell r="J554">
            <v>138</v>
          </cell>
          <cell r="K554">
            <v>17</v>
          </cell>
        </row>
        <row r="555">
          <cell r="B555" t="str">
            <v>android-starter</v>
          </cell>
          <cell r="C555" t="str">
            <v>imGurpreetSK/android-starter</v>
          </cell>
          <cell r="D555" t="str">
            <v>imGurpreetSK/android-starter</v>
          </cell>
          <cell r="E555">
            <v>51</v>
          </cell>
          <cell r="F555">
            <v>0</v>
          </cell>
          <cell r="G555">
            <v>1</v>
          </cell>
          <cell r="H555">
            <v>200</v>
          </cell>
          <cell r="I555">
            <v>1</v>
          </cell>
          <cell r="J555">
            <v>2</v>
          </cell>
          <cell r="K555">
            <v>0</v>
          </cell>
        </row>
        <row r="556">
          <cell r="B556" t="str">
            <v>Advanced-Settings-for-Android-Wear</v>
          </cell>
          <cell r="C556" t="str">
            <v>sssemil/Advanced-Settings-for-Android-Wear</v>
          </cell>
          <cell r="D556" t="str">
            <v>sssemil/Advanced-Settings-for-Android-Wear</v>
          </cell>
          <cell r="E556">
            <v>51</v>
          </cell>
          <cell r="F556">
            <v>1</v>
          </cell>
          <cell r="G556">
            <v>2</v>
          </cell>
          <cell r="H556">
            <v>1564</v>
          </cell>
          <cell r="I556">
            <v>5</v>
          </cell>
          <cell r="J556">
            <v>8</v>
          </cell>
          <cell r="K556">
            <v>12</v>
          </cell>
        </row>
        <row r="557">
          <cell r="B557" t="str">
            <v>shape-detection-android</v>
          </cell>
          <cell r="C557" t="str">
            <v>michaeltroger/shape-detection-android</v>
          </cell>
          <cell r="D557" t="str">
            <v>michaeltroger/shape-detection-android</v>
          </cell>
          <cell r="E557">
            <v>51</v>
          </cell>
          <cell r="F557">
            <v>3</v>
          </cell>
          <cell r="G557">
            <v>1</v>
          </cell>
          <cell r="H557">
            <v>322568</v>
          </cell>
          <cell r="I557">
            <v>4</v>
          </cell>
          <cell r="J557">
            <v>17</v>
          </cell>
          <cell r="K557">
            <v>0</v>
          </cell>
        </row>
        <row r="558">
          <cell r="B558" t="str">
            <v>LazyColumnScrollbar</v>
          </cell>
          <cell r="C558" t="str">
            <v>nanihadesuka/LazyColumnScrollbar</v>
          </cell>
          <cell r="D558" t="str">
            <v>nanihadesuka/LazyColumnScrollbar</v>
          </cell>
          <cell r="E558">
            <v>51</v>
          </cell>
          <cell r="F558">
            <v>6</v>
          </cell>
          <cell r="G558">
            <v>11</v>
          </cell>
          <cell r="H558">
            <v>156</v>
          </cell>
          <cell r="I558">
            <v>3</v>
          </cell>
          <cell r="J558">
            <v>30</v>
          </cell>
          <cell r="K558">
            <v>1</v>
          </cell>
        </row>
        <row r="559">
          <cell r="B559" t="str">
            <v>hnews</v>
          </cell>
          <cell r="C559" t="str">
            <v>vinayagasundar/hnews</v>
          </cell>
          <cell r="D559" t="str">
            <v>vinayagasundar/hnews</v>
          </cell>
          <cell r="E559">
            <v>51</v>
          </cell>
          <cell r="F559">
            <v>7</v>
          </cell>
          <cell r="G559">
            <v>1</v>
          </cell>
          <cell r="H559">
            <v>269</v>
          </cell>
          <cell r="I559">
            <v>1</v>
          </cell>
          <cell r="J559">
            <v>2</v>
          </cell>
          <cell r="K559">
            <v>1</v>
          </cell>
        </row>
        <row r="560">
          <cell r="B560" t="str">
            <v>StaySafe</v>
          </cell>
          <cell r="C560" t="str">
            <v>arnav-deep/StaySafe</v>
          </cell>
          <cell r="D560" t="str">
            <v>arnav-deep/StaySafe</v>
          </cell>
          <cell r="E560">
            <v>51</v>
          </cell>
          <cell r="F560">
            <v>12</v>
          </cell>
          <cell r="G560">
            <v>2</v>
          </cell>
          <cell r="H560">
            <v>1695</v>
          </cell>
          <cell r="I560">
            <v>5</v>
          </cell>
          <cell r="J560">
            <v>3</v>
          </cell>
          <cell r="K560">
            <v>5</v>
          </cell>
        </row>
        <row r="561">
          <cell r="B561" t="str">
            <v>clipboard</v>
          </cell>
          <cell r="C561" t="str">
            <v>golang-design/clipboard</v>
          </cell>
          <cell r="D561" t="str">
            <v>golang-design/clipboard</v>
          </cell>
          <cell r="E561">
            <v>51</v>
          </cell>
          <cell r="F561">
            <v>17</v>
          </cell>
          <cell r="G561">
            <v>11</v>
          </cell>
          <cell r="H561">
            <v>829</v>
          </cell>
          <cell r="I561">
            <v>40</v>
          </cell>
          <cell r="J561">
            <v>361</v>
          </cell>
          <cell r="K561">
            <v>7</v>
          </cell>
        </row>
        <row r="562">
          <cell r="B562" t="str">
            <v>flash-drive</v>
          </cell>
          <cell r="C562" t="str">
            <v>GuhaAG/flash-drive</v>
          </cell>
          <cell r="D562" t="str">
            <v>GuhaAG/flash-drive</v>
          </cell>
          <cell r="E562">
            <v>51</v>
          </cell>
          <cell r="F562">
            <v>17</v>
          </cell>
          <cell r="G562">
            <v>3</v>
          </cell>
          <cell r="H562">
            <v>1920</v>
          </cell>
          <cell r="I562">
            <v>0</v>
          </cell>
          <cell r="J562">
            <v>3</v>
          </cell>
          <cell r="K562">
            <v>9</v>
          </cell>
        </row>
        <row r="563">
          <cell r="B563" t="str">
            <v>android-commons</v>
          </cell>
          <cell r="C563" t="str">
            <v>mars885/android-commons</v>
          </cell>
          <cell r="D563" t="str">
            <v>mars885/android-commons</v>
          </cell>
          <cell r="E563">
            <v>51</v>
          </cell>
          <cell r="F563">
            <v>25</v>
          </cell>
          <cell r="G563">
            <v>1</v>
          </cell>
          <cell r="H563">
            <v>328</v>
          </cell>
          <cell r="I563">
            <v>0</v>
          </cell>
          <cell r="J563">
            <v>8</v>
          </cell>
          <cell r="K563">
            <v>0</v>
          </cell>
        </row>
        <row r="564">
          <cell r="B564" t="str">
            <v>Reptar</v>
          </cell>
          <cell r="C564" t="str">
            <v>Commit451/Reptar</v>
          </cell>
          <cell r="D564" t="str">
            <v>Commit451/Reptar</v>
          </cell>
          <cell r="E564">
            <v>52</v>
          </cell>
          <cell r="F564">
            <v>0</v>
          </cell>
          <cell r="G564">
            <v>1</v>
          </cell>
          <cell r="H564">
            <v>174</v>
          </cell>
          <cell r="I564">
            <v>1</v>
          </cell>
          <cell r="J564">
            <v>95</v>
          </cell>
          <cell r="K564">
            <v>0</v>
          </cell>
        </row>
        <row r="565">
          <cell r="B565" t="str">
            <v>Logger</v>
          </cell>
          <cell r="C565" t="str">
            <v>Ayvytr/Logger</v>
          </cell>
          <cell r="D565" t="str">
            <v>Ayvytr/Logger</v>
          </cell>
          <cell r="E565">
            <v>52</v>
          </cell>
          <cell r="F565">
            <v>0</v>
          </cell>
          <cell r="G565">
            <v>1</v>
          </cell>
          <cell r="H565">
            <v>1613</v>
          </cell>
          <cell r="I565">
            <v>1</v>
          </cell>
          <cell r="J565">
            <v>3</v>
          </cell>
          <cell r="K565">
            <v>0</v>
          </cell>
        </row>
        <row r="566">
          <cell r="B566" t="str">
            <v>TFProfiler</v>
          </cell>
          <cell r="C566" t="str">
            <v>iglaweb/TFProfiler</v>
          </cell>
          <cell r="D566" t="str">
            <v>iglaweb/TFProfiler</v>
          </cell>
          <cell r="E566">
            <v>52</v>
          </cell>
          <cell r="F566">
            <v>0</v>
          </cell>
          <cell r="G566">
            <v>1</v>
          </cell>
          <cell r="H566">
            <v>51795</v>
          </cell>
          <cell r="I566">
            <v>6</v>
          </cell>
          <cell r="J566">
            <v>26</v>
          </cell>
          <cell r="K566">
            <v>0</v>
          </cell>
        </row>
        <row r="567">
          <cell r="B567" t="str">
            <v>e_luminous_mobile</v>
          </cell>
          <cell r="C567" t="str">
            <v>e-Luminous/e_luminous_mobile</v>
          </cell>
          <cell r="D567" t="str">
            <v>e-Luminous/e_luminous_mobile</v>
          </cell>
          <cell r="E567">
            <v>52</v>
          </cell>
          <cell r="F567">
            <v>0</v>
          </cell>
          <cell r="G567">
            <v>1</v>
          </cell>
          <cell r="H567">
            <v>5517</v>
          </cell>
          <cell r="I567">
            <v>2</v>
          </cell>
          <cell r="J567">
            <v>1</v>
          </cell>
          <cell r="K567">
            <v>0</v>
          </cell>
        </row>
        <row r="568">
          <cell r="B568" t="str">
            <v>AndrIoT</v>
          </cell>
          <cell r="C568" t="str">
            <v>rosterloh/AndrIoT</v>
          </cell>
          <cell r="D568" t="str">
            <v>rosterloh/AndrIoT</v>
          </cell>
          <cell r="E568">
            <v>52</v>
          </cell>
          <cell r="F568">
            <v>0</v>
          </cell>
          <cell r="G568">
            <v>1</v>
          </cell>
          <cell r="H568">
            <v>94606</v>
          </cell>
          <cell r="I568">
            <v>2</v>
          </cell>
          <cell r="J568">
            <v>10</v>
          </cell>
          <cell r="K568">
            <v>4</v>
          </cell>
        </row>
        <row r="569">
          <cell r="B569" t="str">
            <v>RatingDialok</v>
          </cell>
          <cell r="C569" t="str">
            <v>chrjsorg/RatingDialok</v>
          </cell>
          <cell r="D569" t="str">
            <v>chrjsorg/RatingDialok</v>
          </cell>
          <cell r="E569">
            <v>52</v>
          </cell>
          <cell r="F569">
            <v>3</v>
          </cell>
          <cell r="G569">
            <v>2</v>
          </cell>
          <cell r="H569">
            <v>230</v>
          </cell>
          <cell r="I569">
            <v>2</v>
          </cell>
          <cell r="J569">
            <v>5</v>
          </cell>
          <cell r="K569">
            <v>1</v>
          </cell>
        </row>
        <row r="570">
          <cell r="B570" t="str">
            <v>CarciNoFit</v>
          </cell>
          <cell r="C570" t="str">
            <v>chhabrarhea/CarciNoFit</v>
          </cell>
          <cell r="D570" t="str">
            <v>chhabrarhea/CarciNoFit</v>
          </cell>
          <cell r="E570">
            <v>52</v>
          </cell>
          <cell r="F570">
            <v>4</v>
          </cell>
          <cell r="G570">
            <v>2</v>
          </cell>
          <cell r="H570">
            <v>1107</v>
          </cell>
          <cell r="I570">
            <v>1</v>
          </cell>
          <cell r="J570">
            <v>4</v>
          </cell>
          <cell r="K570">
            <v>0</v>
          </cell>
        </row>
        <row r="571">
          <cell r="B571" t="str">
            <v>popular-movies-android-nanodegree</v>
          </cell>
          <cell r="C571" t="str">
            <v>SanketBhat/popular-movies-android-nanodegree</v>
          </cell>
          <cell r="D571" t="str">
            <v>SanketBhat/popular-movies-android-nanodegree</v>
          </cell>
          <cell r="E571">
            <v>52</v>
          </cell>
          <cell r="F571">
            <v>5</v>
          </cell>
          <cell r="G571">
            <v>2</v>
          </cell>
          <cell r="H571">
            <v>10265</v>
          </cell>
          <cell r="I571">
            <v>1</v>
          </cell>
          <cell r="J571">
            <v>3</v>
          </cell>
          <cell r="K571">
            <v>0</v>
          </cell>
        </row>
        <row r="572">
          <cell r="B572" t="str">
            <v>reclaim</v>
          </cell>
          <cell r="C572" t="str">
            <v>Fueled/reclaim</v>
          </cell>
          <cell r="D572" t="str">
            <v>Fueled/reclaim</v>
          </cell>
          <cell r="E572">
            <v>52</v>
          </cell>
          <cell r="F572">
            <v>17</v>
          </cell>
          <cell r="G572">
            <v>4</v>
          </cell>
          <cell r="H572">
            <v>233</v>
          </cell>
          <cell r="I572">
            <v>3</v>
          </cell>
          <cell r="J572">
            <v>14</v>
          </cell>
          <cell r="K572">
            <v>0</v>
          </cell>
        </row>
        <row r="573">
          <cell r="B573" t="str">
            <v>View404</v>
          </cell>
          <cell r="C573" t="str">
            <v>BlueCat-Community/View404</v>
          </cell>
          <cell r="D573" t="str">
            <v>BlueCat-Community/View404</v>
          </cell>
          <cell r="E573">
            <v>52</v>
          </cell>
          <cell r="F573">
            <v>100</v>
          </cell>
          <cell r="G573">
            <v>7</v>
          </cell>
          <cell r="H573">
            <v>550</v>
          </cell>
          <cell r="I573">
            <v>5</v>
          </cell>
          <cell r="J573">
            <v>21</v>
          </cell>
          <cell r="K573">
            <v>5</v>
          </cell>
        </row>
        <row r="574">
          <cell r="B574" t="str">
            <v>mCerebrum-ThoughtShakeup</v>
          </cell>
          <cell r="C574" t="str">
            <v>MD2Korg/mCerebrum-ThoughtShakeup</v>
          </cell>
          <cell r="D574" t="str">
            <v>MD2Korg/mCerebrum-ThoughtShakeup</v>
          </cell>
          <cell r="E574">
            <v>53</v>
          </cell>
          <cell r="F574">
            <v>0</v>
          </cell>
          <cell r="G574">
            <v>3</v>
          </cell>
          <cell r="H574">
            <v>721</v>
          </cell>
          <cell r="I574">
            <v>1</v>
          </cell>
          <cell r="J574">
            <v>2</v>
          </cell>
          <cell r="K574">
            <v>1</v>
          </cell>
        </row>
        <row r="575">
          <cell r="B575" t="str">
            <v>weather-forecast-ID</v>
          </cell>
          <cell r="C575" t="str">
            <v>aydbtiko24/weather-forecast-ID</v>
          </cell>
          <cell r="D575" t="str">
            <v>aydbtiko24/weather-forecast-ID</v>
          </cell>
          <cell r="E575">
            <v>53</v>
          </cell>
          <cell r="F575">
            <v>0</v>
          </cell>
          <cell r="G575">
            <v>1</v>
          </cell>
          <cell r="H575">
            <v>874</v>
          </cell>
          <cell r="I575">
            <v>0</v>
          </cell>
          <cell r="J575">
            <v>2</v>
          </cell>
          <cell r="K575">
            <v>0</v>
          </cell>
        </row>
        <row r="576">
          <cell r="B576" t="str">
            <v>RickNMortyCompose</v>
          </cell>
          <cell r="C576" t="str">
            <v>a914-gowtham/RickNMortyCompose</v>
          </cell>
          <cell r="D576" t="str">
            <v>a914-gowtham/RickNMortyCompose</v>
          </cell>
          <cell r="E576">
            <v>53</v>
          </cell>
          <cell r="F576">
            <v>2</v>
          </cell>
          <cell r="G576">
            <v>1</v>
          </cell>
          <cell r="H576">
            <v>15702</v>
          </cell>
          <cell r="I576">
            <v>0</v>
          </cell>
          <cell r="J576">
            <v>13</v>
          </cell>
          <cell r="K576">
            <v>0</v>
          </cell>
        </row>
        <row r="577">
          <cell r="B577" t="str">
            <v>AnLinux-Adfree</v>
          </cell>
          <cell r="C577" t="str">
            <v>EXALAB/AnLinux-Adfree</v>
          </cell>
          <cell r="D577" t="str">
            <v>EXALAB/AnLinux-Adfree</v>
          </cell>
          <cell r="E577">
            <v>53</v>
          </cell>
          <cell r="F577">
            <v>4</v>
          </cell>
          <cell r="G577">
            <v>3</v>
          </cell>
          <cell r="H577">
            <v>59253</v>
          </cell>
          <cell r="I577">
            <v>32</v>
          </cell>
          <cell r="J577">
            <v>270</v>
          </cell>
          <cell r="K577">
            <v>0</v>
          </cell>
        </row>
        <row r="578">
          <cell r="B578" t="str">
            <v>easyrepost</v>
          </cell>
          <cell r="C578" t="str">
            <v>sschueller/easyrepost</v>
          </cell>
          <cell r="D578" t="str">
            <v>sschueller/easyrepost</v>
          </cell>
          <cell r="E578">
            <v>53</v>
          </cell>
          <cell r="F578">
            <v>5</v>
          </cell>
          <cell r="G578">
            <v>1</v>
          </cell>
          <cell r="H578">
            <v>8494</v>
          </cell>
          <cell r="I578">
            <v>3</v>
          </cell>
          <cell r="J578">
            <v>11</v>
          </cell>
          <cell r="K578">
            <v>10</v>
          </cell>
        </row>
        <row r="579">
          <cell r="B579" t="str">
            <v>Android-Kotlin-COVID19</v>
          </cell>
          <cell r="C579" t="str">
            <v>odiapratama/Android-Kotlin-COVID19</v>
          </cell>
          <cell r="D579" t="str">
            <v>odiapratama/Android-Kotlin-COVID19</v>
          </cell>
          <cell r="E579">
            <v>53</v>
          </cell>
          <cell r="F579">
            <v>7</v>
          </cell>
          <cell r="G579">
            <v>1</v>
          </cell>
          <cell r="H579">
            <v>16143</v>
          </cell>
          <cell r="I579">
            <v>0</v>
          </cell>
          <cell r="J579">
            <v>3</v>
          </cell>
          <cell r="K579">
            <v>0</v>
          </cell>
        </row>
        <row r="580">
          <cell r="B580" t="str">
            <v>termux-boot</v>
          </cell>
          <cell r="C580" t="str">
            <v>termux/termux-boot</v>
          </cell>
          <cell r="D580" t="str">
            <v>termux/termux-boot</v>
          </cell>
          <cell r="E580">
            <v>53</v>
          </cell>
          <cell r="F580">
            <v>8</v>
          </cell>
          <cell r="G580">
            <v>7</v>
          </cell>
          <cell r="H580">
            <v>239</v>
          </cell>
          <cell r="I580">
            <v>191</v>
          </cell>
          <cell r="J580">
            <v>551</v>
          </cell>
          <cell r="K580">
            <v>13</v>
          </cell>
        </row>
        <row r="581">
          <cell r="B581" t="str">
            <v>openinwa</v>
          </cell>
          <cell r="C581" t="str">
            <v>SubhamTyagi/openinwa</v>
          </cell>
          <cell r="D581" t="str">
            <v>SubhamTyagi/openinwa</v>
          </cell>
          <cell r="E581">
            <v>53</v>
          </cell>
          <cell r="F581">
            <v>10</v>
          </cell>
          <cell r="G581">
            <v>4</v>
          </cell>
          <cell r="H581">
            <v>1054</v>
          </cell>
          <cell r="I581">
            <v>21</v>
          </cell>
          <cell r="J581">
            <v>67</v>
          </cell>
          <cell r="K581">
            <v>10</v>
          </cell>
        </row>
        <row r="582">
          <cell r="B582" t="str">
            <v>Android-Arsenal</v>
          </cell>
          <cell r="C582" t="str">
            <v>lovejjfg/Android-Arsenal</v>
          </cell>
          <cell r="D582" t="str">
            <v>lovejjfg/Android-Arsenal</v>
          </cell>
          <cell r="E582">
            <v>54</v>
          </cell>
          <cell r="F582">
            <v>0</v>
          </cell>
          <cell r="G582">
            <v>1</v>
          </cell>
          <cell r="H582">
            <v>795</v>
          </cell>
          <cell r="I582">
            <v>9</v>
          </cell>
          <cell r="J582">
            <v>24</v>
          </cell>
          <cell r="K582">
            <v>1</v>
          </cell>
        </row>
        <row r="583">
          <cell r="B583" t="str">
            <v>aria2c-android-app</v>
          </cell>
          <cell r="C583" t="str">
            <v>yahch/aria2c-android-app</v>
          </cell>
          <cell r="D583" t="str">
            <v>yahch/aria2c-android-app</v>
          </cell>
          <cell r="E583">
            <v>54</v>
          </cell>
          <cell r="F583">
            <v>0</v>
          </cell>
          <cell r="G583">
            <v>2</v>
          </cell>
          <cell r="H583">
            <v>6902</v>
          </cell>
          <cell r="I583">
            <v>11</v>
          </cell>
          <cell r="J583">
            <v>55</v>
          </cell>
          <cell r="K583">
            <v>3</v>
          </cell>
        </row>
        <row r="584">
          <cell r="B584" t="str">
            <v>ChatGPT-App</v>
          </cell>
          <cell r="C584" t="str">
            <v>Chamidilshan/ChatGPT-App</v>
          </cell>
          <cell r="D584" t="str">
            <v>Chamidilshan/ChatGPT-App</v>
          </cell>
          <cell r="E584">
            <v>54</v>
          </cell>
          <cell r="F584">
            <v>1</v>
          </cell>
          <cell r="G584">
            <v>1</v>
          </cell>
          <cell r="H584">
            <v>485</v>
          </cell>
          <cell r="I584">
            <v>14</v>
          </cell>
          <cell r="J584">
            <v>43</v>
          </cell>
          <cell r="K584">
            <v>0</v>
          </cell>
        </row>
        <row r="585">
          <cell r="B585" t="str">
            <v>BooksSwipe</v>
          </cell>
          <cell r="C585" t="str">
            <v>mejdi14/BooksSwipe</v>
          </cell>
          <cell r="D585" t="str">
            <v>mejdi14/BooksSwipe</v>
          </cell>
          <cell r="E585">
            <v>54</v>
          </cell>
          <cell r="F585">
            <v>1</v>
          </cell>
          <cell r="G585">
            <v>1</v>
          </cell>
          <cell r="H585">
            <v>4897</v>
          </cell>
          <cell r="I585">
            <v>5</v>
          </cell>
          <cell r="J585">
            <v>56</v>
          </cell>
          <cell r="K585">
            <v>0</v>
          </cell>
        </row>
        <row r="586">
          <cell r="B586" t="str">
            <v>linux-mon</v>
          </cell>
          <cell r="C586" t="str">
            <v>therexone/linux-mon</v>
          </cell>
          <cell r="D586" t="str">
            <v>therexone/linux-mon</v>
          </cell>
          <cell r="E586">
            <v>54</v>
          </cell>
          <cell r="F586">
            <v>2</v>
          </cell>
          <cell r="G586">
            <v>3</v>
          </cell>
          <cell r="H586">
            <v>14177</v>
          </cell>
          <cell r="I586">
            <v>3</v>
          </cell>
          <cell r="J586">
            <v>21</v>
          </cell>
          <cell r="K586">
            <v>0</v>
          </cell>
        </row>
        <row r="587">
          <cell r="B587" t="str">
            <v>SimpleBible</v>
          </cell>
          <cell r="C587" t="str">
            <v>mithun17/SimpleBible</v>
          </cell>
          <cell r="D587" t="str">
            <v>mithun17/SimpleBible</v>
          </cell>
          <cell r="E587">
            <v>54</v>
          </cell>
          <cell r="F587">
            <v>3</v>
          </cell>
          <cell r="G587">
            <v>1</v>
          </cell>
          <cell r="H587">
            <v>5552</v>
          </cell>
          <cell r="I587">
            <v>5</v>
          </cell>
          <cell r="J587">
            <v>25</v>
          </cell>
          <cell r="K587">
            <v>1</v>
          </cell>
        </row>
        <row r="588">
          <cell r="B588" t="str">
            <v>movies</v>
          </cell>
          <cell r="C588" t="str">
            <v>rafayali/movies</v>
          </cell>
          <cell r="D588" t="str">
            <v>rafayali/movies</v>
          </cell>
          <cell r="E588">
            <v>54</v>
          </cell>
          <cell r="F588">
            <v>5</v>
          </cell>
          <cell r="G588">
            <v>3</v>
          </cell>
          <cell r="H588">
            <v>24204</v>
          </cell>
          <cell r="I588">
            <v>1</v>
          </cell>
          <cell r="J588">
            <v>12</v>
          </cell>
          <cell r="K588">
            <v>0</v>
          </cell>
        </row>
        <row r="589">
          <cell r="B589" t="str">
            <v>swift-weather-app</v>
          </cell>
          <cell r="C589" t="str">
            <v>andriydruk/swift-weather-app</v>
          </cell>
          <cell r="D589" t="str">
            <v>andriydruk/swift-weather-app</v>
          </cell>
          <cell r="E589">
            <v>54</v>
          </cell>
          <cell r="F589">
            <v>18</v>
          </cell>
          <cell r="G589">
            <v>2</v>
          </cell>
          <cell r="H589">
            <v>474</v>
          </cell>
          <cell r="I589">
            <v>8</v>
          </cell>
          <cell r="J589">
            <v>37</v>
          </cell>
          <cell r="K589">
            <v>5</v>
          </cell>
        </row>
        <row r="590">
          <cell r="B590" t="str">
            <v>encrypted-datastore</v>
          </cell>
          <cell r="C590" t="str">
            <v>reskimulud/encrypted-datastore</v>
          </cell>
          <cell r="D590" t="str">
            <v>reskimulud/encrypted-datastore</v>
          </cell>
          <cell r="E590">
            <v>55</v>
          </cell>
          <cell r="F590">
            <v>0</v>
          </cell>
          <cell r="G590">
            <v>1</v>
          </cell>
          <cell r="H590">
            <v>244</v>
          </cell>
          <cell r="I590">
            <v>0</v>
          </cell>
          <cell r="J590">
            <v>1</v>
          </cell>
          <cell r="K590">
            <v>0</v>
          </cell>
        </row>
        <row r="591">
          <cell r="B591" t="str">
            <v>turbojira</v>
          </cell>
          <cell r="C591" t="str">
            <v>JamesClonk/turbojira</v>
          </cell>
          <cell r="D591" t="str">
            <v>JamesClonk/turbojira</v>
          </cell>
          <cell r="E591">
            <v>55</v>
          </cell>
          <cell r="F591">
            <v>0</v>
          </cell>
          <cell r="G591">
            <v>1</v>
          </cell>
          <cell r="H591">
            <v>297</v>
          </cell>
          <cell r="I591">
            <v>0</v>
          </cell>
          <cell r="J591">
            <v>3</v>
          </cell>
          <cell r="K591">
            <v>0</v>
          </cell>
        </row>
        <row r="592">
          <cell r="B592" t="str">
            <v>mangindo</v>
          </cell>
          <cell r="C592" t="str">
            <v>bigscreen/mangindo</v>
          </cell>
          <cell r="D592" t="str">
            <v>bigscreen/mangindo</v>
          </cell>
          <cell r="E592">
            <v>55</v>
          </cell>
          <cell r="F592">
            <v>0</v>
          </cell>
          <cell r="G592">
            <v>1</v>
          </cell>
          <cell r="H592">
            <v>500</v>
          </cell>
          <cell r="I592">
            <v>5</v>
          </cell>
          <cell r="J592">
            <v>4</v>
          </cell>
          <cell r="K592">
            <v>0</v>
          </cell>
        </row>
        <row r="593">
          <cell r="B593" t="str">
            <v>QQ-Exp-Android</v>
          </cell>
          <cell r="C593" t="str">
            <v>zsqw123/QQ-Exp-Android</v>
          </cell>
          <cell r="D593" t="str">
            <v>zsqw123/QQ-Exp-Android</v>
          </cell>
          <cell r="E593">
            <v>55</v>
          </cell>
          <cell r="F593">
            <v>0</v>
          </cell>
          <cell r="G593">
            <v>1</v>
          </cell>
          <cell r="H593">
            <v>1647</v>
          </cell>
          <cell r="I593">
            <v>10</v>
          </cell>
          <cell r="J593">
            <v>76</v>
          </cell>
          <cell r="K593">
            <v>2</v>
          </cell>
        </row>
        <row r="594">
          <cell r="B594" t="str">
            <v>pokedex-android</v>
          </cell>
          <cell r="C594" t="str">
            <v>RamziJabali/pokedex-android</v>
          </cell>
          <cell r="D594" t="str">
            <v>RamziJabali/pokedex-android</v>
          </cell>
          <cell r="E594">
            <v>55</v>
          </cell>
          <cell r="F594">
            <v>1</v>
          </cell>
          <cell r="G594">
            <v>1</v>
          </cell>
          <cell r="H594">
            <v>30689</v>
          </cell>
          <cell r="I594">
            <v>0</v>
          </cell>
          <cell r="J594">
            <v>2</v>
          </cell>
          <cell r="K594">
            <v>0</v>
          </cell>
        </row>
        <row r="595">
          <cell r="B595" t="str">
            <v>bluepass</v>
          </cell>
          <cell r="C595" t="str">
            <v>boon-code/bluepass</v>
          </cell>
          <cell r="D595" t="str">
            <v>boon-code/bluepass</v>
          </cell>
          <cell r="E595">
            <v>55</v>
          </cell>
          <cell r="F595">
            <v>4</v>
          </cell>
          <cell r="G595">
            <v>1</v>
          </cell>
          <cell r="H595">
            <v>995</v>
          </cell>
          <cell r="I595">
            <v>1</v>
          </cell>
          <cell r="J595">
            <v>16</v>
          </cell>
          <cell r="K595">
            <v>2</v>
          </cell>
        </row>
        <row r="596">
          <cell r="B596" t="str">
            <v>InstiGo</v>
          </cell>
          <cell r="C596" t="str">
            <v>sonusourav/InstiGo</v>
          </cell>
          <cell r="D596" t="str">
            <v>sonusourav/InstiGo</v>
          </cell>
          <cell r="E596">
            <v>55</v>
          </cell>
          <cell r="F596">
            <v>4</v>
          </cell>
          <cell r="G596">
            <v>1</v>
          </cell>
          <cell r="H596">
            <v>74934</v>
          </cell>
          <cell r="I596">
            <v>21</v>
          </cell>
          <cell r="J596">
            <v>29</v>
          </cell>
          <cell r="K596">
            <v>0</v>
          </cell>
        </row>
        <row r="597">
          <cell r="B597" t="str">
            <v>decent</v>
          </cell>
          <cell r="C597" t="str">
            <v>msieczko/decent</v>
          </cell>
          <cell r="D597" t="str">
            <v>msieczko/decent</v>
          </cell>
          <cell r="E597">
            <v>55</v>
          </cell>
          <cell r="F597">
            <v>24</v>
          </cell>
          <cell r="G597">
            <v>2</v>
          </cell>
          <cell r="H597">
            <v>578</v>
          </cell>
          <cell r="I597">
            <v>0</v>
          </cell>
          <cell r="J597">
            <v>3</v>
          </cell>
          <cell r="K597">
            <v>0</v>
          </cell>
        </row>
        <row r="598">
          <cell r="B598" t="str">
            <v>rfdroid-scanparam</v>
          </cell>
          <cell r="C598" t="str">
            <v>bertrandmartel/rfdroid-scanparam</v>
          </cell>
          <cell r="D598" t="str">
            <v>bertrandmartel/rfdroid-scanparam</v>
          </cell>
          <cell r="E598">
            <v>56</v>
          </cell>
          <cell r="F598">
            <v>0</v>
          </cell>
          <cell r="G598">
            <v>1</v>
          </cell>
          <cell r="H598">
            <v>5650</v>
          </cell>
          <cell r="I598">
            <v>1</v>
          </cell>
          <cell r="J598">
            <v>2</v>
          </cell>
          <cell r="K598">
            <v>0</v>
          </cell>
        </row>
        <row r="599">
          <cell r="B599" t="str">
            <v>klingar</v>
          </cell>
          <cell r="C599" t="str">
            <v>simonnorberg/klingar</v>
          </cell>
          <cell r="D599" t="str">
            <v>simonnorberg/klingar</v>
          </cell>
          <cell r="E599">
            <v>56</v>
          </cell>
          <cell r="F599">
            <v>1</v>
          </cell>
          <cell r="G599">
            <v>1</v>
          </cell>
          <cell r="H599">
            <v>813</v>
          </cell>
          <cell r="I599">
            <v>7</v>
          </cell>
          <cell r="J599">
            <v>32</v>
          </cell>
          <cell r="K599">
            <v>0</v>
          </cell>
        </row>
        <row r="600">
          <cell r="B600" t="str">
            <v>Dira</v>
          </cell>
          <cell r="C600" t="str">
            <v>AlbatovK/Dira</v>
          </cell>
          <cell r="D600" t="str">
            <v>AlbatovK/Dira</v>
          </cell>
          <cell r="E600">
            <v>56</v>
          </cell>
          <cell r="F600">
            <v>1</v>
          </cell>
          <cell r="G600">
            <v>1</v>
          </cell>
          <cell r="H600">
            <v>2290</v>
          </cell>
          <cell r="I600">
            <v>2</v>
          </cell>
          <cell r="J600">
            <v>4</v>
          </cell>
          <cell r="K600">
            <v>1</v>
          </cell>
        </row>
        <row r="601">
          <cell r="B601" t="str">
            <v>wordlesolver</v>
          </cell>
          <cell r="C601" t="str">
            <v>billthefarmer/wordlesolver</v>
          </cell>
          <cell r="D601" t="str">
            <v>billthefarmer/wordlesolver</v>
          </cell>
          <cell r="E601">
            <v>56</v>
          </cell>
          <cell r="F601">
            <v>2</v>
          </cell>
          <cell r="G601">
            <v>2</v>
          </cell>
          <cell r="H601">
            <v>1160</v>
          </cell>
          <cell r="I601">
            <v>2</v>
          </cell>
          <cell r="J601">
            <v>9</v>
          </cell>
          <cell r="K601">
            <v>1</v>
          </cell>
        </row>
        <row r="602">
          <cell r="B602" t="str">
            <v>android-layout-transitions-kotlin</v>
          </cell>
          <cell r="C602" t="str">
            <v>gayanvoice/android-layout-transitions-kotlin</v>
          </cell>
          <cell r="D602" t="str">
            <v>gayanvoice/android-layout-transitions-kotlin</v>
          </cell>
          <cell r="E602">
            <v>56</v>
          </cell>
          <cell r="F602">
            <v>2</v>
          </cell>
          <cell r="G602">
            <v>2</v>
          </cell>
          <cell r="H602">
            <v>3117</v>
          </cell>
          <cell r="I602">
            <v>1</v>
          </cell>
          <cell r="J602">
            <v>8</v>
          </cell>
          <cell r="K602">
            <v>0</v>
          </cell>
        </row>
        <row r="603">
          <cell r="B603" t="str">
            <v>UMoney</v>
          </cell>
          <cell r="C603" t="str">
            <v>yashkite/UMoney</v>
          </cell>
          <cell r="D603" t="str">
            <v>yashkite/UMoney</v>
          </cell>
          <cell r="E603">
            <v>56</v>
          </cell>
          <cell r="F603">
            <v>5</v>
          </cell>
          <cell r="G603">
            <v>2</v>
          </cell>
          <cell r="H603">
            <v>24657</v>
          </cell>
          <cell r="I603">
            <v>3</v>
          </cell>
          <cell r="J603">
            <v>2</v>
          </cell>
          <cell r="K603">
            <v>12</v>
          </cell>
        </row>
        <row r="604">
          <cell r="B604" t="str">
            <v>maskara</v>
          </cell>
          <cell r="C604" t="str">
            <v>santalu/maskara</v>
          </cell>
          <cell r="D604" t="str">
            <v>santalu/maskara</v>
          </cell>
          <cell r="E604">
            <v>56</v>
          </cell>
          <cell r="F604">
            <v>9</v>
          </cell>
          <cell r="G604">
            <v>2</v>
          </cell>
          <cell r="H604">
            <v>2399</v>
          </cell>
          <cell r="I604">
            <v>70</v>
          </cell>
          <cell r="J604">
            <v>599</v>
          </cell>
          <cell r="K604">
            <v>10</v>
          </cell>
        </row>
        <row r="605">
          <cell r="B605" t="str">
            <v>NewsApp</v>
          </cell>
          <cell r="C605" t="str">
            <v>sridharjajoo/NewsApp</v>
          </cell>
          <cell r="D605" t="str">
            <v>sridharjajoo/NewsApp</v>
          </cell>
          <cell r="E605">
            <v>56</v>
          </cell>
          <cell r="F605">
            <v>28</v>
          </cell>
          <cell r="G605">
            <v>4</v>
          </cell>
          <cell r="H605">
            <v>1052</v>
          </cell>
          <cell r="I605">
            <v>18</v>
          </cell>
          <cell r="J605">
            <v>27</v>
          </cell>
          <cell r="K605">
            <v>10</v>
          </cell>
        </row>
        <row r="606">
          <cell r="B606" t="str">
            <v>AntiSpam</v>
          </cell>
          <cell r="C606" t="str">
            <v>SirLordPouya/AntiSpam</v>
          </cell>
          <cell r="D606" t="str">
            <v>HeyPouya/AntiSpam</v>
          </cell>
          <cell r="E606">
            <v>57</v>
          </cell>
          <cell r="F606">
            <v>0</v>
          </cell>
          <cell r="G606">
            <v>1</v>
          </cell>
          <cell r="H606">
            <v>4606</v>
          </cell>
          <cell r="I606">
            <v>1</v>
          </cell>
          <cell r="J606">
            <v>8</v>
          </cell>
          <cell r="K606">
            <v>0</v>
          </cell>
        </row>
        <row r="607">
          <cell r="B607" t="str">
            <v>buildAPKs.apps</v>
          </cell>
          <cell r="C607" t="str">
            <v>BuildAPKs/buildAPKs.apps</v>
          </cell>
          <cell r="D607" t="str">
            <v>BuildAPKs/buildAPKs.apps</v>
          </cell>
          <cell r="E607">
            <v>57</v>
          </cell>
          <cell r="F607">
            <v>0</v>
          </cell>
          <cell r="G607">
            <v>1</v>
          </cell>
          <cell r="H607">
            <v>4674</v>
          </cell>
          <cell r="I607">
            <v>3</v>
          </cell>
          <cell r="J607">
            <v>14</v>
          </cell>
          <cell r="K607">
            <v>0</v>
          </cell>
        </row>
        <row r="608">
          <cell r="B608" t="str">
            <v>photo-sharing-android</v>
          </cell>
          <cell r="C608" t="str">
            <v>bossly/photo-sharing-android</v>
          </cell>
          <cell r="D608" t="str">
            <v>bossly/photo-sharing-android</v>
          </cell>
          <cell r="E608">
            <v>57</v>
          </cell>
          <cell r="F608">
            <v>3</v>
          </cell>
          <cell r="G608">
            <v>2</v>
          </cell>
          <cell r="H608">
            <v>8368</v>
          </cell>
          <cell r="I608">
            <v>4</v>
          </cell>
          <cell r="J608">
            <v>11</v>
          </cell>
          <cell r="K608">
            <v>0</v>
          </cell>
        </row>
        <row r="609">
          <cell r="B609" t="str">
            <v>PADumper</v>
          </cell>
          <cell r="C609" t="str">
            <v>BryanGIG/PADumper</v>
          </cell>
          <cell r="D609" t="str">
            <v>BryanGIG/PADumper</v>
          </cell>
          <cell r="E609">
            <v>57</v>
          </cell>
          <cell r="F609">
            <v>6</v>
          </cell>
          <cell r="G609">
            <v>3</v>
          </cell>
          <cell r="H609">
            <v>495</v>
          </cell>
          <cell r="I609">
            <v>9</v>
          </cell>
          <cell r="J609">
            <v>22</v>
          </cell>
          <cell r="K609">
            <v>0</v>
          </cell>
        </row>
        <row r="610">
          <cell r="B610" t="str">
            <v>Compose-BreakingBad</v>
          </cell>
          <cell r="C610" t="str">
            <v>shinhyo/Compose-BreakingBad</v>
          </cell>
          <cell r="D610" t="str">
            <v>shinhyo/Compose-BreakingBad</v>
          </cell>
          <cell r="E610">
            <v>57</v>
          </cell>
          <cell r="F610">
            <v>9</v>
          </cell>
          <cell r="G610">
            <v>1</v>
          </cell>
          <cell r="H610">
            <v>30932</v>
          </cell>
          <cell r="I610">
            <v>9</v>
          </cell>
          <cell r="J610">
            <v>38</v>
          </cell>
          <cell r="K610">
            <v>0</v>
          </cell>
        </row>
        <row r="611">
          <cell r="B611" t="str">
            <v>RUTMath</v>
          </cell>
          <cell r="C611" t="str">
            <v>przemarbor/RUTMath</v>
          </cell>
          <cell r="D611" t="str">
            <v>przemarbor/RUTMath</v>
          </cell>
          <cell r="E611">
            <v>57</v>
          </cell>
          <cell r="F611">
            <v>11</v>
          </cell>
          <cell r="G611">
            <v>6</v>
          </cell>
          <cell r="H611">
            <v>64778</v>
          </cell>
          <cell r="I611">
            <v>3</v>
          </cell>
          <cell r="J611">
            <v>2</v>
          </cell>
          <cell r="K611">
            <v>1</v>
          </cell>
        </row>
        <row r="612">
          <cell r="B612" t="str">
            <v>machbarschaft-android-kotlin</v>
          </cell>
          <cell r="C612" t="str">
            <v>machbarschaft/machbarschaft-android-kotlin</v>
          </cell>
          <cell r="D612" t="str">
            <v>machbarschaft/machbarschaft-android-kotlin</v>
          </cell>
          <cell r="E612">
            <v>57</v>
          </cell>
          <cell r="F612">
            <v>11</v>
          </cell>
          <cell r="G612">
            <v>2</v>
          </cell>
          <cell r="H612">
            <v>13550</v>
          </cell>
          <cell r="I612">
            <v>0</v>
          </cell>
          <cell r="J612">
            <v>1</v>
          </cell>
          <cell r="K612">
            <v>5</v>
          </cell>
        </row>
        <row r="613">
          <cell r="B613" t="str">
            <v>Minimal_ToDo</v>
          </cell>
          <cell r="C613" t="str">
            <v>rob729/Minimal_ToDo</v>
          </cell>
          <cell r="D613" t="str">
            <v>rob729/Minimal_ToDo</v>
          </cell>
          <cell r="E613">
            <v>57</v>
          </cell>
          <cell r="F613">
            <v>13</v>
          </cell>
          <cell r="G613">
            <v>5</v>
          </cell>
          <cell r="H613">
            <v>11230</v>
          </cell>
          <cell r="I613">
            <v>12</v>
          </cell>
          <cell r="J613">
            <v>8</v>
          </cell>
          <cell r="K613">
            <v>4</v>
          </cell>
        </row>
        <row r="614">
          <cell r="B614" t="str">
            <v>roc-droid</v>
          </cell>
          <cell r="C614" t="str">
            <v>roc-streaming/roc-droid</v>
          </cell>
          <cell r="D614" t="str">
            <v>roc-streaming/roc-droid</v>
          </cell>
          <cell r="E614">
            <v>57</v>
          </cell>
          <cell r="F614">
            <v>34</v>
          </cell>
          <cell r="G614">
            <v>12</v>
          </cell>
          <cell r="H614">
            <v>4980</v>
          </cell>
          <cell r="I614">
            <v>15</v>
          </cell>
          <cell r="J614">
            <v>37</v>
          </cell>
          <cell r="K614">
            <v>22</v>
          </cell>
        </row>
        <row r="615">
          <cell r="B615" t="str">
            <v>Kotlin-Order-Food-App</v>
          </cell>
          <cell r="C615" t="str">
            <v>muratozturk5/Kotlin-Order-Food-App</v>
          </cell>
          <cell r="D615" t="str">
            <v>muratozturk5/Kotlin-Order-Food-App</v>
          </cell>
          <cell r="E615">
            <v>58</v>
          </cell>
          <cell r="F615">
            <v>0</v>
          </cell>
          <cell r="G615">
            <v>1</v>
          </cell>
          <cell r="H615">
            <v>32876</v>
          </cell>
          <cell r="I615">
            <v>4</v>
          </cell>
          <cell r="J615">
            <v>19</v>
          </cell>
          <cell r="K615">
            <v>0</v>
          </cell>
        </row>
        <row r="616">
          <cell r="B616" t="str">
            <v>brainjogging</v>
          </cell>
          <cell r="C616" t="str">
            <v>fkropfhamer/brainjogging</v>
          </cell>
          <cell r="D616" t="str">
            <v>fkropfhamer/brainjogging</v>
          </cell>
          <cell r="E616">
            <v>58</v>
          </cell>
          <cell r="F616">
            <v>1</v>
          </cell>
          <cell r="G616">
            <v>2</v>
          </cell>
          <cell r="H616">
            <v>1099</v>
          </cell>
          <cell r="I616">
            <v>0</v>
          </cell>
          <cell r="J616">
            <v>6</v>
          </cell>
          <cell r="K616">
            <v>0</v>
          </cell>
        </row>
        <row r="617">
          <cell r="B617" t="str">
            <v>serverless-followupapp-android</v>
          </cell>
          <cell r="C617" t="str">
            <v>IBM-Cloud/serverless-followupapp-android</v>
          </cell>
          <cell r="D617" t="str">
            <v>IBM-Cloud/serverless-followupapp-android</v>
          </cell>
          <cell r="E617">
            <v>58</v>
          </cell>
          <cell r="F617">
            <v>1</v>
          </cell>
          <cell r="G617">
            <v>3</v>
          </cell>
          <cell r="H617">
            <v>233</v>
          </cell>
          <cell r="I617">
            <v>2</v>
          </cell>
          <cell r="J617">
            <v>5</v>
          </cell>
          <cell r="K617">
            <v>0</v>
          </cell>
        </row>
        <row r="618">
          <cell r="B618" t="str">
            <v>.lingo</v>
          </cell>
          <cell r="C618" t="str">
            <v>brainail/.lingo</v>
          </cell>
          <cell r="D618" t="str">
            <v>tensonohikari/.lingo</v>
          </cell>
          <cell r="E618">
            <v>58</v>
          </cell>
          <cell r="F618">
            <v>4</v>
          </cell>
          <cell r="G618">
            <v>1</v>
          </cell>
          <cell r="H618">
            <v>2304</v>
          </cell>
          <cell r="I618">
            <v>0</v>
          </cell>
          <cell r="J618">
            <v>2</v>
          </cell>
          <cell r="K618">
            <v>6</v>
          </cell>
        </row>
        <row r="619">
          <cell r="B619" t="str">
            <v>limpazap</v>
          </cell>
          <cell r="C619" t="str">
            <v>lucasew/limpazap</v>
          </cell>
          <cell r="D619" t="str">
            <v>lucasew/limpazap</v>
          </cell>
          <cell r="E619">
            <v>58</v>
          </cell>
          <cell r="F619">
            <v>8</v>
          </cell>
          <cell r="G619">
            <v>3</v>
          </cell>
          <cell r="H619">
            <v>4710</v>
          </cell>
          <cell r="I619">
            <v>2</v>
          </cell>
          <cell r="J619">
            <v>12</v>
          </cell>
          <cell r="K619">
            <v>2</v>
          </cell>
        </row>
        <row r="620">
          <cell r="B620" t="str">
            <v>ReadMoreTextView</v>
          </cell>
          <cell r="C620" t="str">
            <v>bravoborja/ReadMoreTextView</v>
          </cell>
          <cell r="D620" t="str">
            <v>bravoborja/ReadMoreTextView</v>
          </cell>
          <cell r="E620">
            <v>58</v>
          </cell>
          <cell r="F620">
            <v>13</v>
          </cell>
          <cell r="G620">
            <v>3</v>
          </cell>
          <cell r="H620">
            <v>642</v>
          </cell>
          <cell r="I620">
            <v>236</v>
          </cell>
          <cell r="J620">
            <v>1662</v>
          </cell>
          <cell r="K620">
            <v>35</v>
          </cell>
        </row>
        <row r="621">
          <cell r="B621" t="str">
            <v>SoundProfile</v>
          </cell>
          <cell r="C621" t="str">
            <v>rnehra01/SoundProfile</v>
          </cell>
          <cell r="D621" t="str">
            <v>rnehra01/SoundProfile</v>
          </cell>
          <cell r="E621">
            <v>58</v>
          </cell>
          <cell r="F621">
            <v>25</v>
          </cell>
          <cell r="G621">
            <v>6</v>
          </cell>
          <cell r="H621">
            <v>814</v>
          </cell>
          <cell r="I621">
            <v>5</v>
          </cell>
          <cell r="J621">
            <v>5</v>
          </cell>
          <cell r="K621">
            <v>1</v>
          </cell>
        </row>
        <row r="622">
          <cell r="B622" t="str">
            <v>PrismatikRemote</v>
          </cell>
          <cell r="C622" t="str">
            <v>Hatzen/PrismatikRemote</v>
          </cell>
          <cell r="D622" t="str">
            <v>Hatzen/PrismatikRemote</v>
          </cell>
          <cell r="E622">
            <v>59</v>
          </cell>
          <cell r="F622">
            <v>0</v>
          </cell>
          <cell r="G622">
            <v>1</v>
          </cell>
          <cell r="H622">
            <v>195</v>
          </cell>
          <cell r="I622">
            <v>0</v>
          </cell>
          <cell r="J622">
            <v>5</v>
          </cell>
          <cell r="K622">
            <v>2</v>
          </cell>
        </row>
        <row r="623">
          <cell r="B623" t="str">
            <v>SRML</v>
          </cell>
          <cell r="C623" t="str">
            <v>jasonwyatt/SRML</v>
          </cell>
          <cell r="D623" t="str">
            <v>jasonwyatt/SRML</v>
          </cell>
          <cell r="E623">
            <v>59</v>
          </cell>
          <cell r="F623">
            <v>0</v>
          </cell>
          <cell r="G623">
            <v>1</v>
          </cell>
          <cell r="H623">
            <v>1885</v>
          </cell>
          <cell r="I623">
            <v>6</v>
          </cell>
          <cell r="J623">
            <v>49</v>
          </cell>
          <cell r="K623">
            <v>2</v>
          </cell>
        </row>
        <row r="624">
          <cell r="B624" t="str">
            <v>atsy-cast</v>
          </cell>
          <cell r="C624" t="str">
            <v>kyawhtut-cu/atsy-cast</v>
          </cell>
          <cell r="D624" t="str">
            <v>kyawhtut-cu/atsy-cast</v>
          </cell>
          <cell r="E624">
            <v>59</v>
          </cell>
          <cell r="F624">
            <v>3</v>
          </cell>
          <cell r="G624">
            <v>3</v>
          </cell>
          <cell r="H624">
            <v>50048</v>
          </cell>
          <cell r="I624">
            <v>4</v>
          </cell>
          <cell r="J624">
            <v>3</v>
          </cell>
          <cell r="K624">
            <v>0</v>
          </cell>
        </row>
        <row r="625">
          <cell r="B625" t="str">
            <v>blink-comparison</v>
          </cell>
          <cell r="C625" t="str">
            <v>proninyaroslav/blink-comparison</v>
          </cell>
          <cell r="D625" t="str">
            <v>proninyaroslav/blink-comparison</v>
          </cell>
          <cell r="E625">
            <v>59</v>
          </cell>
          <cell r="F625">
            <v>5</v>
          </cell>
          <cell r="G625">
            <v>5</v>
          </cell>
          <cell r="H625">
            <v>13795</v>
          </cell>
          <cell r="I625">
            <v>21</v>
          </cell>
          <cell r="J625">
            <v>205</v>
          </cell>
          <cell r="K625">
            <v>9</v>
          </cell>
        </row>
        <row r="626">
          <cell r="B626" t="str">
            <v>Anchors</v>
          </cell>
          <cell r="C626" t="str">
            <v>DSAppTeam/Anchors</v>
          </cell>
          <cell r="D626" t="str">
            <v>DSAppTeam/Anchors</v>
          </cell>
          <cell r="E626">
            <v>59</v>
          </cell>
          <cell r="F626">
            <v>5</v>
          </cell>
          <cell r="G626">
            <v>4</v>
          </cell>
          <cell r="H626">
            <v>5375</v>
          </cell>
          <cell r="I626">
            <v>77</v>
          </cell>
          <cell r="J626">
            <v>770</v>
          </cell>
          <cell r="K626">
            <v>2</v>
          </cell>
        </row>
        <row r="627">
          <cell r="B627" t="str">
            <v>WiFiSDCryptoLocker</v>
          </cell>
          <cell r="C627" t="str">
            <v>ProjektMedInf/WiFiSDCryptoLocker</v>
          </cell>
          <cell r="D627" t="str">
            <v>ProjektMedInf/WiFiSDCryptoLocker</v>
          </cell>
          <cell r="E627">
            <v>59</v>
          </cell>
          <cell r="F627">
            <v>19</v>
          </cell>
          <cell r="G627">
            <v>2</v>
          </cell>
          <cell r="H627">
            <v>266</v>
          </cell>
          <cell r="I627">
            <v>2</v>
          </cell>
          <cell r="J627">
            <v>1</v>
          </cell>
          <cell r="K627">
            <v>17</v>
          </cell>
        </row>
        <row r="628">
          <cell r="B628" t="str">
            <v>social-app</v>
          </cell>
          <cell r="C628" t="str">
            <v>rafaeltoledo/social-app</v>
          </cell>
          <cell r="D628" t="str">
            <v>rafaeltoledo/social-app</v>
          </cell>
          <cell r="E628">
            <v>59</v>
          </cell>
          <cell r="F628">
            <v>28</v>
          </cell>
          <cell r="G628">
            <v>4</v>
          </cell>
          <cell r="H628">
            <v>471</v>
          </cell>
          <cell r="I628">
            <v>12</v>
          </cell>
          <cell r="J628">
            <v>81</v>
          </cell>
          <cell r="K628">
            <v>10</v>
          </cell>
        </row>
        <row r="629">
          <cell r="B629" t="str">
            <v>react-native-starter-kit</v>
          </cell>
          <cell r="C629" t="str">
            <v>mcnamee/react-native-starter-kit</v>
          </cell>
          <cell r="D629" t="str">
            <v>mcnamee/react-native-starter-kit</v>
          </cell>
          <cell r="E629">
            <v>59</v>
          </cell>
          <cell r="F629">
            <v>65</v>
          </cell>
          <cell r="G629">
            <v>1</v>
          </cell>
          <cell r="H629">
            <v>14200</v>
          </cell>
          <cell r="I629">
            <v>877</v>
          </cell>
          <cell r="J629">
            <v>3251</v>
          </cell>
          <cell r="K629">
            <v>13</v>
          </cell>
        </row>
        <row r="630">
          <cell r="B630" t="str">
            <v>onliner</v>
          </cell>
          <cell r="C630" t="str">
            <v>Sar777/onliner</v>
          </cell>
          <cell r="D630" t="str">
            <v>Sar777/onliner</v>
          </cell>
          <cell r="E630">
            <v>60</v>
          </cell>
          <cell r="F630">
            <v>0</v>
          </cell>
          <cell r="G630">
            <v>1</v>
          </cell>
          <cell r="H630">
            <v>488</v>
          </cell>
          <cell r="I630">
            <v>0</v>
          </cell>
          <cell r="J630">
            <v>6</v>
          </cell>
          <cell r="K630">
            <v>0</v>
          </cell>
        </row>
        <row r="631">
          <cell r="B631" t="str">
            <v>Astro</v>
          </cell>
          <cell r="C631" t="str">
            <v>praveenrajput/Astro</v>
          </cell>
          <cell r="D631" t="str">
            <v>praveenrajput/Astro</v>
          </cell>
          <cell r="E631">
            <v>60</v>
          </cell>
          <cell r="F631">
            <v>0</v>
          </cell>
          <cell r="G631">
            <v>1</v>
          </cell>
          <cell r="H631">
            <v>490</v>
          </cell>
          <cell r="I631">
            <v>0</v>
          </cell>
          <cell r="J631">
            <v>2</v>
          </cell>
          <cell r="K631">
            <v>0</v>
          </cell>
        </row>
        <row r="632">
          <cell r="B632" t="str">
            <v>macronium-android</v>
          </cell>
          <cell r="C632" t="str">
            <v>supersu-man/macronium-android</v>
          </cell>
          <cell r="D632" t="str">
            <v>supersu-man/macronium-android</v>
          </cell>
          <cell r="E632">
            <v>60</v>
          </cell>
          <cell r="F632">
            <v>0</v>
          </cell>
          <cell r="G632">
            <v>1</v>
          </cell>
          <cell r="H632">
            <v>635</v>
          </cell>
          <cell r="I632">
            <v>0</v>
          </cell>
          <cell r="J632">
            <v>1</v>
          </cell>
          <cell r="K632">
            <v>0</v>
          </cell>
        </row>
        <row r="633">
          <cell r="B633" t="str">
            <v>SIESGSTarena-android-app</v>
          </cell>
          <cell r="C633" t="str">
            <v>kriticalflare/SIESGSTarena-android-app</v>
          </cell>
          <cell r="D633" t="str">
            <v>kriticalflare/SIESGSTarena-android-app</v>
          </cell>
          <cell r="E633">
            <v>60</v>
          </cell>
          <cell r="F633">
            <v>0</v>
          </cell>
          <cell r="G633">
            <v>1</v>
          </cell>
          <cell r="H633">
            <v>667</v>
          </cell>
          <cell r="I633">
            <v>1</v>
          </cell>
          <cell r="J633">
            <v>11</v>
          </cell>
          <cell r="K633">
            <v>0</v>
          </cell>
        </row>
        <row r="634">
          <cell r="B634" t="str">
            <v>MediaGallery</v>
          </cell>
          <cell r="C634" t="str">
            <v>kibotu/MediaGallery</v>
          </cell>
          <cell r="D634" t="str">
            <v>kibotu/MediaGallery</v>
          </cell>
          <cell r="E634">
            <v>60</v>
          </cell>
          <cell r="F634">
            <v>0</v>
          </cell>
          <cell r="G634">
            <v>1</v>
          </cell>
          <cell r="H634">
            <v>24384</v>
          </cell>
          <cell r="I634">
            <v>0</v>
          </cell>
          <cell r="J634">
            <v>5</v>
          </cell>
          <cell r="K634">
            <v>0</v>
          </cell>
        </row>
        <row r="635">
          <cell r="B635" t="str">
            <v>Epimetheus</v>
          </cell>
          <cell r="C635" t="str">
            <v>EpimetheusMusicPlayer/Epimetheus</v>
          </cell>
          <cell r="D635" t="str">
            <v>EpimetheusMusicPlayer/Epimetheus</v>
          </cell>
          <cell r="E635">
            <v>60</v>
          </cell>
          <cell r="F635">
            <v>0</v>
          </cell>
          <cell r="G635">
            <v>1</v>
          </cell>
          <cell r="H635">
            <v>1758</v>
          </cell>
          <cell r="I635">
            <v>3</v>
          </cell>
          <cell r="J635">
            <v>9</v>
          </cell>
          <cell r="K635">
            <v>0</v>
          </cell>
        </row>
        <row r="636">
          <cell r="B636" t="str">
            <v>rpncalc</v>
          </cell>
          <cell r="C636" t="str">
            <v>apesic/rpncalc</v>
          </cell>
          <cell r="D636" t="str">
            <v>apesic/rpncalc</v>
          </cell>
          <cell r="E636">
            <v>60</v>
          </cell>
          <cell r="F636">
            <v>2</v>
          </cell>
          <cell r="G636">
            <v>1</v>
          </cell>
          <cell r="H636">
            <v>743</v>
          </cell>
          <cell r="I636">
            <v>1</v>
          </cell>
          <cell r="J636">
            <v>23</v>
          </cell>
          <cell r="K636">
            <v>6</v>
          </cell>
        </row>
        <row r="637">
          <cell r="B637" t="str">
            <v>print</v>
          </cell>
          <cell r="C637" t="str">
            <v>billthefarmer/print</v>
          </cell>
          <cell r="D637" t="str">
            <v>billthefarmer/print</v>
          </cell>
          <cell r="E637">
            <v>60</v>
          </cell>
          <cell r="F637">
            <v>3</v>
          </cell>
          <cell r="G637">
            <v>5</v>
          </cell>
          <cell r="H637">
            <v>1434</v>
          </cell>
          <cell r="I637">
            <v>4</v>
          </cell>
          <cell r="J637">
            <v>35</v>
          </cell>
          <cell r="K637">
            <v>0</v>
          </cell>
        </row>
        <row r="638">
          <cell r="B638" t="str">
            <v>AvatarView</v>
          </cell>
          <cell r="C638" t="str">
            <v>vitorhugods/AvatarView</v>
          </cell>
          <cell r="D638" t="str">
            <v>vitorhugods/AvatarView</v>
          </cell>
          <cell r="E638">
            <v>60</v>
          </cell>
          <cell r="F638">
            <v>11</v>
          </cell>
          <cell r="G638">
            <v>5</v>
          </cell>
          <cell r="H638">
            <v>5026</v>
          </cell>
          <cell r="I638">
            <v>35</v>
          </cell>
          <cell r="J638">
            <v>528</v>
          </cell>
          <cell r="K638">
            <v>2</v>
          </cell>
        </row>
        <row r="639">
          <cell r="B639" t="str">
            <v>RickNMortyCompose</v>
          </cell>
          <cell r="C639" t="str">
            <v>odaridavid/RickNMortyCompose</v>
          </cell>
          <cell r="D639" t="str">
            <v>odaridavid/RickNMortyCompose</v>
          </cell>
          <cell r="E639">
            <v>60</v>
          </cell>
          <cell r="F639">
            <v>15</v>
          </cell>
          <cell r="G639">
            <v>1</v>
          </cell>
          <cell r="H639">
            <v>504</v>
          </cell>
          <cell r="I639">
            <v>0</v>
          </cell>
          <cell r="J639">
            <v>5</v>
          </cell>
          <cell r="K639">
            <v>4</v>
          </cell>
        </row>
        <row r="640">
          <cell r="B640" t="str">
            <v>gh-release-monitor</v>
          </cell>
          <cell r="C640" t="str">
            <v>Tommy-Geenexus/gh-release-monitor</v>
          </cell>
          <cell r="D640" t="str">
            <v>Tommy-Geenexus/gh-release-monitor</v>
          </cell>
          <cell r="E640">
            <v>61</v>
          </cell>
          <cell r="F640">
            <v>0</v>
          </cell>
          <cell r="G640">
            <v>1</v>
          </cell>
          <cell r="H640">
            <v>415</v>
          </cell>
          <cell r="I640">
            <v>1</v>
          </cell>
          <cell r="J640">
            <v>2</v>
          </cell>
          <cell r="K640">
            <v>0</v>
          </cell>
        </row>
        <row r="641">
          <cell r="B641" t="str">
            <v>Cadar</v>
          </cell>
          <cell r="C641" t="str">
            <v>memfis19/Cadar</v>
          </cell>
          <cell r="D641" t="str">
            <v>memfis19/Cadar</v>
          </cell>
          <cell r="E641">
            <v>61</v>
          </cell>
          <cell r="F641">
            <v>0</v>
          </cell>
          <cell r="G641">
            <v>1</v>
          </cell>
          <cell r="H641">
            <v>7687</v>
          </cell>
          <cell r="I641">
            <v>47</v>
          </cell>
          <cell r="J641">
            <v>362</v>
          </cell>
          <cell r="K641">
            <v>6</v>
          </cell>
        </row>
        <row r="642">
          <cell r="B642" t="str">
            <v>iptv</v>
          </cell>
          <cell r="C642" t="str">
            <v>sajjadjaved01/iptv</v>
          </cell>
          <cell r="D642" t="str">
            <v>sajjadjaved01/iptv</v>
          </cell>
          <cell r="E642">
            <v>61</v>
          </cell>
          <cell r="F642">
            <v>0</v>
          </cell>
          <cell r="G642">
            <v>1</v>
          </cell>
          <cell r="H642">
            <v>29233</v>
          </cell>
          <cell r="I642">
            <v>87</v>
          </cell>
          <cell r="J642">
            <v>156</v>
          </cell>
          <cell r="K642">
            <v>2</v>
          </cell>
        </row>
        <row r="643">
          <cell r="B643" t="str">
            <v>user-controlled-decryption-operations</v>
          </cell>
          <cell r="C643" t="str">
            <v>eriknellessen/user-controlled-decryption-operations</v>
          </cell>
          <cell r="D643" t="str">
            <v>eriknellessen/user-controlled-decryption-operations</v>
          </cell>
          <cell r="E643">
            <v>61</v>
          </cell>
          <cell r="F643">
            <v>2</v>
          </cell>
          <cell r="G643">
            <v>2</v>
          </cell>
          <cell r="H643">
            <v>1601</v>
          </cell>
          <cell r="I643">
            <v>2</v>
          </cell>
          <cell r="J643">
            <v>10</v>
          </cell>
          <cell r="K643">
            <v>0</v>
          </cell>
        </row>
        <row r="644">
          <cell r="B644" t="str">
            <v>Technical-Fest</v>
          </cell>
          <cell r="C644" t="str">
            <v>BitByte-TPC/Technical-Fest</v>
          </cell>
          <cell r="D644" t="str">
            <v>BitByte-TPC/Technical-Fest</v>
          </cell>
          <cell r="E644">
            <v>61</v>
          </cell>
          <cell r="F644">
            <v>2</v>
          </cell>
          <cell r="G644">
            <v>3</v>
          </cell>
          <cell r="H644">
            <v>3642</v>
          </cell>
          <cell r="I644">
            <v>2</v>
          </cell>
          <cell r="J644">
            <v>1</v>
          </cell>
          <cell r="K644">
            <v>0</v>
          </cell>
        </row>
        <row r="645">
          <cell r="B645" t="str">
            <v>notify-abroad</v>
          </cell>
          <cell r="C645" t="str">
            <v>rajkumaar23/notify-abroad</v>
          </cell>
          <cell r="D645" t="str">
            <v>rajkumaar23/notify-abroad</v>
          </cell>
          <cell r="E645">
            <v>61</v>
          </cell>
          <cell r="F645">
            <v>4</v>
          </cell>
          <cell r="G645">
            <v>1</v>
          </cell>
          <cell r="H645">
            <v>2587</v>
          </cell>
          <cell r="I645">
            <v>8</v>
          </cell>
          <cell r="J645">
            <v>58</v>
          </cell>
          <cell r="K645">
            <v>1</v>
          </cell>
        </row>
        <row r="646">
          <cell r="B646" t="str">
            <v>Pixelcat</v>
          </cell>
          <cell r="C646" t="str">
            <v>pixelcatapp/Pixelcat</v>
          </cell>
          <cell r="D646" t="str">
            <v>pixelcatapp/Pixelcat</v>
          </cell>
          <cell r="E646">
            <v>61</v>
          </cell>
          <cell r="F646">
            <v>5</v>
          </cell>
          <cell r="G646">
            <v>1</v>
          </cell>
          <cell r="H646">
            <v>4329</v>
          </cell>
          <cell r="I646">
            <v>3</v>
          </cell>
          <cell r="J646">
            <v>77</v>
          </cell>
          <cell r="K646">
            <v>5</v>
          </cell>
        </row>
        <row r="647">
          <cell r="B647" t="str">
            <v>MorningWood</v>
          </cell>
          <cell r="C647" t="str">
            <v>Crazy-Marvin/MorningWood</v>
          </cell>
          <cell r="D647" t="str">
            <v>Crazy-Marvin/MorningWood</v>
          </cell>
          <cell r="E647">
            <v>61</v>
          </cell>
          <cell r="F647">
            <v>10</v>
          </cell>
          <cell r="G647">
            <v>3</v>
          </cell>
          <cell r="H647">
            <v>13464</v>
          </cell>
          <cell r="I647">
            <v>0</v>
          </cell>
          <cell r="J647">
            <v>22</v>
          </cell>
          <cell r="K647">
            <v>1</v>
          </cell>
        </row>
        <row r="648">
          <cell r="B648" t="str">
            <v>rebble-sideloader</v>
          </cell>
          <cell r="C648" t="str">
            <v>pebble-dev/rebble-sideloader</v>
          </cell>
          <cell r="D648" t="str">
            <v>pebble-dev/rebble-sideloader</v>
          </cell>
          <cell r="E648">
            <v>61</v>
          </cell>
          <cell r="F648">
            <v>16</v>
          </cell>
          <cell r="G648">
            <v>5</v>
          </cell>
          <cell r="H648">
            <v>494</v>
          </cell>
          <cell r="I648">
            <v>6</v>
          </cell>
          <cell r="J648">
            <v>21</v>
          </cell>
          <cell r="K648">
            <v>1</v>
          </cell>
        </row>
        <row r="649">
          <cell r="B649" t="str">
            <v>TileGame</v>
          </cell>
          <cell r="C649" t="str">
            <v>huntj88/TileGame</v>
          </cell>
          <cell r="D649" t="str">
            <v>huntj88/TileGame</v>
          </cell>
          <cell r="E649">
            <v>61</v>
          </cell>
          <cell r="F649">
            <v>18</v>
          </cell>
          <cell r="G649">
            <v>1</v>
          </cell>
          <cell r="H649">
            <v>394</v>
          </cell>
          <cell r="I649">
            <v>0</v>
          </cell>
          <cell r="J649">
            <v>1</v>
          </cell>
          <cell r="K649">
            <v>0</v>
          </cell>
        </row>
        <row r="650">
          <cell r="B650" t="str">
            <v>cboy</v>
          </cell>
          <cell r="C650" t="str">
            <v>0xf4b1/cboy</v>
          </cell>
          <cell r="D650" t="str">
            <v>0xf4b1/cboy</v>
          </cell>
          <cell r="E650">
            <v>62</v>
          </cell>
          <cell r="F650">
            <v>0</v>
          </cell>
          <cell r="G650">
            <v>1</v>
          </cell>
          <cell r="H650">
            <v>263</v>
          </cell>
          <cell r="I650">
            <v>0</v>
          </cell>
          <cell r="J650">
            <v>1</v>
          </cell>
          <cell r="K650">
            <v>0</v>
          </cell>
        </row>
        <row r="651">
          <cell r="B651" t="str">
            <v>Simple-Notes</v>
          </cell>
          <cell r="C651" t="str">
            <v>RafhaanShah/Simple-Notes</v>
          </cell>
          <cell r="D651" t="str">
            <v>RafhaanShah/Simple-Notes</v>
          </cell>
          <cell r="E651">
            <v>62</v>
          </cell>
          <cell r="F651">
            <v>1</v>
          </cell>
          <cell r="G651">
            <v>2</v>
          </cell>
          <cell r="H651">
            <v>1502</v>
          </cell>
          <cell r="I651">
            <v>15</v>
          </cell>
          <cell r="J651">
            <v>24</v>
          </cell>
          <cell r="K651">
            <v>1</v>
          </cell>
        </row>
        <row r="652">
          <cell r="B652" t="str">
            <v>StockControl</v>
          </cell>
          <cell r="C652" t="str">
            <v>cvbutani/StockControl</v>
          </cell>
          <cell r="D652" t="str">
            <v>cvbutani/StockControl</v>
          </cell>
          <cell r="E652">
            <v>62</v>
          </cell>
          <cell r="F652">
            <v>1</v>
          </cell>
          <cell r="G652">
            <v>1</v>
          </cell>
          <cell r="H652">
            <v>3233</v>
          </cell>
          <cell r="I652">
            <v>1</v>
          </cell>
          <cell r="J652">
            <v>3</v>
          </cell>
          <cell r="K652">
            <v>0</v>
          </cell>
        </row>
        <row r="653">
          <cell r="B653" t="str">
            <v>android-usb-script</v>
          </cell>
          <cell r="C653" t="str">
            <v>Netdex/android-usb-script</v>
          </cell>
          <cell r="D653" t="str">
            <v>Netdex/android-usb-script</v>
          </cell>
          <cell r="E653">
            <v>62</v>
          </cell>
          <cell r="F653">
            <v>2</v>
          </cell>
          <cell r="G653">
            <v>3</v>
          </cell>
          <cell r="H653">
            <v>386</v>
          </cell>
          <cell r="I653">
            <v>8</v>
          </cell>
          <cell r="J653">
            <v>15</v>
          </cell>
          <cell r="K653">
            <v>1</v>
          </cell>
        </row>
        <row r="654">
          <cell r="B654" t="str">
            <v>androidDataWithoutRootAPI33</v>
          </cell>
          <cell r="C654" t="str">
            <v>folderv/androidDataWithoutRootAPI33</v>
          </cell>
          <cell r="D654" t="str">
            <v>folderv/androidDataWithoutRootAPI33</v>
          </cell>
          <cell r="E654">
            <v>62</v>
          </cell>
          <cell r="F654">
            <v>3</v>
          </cell>
          <cell r="G654">
            <v>3</v>
          </cell>
          <cell r="H654">
            <v>4064</v>
          </cell>
          <cell r="I654">
            <v>15</v>
          </cell>
          <cell r="J654">
            <v>88</v>
          </cell>
          <cell r="K654">
            <v>2</v>
          </cell>
        </row>
        <row r="655">
          <cell r="B655" t="str">
            <v>StateX</v>
          </cell>
          <cell r="C655" t="str">
            <v>Petterpx/StateX</v>
          </cell>
          <cell r="D655" t="str">
            <v>Petterpx/StateX</v>
          </cell>
          <cell r="E655">
            <v>62</v>
          </cell>
          <cell r="F655">
            <v>4</v>
          </cell>
          <cell r="G655">
            <v>2</v>
          </cell>
          <cell r="H655">
            <v>7263</v>
          </cell>
          <cell r="I655">
            <v>0</v>
          </cell>
          <cell r="J655">
            <v>11</v>
          </cell>
          <cell r="K655">
            <v>0</v>
          </cell>
        </row>
        <row r="656">
          <cell r="B656" t="str">
            <v>mylocation</v>
          </cell>
          <cell r="C656" t="str">
            <v>gjedeer/mylocation</v>
          </cell>
          <cell r="D656" t="str">
            <v>gjedeer/mylocation</v>
          </cell>
          <cell r="E656">
            <v>62</v>
          </cell>
          <cell r="F656">
            <v>6</v>
          </cell>
          <cell r="G656">
            <v>4</v>
          </cell>
          <cell r="H656">
            <v>1330</v>
          </cell>
          <cell r="I656">
            <v>14</v>
          </cell>
          <cell r="J656">
            <v>29</v>
          </cell>
          <cell r="K656">
            <v>14</v>
          </cell>
        </row>
        <row r="657">
          <cell r="B657" t="str">
            <v>Covid-19-Tracker</v>
          </cell>
          <cell r="C657" t="str">
            <v>HariKulhari06/Covid-19-Tracker</v>
          </cell>
          <cell r="D657" t="str">
            <v>HariKulhari06/Covid-19-Tracker</v>
          </cell>
          <cell r="E657">
            <v>62</v>
          </cell>
          <cell r="F657">
            <v>8</v>
          </cell>
          <cell r="G657">
            <v>1</v>
          </cell>
          <cell r="H657">
            <v>2050</v>
          </cell>
          <cell r="I657">
            <v>37</v>
          </cell>
          <cell r="J657">
            <v>132</v>
          </cell>
          <cell r="K657">
            <v>0</v>
          </cell>
        </row>
        <row r="658">
          <cell r="B658" t="str">
            <v>amos-tub-ws18-proj1</v>
          </cell>
          <cell r="C658" t="str">
            <v>amos-flyinn/amos-tub-ws18-proj1</v>
          </cell>
          <cell r="D658" t="str">
            <v>amos-flyinn/amos-tub-ws18-proj1</v>
          </cell>
          <cell r="E658">
            <v>62</v>
          </cell>
          <cell r="F658">
            <v>69</v>
          </cell>
          <cell r="G658">
            <v>9</v>
          </cell>
          <cell r="H658">
            <v>4741</v>
          </cell>
          <cell r="I658">
            <v>4</v>
          </cell>
          <cell r="J658">
            <v>9</v>
          </cell>
          <cell r="K658">
            <v>2</v>
          </cell>
        </row>
        <row r="659">
          <cell r="B659" t="str">
            <v>sonicear</v>
          </cell>
          <cell r="C659" t="str">
            <v>patroclos/sonicear</v>
          </cell>
          <cell r="D659" t="str">
            <v>patroclos/sonicear</v>
          </cell>
          <cell r="E659">
            <v>63</v>
          </cell>
          <cell r="F659">
            <v>0</v>
          </cell>
          <cell r="G659">
            <v>1</v>
          </cell>
          <cell r="H659">
            <v>231</v>
          </cell>
          <cell r="I659">
            <v>0</v>
          </cell>
          <cell r="J659">
            <v>7</v>
          </cell>
          <cell r="K659">
            <v>15</v>
          </cell>
        </row>
        <row r="660">
          <cell r="B660" t="str">
            <v>Colorful_Notes</v>
          </cell>
          <cell r="C660" t="str">
            <v>MoazSalem/Colorful_Notes</v>
          </cell>
          <cell r="D660" t="str">
            <v>MoazSalem/Colorful_Notes</v>
          </cell>
          <cell r="E660">
            <v>63</v>
          </cell>
          <cell r="F660">
            <v>0</v>
          </cell>
          <cell r="G660">
            <v>1</v>
          </cell>
          <cell r="H660">
            <v>785</v>
          </cell>
          <cell r="I660">
            <v>1</v>
          </cell>
          <cell r="J660">
            <v>2</v>
          </cell>
          <cell r="K660">
            <v>0</v>
          </cell>
        </row>
        <row r="661">
          <cell r="B661" t="str">
            <v>bluetooth-remote-control</v>
          </cell>
          <cell r="C661" t="str">
            <v>bertrandmartel/bluetooth-remote-control</v>
          </cell>
          <cell r="D661" t="str">
            <v>bertrandmartel/bluetooth-remote-control</v>
          </cell>
          <cell r="E661">
            <v>63</v>
          </cell>
          <cell r="F661">
            <v>0</v>
          </cell>
          <cell r="G661">
            <v>1</v>
          </cell>
          <cell r="H661">
            <v>39621</v>
          </cell>
          <cell r="I661">
            <v>9</v>
          </cell>
          <cell r="J661">
            <v>27</v>
          </cell>
          <cell r="K661">
            <v>2</v>
          </cell>
        </row>
        <row r="662">
          <cell r="B662" t="str">
            <v>realtime-android</v>
          </cell>
          <cell r="C662" t="str">
            <v>goodow/realtime-android</v>
          </cell>
          <cell r="D662" t="str">
            <v>goodow/realtime-android</v>
          </cell>
          <cell r="E662">
            <v>63</v>
          </cell>
          <cell r="F662">
            <v>1</v>
          </cell>
          <cell r="G662">
            <v>1</v>
          </cell>
          <cell r="H662">
            <v>272</v>
          </cell>
          <cell r="I662">
            <v>7</v>
          </cell>
          <cell r="J662">
            <v>23</v>
          </cell>
          <cell r="K662">
            <v>0</v>
          </cell>
        </row>
        <row r="663">
          <cell r="B663" t="str">
            <v>spot</v>
          </cell>
          <cell r="C663" t="str">
            <v>kobakei/spot</v>
          </cell>
          <cell r="D663" t="str">
            <v>kobakei/spot</v>
          </cell>
          <cell r="E663">
            <v>63</v>
          </cell>
          <cell r="F663">
            <v>3</v>
          </cell>
          <cell r="G663">
            <v>3</v>
          </cell>
          <cell r="H663">
            <v>161</v>
          </cell>
          <cell r="I663">
            <v>5</v>
          </cell>
          <cell r="J663">
            <v>49</v>
          </cell>
          <cell r="K663">
            <v>2</v>
          </cell>
        </row>
        <row r="664">
          <cell r="B664" t="str">
            <v>Popular-Movies</v>
          </cell>
          <cell r="C664" t="str">
            <v>dipakkr/Popular-Movies</v>
          </cell>
          <cell r="D664" t="str">
            <v>dipakkr/Popular-Movies</v>
          </cell>
          <cell r="E664">
            <v>63</v>
          </cell>
          <cell r="F664">
            <v>7</v>
          </cell>
          <cell r="G664">
            <v>1</v>
          </cell>
          <cell r="H664">
            <v>4649</v>
          </cell>
          <cell r="I664">
            <v>11</v>
          </cell>
          <cell r="J664">
            <v>7</v>
          </cell>
          <cell r="K664">
            <v>2</v>
          </cell>
        </row>
        <row r="665">
          <cell r="B665" t="str">
            <v>TesserPG-Android</v>
          </cell>
          <cell r="C665" t="str">
            <v>DimensionDev/TesserPG-Android</v>
          </cell>
          <cell r="D665" t="str">
            <v>DimensionDev/TesserPG-Android</v>
          </cell>
          <cell r="E665">
            <v>63</v>
          </cell>
          <cell r="F665">
            <v>8</v>
          </cell>
          <cell r="G665">
            <v>4</v>
          </cell>
          <cell r="H665">
            <v>3131</v>
          </cell>
          <cell r="I665">
            <v>12</v>
          </cell>
          <cell r="J665">
            <v>61</v>
          </cell>
          <cell r="K665">
            <v>8</v>
          </cell>
        </row>
        <row r="666">
          <cell r="B666" t="str">
            <v>quotes</v>
          </cell>
          <cell r="C666" t="str">
            <v>srgtrujillo/quotes</v>
          </cell>
          <cell r="D666" t="str">
            <v>srgtrujillo/quotes</v>
          </cell>
          <cell r="E666">
            <v>63</v>
          </cell>
          <cell r="F666">
            <v>22</v>
          </cell>
          <cell r="G666">
            <v>2</v>
          </cell>
          <cell r="H666">
            <v>317</v>
          </cell>
          <cell r="I666">
            <v>0</v>
          </cell>
          <cell r="J666">
            <v>4</v>
          </cell>
          <cell r="K666">
            <v>4</v>
          </cell>
        </row>
        <row r="667">
          <cell r="B667" t="str">
            <v>WhuHelper</v>
          </cell>
          <cell r="C667" t="str">
            <v>zfb132/WhuHelper</v>
          </cell>
          <cell r="D667" t="str">
            <v>zfb132/WhuHelper</v>
          </cell>
          <cell r="E667">
            <v>64</v>
          </cell>
          <cell r="F667">
            <v>0</v>
          </cell>
          <cell r="G667">
            <v>1</v>
          </cell>
          <cell r="H667">
            <v>947</v>
          </cell>
          <cell r="I667">
            <v>1</v>
          </cell>
          <cell r="J667">
            <v>1</v>
          </cell>
          <cell r="K667">
            <v>0</v>
          </cell>
        </row>
        <row r="668">
          <cell r="B668" t="str">
            <v>quotey</v>
          </cell>
          <cell r="C668" t="str">
            <v>anesabml/quotey</v>
          </cell>
          <cell r="D668" t="str">
            <v>anesabml/quotey</v>
          </cell>
          <cell r="E668">
            <v>64</v>
          </cell>
          <cell r="F668">
            <v>0</v>
          </cell>
          <cell r="G668">
            <v>1</v>
          </cell>
          <cell r="H668">
            <v>2156</v>
          </cell>
          <cell r="I668">
            <v>3</v>
          </cell>
          <cell r="J668">
            <v>9</v>
          </cell>
          <cell r="K668">
            <v>0</v>
          </cell>
        </row>
        <row r="669">
          <cell r="B669" t="str">
            <v>Go4Lunch</v>
          </cell>
          <cell r="C669" t="str">
            <v>sitatec/Go4Lunch</v>
          </cell>
          <cell r="D669" t="str">
            <v>sitatec/Go4Lunch</v>
          </cell>
          <cell r="E669">
            <v>64</v>
          </cell>
          <cell r="F669">
            <v>0</v>
          </cell>
          <cell r="G669">
            <v>1</v>
          </cell>
          <cell r="H669">
            <v>9360</v>
          </cell>
          <cell r="I669">
            <v>2</v>
          </cell>
          <cell r="J669">
            <v>3</v>
          </cell>
          <cell r="K669">
            <v>0</v>
          </cell>
        </row>
        <row r="670">
          <cell r="B670" t="str">
            <v>Quotes</v>
          </cell>
          <cell r="C670" t="str">
            <v>Patil-Tanmay/Quotes</v>
          </cell>
          <cell r="D670" t="str">
            <v>Patil-Tanmay/Quotes</v>
          </cell>
          <cell r="E670">
            <v>64</v>
          </cell>
          <cell r="F670">
            <v>1</v>
          </cell>
          <cell r="G670">
            <v>1</v>
          </cell>
          <cell r="H670">
            <v>36272</v>
          </cell>
          <cell r="I670">
            <v>3</v>
          </cell>
          <cell r="J670">
            <v>25</v>
          </cell>
          <cell r="K670">
            <v>0</v>
          </cell>
        </row>
        <row r="671">
          <cell r="B671" t="str">
            <v>MensaPlan</v>
          </cell>
          <cell r="C671" t="str">
            <v>csicar/MensaPlan</v>
          </cell>
          <cell r="D671" t="str">
            <v>csicar/MensaPlan</v>
          </cell>
          <cell r="E671">
            <v>64</v>
          </cell>
          <cell r="F671">
            <v>2</v>
          </cell>
          <cell r="G671">
            <v>3</v>
          </cell>
          <cell r="H671">
            <v>1686</v>
          </cell>
          <cell r="I671">
            <v>0</v>
          </cell>
          <cell r="J671">
            <v>7</v>
          </cell>
          <cell r="K671">
            <v>2</v>
          </cell>
        </row>
        <row r="672">
          <cell r="B672" t="str">
            <v>CV</v>
          </cell>
          <cell r="C672" t="str">
            <v>sliskiCode/CV</v>
          </cell>
          <cell r="D672" t="str">
            <v>sliskiCode/CV</v>
          </cell>
          <cell r="E672">
            <v>64</v>
          </cell>
          <cell r="F672">
            <v>2</v>
          </cell>
          <cell r="G672">
            <v>1</v>
          </cell>
          <cell r="H672">
            <v>2160</v>
          </cell>
          <cell r="I672">
            <v>0</v>
          </cell>
          <cell r="J672">
            <v>1</v>
          </cell>
          <cell r="K672">
            <v>4</v>
          </cell>
        </row>
        <row r="673">
          <cell r="B673" t="str">
            <v>MVEZ</v>
          </cell>
          <cell r="C673" t="str">
            <v>kiyui/MVEZ</v>
          </cell>
          <cell r="D673" t="str">
            <v>kiyui/MVEZ</v>
          </cell>
          <cell r="E673">
            <v>64</v>
          </cell>
          <cell r="F673">
            <v>10</v>
          </cell>
          <cell r="G673">
            <v>2</v>
          </cell>
          <cell r="H673">
            <v>211</v>
          </cell>
          <cell r="I673">
            <v>1</v>
          </cell>
          <cell r="J673">
            <v>1</v>
          </cell>
          <cell r="K673">
            <v>4</v>
          </cell>
        </row>
        <row r="674">
          <cell r="B674" t="str">
            <v>secure-shared-preferences</v>
          </cell>
          <cell r="C674" t="str">
            <v>ibara1454/secure-shared-preferences</v>
          </cell>
          <cell r="D674" t="str">
            <v>ibara1454/secure-shared-preferences</v>
          </cell>
          <cell r="E674">
            <v>64</v>
          </cell>
          <cell r="F674">
            <v>10</v>
          </cell>
          <cell r="G674">
            <v>2</v>
          </cell>
          <cell r="H674">
            <v>314</v>
          </cell>
          <cell r="I674">
            <v>0</v>
          </cell>
          <cell r="J674">
            <v>2</v>
          </cell>
          <cell r="K674">
            <v>1</v>
          </cell>
        </row>
        <row r="675">
          <cell r="B675" t="str">
            <v>bacon</v>
          </cell>
          <cell r="C675" t="str">
            <v>jerameel/bacon</v>
          </cell>
          <cell r="D675" t="str">
            <v>jerameel/bacon</v>
          </cell>
          <cell r="E675">
            <v>64</v>
          </cell>
          <cell r="F675">
            <v>11</v>
          </cell>
          <cell r="G675">
            <v>2</v>
          </cell>
          <cell r="H675">
            <v>1171</v>
          </cell>
          <cell r="I675">
            <v>2</v>
          </cell>
          <cell r="J675">
            <v>29</v>
          </cell>
          <cell r="K675">
            <v>3</v>
          </cell>
        </row>
        <row r="676">
          <cell r="B676" t="str">
            <v>WeatherApp-Android</v>
          </cell>
          <cell r="C676" t="str">
            <v>dev-aniketj/WeatherApp-Android</v>
          </cell>
          <cell r="D676" t="str">
            <v>dev-aniketj/WeatherApp-Android</v>
          </cell>
          <cell r="E676">
            <v>64</v>
          </cell>
          <cell r="F676">
            <v>15</v>
          </cell>
          <cell r="G676">
            <v>4</v>
          </cell>
          <cell r="H676">
            <v>26618</v>
          </cell>
          <cell r="I676">
            <v>15</v>
          </cell>
          <cell r="J676">
            <v>18</v>
          </cell>
          <cell r="K676">
            <v>0</v>
          </cell>
        </row>
        <row r="677">
          <cell r="B677" t="str">
            <v>gridle</v>
          </cell>
          <cell r="C677" t="str">
            <v>billthefarmer/gridle</v>
          </cell>
          <cell r="D677" t="str">
            <v>billthefarmer/gridle</v>
          </cell>
          <cell r="E677">
            <v>65</v>
          </cell>
          <cell r="F677">
            <v>0</v>
          </cell>
          <cell r="G677">
            <v>1</v>
          </cell>
          <cell r="H677">
            <v>2145</v>
          </cell>
          <cell r="I677">
            <v>0</v>
          </cell>
          <cell r="J677">
            <v>10</v>
          </cell>
          <cell r="K677">
            <v>0</v>
          </cell>
        </row>
        <row r="678">
          <cell r="B678" t="str">
            <v>AndroidResourceExtensions</v>
          </cell>
          <cell r="C678" t="str">
            <v>kibotu/AndroidResourceExtensions</v>
          </cell>
          <cell r="D678" t="str">
            <v>kibotu/AndroidResourceExtensions</v>
          </cell>
          <cell r="E678">
            <v>65</v>
          </cell>
          <cell r="F678">
            <v>0</v>
          </cell>
          <cell r="G678">
            <v>1</v>
          </cell>
          <cell r="H678">
            <v>336</v>
          </cell>
          <cell r="I678">
            <v>1</v>
          </cell>
          <cell r="J678">
            <v>41</v>
          </cell>
          <cell r="K678">
            <v>0</v>
          </cell>
        </row>
        <row r="679">
          <cell r="B679" t="str">
            <v>automated-build-android-app-with-github-action</v>
          </cell>
          <cell r="C679" t="str">
            <v>amirisback/automated-build-android-app-with-github-action</v>
          </cell>
          <cell r="D679" t="str">
            <v>amirisback/automated-build-android-app-with-github-action</v>
          </cell>
          <cell r="E679">
            <v>65</v>
          </cell>
          <cell r="F679">
            <v>1</v>
          </cell>
          <cell r="G679">
            <v>2</v>
          </cell>
          <cell r="H679">
            <v>6055</v>
          </cell>
          <cell r="I679">
            <v>10</v>
          </cell>
          <cell r="J679">
            <v>55</v>
          </cell>
          <cell r="K679">
            <v>1</v>
          </cell>
        </row>
        <row r="680">
          <cell r="B680" t="str">
            <v>TextSelectionWebSearch</v>
          </cell>
          <cell r="C680" t="str">
            <v>zhanghai/TextSelectionWebSearch</v>
          </cell>
          <cell r="D680" t="str">
            <v>zhanghai/TextSelectionWebSearch</v>
          </cell>
          <cell r="E680">
            <v>65</v>
          </cell>
          <cell r="F680">
            <v>2</v>
          </cell>
          <cell r="G680">
            <v>2</v>
          </cell>
          <cell r="H680">
            <v>2222</v>
          </cell>
          <cell r="I680">
            <v>9</v>
          </cell>
          <cell r="J680">
            <v>48</v>
          </cell>
          <cell r="K680">
            <v>1</v>
          </cell>
        </row>
        <row r="681">
          <cell r="B681" t="str">
            <v>SimpleAndroidMVVM</v>
          </cell>
          <cell r="C681" t="str">
            <v>ArisGuimera/SimpleAndroidMVVM</v>
          </cell>
          <cell r="D681" t="str">
            <v>ArisGuimera/SimpleAndroidMVVM</v>
          </cell>
          <cell r="E681">
            <v>65</v>
          </cell>
          <cell r="F681">
            <v>3</v>
          </cell>
          <cell r="G681">
            <v>1</v>
          </cell>
          <cell r="H681">
            <v>566</v>
          </cell>
          <cell r="I681">
            <v>52</v>
          </cell>
          <cell r="J681">
            <v>1126</v>
          </cell>
          <cell r="K681">
            <v>0</v>
          </cell>
        </row>
        <row r="682">
          <cell r="B682" t="str">
            <v>TajMahalApp-Android</v>
          </cell>
          <cell r="C682" t="str">
            <v>Droidui/TajMahalApp-Android</v>
          </cell>
          <cell r="D682" t="str">
            <v>Droidui/TajMahalApp-Android</v>
          </cell>
          <cell r="E682">
            <v>65</v>
          </cell>
          <cell r="F682">
            <v>8</v>
          </cell>
          <cell r="G682">
            <v>1</v>
          </cell>
          <cell r="H682">
            <v>6603</v>
          </cell>
          <cell r="I682">
            <v>0</v>
          </cell>
          <cell r="J682">
            <v>1</v>
          </cell>
          <cell r="K682">
            <v>0</v>
          </cell>
        </row>
        <row r="683">
          <cell r="B683" t="str">
            <v>zazen</v>
          </cell>
          <cell r="C683" t="str">
            <v>mafreud/zazen</v>
          </cell>
          <cell r="D683" t="str">
            <v>mafreud/zazen</v>
          </cell>
          <cell r="E683">
            <v>65</v>
          </cell>
          <cell r="F683">
            <v>16</v>
          </cell>
          <cell r="G683">
            <v>1</v>
          </cell>
          <cell r="H683">
            <v>274</v>
          </cell>
          <cell r="I683">
            <v>0</v>
          </cell>
          <cell r="J683">
            <v>2</v>
          </cell>
          <cell r="K683">
            <v>35</v>
          </cell>
        </row>
        <row r="684">
          <cell r="B684" t="str">
            <v>integral</v>
          </cell>
          <cell r="C684" t="str">
            <v>armancodv/integral</v>
          </cell>
          <cell r="D684" t="str">
            <v>armancodv/integral</v>
          </cell>
          <cell r="E684">
            <v>65</v>
          </cell>
          <cell r="F684">
            <v>19</v>
          </cell>
          <cell r="G684">
            <v>1</v>
          </cell>
          <cell r="H684">
            <v>5525</v>
          </cell>
          <cell r="I684">
            <v>6</v>
          </cell>
          <cell r="J684">
            <v>25</v>
          </cell>
          <cell r="K684">
            <v>3</v>
          </cell>
        </row>
        <row r="685">
          <cell r="B685" t="str">
            <v>detective-droid</v>
          </cell>
          <cell r="C685" t="str">
            <v>michaelcarrano/detective-droid</v>
          </cell>
          <cell r="D685" t="str">
            <v>michaelcarrano/detective-droid</v>
          </cell>
          <cell r="E685">
            <v>65</v>
          </cell>
          <cell r="F685">
            <v>53</v>
          </cell>
          <cell r="G685">
            <v>2</v>
          </cell>
          <cell r="H685">
            <v>5459</v>
          </cell>
          <cell r="I685">
            <v>8</v>
          </cell>
          <cell r="J685">
            <v>77</v>
          </cell>
          <cell r="K685">
            <v>9</v>
          </cell>
        </row>
        <row r="686">
          <cell r="B686" t="str">
            <v>android-torchlight</v>
          </cell>
          <cell r="C686" t="str">
            <v>kb-1000/android-torchlight</v>
          </cell>
          <cell r="D686" t="str">
            <v>kb-1000/android-torchlight</v>
          </cell>
          <cell r="E686">
            <v>66</v>
          </cell>
          <cell r="F686">
            <v>4</v>
          </cell>
          <cell r="G686">
            <v>3</v>
          </cell>
          <cell r="H686">
            <v>496</v>
          </cell>
          <cell r="I686">
            <v>2</v>
          </cell>
          <cell r="J686">
            <v>6</v>
          </cell>
          <cell r="K686">
            <v>7</v>
          </cell>
        </row>
        <row r="687">
          <cell r="B687" t="str">
            <v>privacy-friendly-torchlight</v>
          </cell>
          <cell r="C687" t="str">
            <v>SecUSo/privacy-friendly-torchlight</v>
          </cell>
          <cell r="D687" t="str">
            <v>SecUSo/privacy-friendly-torchlight</v>
          </cell>
          <cell r="E687">
            <v>66</v>
          </cell>
          <cell r="F687">
            <v>5</v>
          </cell>
          <cell r="G687">
            <v>9</v>
          </cell>
          <cell r="H687">
            <v>1032</v>
          </cell>
          <cell r="I687">
            <v>8</v>
          </cell>
          <cell r="J687">
            <v>25</v>
          </cell>
          <cell r="K687">
            <v>9</v>
          </cell>
        </row>
        <row r="688">
          <cell r="B688" t="str">
            <v>MaterialTextField</v>
          </cell>
          <cell r="C688" t="str">
            <v>edgar-zigis/MaterialTextField</v>
          </cell>
          <cell r="D688" t="str">
            <v>edgar-zigis/MaterialTextField</v>
          </cell>
          <cell r="E688">
            <v>66</v>
          </cell>
          <cell r="F688">
            <v>12</v>
          </cell>
          <cell r="G688">
            <v>4</v>
          </cell>
          <cell r="H688">
            <v>546</v>
          </cell>
          <cell r="I688">
            <v>8</v>
          </cell>
          <cell r="J688">
            <v>41</v>
          </cell>
          <cell r="K688">
            <v>0</v>
          </cell>
        </row>
        <row r="689">
          <cell r="B689" t="str">
            <v>AnimatedProgressBar</v>
          </cell>
          <cell r="C689" t="str">
            <v>anthonycr/AnimatedProgressBar</v>
          </cell>
          <cell r="D689" t="str">
            <v>anthonycr/AnimatedProgressBar</v>
          </cell>
          <cell r="E689">
            <v>66</v>
          </cell>
          <cell r="F689">
            <v>14</v>
          </cell>
          <cell r="G689">
            <v>1</v>
          </cell>
          <cell r="H689">
            <v>1737</v>
          </cell>
          <cell r="I689">
            <v>13</v>
          </cell>
          <cell r="J689">
            <v>54</v>
          </cell>
          <cell r="K689">
            <v>0</v>
          </cell>
        </row>
        <row r="690">
          <cell r="B690" t="str">
            <v>Note-Me</v>
          </cell>
          <cell r="C690" t="str">
            <v>jamie-codez/Note-Me</v>
          </cell>
          <cell r="D690" t="str">
            <v>jamie-codez/Note-Me</v>
          </cell>
          <cell r="E690">
            <v>66</v>
          </cell>
          <cell r="F690">
            <v>28</v>
          </cell>
          <cell r="G690">
            <v>1</v>
          </cell>
          <cell r="H690">
            <v>1219</v>
          </cell>
          <cell r="I690">
            <v>0</v>
          </cell>
          <cell r="J690">
            <v>1</v>
          </cell>
          <cell r="K690">
            <v>0</v>
          </cell>
        </row>
        <row r="691">
          <cell r="B691" t="str">
            <v>motionmate</v>
          </cell>
          <cell r="C691" t="str">
            <v>0xf4b1/motionmate</v>
          </cell>
          <cell r="D691" t="str">
            <v>0xf4b1/motionmate</v>
          </cell>
          <cell r="E691">
            <v>66</v>
          </cell>
          <cell r="F691">
            <v>72</v>
          </cell>
          <cell r="G691">
            <v>3</v>
          </cell>
          <cell r="H691">
            <v>403</v>
          </cell>
          <cell r="I691">
            <v>1</v>
          </cell>
          <cell r="J691">
            <v>18</v>
          </cell>
          <cell r="K691">
            <v>2</v>
          </cell>
        </row>
        <row r="692">
          <cell r="B692" t="str">
            <v>ChineseTtsTflite</v>
          </cell>
          <cell r="C692" t="str">
            <v>benjaminwan/ChineseTtsTflite</v>
          </cell>
          <cell r="D692" t="str">
            <v>benjaminwan/ChineseTtsTflite</v>
          </cell>
          <cell r="E692">
            <v>67</v>
          </cell>
          <cell r="F692">
            <v>0</v>
          </cell>
          <cell r="G692">
            <v>2</v>
          </cell>
          <cell r="H692">
            <v>316</v>
          </cell>
          <cell r="I692">
            <v>22</v>
          </cell>
          <cell r="J692">
            <v>141</v>
          </cell>
          <cell r="K692">
            <v>0</v>
          </cell>
        </row>
        <row r="693">
          <cell r="B693" t="str">
            <v>loread</v>
          </cell>
          <cell r="C693" t="str">
            <v>wizos/loread</v>
          </cell>
          <cell r="D693" t="str">
            <v>wizos/loread</v>
          </cell>
          <cell r="E693">
            <v>67</v>
          </cell>
          <cell r="F693">
            <v>0</v>
          </cell>
          <cell r="G693">
            <v>1</v>
          </cell>
          <cell r="H693">
            <v>15604</v>
          </cell>
          <cell r="I693">
            <v>10</v>
          </cell>
          <cell r="J693">
            <v>83</v>
          </cell>
          <cell r="K693">
            <v>1</v>
          </cell>
        </row>
        <row r="694">
          <cell r="B694" t="str">
            <v>mCerebrum-Plotter</v>
          </cell>
          <cell r="C694" t="str">
            <v>MD2Korg/mCerebrum-Plotter</v>
          </cell>
          <cell r="D694" t="str">
            <v>MD2Korg/mCerebrum-Plotter</v>
          </cell>
          <cell r="E694">
            <v>67</v>
          </cell>
          <cell r="F694">
            <v>3</v>
          </cell>
          <cell r="G694">
            <v>3</v>
          </cell>
          <cell r="H694">
            <v>353</v>
          </cell>
          <cell r="I694">
            <v>0</v>
          </cell>
          <cell r="J694">
            <v>1</v>
          </cell>
          <cell r="K694">
            <v>0</v>
          </cell>
        </row>
        <row r="695">
          <cell r="B695" t="str">
            <v>GDGPune-DevFest19-Android</v>
          </cell>
          <cell r="C695" t="str">
            <v>PatilShreyas/GDGPune-DevFest19-Android</v>
          </cell>
          <cell r="D695" t="str">
            <v>PatilShreyas/GDGPune-DevFest19-Android</v>
          </cell>
          <cell r="E695">
            <v>67</v>
          </cell>
          <cell r="F695">
            <v>9</v>
          </cell>
          <cell r="G695">
            <v>4</v>
          </cell>
          <cell r="H695">
            <v>26794</v>
          </cell>
          <cell r="I695">
            <v>2</v>
          </cell>
          <cell r="J695">
            <v>6</v>
          </cell>
          <cell r="K695">
            <v>5</v>
          </cell>
        </row>
        <row r="696">
          <cell r="B696" t="str">
            <v>ws2022_pme_flipsen</v>
          </cell>
          <cell r="C696" t="str">
            <v>fh-erfurt/ws2022_pme_flipsen</v>
          </cell>
          <cell r="D696" t="str">
            <v>fh-erfurt/ws2022_pme_flipsen</v>
          </cell>
          <cell r="E696">
            <v>67</v>
          </cell>
          <cell r="F696">
            <v>15</v>
          </cell>
          <cell r="G696">
            <v>4</v>
          </cell>
          <cell r="H696">
            <v>395</v>
          </cell>
          <cell r="I696">
            <v>0</v>
          </cell>
          <cell r="J696">
            <v>1</v>
          </cell>
          <cell r="K696">
            <v>0</v>
          </cell>
        </row>
        <row r="697">
          <cell r="B697" t="str">
            <v>TastyToast</v>
          </cell>
          <cell r="C697" t="str">
            <v>yadav-rahul/TastyToast</v>
          </cell>
          <cell r="D697" t="str">
            <v>yadav-rahul/TastyToast</v>
          </cell>
          <cell r="E697">
            <v>67</v>
          </cell>
          <cell r="F697">
            <v>16</v>
          </cell>
          <cell r="G697">
            <v>3</v>
          </cell>
          <cell r="H697">
            <v>903</v>
          </cell>
          <cell r="I697">
            <v>367</v>
          </cell>
          <cell r="J697">
            <v>2038</v>
          </cell>
          <cell r="K697">
            <v>19</v>
          </cell>
        </row>
        <row r="698">
          <cell r="B698" t="str">
            <v>messsy</v>
          </cell>
          <cell r="C698" t="str">
            <v>hackslash-nitp/messsy</v>
          </cell>
          <cell r="D698" t="str">
            <v>hackslash-nitp/messsy</v>
          </cell>
          <cell r="E698">
            <v>67</v>
          </cell>
          <cell r="F698">
            <v>48</v>
          </cell>
          <cell r="G698">
            <v>14</v>
          </cell>
          <cell r="H698">
            <v>3165</v>
          </cell>
          <cell r="I698">
            <v>16</v>
          </cell>
          <cell r="J698">
            <v>5</v>
          </cell>
          <cell r="K698">
            <v>3</v>
          </cell>
        </row>
        <row r="699">
          <cell r="B699" t="str">
            <v>wax</v>
          </cell>
          <cell r="C699" t="str">
            <v>niuhuan/wax</v>
          </cell>
          <cell r="D699" t="str">
            <v>niuhuan/wax</v>
          </cell>
          <cell r="E699">
            <v>68</v>
          </cell>
          <cell r="F699">
            <v>0</v>
          </cell>
          <cell r="G699">
            <v>1</v>
          </cell>
          <cell r="H699">
            <v>364</v>
          </cell>
          <cell r="I699">
            <v>6</v>
          </cell>
          <cell r="J699">
            <v>250</v>
          </cell>
          <cell r="K699">
            <v>8</v>
          </cell>
        </row>
        <row r="700">
          <cell r="B700" t="str">
            <v>LockScreenNotes</v>
          </cell>
          <cell r="C700" t="str">
            <v>NilsFo/LockScreenNotes</v>
          </cell>
          <cell r="D700" t="str">
            <v>NilsFo/LockScreenNotes</v>
          </cell>
          <cell r="E700">
            <v>68</v>
          </cell>
          <cell r="F700">
            <v>0</v>
          </cell>
          <cell r="G700">
            <v>1</v>
          </cell>
          <cell r="H700">
            <v>2883</v>
          </cell>
          <cell r="I700">
            <v>5</v>
          </cell>
          <cell r="J700">
            <v>17</v>
          </cell>
          <cell r="K700">
            <v>5</v>
          </cell>
        </row>
        <row r="701">
          <cell r="B701" t="str">
            <v>nice-animals</v>
          </cell>
          <cell r="C701" t="str">
            <v>Grohden/nice-animals</v>
          </cell>
          <cell r="D701" t="str">
            <v>Grohden/nice-animals</v>
          </cell>
          <cell r="E701">
            <v>68</v>
          </cell>
          <cell r="F701">
            <v>1</v>
          </cell>
          <cell r="G701">
            <v>1</v>
          </cell>
          <cell r="H701">
            <v>1628</v>
          </cell>
          <cell r="I701">
            <v>2</v>
          </cell>
          <cell r="J701">
            <v>15</v>
          </cell>
          <cell r="K701">
            <v>0</v>
          </cell>
        </row>
        <row r="702">
          <cell r="B702" t="str">
            <v>Movies</v>
          </cell>
          <cell r="C702" t="str">
            <v>jihoi-kang/Movies</v>
          </cell>
          <cell r="D702" t="str">
            <v>jihoi-kang/Movies</v>
          </cell>
          <cell r="E702">
            <v>68</v>
          </cell>
          <cell r="F702">
            <v>1</v>
          </cell>
          <cell r="G702">
            <v>1</v>
          </cell>
          <cell r="H702">
            <v>3196</v>
          </cell>
          <cell r="I702">
            <v>1</v>
          </cell>
          <cell r="J702">
            <v>1</v>
          </cell>
          <cell r="K702">
            <v>0</v>
          </cell>
        </row>
        <row r="703">
          <cell r="B703" t="str">
            <v>DynamicNightLight</v>
          </cell>
          <cell r="C703" t="str">
            <v>quaddy-services/DynamicNightLight</v>
          </cell>
          <cell r="D703" t="str">
            <v>quaddy-services/DynamicNightLight</v>
          </cell>
          <cell r="E703">
            <v>68</v>
          </cell>
          <cell r="F703">
            <v>2</v>
          </cell>
          <cell r="G703">
            <v>2</v>
          </cell>
          <cell r="H703">
            <v>965</v>
          </cell>
          <cell r="I703">
            <v>4</v>
          </cell>
          <cell r="J703">
            <v>5</v>
          </cell>
          <cell r="K703">
            <v>3</v>
          </cell>
        </row>
        <row r="704">
          <cell r="B704" t="str">
            <v>remote_pair_pomodoro</v>
          </cell>
          <cell r="C704" t="str">
            <v>Calendar-Events-Manager/remote_pair_pomodoro</v>
          </cell>
          <cell r="D704" t="str">
            <v>Calendar-Events-Manager/remote_pair_pomodoro</v>
          </cell>
          <cell r="E704">
            <v>68</v>
          </cell>
          <cell r="F704">
            <v>3</v>
          </cell>
          <cell r="G704">
            <v>2</v>
          </cell>
          <cell r="H704">
            <v>818</v>
          </cell>
          <cell r="I704">
            <v>0</v>
          </cell>
          <cell r="J704">
            <v>8</v>
          </cell>
          <cell r="K704">
            <v>2</v>
          </cell>
        </row>
        <row r="705">
          <cell r="B705" t="str">
            <v>OnscripterYuri</v>
          </cell>
          <cell r="C705" t="str">
            <v>YuriSizuku/OnscripterYuri</v>
          </cell>
          <cell r="D705" t="str">
            <v>YuriSizuku/OnscripterYuri</v>
          </cell>
          <cell r="E705">
            <v>68</v>
          </cell>
          <cell r="F705">
            <v>3</v>
          </cell>
          <cell r="G705">
            <v>5</v>
          </cell>
          <cell r="H705">
            <v>8616</v>
          </cell>
          <cell r="I705">
            <v>0</v>
          </cell>
          <cell r="J705">
            <v>30</v>
          </cell>
          <cell r="K705">
            <v>2</v>
          </cell>
        </row>
        <row r="706">
          <cell r="B706" t="str">
            <v>Milia</v>
          </cell>
          <cell r="C706" t="str">
            <v>Zewodec/Milia</v>
          </cell>
          <cell r="D706" t="str">
            <v>Zewodec/Milia</v>
          </cell>
          <cell r="E706">
            <v>68</v>
          </cell>
          <cell r="F706">
            <v>4</v>
          </cell>
          <cell r="G706">
            <v>1</v>
          </cell>
          <cell r="H706">
            <v>4195</v>
          </cell>
          <cell r="I706">
            <v>0</v>
          </cell>
          <cell r="J706">
            <v>1</v>
          </cell>
          <cell r="K706">
            <v>1</v>
          </cell>
        </row>
        <row r="707">
          <cell r="B707" t="str">
            <v>RandomWordGenerator</v>
          </cell>
          <cell r="C707" t="str">
            <v>staceybellerose/RandomWordGenerator</v>
          </cell>
          <cell r="D707" t="str">
            <v>staceybellerose/RandomWordGenerator</v>
          </cell>
          <cell r="E707">
            <v>68</v>
          </cell>
          <cell r="F707">
            <v>4</v>
          </cell>
          <cell r="G707">
            <v>1</v>
          </cell>
          <cell r="H707">
            <v>19435</v>
          </cell>
          <cell r="I707">
            <v>1</v>
          </cell>
          <cell r="J707">
            <v>6</v>
          </cell>
          <cell r="K707">
            <v>2</v>
          </cell>
        </row>
        <row r="708">
          <cell r="B708" t="str">
            <v>SpotifyKt</v>
          </cell>
          <cell r="C708" t="str">
            <v>cvillaseca/SpotifyKt</v>
          </cell>
          <cell r="D708" t="str">
            <v>cvillaseca/SpotifyKt</v>
          </cell>
          <cell r="E708">
            <v>68</v>
          </cell>
          <cell r="F708">
            <v>7</v>
          </cell>
          <cell r="G708">
            <v>1</v>
          </cell>
          <cell r="H708">
            <v>748</v>
          </cell>
          <cell r="I708">
            <v>1</v>
          </cell>
          <cell r="J708">
            <v>10</v>
          </cell>
          <cell r="K708">
            <v>0</v>
          </cell>
        </row>
        <row r="709">
          <cell r="B709" t="str">
            <v>Fitofy-India</v>
          </cell>
          <cell r="C709" t="str">
            <v>saumya1singh/Fitofy-India</v>
          </cell>
          <cell r="D709" t="str">
            <v>saumya1singh/Fitofy-India</v>
          </cell>
          <cell r="E709">
            <v>68</v>
          </cell>
          <cell r="F709">
            <v>13</v>
          </cell>
          <cell r="G709">
            <v>6</v>
          </cell>
          <cell r="H709">
            <v>4775</v>
          </cell>
          <cell r="I709">
            <v>11</v>
          </cell>
          <cell r="J709">
            <v>10</v>
          </cell>
          <cell r="K709">
            <v>7</v>
          </cell>
        </row>
        <row r="710">
          <cell r="B710" t="str">
            <v>flutter-gif-search</v>
          </cell>
          <cell r="C710" t="str">
            <v>jaredsburrows/flutter-gif-search</v>
          </cell>
          <cell r="D710" t="str">
            <v>jaredsburrows/flutter-gif-search</v>
          </cell>
          <cell r="E710">
            <v>68</v>
          </cell>
          <cell r="F710">
            <v>41</v>
          </cell>
          <cell r="G710">
            <v>2</v>
          </cell>
          <cell r="H710">
            <v>7676</v>
          </cell>
          <cell r="I710">
            <v>0</v>
          </cell>
          <cell r="J710">
            <v>1</v>
          </cell>
          <cell r="K710">
            <v>0</v>
          </cell>
        </row>
        <row r="711">
          <cell r="B711" t="str">
            <v>wakelock-revamp</v>
          </cell>
          <cell r="C711" t="str">
            <v>d4rken-org/wakelock-revamp</v>
          </cell>
          <cell r="D711" t="str">
            <v>d4rken-org/wakelock-revamp</v>
          </cell>
          <cell r="E711">
            <v>69</v>
          </cell>
          <cell r="F711">
            <v>3</v>
          </cell>
          <cell r="G711">
            <v>2</v>
          </cell>
          <cell r="H711">
            <v>633</v>
          </cell>
          <cell r="I711">
            <v>12</v>
          </cell>
          <cell r="J711">
            <v>95</v>
          </cell>
          <cell r="K711">
            <v>6</v>
          </cell>
        </row>
        <row r="712">
          <cell r="B712" t="str">
            <v>mCerebrum-MoodSurfing</v>
          </cell>
          <cell r="C712" t="str">
            <v>MD2Korg/mCerebrum-MoodSurfing</v>
          </cell>
          <cell r="D712" t="str">
            <v>MD2Korg/mCerebrum-MoodSurfing</v>
          </cell>
          <cell r="E712">
            <v>69</v>
          </cell>
          <cell r="F712">
            <v>3</v>
          </cell>
          <cell r="G712">
            <v>3</v>
          </cell>
          <cell r="H712">
            <v>33850</v>
          </cell>
          <cell r="I712">
            <v>1</v>
          </cell>
          <cell r="J712">
            <v>1</v>
          </cell>
          <cell r="K712">
            <v>0</v>
          </cell>
        </row>
        <row r="713">
          <cell r="B713" t="str">
            <v>SystemAppMover</v>
          </cell>
          <cell r="C713" t="str">
            <v>j4velin/SystemAppMover</v>
          </cell>
          <cell r="D713" t="str">
            <v>j4velin/SystemAppMover</v>
          </cell>
          <cell r="E713">
            <v>69</v>
          </cell>
          <cell r="F713">
            <v>5</v>
          </cell>
          <cell r="G713">
            <v>2</v>
          </cell>
          <cell r="H713">
            <v>311</v>
          </cell>
          <cell r="I713">
            <v>33</v>
          </cell>
          <cell r="J713">
            <v>103</v>
          </cell>
          <cell r="K713">
            <v>8</v>
          </cell>
        </row>
        <row r="714">
          <cell r="B714" t="str">
            <v>Movies_TMDb</v>
          </cell>
          <cell r="C714" t="str">
            <v>Stampede10343/Movies_TMDb</v>
          </cell>
          <cell r="D714" t="str">
            <v>Stampede10343/Movies_TMDb</v>
          </cell>
          <cell r="E714">
            <v>69</v>
          </cell>
          <cell r="F714">
            <v>7</v>
          </cell>
          <cell r="G714">
            <v>1</v>
          </cell>
          <cell r="H714">
            <v>4396</v>
          </cell>
          <cell r="I714">
            <v>0</v>
          </cell>
          <cell r="J714">
            <v>3</v>
          </cell>
          <cell r="K714">
            <v>4</v>
          </cell>
        </row>
        <row r="715">
          <cell r="B715" t="str">
            <v>afh_downloader</v>
          </cell>
          <cell r="C715" t="str">
            <v>daktak/afh_downloader</v>
          </cell>
          <cell r="D715" t="str">
            <v>daktak/afh_downloader</v>
          </cell>
          <cell r="E715">
            <v>69</v>
          </cell>
          <cell r="F715">
            <v>17</v>
          </cell>
          <cell r="G715">
            <v>2</v>
          </cell>
          <cell r="H715">
            <v>3246</v>
          </cell>
          <cell r="I715">
            <v>7</v>
          </cell>
          <cell r="J715">
            <v>21</v>
          </cell>
          <cell r="K715">
            <v>2</v>
          </cell>
        </row>
        <row r="716">
          <cell r="B716" t="str">
            <v>perun-eth-mobile</v>
          </cell>
          <cell r="C716" t="str">
            <v>perun-network/perun-eth-mobile</v>
          </cell>
          <cell r="D716" t="str">
            <v>perun-network/perun-eth-mobile</v>
          </cell>
          <cell r="E716">
            <v>69</v>
          </cell>
          <cell r="F716">
            <v>22</v>
          </cell>
          <cell r="G716">
            <v>4</v>
          </cell>
          <cell r="H716">
            <v>206</v>
          </cell>
          <cell r="I716">
            <v>4</v>
          </cell>
          <cell r="J716">
            <v>4</v>
          </cell>
          <cell r="K716">
            <v>5</v>
          </cell>
        </row>
        <row r="717">
          <cell r="B717" t="str">
            <v>android-super-app</v>
          </cell>
          <cell r="C717" t="str">
            <v>programadorthi/android-super-app</v>
          </cell>
          <cell r="D717" t="str">
            <v>programadorthi/android-super-app</v>
          </cell>
          <cell r="E717">
            <v>70</v>
          </cell>
          <cell r="F717">
            <v>0</v>
          </cell>
          <cell r="G717">
            <v>1</v>
          </cell>
          <cell r="H717">
            <v>877</v>
          </cell>
          <cell r="I717">
            <v>1</v>
          </cell>
          <cell r="J717">
            <v>22</v>
          </cell>
          <cell r="K717">
            <v>0</v>
          </cell>
        </row>
        <row r="718">
          <cell r="B718" t="str">
            <v>LoadMoreWrapper</v>
          </cell>
          <cell r="C718" t="str">
            <v>nukc/LoadMoreWrapper</v>
          </cell>
          <cell r="D718" t="str">
            <v>nukc/LoadMoreWrapper</v>
          </cell>
          <cell r="E718">
            <v>70</v>
          </cell>
          <cell r="F718">
            <v>2</v>
          </cell>
          <cell r="G718">
            <v>2</v>
          </cell>
          <cell r="H718">
            <v>816</v>
          </cell>
          <cell r="I718">
            <v>31</v>
          </cell>
          <cell r="J718">
            <v>186</v>
          </cell>
          <cell r="K718">
            <v>0</v>
          </cell>
        </row>
        <row r="719">
          <cell r="B719" t="str">
            <v>Yana</v>
          </cell>
          <cell r="C719" t="str">
            <v>Skrilltrax/Yana</v>
          </cell>
          <cell r="D719" t="str">
            <v>Skrilltrax/Yana</v>
          </cell>
          <cell r="E719">
            <v>70</v>
          </cell>
          <cell r="F719">
            <v>3</v>
          </cell>
          <cell r="G719">
            <v>1</v>
          </cell>
          <cell r="H719">
            <v>902</v>
          </cell>
          <cell r="I719">
            <v>0</v>
          </cell>
          <cell r="J719">
            <v>1</v>
          </cell>
          <cell r="K719">
            <v>0</v>
          </cell>
        </row>
        <row r="720">
          <cell r="B720" t="str">
            <v>cms-mobile</v>
          </cell>
          <cell r="C720" t="str">
            <v>amfoss/cms-mobile</v>
          </cell>
          <cell r="D720" t="str">
            <v>amfoss/cms-mobile</v>
          </cell>
          <cell r="E720">
            <v>70</v>
          </cell>
          <cell r="F720">
            <v>4</v>
          </cell>
          <cell r="G720">
            <v>10</v>
          </cell>
          <cell r="H720">
            <v>677</v>
          </cell>
          <cell r="I720">
            <v>8</v>
          </cell>
          <cell r="J720">
            <v>497</v>
          </cell>
          <cell r="K720">
            <v>0</v>
          </cell>
        </row>
        <row r="721">
          <cell r="B721" t="str">
            <v>symphony</v>
          </cell>
          <cell r="C721" t="str">
            <v>Orillio/symphony</v>
          </cell>
          <cell r="D721" t="str">
            <v>Orillio/symphony</v>
          </cell>
          <cell r="E721">
            <v>70</v>
          </cell>
          <cell r="F721">
            <v>12</v>
          </cell>
          <cell r="G721">
            <v>1</v>
          </cell>
          <cell r="H721">
            <v>343</v>
          </cell>
          <cell r="I721">
            <v>0</v>
          </cell>
          <cell r="J721">
            <v>3</v>
          </cell>
          <cell r="K721">
            <v>2</v>
          </cell>
        </row>
        <row r="722">
          <cell r="B722" t="str">
            <v>android-base-project</v>
          </cell>
          <cell r="C722" t="str">
            <v>LateralView/android-base-project</v>
          </cell>
          <cell r="D722" t="str">
            <v>LateralView/android-base-project</v>
          </cell>
          <cell r="E722">
            <v>70</v>
          </cell>
          <cell r="F722">
            <v>21</v>
          </cell>
          <cell r="G722">
            <v>4</v>
          </cell>
          <cell r="H722">
            <v>310</v>
          </cell>
          <cell r="I722">
            <v>9</v>
          </cell>
          <cell r="J722">
            <v>25</v>
          </cell>
          <cell r="K722">
            <v>3</v>
          </cell>
        </row>
        <row r="723">
          <cell r="B723" t="str">
            <v>Hostelite</v>
          </cell>
          <cell r="C723" t="str">
            <v>hackslash-nitp/Hostelite</v>
          </cell>
          <cell r="D723" t="str">
            <v>hackslash-nitp/Hostelite</v>
          </cell>
          <cell r="E723">
            <v>70</v>
          </cell>
          <cell r="F723">
            <v>21</v>
          </cell>
          <cell r="G723">
            <v>6</v>
          </cell>
          <cell r="H723">
            <v>1663</v>
          </cell>
          <cell r="I723">
            <v>5</v>
          </cell>
          <cell r="J723">
            <v>3</v>
          </cell>
          <cell r="K723">
            <v>0</v>
          </cell>
        </row>
        <row r="724">
          <cell r="B724" t="str">
            <v>FlappyFace</v>
          </cell>
          <cell r="C724" t="str">
            <v>sarthakpranesh/FlappyFace</v>
          </cell>
          <cell r="D724" t="str">
            <v>sarthakpranesh/FlappyFace</v>
          </cell>
          <cell r="E724">
            <v>70</v>
          </cell>
          <cell r="F724">
            <v>23</v>
          </cell>
          <cell r="G724">
            <v>2</v>
          </cell>
          <cell r="H724">
            <v>47914</v>
          </cell>
          <cell r="I724">
            <v>10</v>
          </cell>
          <cell r="J724">
            <v>36</v>
          </cell>
          <cell r="K724">
            <v>7</v>
          </cell>
        </row>
        <row r="725">
          <cell r="B725" t="str">
            <v>CanIDrive</v>
          </cell>
          <cell r="C725" t="str">
            <v>VincentAudibert/CanIDrive</v>
          </cell>
          <cell r="D725" t="str">
            <v>VincentAudibert/CanIDrive</v>
          </cell>
          <cell r="E725">
            <v>70</v>
          </cell>
          <cell r="F725">
            <v>32</v>
          </cell>
          <cell r="G725">
            <v>5</v>
          </cell>
          <cell r="H725">
            <v>1929</v>
          </cell>
          <cell r="I725">
            <v>3</v>
          </cell>
          <cell r="J725">
            <v>6</v>
          </cell>
          <cell r="K725">
            <v>44</v>
          </cell>
        </row>
        <row r="726">
          <cell r="B726" t="str">
            <v>material-intro-screen</v>
          </cell>
          <cell r="C726" t="str">
            <v>TangoAgency/material-intro-screen</v>
          </cell>
          <cell r="D726" t="str">
            <v>TangoAgency/material-intro-screen</v>
          </cell>
          <cell r="E726">
            <v>70</v>
          </cell>
          <cell r="F726">
            <v>57</v>
          </cell>
          <cell r="G726">
            <v>3</v>
          </cell>
          <cell r="H726">
            <v>27796</v>
          </cell>
          <cell r="I726">
            <v>418</v>
          </cell>
          <cell r="J726">
            <v>2720</v>
          </cell>
          <cell r="K726">
            <v>57</v>
          </cell>
        </row>
        <row r="727">
          <cell r="B727" t="str">
            <v>Maps</v>
          </cell>
          <cell r="C727" t="str">
            <v>Divested-Mobile/Maps</v>
          </cell>
          <cell r="D727" t="str">
            <v>Divested-Mobile/Maps</v>
          </cell>
          <cell r="E727">
            <v>71</v>
          </cell>
          <cell r="F727">
            <v>0</v>
          </cell>
          <cell r="G727">
            <v>13</v>
          </cell>
          <cell r="H727">
            <v>709</v>
          </cell>
          <cell r="I727">
            <v>3</v>
          </cell>
          <cell r="J727">
            <v>23</v>
          </cell>
          <cell r="K727">
            <v>2</v>
          </cell>
        </row>
        <row r="728">
          <cell r="B728" t="str">
            <v>bluetooth-le-analyzer</v>
          </cell>
          <cell r="C728" t="str">
            <v>bertrandmartel/bluetooth-le-analyzer</v>
          </cell>
          <cell r="D728" t="str">
            <v>bertrandmartel/bluetooth-le-analyzer</v>
          </cell>
          <cell r="E728">
            <v>71</v>
          </cell>
          <cell r="F728">
            <v>0</v>
          </cell>
          <cell r="G728">
            <v>1</v>
          </cell>
          <cell r="H728">
            <v>2831</v>
          </cell>
          <cell r="I728">
            <v>4</v>
          </cell>
          <cell r="J728">
            <v>8</v>
          </cell>
          <cell r="K728">
            <v>0</v>
          </cell>
        </row>
        <row r="729">
          <cell r="B729" t="str">
            <v>noefinderlein</v>
          </cell>
          <cell r="C729" t="str">
            <v>derqurps/noefinderlein</v>
          </cell>
          <cell r="D729" t="str">
            <v>derqurps/noefinderlein</v>
          </cell>
          <cell r="E729">
            <v>71</v>
          </cell>
          <cell r="F729">
            <v>1</v>
          </cell>
          <cell r="G729">
            <v>2</v>
          </cell>
          <cell r="H729">
            <v>4800</v>
          </cell>
          <cell r="I729">
            <v>1</v>
          </cell>
          <cell r="J729">
            <v>2</v>
          </cell>
          <cell r="K729">
            <v>2</v>
          </cell>
        </row>
        <row r="730">
          <cell r="B730" t="str">
            <v>BottomNavigationBar</v>
          </cell>
          <cell r="C730" t="str">
            <v>Dimezis/BottomNavigationBar</v>
          </cell>
          <cell r="D730" t="str">
            <v>Dimezis/BottomNavigationBar</v>
          </cell>
          <cell r="E730">
            <v>71</v>
          </cell>
          <cell r="F730">
            <v>2</v>
          </cell>
          <cell r="G730">
            <v>1</v>
          </cell>
          <cell r="H730">
            <v>402</v>
          </cell>
          <cell r="I730">
            <v>7</v>
          </cell>
          <cell r="J730">
            <v>50</v>
          </cell>
          <cell r="K730">
            <v>7</v>
          </cell>
        </row>
        <row r="731">
          <cell r="B731" t="str">
            <v>MovieLand</v>
          </cell>
          <cell r="C731" t="str">
            <v>Haid-Faiz/MovieLand</v>
          </cell>
          <cell r="D731" t="str">
            <v>Haid-Faiz/MovieLand</v>
          </cell>
          <cell r="E731">
            <v>71</v>
          </cell>
          <cell r="F731">
            <v>2</v>
          </cell>
          <cell r="G731">
            <v>1</v>
          </cell>
          <cell r="H731">
            <v>11080</v>
          </cell>
          <cell r="I731">
            <v>9</v>
          </cell>
          <cell r="J731">
            <v>30</v>
          </cell>
          <cell r="K731">
            <v>0</v>
          </cell>
        </row>
        <row r="732">
          <cell r="B732" t="str">
            <v>NetworkMapper</v>
          </cell>
          <cell r="C732" t="str">
            <v>kost/NetworkMapper</v>
          </cell>
          <cell r="D732" t="str">
            <v>kost/NetworkMapper</v>
          </cell>
          <cell r="E732">
            <v>71</v>
          </cell>
          <cell r="F732">
            <v>3</v>
          </cell>
          <cell r="G732">
            <v>2</v>
          </cell>
          <cell r="H732">
            <v>139</v>
          </cell>
          <cell r="I732">
            <v>25</v>
          </cell>
          <cell r="J732">
            <v>56</v>
          </cell>
          <cell r="K732">
            <v>9</v>
          </cell>
        </row>
        <row r="733">
          <cell r="B733" t="str">
            <v>Animals3D</v>
          </cell>
          <cell r="C733" t="str">
            <v>softwarejimenez/Animals3D</v>
          </cell>
          <cell r="D733" t="str">
            <v>ajimenez1503/Animals3D</v>
          </cell>
          <cell r="E733">
            <v>71</v>
          </cell>
          <cell r="F733">
            <v>4</v>
          </cell>
          <cell r="G733">
            <v>1</v>
          </cell>
          <cell r="H733">
            <v>3983</v>
          </cell>
          <cell r="I733">
            <v>4</v>
          </cell>
          <cell r="J733">
            <v>9</v>
          </cell>
          <cell r="K733">
            <v>3</v>
          </cell>
        </row>
        <row r="734">
          <cell r="B734" t="str">
            <v>s-launcher</v>
          </cell>
          <cell r="C734" t="str">
            <v>Austin-Ray/s-launcher</v>
          </cell>
          <cell r="D734" t="str">
            <v>austin-ray/s-launcher</v>
          </cell>
          <cell r="E734">
            <v>71</v>
          </cell>
          <cell r="F734">
            <v>10</v>
          </cell>
          <cell r="G734">
            <v>1</v>
          </cell>
          <cell r="H734">
            <v>247</v>
          </cell>
          <cell r="I734">
            <v>4</v>
          </cell>
          <cell r="J734">
            <v>9</v>
          </cell>
          <cell r="K734">
            <v>0</v>
          </cell>
        </row>
        <row r="735">
          <cell r="B735" t="str">
            <v>office-assistant-legacy</v>
          </cell>
          <cell r="C735" t="str">
            <v>insiderdev/office-assistant-legacy</v>
          </cell>
          <cell r="D735" t="str">
            <v>insiderdev/office-assistant-legacy</v>
          </cell>
          <cell r="E735">
            <v>71</v>
          </cell>
          <cell r="F735">
            <v>42</v>
          </cell>
          <cell r="G735">
            <v>3</v>
          </cell>
          <cell r="H735">
            <v>969</v>
          </cell>
          <cell r="I735">
            <v>2</v>
          </cell>
          <cell r="J735">
            <v>8</v>
          </cell>
          <cell r="K735">
            <v>1</v>
          </cell>
        </row>
        <row r="736">
          <cell r="B736" t="str">
            <v>cronet-engine</v>
          </cell>
          <cell r="C736" t="str">
            <v>niusounds/cronet-engine</v>
          </cell>
          <cell r="D736" t="str">
            <v>niusounds/cronet-engine</v>
          </cell>
          <cell r="E736">
            <v>71</v>
          </cell>
          <cell r="F736">
            <v>63</v>
          </cell>
          <cell r="G736">
            <v>2</v>
          </cell>
          <cell r="H736">
            <v>273</v>
          </cell>
          <cell r="I736">
            <v>0</v>
          </cell>
          <cell r="J736">
            <v>1</v>
          </cell>
          <cell r="K736">
            <v>1</v>
          </cell>
        </row>
        <row r="737">
          <cell r="B737" t="str">
            <v>DYNAMICOPERU</v>
          </cell>
          <cell r="C737" t="str">
            <v>StAResComp/DYNAMICOPERU</v>
          </cell>
          <cell r="D737" t="str">
            <v>StAResComp/DYNAMICOPERU</v>
          </cell>
          <cell r="E737">
            <v>72</v>
          </cell>
          <cell r="F737">
            <v>0</v>
          </cell>
          <cell r="G737">
            <v>2</v>
          </cell>
          <cell r="H737">
            <v>730</v>
          </cell>
          <cell r="I737">
            <v>0</v>
          </cell>
          <cell r="J737">
            <v>1</v>
          </cell>
          <cell r="K737">
            <v>1</v>
          </cell>
        </row>
        <row r="738">
          <cell r="B738" t="str">
            <v>frogo-notification</v>
          </cell>
          <cell r="C738" t="str">
            <v>amirisback/frogo-notification</v>
          </cell>
          <cell r="D738" t="str">
            <v>amirisback/frogo-notification</v>
          </cell>
          <cell r="E738">
            <v>72</v>
          </cell>
          <cell r="F738">
            <v>0</v>
          </cell>
          <cell r="G738">
            <v>1</v>
          </cell>
          <cell r="H738">
            <v>26239</v>
          </cell>
          <cell r="I738">
            <v>6</v>
          </cell>
          <cell r="J738">
            <v>46</v>
          </cell>
          <cell r="K738">
            <v>0</v>
          </cell>
        </row>
        <row r="739">
          <cell r="B739" t="str">
            <v>EngineDataLogger---Dashboard</v>
          </cell>
          <cell r="C739" t="str">
            <v>techie66/EngineDataLogger---Dashboard</v>
          </cell>
          <cell r="D739" t="str">
            <v>techie66/EngineDataLogger---Dashboard</v>
          </cell>
          <cell r="E739">
            <v>72</v>
          </cell>
          <cell r="F739">
            <v>1</v>
          </cell>
          <cell r="G739">
            <v>6</v>
          </cell>
          <cell r="H739">
            <v>865</v>
          </cell>
          <cell r="I739">
            <v>0</v>
          </cell>
          <cell r="J739">
            <v>5</v>
          </cell>
          <cell r="K739">
            <v>1</v>
          </cell>
        </row>
        <row r="740">
          <cell r="B740" t="str">
            <v>ColorPicker</v>
          </cell>
          <cell r="C740" t="str">
            <v>relish-wang/ColorPicker</v>
          </cell>
          <cell r="D740" t="str">
            <v>relish-wang/ColorPicker</v>
          </cell>
          <cell r="E740">
            <v>72</v>
          </cell>
          <cell r="F740">
            <v>1</v>
          </cell>
          <cell r="G740">
            <v>1</v>
          </cell>
          <cell r="H740">
            <v>3791</v>
          </cell>
          <cell r="I740">
            <v>4</v>
          </cell>
          <cell r="J740">
            <v>37</v>
          </cell>
          <cell r="K740">
            <v>1</v>
          </cell>
        </row>
        <row r="741">
          <cell r="B741" t="str">
            <v>lilaoftheday_android</v>
          </cell>
          <cell r="C741" t="str">
            <v>unblinking/lilaoftheday_android</v>
          </cell>
          <cell r="D741" t="str">
            <v>unblinking/lilaoftheday_android</v>
          </cell>
          <cell r="E741">
            <v>72</v>
          </cell>
          <cell r="F741">
            <v>1</v>
          </cell>
          <cell r="G741">
            <v>1</v>
          </cell>
          <cell r="H741">
            <v>28519</v>
          </cell>
          <cell r="I741">
            <v>0</v>
          </cell>
          <cell r="J741">
            <v>1</v>
          </cell>
          <cell r="K741">
            <v>0</v>
          </cell>
        </row>
        <row r="742">
          <cell r="B742" t="str">
            <v>hackdash</v>
          </cell>
          <cell r="C742" t="str">
            <v>tasomaniac/hackdash</v>
          </cell>
          <cell r="D742" t="str">
            <v>tasomaniac/hackdash</v>
          </cell>
          <cell r="E742">
            <v>72</v>
          </cell>
          <cell r="F742">
            <v>2</v>
          </cell>
          <cell r="G742">
            <v>3</v>
          </cell>
          <cell r="H742">
            <v>4071</v>
          </cell>
          <cell r="I742">
            <v>2</v>
          </cell>
          <cell r="J742">
            <v>7</v>
          </cell>
          <cell r="K742">
            <v>0</v>
          </cell>
        </row>
        <row r="743">
          <cell r="B743" t="str">
            <v>syncplayer</v>
          </cell>
          <cell r="C743" t="str">
            <v>mo3rfan/syncplayer</v>
          </cell>
          <cell r="D743" t="str">
            <v>mo3rfan/syncplayer</v>
          </cell>
          <cell r="E743">
            <v>72</v>
          </cell>
          <cell r="F743">
            <v>3</v>
          </cell>
          <cell r="G743">
            <v>5</v>
          </cell>
          <cell r="H743">
            <v>487</v>
          </cell>
          <cell r="I743">
            <v>9</v>
          </cell>
          <cell r="J743">
            <v>49</v>
          </cell>
          <cell r="K743">
            <v>16</v>
          </cell>
        </row>
        <row r="744">
          <cell r="B744" t="str">
            <v>mkloader</v>
          </cell>
          <cell r="C744" t="str">
            <v>nntuyen/mkloader</v>
          </cell>
          <cell r="D744" t="str">
            <v>jamesnguyenhub/mkloader</v>
          </cell>
          <cell r="E744">
            <v>72</v>
          </cell>
          <cell r="F744">
            <v>3</v>
          </cell>
          <cell r="G744">
            <v>3</v>
          </cell>
          <cell r="H744">
            <v>1185</v>
          </cell>
          <cell r="I744">
            <v>168</v>
          </cell>
          <cell r="J744">
            <v>1386</v>
          </cell>
          <cell r="K744">
            <v>13</v>
          </cell>
        </row>
        <row r="745">
          <cell r="B745" t="str">
            <v>pinetime-companion</v>
          </cell>
          <cell r="C745" t="str">
            <v>lupyuen/pinetime-companion</v>
          </cell>
          <cell r="D745" t="str">
            <v>lupyuen/pinetime-companion</v>
          </cell>
          <cell r="E745">
            <v>72</v>
          </cell>
          <cell r="F745">
            <v>5</v>
          </cell>
          <cell r="G745">
            <v>2</v>
          </cell>
          <cell r="H745">
            <v>1592</v>
          </cell>
          <cell r="I745">
            <v>8</v>
          </cell>
          <cell r="J745">
            <v>51</v>
          </cell>
          <cell r="K745">
            <v>2</v>
          </cell>
        </row>
        <row r="746">
          <cell r="B746" t="str">
            <v>behe-keyboard</v>
          </cell>
          <cell r="C746" t="str">
            <v>VladThodo/behe-keyboard</v>
          </cell>
          <cell r="D746" t="str">
            <v>VladThodo/behe-keyboard</v>
          </cell>
          <cell r="E746">
            <v>72</v>
          </cell>
          <cell r="F746">
            <v>10</v>
          </cell>
          <cell r="G746">
            <v>7</v>
          </cell>
          <cell r="H746">
            <v>3396</v>
          </cell>
          <cell r="I746">
            <v>48</v>
          </cell>
          <cell r="J746">
            <v>155</v>
          </cell>
          <cell r="K746">
            <v>49</v>
          </cell>
        </row>
        <row r="747">
          <cell r="B747" t="str">
            <v>wormhole-william-mobile</v>
          </cell>
          <cell r="C747" t="str">
            <v>psanford/wormhole-william-mobile</v>
          </cell>
          <cell r="D747" t="str">
            <v>psanford/wormhole-william-mobile</v>
          </cell>
          <cell r="E747">
            <v>72</v>
          </cell>
          <cell r="F747">
            <v>14</v>
          </cell>
          <cell r="G747">
            <v>1</v>
          </cell>
          <cell r="H747">
            <v>1296</v>
          </cell>
          <cell r="I747">
            <v>10</v>
          </cell>
          <cell r="J747">
            <v>100</v>
          </cell>
          <cell r="K747">
            <v>11</v>
          </cell>
        </row>
        <row r="748">
          <cell r="B748" t="str">
            <v>minimal-quotes</v>
          </cell>
          <cell r="C748" t="str">
            <v>insiderdev/minimal-quotes</v>
          </cell>
          <cell r="D748" t="str">
            <v>insiderdev/minimal-quotes</v>
          </cell>
          <cell r="E748">
            <v>72</v>
          </cell>
          <cell r="F748">
            <v>31</v>
          </cell>
          <cell r="G748">
            <v>3</v>
          </cell>
          <cell r="H748">
            <v>819</v>
          </cell>
          <cell r="I748">
            <v>10</v>
          </cell>
          <cell r="J748">
            <v>42</v>
          </cell>
          <cell r="K748">
            <v>0</v>
          </cell>
        </row>
        <row r="749">
          <cell r="B749" t="str">
            <v>partyq-android</v>
          </cell>
          <cell r="C749" t="str">
            <v>niehusst/partyq-android</v>
          </cell>
          <cell r="D749" t="str">
            <v>niehusst/partyq-android</v>
          </cell>
          <cell r="E749">
            <v>72</v>
          </cell>
          <cell r="F749">
            <v>58</v>
          </cell>
          <cell r="G749">
            <v>1</v>
          </cell>
          <cell r="H749">
            <v>912</v>
          </cell>
          <cell r="I749">
            <v>0</v>
          </cell>
          <cell r="J749">
            <v>1</v>
          </cell>
          <cell r="K749">
            <v>21</v>
          </cell>
        </row>
        <row r="750">
          <cell r="B750" t="str">
            <v>couleurbummel</v>
          </cell>
          <cell r="C750" t="str">
            <v>muffix/couleurbummel</v>
          </cell>
          <cell r="D750" t="str">
            <v>muffix/couleurbummel</v>
          </cell>
          <cell r="E750">
            <v>72</v>
          </cell>
          <cell r="F750">
            <v>62</v>
          </cell>
          <cell r="G750">
            <v>3</v>
          </cell>
          <cell r="H750">
            <v>263780</v>
          </cell>
          <cell r="I750">
            <v>1</v>
          </cell>
          <cell r="J750">
            <v>13</v>
          </cell>
          <cell r="K750">
            <v>11</v>
          </cell>
        </row>
        <row r="751">
          <cell r="B751" t="str">
            <v>amerykahospital-personalized-advice-client-android</v>
          </cell>
          <cell r="C751" t="str">
            <v>Jblew/amerykahospital-personalized-advice-client-android</v>
          </cell>
          <cell r="D751" t="str">
            <v>Jblew/amerykahospital-personalized-advice-client-android</v>
          </cell>
          <cell r="E751">
            <v>73</v>
          </cell>
          <cell r="F751">
            <v>1</v>
          </cell>
          <cell r="G751">
            <v>1</v>
          </cell>
          <cell r="H751">
            <v>5178</v>
          </cell>
          <cell r="I751">
            <v>0</v>
          </cell>
          <cell r="J751">
            <v>3</v>
          </cell>
          <cell r="K751">
            <v>5</v>
          </cell>
        </row>
        <row r="752">
          <cell r="B752" t="str">
            <v>Ubuntu-Launcher</v>
          </cell>
          <cell r="C752" t="str">
            <v>jspw/Ubuntu-Launcher</v>
          </cell>
          <cell r="D752" t="str">
            <v>jspw/Ubuntu-Launcher</v>
          </cell>
          <cell r="E752">
            <v>73</v>
          </cell>
          <cell r="F752">
            <v>7</v>
          </cell>
          <cell r="G752">
            <v>3</v>
          </cell>
          <cell r="H752">
            <v>40102</v>
          </cell>
          <cell r="I752">
            <v>49</v>
          </cell>
          <cell r="J752">
            <v>263</v>
          </cell>
          <cell r="K752">
            <v>4</v>
          </cell>
        </row>
        <row r="753">
          <cell r="B753" t="str">
            <v>API-Request</v>
          </cell>
          <cell r="C753" t="str">
            <v>tminet/API-Request</v>
          </cell>
          <cell r="D753" t="str">
            <v>tminet/API-Request</v>
          </cell>
          <cell r="E753">
            <v>73</v>
          </cell>
          <cell r="F753">
            <v>9</v>
          </cell>
          <cell r="G753">
            <v>1</v>
          </cell>
          <cell r="H753">
            <v>606</v>
          </cell>
          <cell r="I753">
            <v>3</v>
          </cell>
          <cell r="J753">
            <v>3</v>
          </cell>
          <cell r="K753">
            <v>0</v>
          </cell>
        </row>
        <row r="754">
          <cell r="B754" t="str">
            <v>Dairy-Management</v>
          </cell>
          <cell r="C754" t="str">
            <v>harshshinde07/Dairy-Management</v>
          </cell>
          <cell r="D754" t="str">
            <v>harshshinde07/Dairy-Management</v>
          </cell>
          <cell r="E754">
            <v>73</v>
          </cell>
          <cell r="F754">
            <v>17</v>
          </cell>
          <cell r="G754">
            <v>1</v>
          </cell>
          <cell r="H754">
            <v>827</v>
          </cell>
          <cell r="I754">
            <v>3</v>
          </cell>
          <cell r="J754">
            <v>3</v>
          </cell>
          <cell r="K754">
            <v>0</v>
          </cell>
        </row>
        <row r="755">
          <cell r="B755" t="str">
            <v>Care4ther-</v>
          </cell>
          <cell r="C755" t="str">
            <v>unnati914/Care4ther-</v>
          </cell>
          <cell r="D755" t="str">
            <v>unnati914/Care4ther-</v>
          </cell>
          <cell r="E755">
            <v>73</v>
          </cell>
          <cell r="F755">
            <v>25</v>
          </cell>
          <cell r="G755">
            <v>12</v>
          </cell>
          <cell r="H755">
            <v>38287</v>
          </cell>
          <cell r="I755">
            <v>20</v>
          </cell>
          <cell r="J755">
            <v>59</v>
          </cell>
          <cell r="K755">
            <v>14</v>
          </cell>
        </row>
        <row r="756">
          <cell r="B756" t="str">
            <v>Foundry</v>
          </cell>
          <cell r="C756" t="str">
            <v>serbelga/Foundry</v>
          </cell>
          <cell r="D756" t="str">
            <v>serbelga/Foundry</v>
          </cell>
          <cell r="E756">
            <v>73</v>
          </cell>
          <cell r="F756">
            <v>44</v>
          </cell>
          <cell r="G756">
            <v>2</v>
          </cell>
          <cell r="H756">
            <v>889</v>
          </cell>
          <cell r="I756">
            <v>1</v>
          </cell>
          <cell r="J756">
            <v>2</v>
          </cell>
          <cell r="K756">
            <v>4</v>
          </cell>
        </row>
        <row r="757">
          <cell r="B757" t="str">
            <v>EbookReader</v>
          </cell>
          <cell r="C757" t="str">
            <v>longluo/EbookReader</v>
          </cell>
          <cell r="D757" t="str">
            <v>longluo/EbookReader</v>
          </cell>
          <cell r="E757">
            <v>74</v>
          </cell>
          <cell r="F757">
            <v>0</v>
          </cell>
          <cell r="G757">
            <v>1</v>
          </cell>
          <cell r="H757">
            <v>257956</v>
          </cell>
          <cell r="I757">
            <v>19</v>
          </cell>
          <cell r="J757">
            <v>69</v>
          </cell>
          <cell r="K757">
            <v>4</v>
          </cell>
        </row>
        <row r="758">
          <cell r="B758" t="str">
            <v>Mather</v>
          </cell>
          <cell r="C758" t="str">
            <v>icasdri/Mather</v>
          </cell>
          <cell r="D758" t="str">
            <v>icasdri/Mather</v>
          </cell>
          <cell r="E758">
            <v>74</v>
          </cell>
          <cell r="F758">
            <v>1</v>
          </cell>
          <cell r="G758">
            <v>2</v>
          </cell>
          <cell r="H758">
            <v>126</v>
          </cell>
          <cell r="I758">
            <v>6</v>
          </cell>
          <cell r="J758">
            <v>53</v>
          </cell>
          <cell r="K758">
            <v>17</v>
          </cell>
        </row>
        <row r="759">
          <cell r="B759" t="str">
            <v>rePadClient</v>
          </cell>
          <cell r="C759" t="str">
            <v>Cai1Hsu/rePadClient</v>
          </cell>
          <cell r="D759" t="str">
            <v>Cai1Hsu/rePadClient</v>
          </cell>
          <cell r="E759">
            <v>74</v>
          </cell>
          <cell r="F759">
            <v>1</v>
          </cell>
          <cell r="G759">
            <v>1</v>
          </cell>
          <cell r="H759">
            <v>34564</v>
          </cell>
          <cell r="I759">
            <v>0</v>
          </cell>
          <cell r="J759">
            <v>1</v>
          </cell>
          <cell r="K759">
            <v>0</v>
          </cell>
        </row>
        <row r="760">
          <cell r="B760" t="str">
            <v>android-camera2-secret-picture-taker</v>
          </cell>
          <cell r="C760" t="str">
            <v>hzitoun/android-camera2-secret-picture-taker</v>
          </cell>
          <cell r="D760" t="str">
            <v>hzitoun/android-camera2-secret-picture-taker</v>
          </cell>
          <cell r="E760">
            <v>74</v>
          </cell>
          <cell r="F760">
            <v>2</v>
          </cell>
          <cell r="G760">
            <v>1</v>
          </cell>
          <cell r="H760">
            <v>1315</v>
          </cell>
          <cell r="I760">
            <v>80</v>
          </cell>
          <cell r="J760">
            <v>311</v>
          </cell>
          <cell r="K760">
            <v>13</v>
          </cell>
        </row>
        <row r="761">
          <cell r="B761" t="str">
            <v>Faker</v>
          </cell>
          <cell r="C761" t="str">
            <v>thiagokimo/Faker</v>
          </cell>
          <cell r="D761" t="str">
            <v>thiagokimo/Faker</v>
          </cell>
          <cell r="E761">
            <v>74</v>
          </cell>
          <cell r="F761">
            <v>3</v>
          </cell>
          <cell r="G761">
            <v>2</v>
          </cell>
          <cell r="H761">
            <v>1521</v>
          </cell>
          <cell r="I761">
            <v>31</v>
          </cell>
          <cell r="J761">
            <v>243</v>
          </cell>
          <cell r="K761">
            <v>2</v>
          </cell>
        </row>
        <row r="762">
          <cell r="B762" t="str">
            <v>Companion-for-Band</v>
          </cell>
          <cell r="C762" t="str">
            <v>adithya321/Companion-for-Band</v>
          </cell>
          <cell r="D762" t="str">
            <v>adithya321/Companion-for-Band</v>
          </cell>
          <cell r="E762">
            <v>74</v>
          </cell>
          <cell r="F762">
            <v>3</v>
          </cell>
          <cell r="G762">
            <v>1</v>
          </cell>
          <cell r="H762">
            <v>28235</v>
          </cell>
          <cell r="I762">
            <v>7</v>
          </cell>
          <cell r="J762">
            <v>17</v>
          </cell>
          <cell r="K762">
            <v>8</v>
          </cell>
        </row>
        <row r="763">
          <cell r="B763" t="str">
            <v>flir_app</v>
          </cell>
          <cell r="C763" t="str">
            <v>Lindronics/flir_app</v>
          </cell>
          <cell r="D763" t="str">
            <v>Lindronics/flir_app</v>
          </cell>
          <cell r="E763">
            <v>74</v>
          </cell>
          <cell r="F763">
            <v>4</v>
          </cell>
          <cell r="G763">
            <v>1</v>
          </cell>
          <cell r="H763">
            <v>43448</v>
          </cell>
          <cell r="I763">
            <v>1</v>
          </cell>
          <cell r="J763">
            <v>1</v>
          </cell>
          <cell r="K763">
            <v>0</v>
          </cell>
        </row>
        <row r="764">
          <cell r="B764" t="str">
            <v>daily-learning-app</v>
          </cell>
          <cell r="C764" t="str">
            <v>sharshi/daily-learning-app</v>
          </cell>
          <cell r="D764" t="str">
            <v>sharshi/daily-learning-app</v>
          </cell>
          <cell r="E764">
            <v>74</v>
          </cell>
          <cell r="F764">
            <v>27</v>
          </cell>
          <cell r="G764">
            <v>2</v>
          </cell>
          <cell r="H764">
            <v>3540</v>
          </cell>
          <cell r="I764">
            <v>0</v>
          </cell>
          <cell r="J764">
            <v>1</v>
          </cell>
          <cell r="K764">
            <v>10</v>
          </cell>
        </row>
        <row r="765">
          <cell r="B765" t="str">
            <v>RapidOOO</v>
          </cell>
          <cell r="C765" t="str">
            <v>wangjiegulu/RapidOOO</v>
          </cell>
          <cell r="D765" t="str">
            <v>wangjiegulu/RapidOOO</v>
          </cell>
          <cell r="E765">
            <v>75</v>
          </cell>
          <cell r="F765">
            <v>0</v>
          </cell>
          <cell r="G765">
            <v>1</v>
          </cell>
          <cell r="H765">
            <v>499</v>
          </cell>
          <cell r="I765">
            <v>3</v>
          </cell>
          <cell r="J765">
            <v>12</v>
          </cell>
          <cell r="K765">
            <v>1</v>
          </cell>
        </row>
        <row r="766">
          <cell r="B766" t="str">
            <v>robot-recharge</v>
          </cell>
          <cell r="C766" t="str">
            <v>TheLogicMaster/robot-recharge</v>
          </cell>
          <cell r="D766" t="str">
            <v>TheLogicMaster/robot-recharge</v>
          </cell>
          <cell r="E766">
            <v>75</v>
          </cell>
          <cell r="F766">
            <v>0</v>
          </cell>
          <cell r="G766">
            <v>1</v>
          </cell>
          <cell r="H766">
            <v>44272</v>
          </cell>
          <cell r="I766">
            <v>1</v>
          </cell>
          <cell r="J766">
            <v>14</v>
          </cell>
          <cell r="K766">
            <v>0</v>
          </cell>
        </row>
        <row r="767">
          <cell r="B767" t="str">
            <v>drona</v>
          </cell>
          <cell r="C767" t="str">
            <v>v-adhithyan/drona</v>
          </cell>
          <cell r="D767" t="str">
            <v>v-adhithyan/drona</v>
          </cell>
          <cell r="E767">
            <v>75</v>
          </cell>
          <cell r="F767">
            <v>0</v>
          </cell>
          <cell r="G767">
            <v>1</v>
          </cell>
          <cell r="H767">
            <v>47843</v>
          </cell>
          <cell r="I767">
            <v>1</v>
          </cell>
          <cell r="J767">
            <v>14</v>
          </cell>
          <cell r="K767">
            <v>0</v>
          </cell>
        </row>
        <row r="768">
          <cell r="B768" t="str">
            <v>epistolaire</v>
          </cell>
          <cell r="C768" t="str">
            <v>hydrargyrum/epistolaire</v>
          </cell>
          <cell r="D768" t="str">
            <v>hydrargyrum/epistolaire</v>
          </cell>
          <cell r="E768">
            <v>75</v>
          </cell>
          <cell r="F768">
            <v>1</v>
          </cell>
          <cell r="G768">
            <v>3</v>
          </cell>
          <cell r="H768">
            <v>1080</v>
          </cell>
          <cell r="I768">
            <v>6</v>
          </cell>
          <cell r="J768">
            <v>10</v>
          </cell>
          <cell r="K768">
            <v>1</v>
          </cell>
        </row>
        <row r="769">
          <cell r="B769" t="str">
            <v>W203-canbus</v>
          </cell>
          <cell r="C769" t="str">
            <v>rnd-ash/W203-canbus</v>
          </cell>
          <cell r="D769" t="str">
            <v>rnd-ash/W203-canbus</v>
          </cell>
          <cell r="E769">
            <v>75</v>
          </cell>
          <cell r="F769">
            <v>1</v>
          </cell>
          <cell r="G769">
            <v>1</v>
          </cell>
          <cell r="H769">
            <v>8729</v>
          </cell>
          <cell r="I769">
            <v>13</v>
          </cell>
          <cell r="J769">
            <v>89</v>
          </cell>
          <cell r="K769">
            <v>1</v>
          </cell>
        </row>
        <row r="770">
          <cell r="B770" t="str">
            <v>termux-float</v>
          </cell>
          <cell r="C770" t="str">
            <v>termux/termux-float</v>
          </cell>
          <cell r="D770" t="str">
            <v>termux/termux-float</v>
          </cell>
          <cell r="E770">
            <v>75</v>
          </cell>
          <cell r="F770">
            <v>12</v>
          </cell>
          <cell r="G770">
            <v>9</v>
          </cell>
          <cell r="H770">
            <v>308</v>
          </cell>
          <cell r="I770">
            <v>66</v>
          </cell>
          <cell r="J770">
            <v>302</v>
          </cell>
          <cell r="K770">
            <v>15</v>
          </cell>
        </row>
        <row r="771">
          <cell r="B771" t="str">
            <v>androidpn-client</v>
          </cell>
          <cell r="C771" t="str">
            <v>daktak/androidpn-client</v>
          </cell>
          <cell r="D771" t="str">
            <v>daktak/androidpn-client</v>
          </cell>
          <cell r="E771">
            <v>75</v>
          </cell>
          <cell r="F771">
            <v>20</v>
          </cell>
          <cell r="G771">
            <v>2</v>
          </cell>
          <cell r="H771">
            <v>3451</v>
          </cell>
          <cell r="I771">
            <v>17</v>
          </cell>
          <cell r="J771">
            <v>34</v>
          </cell>
          <cell r="K771">
            <v>1</v>
          </cell>
        </row>
        <row r="772">
          <cell r="B772" t="str">
            <v>DiceOverflow</v>
          </cell>
          <cell r="C772" t="str">
            <v>VelbazhdSoftwareLLC/DiceOverflow</v>
          </cell>
          <cell r="D772" t="str">
            <v>VelbazhdSoftwareLLC/DiceOverflow</v>
          </cell>
          <cell r="E772">
            <v>76</v>
          </cell>
          <cell r="F772">
            <v>1</v>
          </cell>
          <cell r="G772">
            <v>1</v>
          </cell>
          <cell r="H772">
            <v>4523</v>
          </cell>
          <cell r="I772">
            <v>0</v>
          </cell>
          <cell r="J772">
            <v>3</v>
          </cell>
          <cell r="K772">
            <v>0</v>
          </cell>
        </row>
        <row r="773">
          <cell r="B773" t="str">
            <v>Ocelot</v>
          </cell>
          <cell r="C773" t="str">
            <v>Shirakumo/Ocelot</v>
          </cell>
          <cell r="D773" t="str">
            <v>Shirakumo/Ocelot</v>
          </cell>
          <cell r="E773">
            <v>76</v>
          </cell>
          <cell r="F773">
            <v>1</v>
          </cell>
          <cell r="G773">
            <v>2</v>
          </cell>
          <cell r="H773">
            <v>1037</v>
          </cell>
          <cell r="I773">
            <v>0</v>
          </cell>
          <cell r="J773">
            <v>9</v>
          </cell>
          <cell r="K773">
            <v>3</v>
          </cell>
        </row>
        <row r="774">
          <cell r="B774" t="str">
            <v>Tetris</v>
          </cell>
          <cell r="C774" t="str">
            <v>mykola-dev/Tetris</v>
          </cell>
          <cell r="D774" t="str">
            <v>mykola-dev/Tetris</v>
          </cell>
          <cell r="E774">
            <v>76</v>
          </cell>
          <cell r="F774">
            <v>1</v>
          </cell>
          <cell r="G774">
            <v>1</v>
          </cell>
          <cell r="H774">
            <v>140015</v>
          </cell>
          <cell r="I774">
            <v>25</v>
          </cell>
          <cell r="J774">
            <v>166</v>
          </cell>
          <cell r="K774">
            <v>1</v>
          </cell>
        </row>
        <row r="775">
          <cell r="B775" t="str">
            <v>click</v>
          </cell>
          <cell r="C775" t="str">
            <v>ncs-jss/click</v>
          </cell>
          <cell r="D775" t="str">
            <v>ncs-jss/click</v>
          </cell>
          <cell r="E775">
            <v>76</v>
          </cell>
          <cell r="F775">
            <v>25</v>
          </cell>
          <cell r="G775">
            <v>4</v>
          </cell>
          <cell r="H775">
            <v>114137</v>
          </cell>
          <cell r="I775">
            <v>2</v>
          </cell>
          <cell r="J775">
            <v>1</v>
          </cell>
          <cell r="K775">
            <v>1</v>
          </cell>
        </row>
        <row r="776">
          <cell r="B776" t="str">
            <v>osu-lab</v>
          </cell>
          <cell r="C776" t="str">
            <v>EdrowsLuo/osu-lab</v>
          </cell>
          <cell r="D776" t="str">
            <v>EdrowsLuo/osu-lab</v>
          </cell>
          <cell r="E776">
            <v>77</v>
          </cell>
          <cell r="F776">
            <v>0</v>
          </cell>
          <cell r="G776">
            <v>1</v>
          </cell>
          <cell r="H776">
            <v>33271</v>
          </cell>
          <cell r="I776">
            <v>1</v>
          </cell>
          <cell r="J776">
            <v>8</v>
          </cell>
          <cell r="K776">
            <v>1</v>
          </cell>
        </row>
        <row r="777">
          <cell r="B777" t="str">
            <v>Sherlock</v>
          </cell>
          <cell r="C777" t="str">
            <v>ajitsing/Sherlock</v>
          </cell>
          <cell r="D777" t="str">
            <v>ajitsing/Sherlock</v>
          </cell>
          <cell r="E777">
            <v>77</v>
          </cell>
          <cell r="F777">
            <v>2</v>
          </cell>
          <cell r="G777">
            <v>1</v>
          </cell>
          <cell r="H777">
            <v>256</v>
          </cell>
          <cell r="I777">
            <v>25</v>
          </cell>
          <cell r="J777">
            <v>103</v>
          </cell>
          <cell r="K777">
            <v>3</v>
          </cell>
        </row>
        <row r="778">
          <cell r="B778" t="str">
            <v>android-conferences</v>
          </cell>
          <cell r="C778" t="str">
            <v>jitinsharma/android-conferences</v>
          </cell>
          <cell r="D778" t="str">
            <v>jitinsharma/android-conferences</v>
          </cell>
          <cell r="E778">
            <v>77</v>
          </cell>
          <cell r="F778">
            <v>4</v>
          </cell>
          <cell r="G778">
            <v>1</v>
          </cell>
          <cell r="H778">
            <v>6454</v>
          </cell>
          <cell r="I778">
            <v>4</v>
          </cell>
          <cell r="J778">
            <v>25</v>
          </cell>
          <cell r="K778">
            <v>1</v>
          </cell>
        </row>
        <row r="779">
          <cell r="B779" t="str">
            <v>good_first_issue</v>
          </cell>
          <cell r="C779" t="str">
            <v>chimon2000/good_first_issue</v>
          </cell>
          <cell r="D779" t="str">
            <v>chimon2000/good_first_issue</v>
          </cell>
          <cell r="E779">
            <v>77</v>
          </cell>
          <cell r="F779">
            <v>8</v>
          </cell>
          <cell r="G779">
            <v>2</v>
          </cell>
          <cell r="H779">
            <v>181</v>
          </cell>
          <cell r="I779">
            <v>8</v>
          </cell>
          <cell r="J779">
            <v>9</v>
          </cell>
          <cell r="K779">
            <v>4</v>
          </cell>
        </row>
        <row r="780">
          <cell r="B780" t="str">
            <v>basil-android</v>
          </cell>
          <cell r="C780" t="str">
            <v>otormaigh/basil-android</v>
          </cell>
          <cell r="D780" t="str">
            <v>otormaigh/basil-android</v>
          </cell>
          <cell r="E780">
            <v>77</v>
          </cell>
          <cell r="F780">
            <v>17</v>
          </cell>
          <cell r="G780">
            <v>1</v>
          </cell>
          <cell r="H780">
            <v>1898</v>
          </cell>
          <cell r="I780">
            <v>3</v>
          </cell>
          <cell r="J780">
            <v>8</v>
          </cell>
          <cell r="K780">
            <v>7</v>
          </cell>
        </row>
        <row r="781">
          <cell r="B781" t="str">
            <v>simacorrect</v>
          </cell>
          <cell r="C781" t="str">
            <v>grammatek/simacorrect</v>
          </cell>
          <cell r="D781" t="str">
            <v>grammatek/simacorrect</v>
          </cell>
          <cell r="E781">
            <v>77</v>
          </cell>
          <cell r="F781">
            <v>17</v>
          </cell>
          <cell r="G781">
            <v>2</v>
          </cell>
          <cell r="H781">
            <v>5495</v>
          </cell>
          <cell r="I781">
            <v>0</v>
          </cell>
          <cell r="J781">
            <v>2</v>
          </cell>
          <cell r="K781">
            <v>4</v>
          </cell>
        </row>
        <row r="782">
          <cell r="B782" t="str">
            <v>ViewModelAdapter</v>
          </cell>
          <cell r="C782" t="str">
            <v>carousell/ViewModelAdapter</v>
          </cell>
          <cell r="D782" t="str">
            <v>carousell/ViewModelAdapter</v>
          </cell>
          <cell r="E782">
            <v>77</v>
          </cell>
          <cell r="F782">
            <v>25</v>
          </cell>
          <cell r="G782">
            <v>2</v>
          </cell>
          <cell r="H782">
            <v>216</v>
          </cell>
          <cell r="I782">
            <v>1</v>
          </cell>
          <cell r="J782">
            <v>12</v>
          </cell>
          <cell r="K782">
            <v>1</v>
          </cell>
        </row>
        <row r="783">
          <cell r="B783" t="str">
            <v>Pyrrha-Mobile-App</v>
          </cell>
          <cell r="C783" t="str">
            <v>Pyrrha-Platform/Pyrrha-Mobile-App</v>
          </cell>
          <cell r="D783" t="str">
            <v>Pyrrha-Platform/Pyrrha-Mobile-App</v>
          </cell>
          <cell r="E783">
            <v>77</v>
          </cell>
          <cell r="F783">
            <v>29</v>
          </cell>
          <cell r="G783">
            <v>4</v>
          </cell>
          <cell r="H783">
            <v>1054</v>
          </cell>
          <cell r="I783">
            <v>4</v>
          </cell>
          <cell r="J783">
            <v>6</v>
          </cell>
          <cell r="K783">
            <v>16</v>
          </cell>
        </row>
        <row r="784">
          <cell r="B784" t="str">
            <v>drive</v>
          </cell>
          <cell r="C784" t="str">
            <v>PileProject/drive</v>
          </cell>
          <cell r="D784" t="str">
            <v>PileProject/drive</v>
          </cell>
          <cell r="E784">
            <v>77</v>
          </cell>
          <cell r="F784">
            <v>48</v>
          </cell>
          <cell r="G784">
            <v>3</v>
          </cell>
          <cell r="H784">
            <v>2978</v>
          </cell>
          <cell r="I784">
            <v>4</v>
          </cell>
          <cell r="J784">
            <v>5</v>
          </cell>
          <cell r="K784">
            <v>8</v>
          </cell>
        </row>
        <row r="785">
          <cell r="B785" t="str">
            <v>enigmatic-mouse</v>
          </cell>
          <cell r="C785" t="str">
            <v>codingchili/enigmatic-mouse</v>
          </cell>
          <cell r="D785" t="str">
            <v>codingchili/enigmatic-mouse</v>
          </cell>
          <cell r="E785">
            <v>78</v>
          </cell>
          <cell r="F785">
            <v>0</v>
          </cell>
          <cell r="G785">
            <v>1</v>
          </cell>
          <cell r="H785">
            <v>2457</v>
          </cell>
          <cell r="I785">
            <v>8</v>
          </cell>
          <cell r="J785">
            <v>14</v>
          </cell>
          <cell r="K785">
            <v>16</v>
          </cell>
        </row>
        <row r="786">
          <cell r="B786" t="str">
            <v>daisy</v>
          </cell>
          <cell r="C786" t="str">
            <v>niuhuan/daisy</v>
          </cell>
          <cell r="D786" t="str">
            <v>niuhuan/daisy</v>
          </cell>
          <cell r="E786">
            <v>78</v>
          </cell>
          <cell r="F786">
            <v>1</v>
          </cell>
          <cell r="G786">
            <v>2</v>
          </cell>
          <cell r="H786">
            <v>1663</v>
          </cell>
          <cell r="I786">
            <v>18</v>
          </cell>
          <cell r="J786">
            <v>449</v>
          </cell>
          <cell r="K786">
            <v>6</v>
          </cell>
        </row>
        <row r="787">
          <cell r="B787" t="str">
            <v>android-ir-remote</v>
          </cell>
          <cell r="C787" t="str">
            <v>JBamberger/android-ir-remote</v>
          </cell>
          <cell r="D787" t="str">
            <v>JBamberger/android-ir-remote</v>
          </cell>
          <cell r="E787">
            <v>78</v>
          </cell>
          <cell r="F787">
            <v>7</v>
          </cell>
          <cell r="G787">
            <v>1</v>
          </cell>
          <cell r="H787">
            <v>408</v>
          </cell>
          <cell r="I787">
            <v>0</v>
          </cell>
          <cell r="J787">
            <v>8</v>
          </cell>
          <cell r="K787">
            <v>0</v>
          </cell>
        </row>
        <row r="788">
          <cell r="B788" t="str">
            <v>privacy-friendly-reckoning-skills</v>
          </cell>
          <cell r="C788" t="str">
            <v>SecUSo/privacy-friendly-reckoning-skills</v>
          </cell>
          <cell r="D788" t="str">
            <v>SecUSo/privacy-friendly-reckoning-skills</v>
          </cell>
          <cell r="E788">
            <v>79</v>
          </cell>
          <cell r="F788">
            <v>1</v>
          </cell>
          <cell r="G788">
            <v>8</v>
          </cell>
          <cell r="H788">
            <v>633</v>
          </cell>
          <cell r="I788">
            <v>2</v>
          </cell>
          <cell r="J788">
            <v>10</v>
          </cell>
          <cell r="K788">
            <v>4</v>
          </cell>
        </row>
        <row r="789">
          <cell r="B789" t="str">
            <v>Amplify</v>
          </cell>
          <cell r="C789" t="str">
            <v>brdunn/Amplify</v>
          </cell>
          <cell r="D789" t="str">
            <v>brdunn/Amplify</v>
          </cell>
          <cell r="E789">
            <v>79</v>
          </cell>
          <cell r="F789">
            <v>3</v>
          </cell>
          <cell r="G789">
            <v>1</v>
          </cell>
          <cell r="H789">
            <v>11931</v>
          </cell>
          <cell r="I789">
            <v>1</v>
          </cell>
          <cell r="J789">
            <v>7</v>
          </cell>
          <cell r="K789">
            <v>2</v>
          </cell>
        </row>
        <row r="790">
          <cell r="B790" t="str">
            <v>privacy-friendly-backup</v>
          </cell>
          <cell r="C790" t="str">
            <v>SecUSo/privacy-friendly-backup</v>
          </cell>
          <cell r="D790" t="str">
            <v>SecUSo/privacy-friendly-backup</v>
          </cell>
          <cell r="E790">
            <v>79</v>
          </cell>
          <cell r="F790">
            <v>4</v>
          </cell>
          <cell r="G790">
            <v>6</v>
          </cell>
          <cell r="H790">
            <v>1392</v>
          </cell>
          <cell r="I790">
            <v>2</v>
          </cell>
          <cell r="J790">
            <v>22</v>
          </cell>
          <cell r="K790">
            <v>6</v>
          </cell>
        </row>
        <row r="791">
          <cell r="B791" t="str">
            <v>CallRecorder</v>
          </cell>
          <cell r="C791" t="str">
            <v>aykuttasil/CallRecorder</v>
          </cell>
          <cell r="D791" t="str">
            <v>aykuttasil/CallRecorder</v>
          </cell>
          <cell r="E791">
            <v>79</v>
          </cell>
          <cell r="F791">
            <v>6</v>
          </cell>
          <cell r="G791">
            <v>4</v>
          </cell>
          <cell r="H791">
            <v>239</v>
          </cell>
          <cell r="I791">
            <v>233</v>
          </cell>
          <cell r="J791">
            <v>712</v>
          </cell>
          <cell r="K791">
            <v>37</v>
          </cell>
        </row>
        <row r="792">
          <cell r="B792" t="str">
            <v>edmflare</v>
          </cell>
          <cell r="C792" t="str">
            <v>bclynch/edmflare</v>
          </cell>
          <cell r="D792" t="str">
            <v>bclynch/edmflare</v>
          </cell>
          <cell r="E792">
            <v>79</v>
          </cell>
          <cell r="F792">
            <v>7</v>
          </cell>
          <cell r="G792">
            <v>1</v>
          </cell>
          <cell r="H792">
            <v>7034</v>
          </cell>
          <cell r="I792">
            <v>0</v>
          </cell>
          <cell r="J792">
            <v>1</v>
          </cell>
          <cell r="K792">
            <v>0</v>
          </cell>
        </row>
        <row r="793">
          <cell r="B793" t="str">
            <v>mini-games</v>
          </cell>
          <cell r="C793" t="str">
            <v>avan1235/mini-games</v>
          </cell>
          <cell r="D793" t="str">
            <v>avan1235/mini-games</v>
          </cell>
          <cell r="E793">
            <v>80</v>
          </cell>
          <cell r="F793">
            <v>0</v>
          </cell>
          <cell r="G793">
            <v>2</v>
          </cell>
          <cell r="H793">
            <v>203</v>
          </cell>
          <cell r="I793">
            <v>0</v>
          </cell>
          <cell r="J793">
            <v>13</v>
          </cell>
          <cell r="K793">
            <v>0</v>
          </cell>
        </row>
        <row r="794">
          <cell r="B794" t="str">
            <v>babybook</v>
          </cell>
          <cell r="C794" t="str">
            <v>babydots/babybook</v>
          </cell>
          <cell r="D794" t="str">
            <v>babydots/babybook</v>
          </cell>
          <cell r="E794">
            <v>80</v>
          </cell>
          <cell r="F794">
            <v>3</v>
          </cell>
          <cell r="G794">
            <v>2</v>
          </cell>
          <cell r="H794">
            <v>33771</v>
          </cell>
          <cell r="I794">
            <v>3</v>
          </cell>
          <cell r="J794">
            <v>13</v>
          </cell>
          <cell r="K794">
            <v>7</v>
          </cell>
        </row>
        <row r="795">
          <cell r="B795" t="str">
            <v>OmRecorder</v>
          </cell>
          <cell r="C795" t="str">
            <v>kailash09dabhi/OmRecorder</v>
          </cell>
          <cell r="D795" t="str">
            <v>kailash09dabhi/OmRecorder</v>
          </cell>
          <cell r="E795">
            <v>80</v>
          </cell>
          <cell r="F795">
            <v>8</v>
          </cell>
          <cell r="G795">
            <v>2</v>
          </cell>
          <cell r="H795">
            <v>438</v>
          </cell>
          <cell r="I795">
            <v>117</v>
          </cell>
          <cell r="J795">
            <v>673</v>
          </cell>
          <cell r="K795">
            <v>19</v>
          </cell>
        </row>
        <row r="796">
          <cell r="B796" t="str">
            <v>ci-matters</v>
          </cell>
          <cell r="C796" t="str">
            <v>vgaidarji/ci-matters</v>
          </cell>
          <cell r="D796" t="str">
            <v>vgaidarji/ci-matters</v>
          </cell>
          <cell r="E796">
            <v>80</v>
          </cell>
          <cell r="F796">
            <v>20</v>
          </cell>
          <cell r="G796">
            <v>2</v>
          </cell>
          <cell r="H796">
            <v>12760</v>
          </cell>
          <cell r="I796">
            <v>30</v>
          </cell>
          <cell r="J796">
            <v>127</v>
          </cell>
          <cell r="K796">
            <v>11</v>
          </cell>
        </row>
        <row r="797">
          <cell r="B797" t="str">
            <v>sozlik-android</v>
          </cell>
          <cell r="C797" t="str">
            <v>shagalalab/sozlik-android</v>
          </cell>
          <cell r="D797" t="str">
            <v>shagalalab/sozlik-android</v>
          </cell>
          <cell r="E797">
            <v>80</v>
          </cell>
          <cell r="F797">
            <v>34</v>
          </cell>
          <cell r="G797">
            <v>3</v>
          </cell>
          <cell r="H797">
            <v>4082</v>
          </cell>
          <cell r="I797">
            <v>0</v>
          </cell>
          <cell r="J797">
            <v>7</v>
          </cell>
          <cell r="K797">
            <v>0</v>
          </cell>
        </row>
        <row r="798">
          <cell r="B798" t="str">
            <v>SmartMediaPicker</v>
          </cell>
          <cell r="C798" t="str">
            <v>BzCoder/SmartMediaPicker</v>
          </cell>
          <cell r="D798" t="str">
            <v>BzCoder/SmartMediaPicker</v>
          </cell>
          <cell r="E798">
            <v>81</v>
          </cell>
          <cell r="F798">
            <v>0</v>
          </cell>
          <cell r="G798">
            <v>1</v>
          </cell>
          <cell r="H798">
            <v>7166</v>
          </cell>
          <cell r="I798">
            <v>25</v>
          </cell>
          <cell r="J798">
            <v>170</v>
          </cell>
          <cell r="K798">
            <v>10</v>
          </cell>
        </row>
        <row r="799">
          <cell r="B799" t="str">
            <v>Covid19-Tracker-App-kenya</v>
          </cell>
          <cell r="C799" t="str">
            <v>opensource254/Covid19-Tracker-App-kenya</v>
          </cell>
          <cell r="D799" t="str">
            <v>opensource254/Covid19-Tracker-App-kenya</v>
          </cell>
          <cell r="E799">
            <v>81</v>
          </cell>
          <cell r="F799">
            <v>0</v>
          </cell>
          <cell r="G799">
            <v>2</v>
          </cell>
          <cell r="H799">
            <v>13696</v>
          </cell>
          <cell r="I799">
            <v>5</v>
          </cell>
          <cell r="J799">
            <v>6</v>
          </cell>
          <cell r="K799">
            <v>0</v>
          </cell>
        </row>
        <row r="800">
          <cell r="B800" t="str">
            <v>foocam</v>
          </cell>
          <cell r="C800" t="str">
            <v>phunehehe/foocam</v>
          </cell>
          <cell r="D800" t="str">
            <v>phunehehe/foocam</v>
          </cell>
          <cell r="E800">
            <v>81</v>
          </cell>
          <cell r="F800">
            <v>1</v>
          </cell>
          <cell r="G800">
            <v>2</v>
          </cell>
          <cell r="H800">
            <v>603</v>
          </cell>
          <cell r="I800">
            <v>1</v>
          </cell>
          <cell r="J800">
            <v>9</v>
          </cell>
          <cell r="K800">
            <v>1</v>
          </cell>
        </row>
        <row r="801">
          <cell r="B801" t="str">
            <v>android-codebase-modularity</v>
          </cell>
          <cell r="C801" t="str">
            <v>irfanirawansukirman/android-codebase-modularity</v>
          </cell>
          <cell r="D801" t="str">
            <v>irfanirawansukirman/android-codebase-modularity</v>
          </cell>
          <cell r="E801">
            <v>81</v>
          </cell>
          <cell r="F801">
            <v>3</v>
          </cell>
          <cell r="G801">
            <v>1</v>
          </cell>
          <cell r="H801">
            <v>2725</v>
          </cell>
          <cell r="I801">
            <v>1</v>
          </cell>
          <cell r="J801">
            <v>6</v>
          </cell>
          <cell r="K801">
            <v>0</v>
          </cell>
        </row>
        <row r="802">
          <cell r="B802" t="str">
            <v>Oblique</v>
          </cell>
          <cell r="C802" t="str">
            <v>akshay2211/Oblique</v>
          </cell>
          <cell r="D802" t="str">
            <v>akshay2211/Oblique</v>
          </cell>
          <cell r="E802">
            <v>81</v>
          </cell>
          <cell r="F802">
            <v>3</v>
          </cell>
          <cell r="G802">
            <v>2</v>
          </cell>
          <cell r="H802">
            <v>39942</v>
          </cell>
          <cell r="I802">
            <v>112</v>
          </cell>
          <cell r="J802">
            <v>649</v>
          </cell>
          <cell r="K802">
            <v>4</v>
          </cell>
        </row>
        <row r="803">
          <cell r="B803" t="str">
            <v>DeathProgress</v>
          </cell>
          <cell r="C803" t="str">
            <v>ethanmdavidson/DeathProgress</v>
          </cell>
          <cell r="D803" t="str">
            <v>ethanmdavidson/DeathProgress</v>
          </cell>
          <cell r="E803">
            <v>81</v>
          </cell>
          <cell r="F803">
            <v>4</v>
          </cell>
          <cell r="G803">
            <v>3</v>
          </cell>
          <cell r="H803">
            <v>1374</v>
          </cell>
          <cell r="I803">
            <v>0</v>
          </cell>
          <cell r="J803">
            <v>8</v>
          </cell>
          <cell r="K803">
            <v>0</v>
          </cell>
        </row>
        <row r="804">
          <cell r="B804" t="str">
            <v>tinc_gui</v>
          </cell>
          <cell r="C804" t="str">
            <v>Vilbrekin/tinc_gui</v>
          </cell>
          <cell r="D804" t="str">
            <v>Vilbrekin/tinc_gui</v>
          </cell>
          <cell r="E804">
            <v>81</v>
          </cell>
          <cell r="F804">
            <v>8</v>
          </cell>
          <cell r="G804">
            <v>3</v>
          </cell>
          <cell r="H804">
            <v>9709</v>
          </cell>
          <cell r="I804">
            <v>25</v>
          </cell>
          <cell r="J804">
            <v>76</v>
          </cell>
          <cell r="K804">
            <v>9</v>
          </cell>
        </row>
        <row r="805">
          <cell r="B805" t="str">
            <v>SwishTicker</v>
          </cell>
          <cell r="C805" t="str">
            <v>kevinhinterlong/SwishTicker</v>
          </cell>
          <cell r="D805" t="str">
            <v>kevinhinterlong/SwishTicker</v>
          </cell>
          <cell r="E805">
            <v>81</v>
          </cell>
          <cell r="F805">
            <v>13</v>
          </cell>
          <cell r="G805">
            <v>2</v>
          </cell>
          <cell r="H805">
            <v>1639</v>
          </cell>
          <cell r="I805">
            <v>3</v>
          </cell>
          <cell r="J805">
            <v>1</v>
          </cell>
          <cell r="K805">
            <v>1</v>
          </cell>
        </row>
        <row r="806">
          <cell r="B806" t="str">
            <v>Dev-Tiles</v>
          </cell>
          <cell r="C806" t="str">
            <v>mustafa01ali/Dev-Tiles</v>
          </cell>
          <cell r="D806" t="str">
            <v>mustafa01ali/Dev-Tiles</v>
          </cell>
          <cell r="E806">
            <v>81</v>
          </cell>
          <cell r="F806">
            <v>25</v>
          </cell>
          <cell r="G806">
            <v>3</v>
          </cell>
          <cell r="H806">
            <v>1997</v>
          </cell>
          <cell r="I806">
            <v>11</v>
          </cell>
          <cell r="J806">
            <v>64</v>
          </cell>
          <cell r="K806">
            <v>2</v>
          </cell>
        </row>
        <row r="807">
          <cell r="B807" t="str">
            <v>GifImageView</v>
          </cell>
          <cell r="C807" t="str">
            <v>felipecsl/GifImageView</v>
          </cell>
          <cell r="D807" t="str">
            <v>felipecsl/GifImageView</v>
          </cell>
          <cell r="E807">
            <v>81</v>
          </cell>
          <cell r="F807">
            <v>28</v>
          </cell>
          <cell r="G807">
            <v>10</v>
          </cell>
          <cell r="H807">
            <v>4450</v>
          </cell>
          <cell r="I807">
            <v>276</v>
          </cell>
          <cell r="J807">
            <v>1149</v>
          </cell>
          <cell r="K807">
            <v>11</v>
          </cell>
        </row>
        <row r="808">
          <cell r="B808" t="str">
            <v>WatchCat</v>
          </cell>
          <cell r="C808" t="str">
            <v>owwlo/WatchCat</v>
          </cell>
          <cell r="D808" t="str">
            <v>owwlo/WatchCat</v>
          </cell>
          <cell r="E808">
            <v>82</v>
          </cell>
          <cell r="F808">
            <v>0</v>
          </cell>
          <cell r="G808">
            <v>1</v>
          </cell>
          <cell r="H808">
            <v>26093</v>
          </cell>
          <cell r="I808">
            <v>1</v>
          </cell>
          <cell r="J808">
            <v>3</v>
          </cell>
          <cell r="K808">
            <v>0</v>
          </cell>
        </row>
        <row r="809">
          <cell r="B809" t="str">
            <v>AndroidCustomViews</v>
          </cell>
          <cell r="C809" t="str">
            <v>Ayvytr/AndroidCustomViews</v>
          </cell>
          <cell r="D809" t="str">
            <v>Ayvytr/AndroidCustomViews</v>
          </cell>
          <cell r="E809">
            <v>82</v>
          </cell>
          <cell r="F809">
            <v>0</v>
          </cell>
          <cell r="G809">
            <v>1</v>
          </cell>
          <cell r="H809">
            <v>16659</v>
          </cell>
          <cell r="I809">
            <v>1</v>
          </cell>
          <cell r="J809">
            <v>10</v>
          </cell>
          <cell r="K809">
            <v>0</v>
          </cell>
        </row>
        <row r="810">
          <cell r="B810" t="str">
            <v>kotlin-native-superhero-app</v>
          </cell>
          <cell r="C810" t="str">
            <v>wupdigital/kotlin-native-superhero-app</v>
          </cell>
          <cell r="D810" t="str">
            <v>wupdigital/kotlin-native-superhero-app</v>
          </cell>
          <cell r="E810">
            <v>82</v>
          </cell>
          <cell r="F810">
            <v>1</v>
          </cell>
          <cell r="G810">
            <v>1</v>
          </cell>
          <cell r="H810">
            <v>406</v>
          </cell>
          <cell r="I810">
            <v>8</v>
          </cell>
          <cell r="J810">
            <v>17</v>
          </cell>
          <cell r="K810">
            <v>0</v>
          </cell>
        </row>
        <row r="811">
          <cell r="B811" t="str">
            <v>Thunder</v>
          </cell>
          <cell r="C811" t="str">
            <v>anujd64/Thunder</v>
          </cell>
          <cell r="D811" t="str">
            <v>anujd64/Thunder</v>
          </cell>
          <cell r="E811">
            <v>82</v>
          </cell>
          <cell r="F811">
            <v>20</v>
          </cell>
          <cell r="G811">
            <v>3</v>
          </cell>
          <cell r="H811">
            <v>16626</v>
          </cell>
          <cell r="I811">
            <v>57</v>
          </cell>
          <cell r="J811">
            <v>296</v>
          </cell>
          <cell r="K811">
            <v>6</v>
          </cell>
        </row>
        <row r="812">
          <cell r="B812" t="str">
            <v>basketbuild_downloader</v>
          </cell>
          <cell r="C812" t="str">
            <v>daktak/basketbuild_downloader</v>
          </cell>
          <cell r="D812" t="str">
            <v>daktak/basketbuild_downloader</v>
          </cell>
          <cell r="E812">
            <v>82</v>
          </cell>
          <cell r="F812">
            <v>22</v>
          </cell>
          <cell r="G812">
            <v>2</v>
          </cell>
          <cell r="H812">
            <v>1092</v>
          </cell>
          <cell r="I812">
            <v>5</v>
          </cell>
          <cell r="J812">
            <v>12</v>
          </cell>
          <cell r="K812">
            <v>0</v>
          </cell>
        </row>
        <row r="813">
          <cell r="B813" t="str">
            <v>android-otpview-pinview</v>
          </cell>
          <cell r="C813" t="str">
            <v>mukeshsolanki/android-otpview-pinview</v>
          </cell>
          <cell r="D813" t="str">
            <v>mukeshsolanki/android-otpview-pinview</v>
          </cell>
          <cell r="E813">
            <v>82</v>
          </cell>
          <cell r="F813">
            <v>24</v>
          </cell>
          <cell r="G813">
            <v>7</v>
          </cell>
          <cell r="H813">
            <v>591</v>
          </cell>
          <cell r="I813">
            <v>195</v>
          </cell>
          <cell r="J813">
            <v>588</v>
          </cell>
          <cell r="K813">
            <v>0</v>
          </cell>
        </row>
        <row r="814">
          <cell r="B814" t="str">
            <v>Browse</v>
          </cell>
          <cell r="C814" t="str">
            <v>sazid/Browse</v>
          </cell>
          <cell r="D814" t="str">
            <v>sazid/Browse</v>
          </cell>
          <cell r="E814">
            <v>83</v>
          </cell>
          <cell r="F814">
            <v>0</v>
          </cell>
          <cell r="G814">
            <v>1</v>
          </cell>
          <cell r="H814">
            <v>291</v>
          </cell>
          <cell r="I814">
            <v>4</v>
          </cell>
          <cell r="J814">
            <v>12</v>
          </cell>
          <cell r="K814">
            <v>2</v>
          </cell>
        </row>
        <row r="815">
          <cell r="B815" t="str">
            <v>aplikasi_pendaftaran_pasien</v>
          </cell>
          <cell r="C815" t="str">
            <v>Dimas263/aplikasi_pendaftaran_pasien</v>
          </cell>
          <cell r="D815" t="str">
            <v>Dimas263/aplikasi_pendaftaran_pasien</v>
          </cell>
          <cell r="E815">
            <v>83</v>
          </cell>
          <cell r="F815">
            <v>0</v>
          </cell>
          <cell r="G815">
            <v>1</v>
          </cell>
          <cell r="H815">
            <v>168341</v>
          </cell>
          <cell r="I815">
            <v>2</v>
          </cell>
          <cell r="J815">
            <v>4</v>
          </cell>
          <cell r="K815">
            <v>0</v>
          </cell>
        </row>
        <row r="816">
          <cell r="B816" t="str">
            <v>MovieApp</v>
          </cell>
          <cell r="C816" t="str">
            <v>prakh25/MovieApp</v>
          </cell>
          <cell r="D816" t="str">
            <v>prakh25/MovieApp</v>
          </cell>
          <cell r="E816">
            <v>83</v>
          </cell>
          <cell r="F816">
            <v>0</v>
          </cell>
          <cell r="G816">
            <v>1</v>
          </cell>
          <cell r="H816">
            <v>7920</v>
          </cell>
          <cell r="I816">
            <v>3</v>
          </cell>
          <cell r="J816">
            <v>4</v>
          </cell>
          <cell r="K816">
            <v>1</v>
          </cell>
        </row>
        <row r="817">
          <cell r="B817" t="str">
            <v>ScoutingApp</v>
          </cell>
          <cell r="C817" t="str">
            <v>robototes/ScoutingApp</v>
          </cell>
          <cell r="D817" t="str">
            <v>robototes/ScoutingApp</v>
          </cell>
          <cell r="E817">
            <v>83</v>
          </cell>
          <cell r="F817">
            <v>0</v>
          </cell>
          <cell r="G817">
            <v>4</v>
          </cell>
          <cell r="H817">
            <v>10076</v>
          </cell>
          <cell r="I817">
            <v>0</v>
          </cell>
          <cell r="J817">
            <v>4</v>
          </cell>
          <cell r="K817">
            <v>2</v>
          </cell>
        </row>
        <row r="818">
          <cell r="B818" t="str">
            <v>shabda</v>
          </cell>
          <cell r="C818" t="str">
            <v>dhiraa/shabda</v>
          </cell>
          <cell r="D818" t="str">
            <v>dhiraa/shabda</v>
          </cell>
          <cell r="E818">
            <v>83</v>
          </cell>
          <cell r="F818">
            <v>1</v>
          </cell>
          <cell r="G818">
            <v>3</v>
          </cell>
          <cell r="H818">
            <v>185638</v>
          </cell>
          <cell r="I818">
            <v>1</v>
          </cell>
          <cell r="J818">
            <v>4</v>
          </cell>
          <cell r="K818">
            <v>0</v>
          </cell>
        </row>
        <row r="819">
          <cell r="B819" t="str">
            <v>StreamingAndroidLogger</v>
          </cell>
          <cell r="C819" t="str">
            <v>kibotu/StreamingAndroidLogger</v>
          </cell>
          <cell r="D819" t="str">
            <v>kibotu/StreamingAndroidLogger</v>
          </cell>
          <cell r="E819">
            <v>83</v>
          </cell>
          <cell r="F819">
            <v>1</v>
          </cell>
          <cell r="G819">
            <v>3</v>
          </cell>
          <cell r="H819">
            <v>973</v>
          </cell>
          <cell r="I819">
            <v>4</v>
          </cell>
          <cell r="J819">
            <v>46</v>
          </cell>
          <cell r="K819">
            <v>0</v>
          </cell>
        </row>
        <row r="820">
          <cell r="B820" t="str">
            <v>LaunchPadFlightControllerAndroid</v>
          </cell>
          <cell r="C820" t="str">
            <v>Lauszus/LaunchPadFlightControllerAndroid</v>
          </cell>
          <cell r="D820" t="str">
            <v>Lauszus/LaunchPadFlightControllerAndroid</v>
          </cell>
          <cell r="E820">
            <v>83</v>
          </cell>
          <cell r="F820">
            <v>2</v>
          </cell>
          <cell r="G820">
            <v>2</v>
          </cell>
          <cell r="H820">
            <v>9326</v>
          </cell>
          <cell r="I820">
            <v>3</v>
          </cell>
          <cell r="J820">
            <v>17</v>
          </cell>
          <cell r="K820">
            <v>0</v>
          </cell>
        </row>
        <row r="821">
          <cell r="B821" t="str">
            <v>privacy-friendly-ludo</v>
          </cell>
          <cell r="C821" t="str">
            <v>SecUSo/privacy-friendly-ludo</v>
          </cell>
          <cell r="D821" t="str">
            <v>SecUSo/privacy-friendly-ludo</v>
          </cell>
          <cell r="E821">
            <v>83</v>
          </cell>
          <cell r="F821">
            <v>3</v>
          </cell>
          <cell r="G821">
            <v>8</v>
          </cell>
          <cell r="H821">
            <v>16328</v>
          </cell>
          <cell r="I821">
            <v>34</v>
          </cell>
          <cell r="J821">
            <v>45</v>
          </cell>
          <cell r="K821">
            <v>7</v>
          </cell>
        </row>
        <row r="822">
          <cell r="B822" t="str">
            <v>GitSurf</v>
          </cell>
          <cell r="C822" t="str">
            <v>pushpalroy/GitSurf</v>
          </cell>
          <cell r="D822" t="str">
            <v>pushpalroy/GitSurf</v>
          </cell>
          <cell r="E822">
            <v>83</v>
          </cell>
          <cell r="F822">
            <v>4</v>
          </cell>
          <cell r="G822">
            <v>2</v>
          </cell>
          <cell r="H822">
            <v>900</v>
          </cell>
          <cell r="I822">
            <v>0</v>
          </cell>
          <cell r="J822">
            <v>2</v>
          </cell>
          <cell r="K822">
            <v>0</v>
          </cell>
        </row>
        <row r="823">
          <cell r="B823" t="str">
            <v>huaxiaoyu-fe</v>
          </cell>
          <cell r="C823" t="str">
            <v>Banana-Boat/huaxiaoyu-fe</v>
          </cell>
          <cell r="D823" t="str">
            <v>Banana-Boat/huaxiaoyu-fe</v>
          </cell>
          <cell r="E823">
            <v>83</v>
          </cell>
          <cell r="F823">
            <v>4</v>
          </cell>
          <cell r="G823">
            <v>1</v>
          </cell>
          <cell r="H823">
            <v>11698</v>
          </cell>
          <cell r="I823">
            <v>0</v>
          </cell>
          <cell r="J823">
            <v>1</v>
          </cell>
          <cell r="K823">
            <v>0</v>
          </cell>
        </row>
        <row r="824">
          <cell r="B824" t="str">
            <v>SensorsSandbox</v>
          </cell>
          <cell r="C824" t="str">
            <v>mustafa01ali/SensorsSandbox</v>
          </cell>
          <cell r="D824" t="str">
            <v>mustafa01ali/SensorsSandbox</v>
          </cell>
          <cell r="E824">
            <v>83</v>
          </cell>
          <cell r="F824">
            <v>8</v>
          </cell>
          <cell r="G824">
            <v>1</v>
          </cell>
          <cell r="H824">
            <v>1909</v>
          </cell>
          <cell r="I824">
            <v>8</v>
          </cell>
          <cell r="J824">
            <v>37</v>
          </cell>
          <cell r="K824">
            <v>3</v>
          </cell>
        </row>
        <row r="825">
          <cell r="B825" t="str">
            <v>talalarmo</v>
          </cell>
          <cell r="C825" t="str">
            <v>trikita/talalarmo</v>
          </cell>
          <cell r="D825" t="str">
            <v>trikita/talalarmo</v>
          </cell>
          <cell r="E825">
            <v>83</v>
          </cell>
          <cell r="F825">
            <v>9</v>
          </cell>
          <cell r="G825">
            <v>4</v>
          </cell>
          <cell r="H825">
            <v>619</v>
          </cell>
          <cell r="I825">
            <v>94</v>
          </cell>
          <cell r="J825">
            <v>227</v>
          </cell>
          <cell r="K825">
            <v>22</v>
          </cell>
        </row>
        <row r="826">
          <cell r="B826" t="str">
            <v>FakeTraveler</v>
          </cell>
          <cell r="C826" t="str">
            <v>mcastillof/FakeTraveler</v>
          </cell>
          <cell r="D826" t="str">
            <v>mcastillof/FakeTraveler</v>
          </cell>
          <cell r="E826">
            <v>83</v>
          </cell>
          <cell r="F826">
            <v>16</v>
          </cell>
          <cell r="G826">
            <v>15</v>
          </cell>
          <cell r="H826">
            <v>3496</v>
          </cell>
          <cell r="I826">
            <v>50</v>
          </cell>
          <cell r="J826">
            <v>239</v>
          </cell>
          <cell r="K826">
            <v>28</v>
          </cell>
        </row>
        <row r="827">
          <cell r="B827" t="str">
            <v>CvCamera-Mobile</v>
          </cell>
          <cell r="C827" t="str">
            <v>onuralpszr/CvCamera-Mobile</v>
          </cell>
          <cell r="D827" t="str">
            <v>onuralpszr/CvCamera-Mobile</v>
          </cell>
          <cell r="E827">
            <v>83</v>
          </cell>
          <cell r="F827">
            <v>41</v>
          </cell>
          <cell r="G827">
            <v>6</v>
          </cell>
          <cell r="H827">
            <v>1887</v>
          </cell>
          <cell r="I827">
            <v>1</v>
          </cell>
          <cell r="J827">
            <v>7</v>
          </cell>
          <cell r="K827">
            <v>9</v>
          </cell>
        </row>
        <row r="828">
          <cell r="B828" t="str">
            <v>sparta</v>
          </cell>
          <cell r="C828" t="str">
            <v>akaiser/sparta</v>
          </cell>
          <cell r="D828" t="str">
            <v>akaiser/sparta</v>
          </cell>
          <cell r="E828">
            <v>83</v>
          </cell>
          <cell r="F828">
            <v>48</v>
          </cell>
          <cell r="G828">
            <v>1</v>
          </cell>
          <cell r="H828">
            <v>16958</v>
          </cell>
          <cell r="I828">
            <v>0</v>
          </cell>
          <cell r="J828">
            <v>3</v>
          </cell>
          <cell r="K828">
            <v>3</v>
          </cell>
        </row>
        <row r="829">
          <cell r="B829" t="str">
            <v>mCerebrum-EMAScheduler</v>
          </cell>
          <cell r="C829" t="str">
            <v>MD2Korg/mCerebrum-EMAScheduler</v>
          </cell>
          <cell r="D829" t="str">
            <v>MD2Korg/mCerebrum-EMAScheduler</v>
          </cell>
          <cell r="E829">
            <v>84</v>
          </cell>
          <cell r="F829">
            <v>0</v>
          </cell>
          <cell r="G829">
            <v>3</v>
          </cell>
          <cell r="H829">
            <v>429</v>
          </cell>
          <cell r="I829">
            <v>3</v>
          </cell>
          <cell r="J829">
            <v>1</v>
          </cell>
          <cell r="K829">
            <v>3</v>
          </cell>
        </row>
        <row r="830">
          <cell r="B830" t="str">
            <v>myweatherforecast</v>
          </cell>
          <cell r="C830" t="str">
            <v>orogersilva/myweatherforecast</v>
          </cell>
          <cell r="D830" t="str">
            <v>orogersilva/myweatherforecast</v>
          </cell>
          <cell r="E830">
            <v>84</v>
          </cell>
          <cell r="F830">
            <v>0</v>
          </cell>
          <cell r="G830">
            <v>2</v>
          </cell>
          <cell r="H830">
            <v>1126</v>
          </cell>
          <cell r="I830">
            <v>0</v>
          </cell>
          <cell r="J830">
            <v>3</v>
          </cell>
          <cell r="K830">
            <v>0</v>
          </cell>
        </row>
        <row r="831">
          <cell r="B831" t="str">
            <v>ProjectConf</v>
          </cell>
          <cell r="C831" t="str">
            <v>tech-conferences/ProjectConf</v>
          </cell>
          <cell r="D831" t="str">
            <v>tech-conferences/ProjectConf</v>
          </cell>
          <cell r="E831">
            <v>84</v>
          </cell>
          <cell r="F831">
            <v>0</v>
          </cell>
          <cell r="G831">
            <v>1</v>
          </cell>
          <cell r="H831">
            <v>1570</v>
          </cell>
          <cell r="I831">
            <v>1</v>
          </cell>
          <cell r="J831">
            <v>4</v>
          </cell>
          <cell r="K831">
            <v>0</v>
          </cell>
        </row>
        <row r="832">
          <cell r="B832" t="str">
            <v>privacy-friendly-2048</v>
          </cell>
          <cell r="C832" t="str">
            <v>SecUSo/privacy-friendly-2048</v>
          </cell>
          <cell r="D832" t="str">
            <v>SecUSo/privacy-friendly-2048</v>
          </cell>
          <cell r="E832">
            <v>84</v>
          </cell>
          <cell r="F832">
            <v>8</v>
          </cell>
          <cell r="G832">
            <v>20</v>
          </cell>
          <cell r="H832">
            <v>12958</v>
          </cell>
          <cell r="I832">
            <v>12</v>
          </cell>
          <cell r="J832">
            <v>22</v>
          </cell>
          <cell r="K832">
            <v>13</v>
          </cell>
        </row>
        <row r="833">
          <cell r="B833" t="str">
            <v>general-feedback</v>
          </cell>
          <cell r="C833" t="str">
            <v>arshadkazmi42/general-feedback</v>
          </cell>
          <cell r="D833" t="str">
            <v>arshadkazmi42/general-feedback</v>
          </cell>
          <cell r="E833">
            <v>84</v>
          </cell>
          <cell r="F833">
            <v>28</v>
          </cell>
          <cell r="G833">
            <v>17</v>
          </cell>
          <cell r="H833">
            <v>8937</v>
          </cell>
          <cell r="I833">
            <v>15</v>
          </cell>
          <cell r="J833">
            <v>5</v>
          </cell>
          <cell r="K833">
            <v>4</v>
          </cell>
        </row>
        <row r="834">
          <cell r="B834" t="str">
            <v>ZeThree</v>
          </cell>
          <cell r="C834" t="str">
            <v>gdg-berlin-android/ZeThree</v>
          </cell>
          <cell r="D834" t="str">
            <v>gdg-berlin-android/ZeThree</v>
          </cell>
          <cell r="E834">
            <v>84</v>
          </cell>
          <cell r="F834">
            <v>65</v>
          </cell>
          <cell r="G834">
            <v>3</v>
          </cell>
          <cell r="H834">
            <v>2047</v>
          </cell>
          <cell r="I834">
            <v>2</v>
          </cell>
          <cell r="J834">
            <v>7</v>
          </cell>
          <cell r="K834">
            <v>6</v>
          </cell>
        </row>
        <row r="835">
          <cell r="B835" t="str">
            <v>nwipe-android</v>
          </cell>
          <cell r="C835" t="str">
            <v>louib/nwipe-android</v>
          </cell>
          <cell r="D835" t="str">
            <v>louib/nwipe-android</v>
          </cell>
          <cell r="E835">
            <v>85</v>
          </cell>
          <cell r="F835">
            <v>0</v>
          </cell>
          <cell r="G835">
            <v>1</v>
          </cell>
          <cell r="H835">
            <v>435</v>
          </cell>
          <cell r="I835">
            <v>1</v>
          </cell>
          <cell r="J835">
            <v>1</v>
          </cell>
          <cell r="K835">
            <v>0</v>
          </cell>
        </row>
        <row r="836">
          <cell r="B836" t="str">
            <v>CovidNow</v>
          </cell>
          <cell r="C836" t="str">
            <v>OMIsie11/CovidNow</v>
          </cell>
          <cell r="D836" t="str">
            <v>OMIsie11/CovidNow</v>
          </cell>
          <cell r="E836">
            <v>85</v>
          </cell>
          <cell r="F836">
            <v>1</v>
          </cell>
          <cell r="G836">
            <v>2</v>
          </cell>
          <cell r="H836">
            <v>788</v>
          </cell>
          <cell r="I836">
            <v>8</v>
          </cell>
          <cell r="J836">
            <v>20</v>
          </cell>
          <cell r="K836">
            <v>0</v>
          </cell>
        </row>
        <row r="837">
          <cell r="B837" t="str">
            <v>photoNet</v>
          </cell>
          <cell r="C837" t="str">
            <v>SG-O/photoNet</v>
          </cell>
          <cell r="D837" t="str">
            <v>SG-O/photoNet</v>
          </cell>
          <cell r="E837">
            <v>85</v>
          </cell>
          <cell r="F837">
            <v>4</v>
          </cell>
          <cell r="G837">
            <v>3</v>
          </cell>
          <cell r="H837">
            <v>6827</v>
          </cell>
          <cell r="I837">
            <v>0</v>
          </cell>
          <cell r="J837">
            <v>5</v>
          </cell>
          <cell r="K837">
            <v>2</v>
          </cell>
        </row>
        <row r="838">
          <cell r="B838" t="str">
            <v>keevault2</v>
          </cell>
          <cell r="C838" t="str">
            <v>kee-org/keevault2</v>
          </cell>
          <cell r="D838" t="str">
            <v>kee-org/keevault2</v>
          </cell>
          <cell r="E838">
            <v>85</v>
          </cell>
          <cell r="F838">
            <v>11</v>
          </cell>
          <cell r="G838">
            <v>1</v>
          </cell>
          <cell r="H838">
            <v>1948</v>
          </cell>
          <cell r="I838">
            <v>4</v>
          </cell>
          <cell r="J838">
            <v>12</v>
          </cell>
          <cell r="K838">
            <v>9</v>
          </cell>
        </row>
        <row r="839">
          <cell r="B839" t="str">
            <v>Forecast</v>
          </cell>
          <cell r="C839" t="str">
            <v>pasanjg/Forecast</v>
          </cell>
          <cell r="D839" t="str">
            <v>pasanjg/Forecast</v>
          </cell>
          <cell r="E839">
            <v>85</v>
          </cell>
          <cell r="F839">
            <v>14</v>
          </cell>
          <cell r="G839">
            <v>2</v>
          </cell>
          <cell r="H839">
            <v>24791</v>
          </cell>
          <cell r="I839">
            <v>0</v>
          </cell>
          <cell r="J839">
            <v>3</v>
          </cell>
          <cell r="K839">
            <v>0</v>
          </cell>
        </row>
        <row r="840">
          <cell r="B840" t="str">
            <v>SeniorDialerApp</v>
          </cell>
          <cell r="C840" t="str">
            <v>saihaj/SeniorDialerApp</v>
          </cell>
          <cell r="D840" t="str">
            <v>saihaj/SeniorDialerApp</v>
          </cell>
          <cell r="E840">
            <v>85</v>
          </cell>
          <cell r="F840">
            <v>38</v>
          </cell>
          <cell r="G840">
            <v>2</v>
          </cell>
          <cell r="H840">
            <v>6939</v>
          </cell>
          <cell r="I840">
            <v>1</v>
          </cell>
          <cell r="J840">
            <v>1</v>
          </cell>
          <cell r="K840">
            <v>7</v>
          </cell>
        </row>
        <row r="841">
          <cell r="B841" t="str">
            <v>de-urgenta-android</v>
          </cell>
          <cell r="C841" t="str">
            <v>code4romania/de-urgenta-android</v>
          </cell>
          <cell r="D841" t="str">
            <v>code4romania/de-urgenta-android</v>
          </cell>
          <cell r="E841">
            <v>85</v>
          </cell>
          <cell r="F841">
            <v>45</v>
          </cell>
          <cell r="G841">
            <v>10</v>
          </cell>
          <cell r="H841">
            <v>40098</v>
          </cell>
          <cell r="I841">
            <v>15</v>
          </cell>
          <cell r="J841">
            <v>4</v>
          </cell>
          <cell r="K841">
            <v>10</v>
          </cell>
        </row>
        <row r="842">
          <cell r="B842" t="str">
            <v>shop-with-mom</v>
          </cell>
          <cell r="C842" t="str">
            <v>jdfossapps/shop-with-mom</v>
          </cell>
          <cell r="D842" t="str">
            <v>jdfossapps/shop-with-mom</v>
          </cell>
          <cell r="E842">
            <v>86</v>
          </cell>
          <cell r="F842">
            <v>1</v>
          </cell>
          <cell r="G842">
            <v>2</v>
          </cell>
          <cell r="H842">
            <v>758</v>
          </cell>
          <cell r="I842">
            <v>0</v>
          </cell>
          <cell r="J842">
            <v>12</v>
          </cell>
          <cell r="K842">
            <v>5</v>
          </cell>
        </row>
        <row r="843">
          <cell r="B843" t="str">
            <v>mangaKa</v>
          </cell>
          <cell r="C843" t="str">
            <v>Mastersam07/mangaKa</v>
          </cell>
          <cell r="D843" t="str">
            <v>Mastersam07/mangaKa</v>
          </cell>
          <cell r="E843">
            <v>86</v>
          </cell>
          <cell r="F843">
            <v>5</v>
          </cell>
          <cell r="G843">
            <v>2</v>
          </cell>
          <cell r="H843">
            <v>27561</v>
          </cell>
          <cell r="I843">
            <v>0</v>
          </cell>
          <cell r="J843">
            <v>18</v>
          </cell>
          <cell r="K843">
            <v>1</v>
          </cell>
        </row>
        <row r="844">
          <cell r="B844" t="str">
            <v>calendar</v>
          </cell>
          <cell r="C844" t="str">
            <v>hidroh/calendar</v>
          </cell>
          <cell r="D844" t="str">
            <v>hidroh/calendar</v>
          </cell>
          <cell r="E844">
            <v>86</v>
          </cell>
          <cell r="F844">
            <v>6</v>
          </cell>
          <cell r="G844">
            <v>1</v>
          </cell>
          <cell r="H844">
            <v>664</v>
          </cell>
          <cell r="I844">
            <v>67</v>
          </cell>
          <cell r="J844">
            <v>137</v>
          </cell>
          <cell r="K844">
            <v>13</v>
          </cell>
        </row>
        <row r="845">
          <cell r="B845" t="str">
            <v>Nextrot_Android</v>
          </cell>
          <cell r="C845" t="str">
            <v>Nexters/Nextrot_Android</v>
          </cell>
          <cell r="D845" t="str">
            <v>Nexters/Nextrot_Android</v>
          </cell>
          <cell r="E845">
            <v>86</v>
          </cell>
          <cell r="F845">
            <v>20</v>
          </cell>
          <cell r="G845">
            <v>1</v>
          </cell>
          <cell r="H845">
            <v>3758</v>
          </cell>
          <cell r="I845">
            <v>1</v>
          </cell>
          <cell r="J845">
            <v>4</v>
          </cell>
          <cell r="K845">
            <v>0</v>
          </cell>
        </row>
        <row r="846">
          <cell r="B846" t="str">
            <v>todayhistory</v>
          </cell>
          <cell r="C846" t="str">
            <v>MakinGiants/todayhistory</v>
          </cell>
          <cell r="D846" t="str">
            <v>MakinGiants/todayhistory</v>
          </cell>
          <cell r="E846">
            <v>86</v>
          </cell>
          <cell r="F846">
            <v>21</v>
          </cell>
          <cell r="G846">
            <v>1</v>
          </cell>
          <cell r="H846">
            <v>714</v>
          </cell>
          <cell r="I846">
            <v>9</v>
          </cell>
          <cell r="J846">
            <v>29</v>
          </cell>
          <cell r="K846">
            <v>2</v>
          </cell>
        </row>
        <row r="847">
          <cell r="B847" t="str">
            <v>android_navigator</v>
          </cell>
          <cell r="C847" t="str">
            <v>kostasdrakonakis/android_navigator</v>
          </cell>
          <cell r="D847" t="str">
            <v>kostasdrakonakis/android_navigator</v>
          </cell>
          <cell r="E847">
            <v>86</v>
          </cell>
          <cell r="F847">
            <v>37</v>
          </cell>
          <cell r="G847">
            <v>2</v>
          </cell>
          <cell r="H847">
            <v>243</v>
          </cell>
          <cell r="I847">
            <v>2</v>
          </cell>
          <cell r="J847">
            <v>13</v>
          </cell>
          <cell r="K847">
            <v>0</v>
          </cell>
        </row>
        <row r="848">
          <cell r="B848" t="str">
            <v>aimybox-android-assistant</v>
          </cell>
          <cell r="C848" t="str">
            <v>just-ai/aimybox-android-assistant</v>
          </cell>
          <cell r="D848" t="str">
            <v>just-ai/aimybox-android-assistant</v>
          </cell>
          <cell r="E848">
            <v>86</v>
          </cell>
          <cell r="F848">
            <v>39</v>
          </cell>
          <cell r="G848">
            <v>7</v>
          </cell>
          <cell r="H848">
            <v>86565</v>
          </cell>
          <cell r="I848">
            <v>49</v>
          </cell>
          <cell r="J848">
            <v>182</v>
          </cell>
          <cell r="K848">
            <v>17</v>
          </cell>
        </row>
        <row r="849">
          <cell r="B849" t="str">
            <v>PengChauFerry</v>
          </cell>
          <cell r="C849" t="str">
            <v>lionello/PengChauFerry</v>
          </cell>
          <cell r="D849" t="str">
            <v>lionello/PengChauFerry</v>
          </cell>
          <cell r="E849">
            <v>87</v>
          </cell>
          <cell r="F849">
            <v>0</v>
          </cell>
          <cell r="G849">
            <v>1</v>
          </cell>
          <cell r="H849">
            <v>5248</v>
          </cell>
          <cell r="I849">
            <v>1</v>
          </cell>
          <cell r="J849">
            <v>2</v>
          </cell>
          <cell r="K849">
            <v>0</v>
          </cell>
        </row>
        <row r="850">
          <cell r="B850" t="str">
            <v>MedicationManager</v>
          </cell>
          <cell r="C850" t="str">
            <v>corneliouzbett/MedicationManager</v>
          </cell>
          <cell r="D850" t="str">
            <v>corneliouzbett/MedicationManager</v>
          </cell>
          <cell r="E850">
            <v>87</v>
          </cell>
          <cell r="F850">
            <v>8</v>
          </cell>
          <cell r="G850">
            <v>2</v>
          </cell>
          <cell r="H850">
            <v>6701</v>
          </cell>
          <cell r="I850">
            <v>4</v>
          </cell>
          <cell r="J850">
            <v>7</v>
          </cell>
          <cell r="K850">
            <v>4</v>
          </cell>
        </row>
        <row r="851">
          <cell r="B851" t="str">
            <v>retrofit-lite</v>
          </cell>
          <cell r="C851" t="str">
            <v>aslamanver/retrofit-lite</v>
          </cell>
          <cell r="D851" t="str">
            <v>aslamanver/retrofit-lite</v>
          </cell>
          <cell r="E851">
            <v>88</v>
          </cell>
          <cell r="F851">
            <v>0</v>
          </cell>
          <cell r="G851">
            <v>1</v>
          </cell>
          <cell r="H851">
            <v>199</v>
          </cell>
          <cell r="I851">
            <v>1</v>
          </cell>
          <cell r="J851">
            <v>6</v>
          </cell>
          <cell r="K851">
            <v>0</v>
          </cell>
        </row>
        <row r="852">
          <cell r="B852" t="str">
            <v>android-rss-reader</v>
          </cell>
          <cell r="C852" t="str">
            <v>JonForShort/android-rss-reader</v>
          </cell>
          <cell r="D852" t="str">
            <v>JonForShort/android-rss-reader</v>
          </cell>
          <cell r="E852">
            <v>88</v>
          </cell>
          <cell r="F852">
            <v>0</v>
          </cell>
          <cell r="G852">
            <v>1</v>
          </cell>
          <cell r="H852">
            <v>795</v>
          </cell>
          <cell r="I852">
            <v>0</v>
          </cell>
          <cell r="J852">
            <v>3</v>
          </cell>
          <cell r="K852">
            <v>0</v>
          </cell>
        </row>
        <row r="853">
          <cell r="B853" t="str">
            <v>Musekit</v>
          </cell>
          <cell r="C853" t="str">
            <v>Kwasow/Musekit</v>
          </cell>
          <cell r="D853" t="str">
            <v>Kwasow/Musekit</v>
          </cell>
          <cell r="E853">
            <v>88</v>
          </cell>
          <cell r="F853">
            <v>1</v>
          </cell>
          <cell r="G853">
            <v>1</v>
          </cell>
          <cell r="H853">
            <v>391</v>
          </cell>
          <cell r="I853">
            <v>0</v>
          </cell>
          <cell r="J853">
            <v>2</v>
          </cell>
          <cell r="K853">
            <v>0</v>
          </cell>
        </row>
        <row r="854">
          <cell r="B854" t="str">
            <v>fuckView</v>
          </cell>
          <cell r="C854" t="str">
            <v>w568w/fuckView</v>
          </cell>
          <cell r="D854" t="str">
            <v>w568w/fuckView</v>
          </cell>
          <cell r="E854">
            <v>88</v>
          </cell>
          <cell r="F854">
            <v>4</v>
          </cell>
          <cell r="G854">
            <v>5</v>
          </cell>
          <cell r="H854">
            <v>26669</v>
          </cell>
          <cell r="I854">
            <v>20</v>
          </cell>
          <cell r="J854">
            <v>314</v>
          </cell>
          <cell r="K854">
            <v>0</v>
          </cell>
        </row>
        <row r="855">
          <cell r="B855" t="str">
            <v>gidget</v>
          </cell>
          <cell r="C855" t="str">
            <v>GDGVIT/gidget</v>
          </cell>
          <cell r="D855" t="str">
            <v>GDGVIT/gidget</v>
          </cell>
          <cell r="E855">
            <v>88</v>
          </cell>
          <cell r="F855">
            <v>16</v>
          </cell>
          <cell r="G855">
            <v>3</v>
          </cell>
          <cell r="H855">
            <v>34925</v>
          </cell>
          <cell r="I855">
            <v>2</v>
          </cell>
          <cell r="J855">
            <v>24</v>
          </cell>
          <cell r="K855">
            <v>0</v>
          </cell>
        </row>
        <row r="856">
          <cell r="B856" t="str">
            <v>matcha</v>
          </cell>
          <cell r="C856" t="str">
            <v>rizky/matcha</v>
          </cell>
          <cell r="D856" t="str">
            <v>rizky/matcha</v>
          </cell>
          <cell r="E856">
            <v>88</v>
          </cell>
          <cell r="F856">
            <v>70</v>
          </cell>
          <cell r="G856">
            <v>1</v>
          </cell>
          <cell r="H856">
            <v>4575</v>
          </cell>
          <cell r="I856">
            <v>3</v>
          </cell>
          <cell r="J856">
            <v>6</v>
          </cell>
          <cell r="K856">
            <v>41</v>
          </cell>
        </row>
        <row r="857">
          <cell r="B857" t="str">
            <v>kaltura-device-info-android</v>
          </cell>
          <cell r="C857" t="str">
            <v>kaltura/kaltura-device-info-android</v>
          </cell>
          <cell r="D857" t="str">
            <v>kaltura/kaltura-device-info-android</v>
          </cell>
          <cell r="E857">
            <v>89</v>
          </cell>
          <cell r="F857">
            <v>2</v>
          </cell>
          <cell r="G857">
            <v>2</v>
          </cell>
          <cell r="H857">
            <v>642</v>
          </cell>
          <cell r="I857">
            <v>6</v>
          </cell>
          <cell r="J857">
            <v>26</v>
          </cell>
          <cell r="K857">
            <v>1</v>
          </cell>
        </row>
        <row r="858">
          <cell r="B858" t="str">
            <v>e2e-detox</v>
          </cell>
          <cell r="C858" t="str">
            <v>Jeevan-Kishore/e2e-detox</v>
          </cell>
          <cell r="D858" t="str">
            <v>Jeevan-Kishore/e2e-detox</v>
          </cell>
          <cell r="E858">
            <v>89</v>
          </cell>
          <cell r="F858">
            <v>24</v>
          </cell>
          <cell r="G858">
            <v>1</v>
          </cell>
          <cell r="H858">
            <v>1654</v>
          </cell>
          <cell r="I858">
            <v>11</v>
          </cell>
          <cell r="J858">
            <v>7</v>
          </cell>
          <cell r="K858">
            <v>9</v>
          </cell>
        </row>
        <row r="859">
          <cell r="B859" t="str">
            <v>gorestaurant-app</v>
          </cell>
          <cell r="C859" t="str">
            <v>DiegoVictor/gorestaurant-app</v>
          </cell>
          <cell r="D859" t="str">
            <v>DiegoVictor/gorestaurant-app</v>
          </cell>
          <cell r="E859">
            <v>89</v>
          </cell>
          <cell r="F859">
            <v>26</v>
          </cell>
          <cell r="G859">
            <v>1</v>
          </cell>
          <cell r="H859">
            <v>25464</v>
          </cell>
          <cell r="I859">
            <v>4</v>
          </cell>
          <cell r="J859">
            <v>5</v>
          </cell>
          <cell r="K859">
            <v>13</v>
          </cell>
        </row>
        <row r="860">
          <cell r="B860" t="str">
            <v>Compressor</v>
          </cell>
          <cell r="C860" t="str">
            <v>zetbaitsu/Compressor</v>
          </cell>
          <cell r="D860" t="str">
            <v>zetbaitsu/Compressor</v>
          </cell>
          <cell r="E860">
            <v>89</v>
          </cell>
          <cell r="F860">
            <v>31</v>
          </cell>
          <cell r="G860">
            <v>9</v>
          </cell>
          <cell r="H860">
            <v>900</v>
          </cell>
          <cell r="I860">
            <v>951</v>
          </cell>
          <cell r="J860">
            <v>6740</v>
          </cell>
          <cell r="K860">
            <v>126</v>
          </cell>
        </row>
        <row r="861">
          <cell r="B861" t="str">
            <v>application</v>
          </cell>
          <cell r="C861" t="str">
            <v>nwHacks2017/application</v>
          </cell>
          <cell r="D861" t="str">
            <v>nwHacks2017/application</v>
          </cell>
          <cell r="E861">
            <v>90</v>
          </cell>
          <cell r="F861">
            <v>0</v>
          </cell>
          <cell r="G861">
            <v>3</v>
          </cell>
          <cell r="H861">
            <v>486</v>
          </cell>
          <cell r="I861">
            <v>1</v>
          </cell>
          <cell r="J861">
            <v>4</v>
          </cell>
          <cell r="K861">
            <v>2</v>
          </cell>
        </row>
        <row r="862">
          <cell r="B862" t="str">
            <v>Exploitdb</v>
          </cell>
          <cell r="C862" t="str">
            <v>gaiththewolf/Exploitdb</v>
          </cell>
          <cell r="D862" t="str">
            <v>mr-wolf-gb/Exploitdb</v>
          </cell>
          <cell r="E862">
            <v>90</v>
          </cell>
          <cell r="F862">
            <v>0</v>
          </cell>
          <cell r="G862">
            <v>1</v>
          </cell>
          <cell r="H862">
            <v>2571</v>
          </cell>
          <cell r="I862">
            <v>4</v>
          </cell>
          <cell r="J862">
            <v>5</v>
          </cell>
          <cell r="K862">
            <v>0</v>
          </cell>
        </row>
        <row r="863">
          <cell r="B863" t="str">
            <v>Vudit</v>
          </cell>
          <cell r="C863" t="str">
            <v>praharshjain/Vudit</v>
          </cell>
          <cell r="D863" t="str">
            <v>praharshjain/Vudit</v>
          </cell>
          <cell r="E863">
            <v>90</v>
          </cell>
          <cell r="F863">
            <v>1</v>
          </cell>
          <cell r="G863">
            <v>2</v>
          </cell>
          <cell r="H863">
            <v>4789</v>
          </cell>
          <cell r="I863">
            <v>14</v>
          </cell>
          <cell r="J863">
            <v>45</v>
          </cell>
          <cell r="K863">
            <v>2</v>
          </cell>
        </row>
        <row r="864">
          <cell r="B864" t="str">
            <v>holokenmod</v>
          </cell>
          <cell r="C864" t="str">
            <v>queler/holokenmod</v>
          </cell>
          <cell r="D864" t="str">
            <v>queler/holokenmod</v>
          </cell>
          <cell r="E864">
            <v>90</v>
          </cell>
          <cell r="F864">
            <v>4</v>
          </cell>
          <cell r="G864">
            <v>3</v>
          </cell>
          <cell r="H864">
            <v>515</v>
          </cell>
          <cell r="I864">
            <v>4</v>
          </cell>
          <cell r="J864">
            <v>12</v>
          </cell>
          <cell r="K864">
            <v>10</v>
          </cell>
        </row>
        <row r="865">
          <cell r="B865" t="str">
            <v>Vibe</v>
          </cell>
          <cell r="C865" t="str">
            <v>x13a/Vibe</v>
          </cell>
          <cell r="D865" t="str">
            <v>x13a/Vibe</v>
          </cell>
          <cell r="E865">
            <v>90</v>
          </cell>
          <cell r="F865">
            <v>4</v>
          </cell>
          <cell r="G865">
            <v>2</v>
          </cell>
          <cell r="H865">
            <v>987</v>
          </cell>
          <cell r="I865">
            <v>1</v>
          </cell>
          <cell r="J865">
            <v>12</v>
          </cell>
          <cell r="K865">
            <v>2</v>
          </cell>
        </row>
        <row r="866">
          <cell r="B866" t="str">
            <v>Expense-Tracker</v>
          </cell>
          <cell r="C866" t="str">
            <v>praslnx8/Expense-Tracker</v>
          </cell>
          <cell r="D866" t="str">
            <v>wealth-wave/Auto-Expense-Tracker</v>
          </cell>
          <cell r="E866">
            <v>90</v>
          </cell>
          <cell r="F866">
            <v>7</v>
          </cell>
          <cell r="G866">
            <v>2</v>
          </cell>
          <cell r="H866">
            <v>472</v>
          </cell>
          <cell r="I866">
            <v>0</v>
          </cell>
          <cell r="J866">
            <v>4</v>
          </cell>
          <cell r="K866">
            <v>2</v>
          </cell>
        </row>
        <row r="867">
          <cell r="B867" t="str">
            <v>kikke</v>
          </cell>
          <cell r="C867" t="str">
            <v>neubi4/kikke</v>
          </cell>
          <cell r="D867" t="str">
            <v>neubi4/kikke</v>
          </cell>
          <cell r="E867">
            <v>90</v>
          </cell>
          <cell r="F867">
            <v>12</v>
          </cell>
          <cell r="G867">
            <v>2</v>
          </cell>
          <cell r="H867">
            <v>1630</v>
          </cell>
          <cell r="I867">
            <v>2</v>
          </cell>
          <cell r="J867">
            <v>4</v>
          </cell>
          <cell r="K867">
            <v>3</v>
          </cell>
        </row>
        <row r="868">
          <cell r="B868" t="str">
            <v>chester</v>
          </cell>
          <cell r="C868" t="str">
            <v>veikkos/chester</v>
          </cell>
          <cell r="D868" t="str">
            <v>veikkos/chester</v>
          </cell>
          <cell r="E868">
            <v>91</v>
          </cell>
          <cell r="F868">
            <v>0</v>
          </cell>
          <cell r="G868">
            <v>1</v>
          </cell>
          <cell r="H868">
            <v>332</v>
          </cell>
          <cell r="I868">
            <v>2</v>
          </cell>
          <cell r="J868">
            <v>7</v>
          </cell>
          <cell r="K868">
            <v>0</v>
          </cell>
        </row>
        <row r="869">
          <cell r="B869" t="str">
            <v>LoopViewPagerLayout</v>
          </cell>
          <cell r="C869" t="str">
            <v>why168/LoopViewPagerLayout</v>
          </cell>
          <cell r="D869" t="str">
            <v>why168/LoopViewPagerLayout</v>
          </cell>
          <cell r="E869">
            <v>91</v>
          </cell>
          <cell r="F869">
            <v>0</v>
          </cell>
          <cell r="G869">
            <v>1</v>
          </cell>
          <cell r="H869">
            <v>36212</v>
          </cell>
          <cell r="I869">
            <v>24</v>
          </cell>
          <cell r="J869">
            <v>103</v>
          </cell>
          <cell r="K869">
            <v>0</v>
          </cell>
        </row>
        <row r="870">
          <cell r="B870" t="str">
            <v>zero</v>
          </cell>
          <cell r="C870" t="str">
            <v>lucasasselli/zero</v>
          </cell>
          <cell r="D870" t="str">
            <v>lucasasselli/zero</v>
          </cell>
          <cell r="E870">
            <v>91</v>
          </cell>
          <cell r="F870">
            <v>0</v>
          </cell>
          <cell r="G870">
            <v>1</v>
          </cell>
          <cell r="H870">
            <v>149703</v>
          </cell>
          <cell r="I870">
            <v>24</v>
          </cell>
          <cell r="J870">
            <v>43</v>
          </cell>
          <cell r="K870">
            <v>3</v>
          </cell>
        </row>
        <row r="871">
          <cell r="B871" t="str">
            <v>you-have-mail</v>
          </cell>
          <cell r="C871" t="str">
            <v>LeanderBB/you-have-mail</v>
          </cell>
          <cell r="D871" t="str">
            <v>LeanderBB/you-have-mail</v>
          </cell>
          <cell r="E871">
            <v>91</v>
          </cell>
          <cell r="F871">
            <v>2</v>
          </cell>
          <cell r="G871">
            <v>3</v>
          </cell>
          <cell r="H871">
            <v>797</v>
          </cell>
          <cell r="I871">
            <v>3</v>
          </cell>
          <cell r="J871">
            <v>33</v>
          </cell>
          <cell r="K871">
            <v>4</v>
          </cell>
        </row>
        <row r="872">
          <cell r="B872" t="str">
            <v>Pokedex</v>
          </cell>
          <cell r="C872" t="str">
            <v>karan4c6/Pokedex</v>
          </cell>
          <cell r="D872" t="str">
            <v>karan4c6/Pokedex</v>
          </cell>
          <cell r="E872">
            <v>91</v>
          </cell>
          <cell r="F872">
            <v>5</v>
          </cell>
          <cell r="G872">
            <v>2</v>
          </cell>
          <cell r="H872">
            <v>33488</v>
          </cell>
          <cell r="I872">
            <v>0</v>
          </cell>
          <cell r="J872">
            <v>2</v>
          </cell>
          <cell r="K872">
            <v>0</v>
          </cell>
        </row>
        <row r="873">
          <cell r="B873" t="str">
            <v>DribbbleClient</v>
          </cell>
          <cell r="C873" t="str">
            <v>mengdd/DribbbleClient</v>
          </cell>
          <cell r="D873" t="str">
            <v>mengdd/DribbbleClient</v>
          </cell>
          <cell r="E873">
            <v>91</v>
          </cell>
          <cell r="F873">
            <v>14</v>
          </cell>
          <cell r="G873">
            <v>2</v>
          </cell>
          <cell r="H873">
            <v>294</v>
          </cell>
          <cell r="I873">
            <v>0</v>
          </cell>
          <cell r="J873">
            <v>1</v>
          </cell>
          <cell r="K873">
            <v>0</v>
          </cell>
        </row>
        <row r="874">
          <cell r="B874" t="str">
            <v>simple</v>
          </cell>
          <cell r="C874" t="str">
            <v>luiseos-B2/simple</v>
          </cell>
          <cell r="D874" t="str">
            <v>luiseos-B2/simple</v>
          </cell>
          <cell r="E874">
            <v>91</v>
          </cell>
          <cell r="F874">
            <v>19</v>
          </cell>
          <cell r="G874">
            <v>6</v>
          </cell>
          <cell r="H874">
            <v>3774</v>
          </cell>
          <cell r="I874">
            <v>0</v>
          </cell>
          <cell r="J874">
            <v>3</v>
          </cell>
          <cell r="K874">
            <v>0</v>
          </cell>
        </row>
        <row r="875">
          <cell r="B875" t="str">
            <v>boum</v>
          </cell>
          <cell r="C875" t="str">
            <v>henniaufmrenni/boum</v>
          </cell>
          <cell r="D875" t="str">
            <v>henniaufmrenni/boum</v>
          </cell>
          <cell r="E875">
            <v>91</v>
          </cell>
          <cell r="F875">
            <v>30</v>
          </cell>
          <cell r="G875">
            <v>1</v>
          </cell>
          <cell r="H875">
            <v>5645</v>
          </cell>
          <cell r="I875">
            <v>0</v>
          </cell>
          <cell r="J875">
            <v>60</v>
          </cell>
          <cell r="K875">
            <v>39</v>
          </cell>
        </row>
        <row r="876">
          <cell r="B876" t="str">
            <v>wordpowermadeeasy</v>
          </cell>
          <cell r="C876" t="str">
            <v>ylogx/wordpowermadeeasy</v>
          </cell>
          <cell r="D876" t="str">
            <v>ylogx/wordpowermadeeasy</v>
          </cell>
          <cell r="E876">
            <v>92</v>
          </cell>
          <cell r="F876">
            <v>0</v>
          </cell>
          <cell r="G876">
            <v>1</v>
          </cell>
          <cell r="H876">
            <v>1644</v>
          </cell>
          <cell r="I876">
            <v>6</v>
          </cell>
          <cell r="J876">
            <v>20</v>
          </cell>
          <cell r="K876">
            <v>6</v>
          </cell>
        </row>
        <row r="877">
          <cell r="B877" t="str">
            <v>Tensuu</v>
          </cell>
          <cell r="C877" t="str">
            <v>xiprox/Tensuu</v>
          </cell>
          <cell r="D877" t="str">
            <v>xiprox/Tensuu</v>
          </cell>
          <cell r="E877">
            <v>92</v>
          </cell>
          <cell r="F877">
            <v>0</v>
          </cell>
          <cell r="G877">
            <v>1</v>
          </cell>
          <cell r="H877">
            <v>1734</v>
          </cell>
          <cell r="I877">
            <v>1</v>
          </cell>
          <cell r="J877">
            <v>2</v>
          </cell>
          <cell r="K877">
            <v>0</v>
          </cell>
        </row>
        <row r="878">
          <cell r="B878" t="str">
            <v>pusher</v>
          </cell>
          <cell r="C878" t="str">
            <v>bertrandmartel/pusher</v>
          </cell>
          <cell r="D878" t="str">
            <v>bertrandmartel/pusher</v>
          </cell>
          <cell r="E878">
            <v>92</v>
          </cell>
          <cell r="F878">
            <v>0</v>
          </cell>
          <cell r="G878">
            <v>1</v>
          </cell>
          <cell r="H878">
            <v>21962</v>
          </cell>
          <cell r="I878">
            <v>1</v>
          </cell>
          <cell r="J878">
            <v>3</v>
          </cell>
          <cell r="K878">
            <v>0</v>
          </cell>
        </row>
        <row r="879">
          <cell r="B879" t="str">
            <v>Meteorite</v>
          </cell>
          <cell r="C879" t="str">
            <v>firelotus/Meteorite</v>
          </cell>
          <cell r="D879" t="str">
            <v>firelotus/Meteorite</v>
          </cell>
          <cell r="E879">
            <v>92</v>
          </cell>
          <cell r="F879">
            <v>0</v>
          </cell>
          <cell r="G879">
            <v>1</v>
          </cell>
          <cell r="H879">
            <v>27280</v>
          </cell>
          <cell r="I879">
            <v>19</v>
          </cell>
          <cell r="J879">
            <v>55</v>
          </cell>
          <cell r="K879">
            <v>0</v>
          </cell>
        </row>
        <row r="880">
          <cell r="B880" t="str">
            <v>Travis-Jr</v>
          </cell>
          <cell r="C880" t="str">
            <v>sahan/Travis-Jr</v>
          </cell>
          <cell r="D880" t="str">
            <v>sahan/Travis-Jr</v>
          </cell>
          <cell r="E880">
            <v>92</v>
          </cell>
          <cell r="F880">
            <v>2</v>
          </cell>
          <cell r="G880">
            <v>2</v>
          </cell>
          <cell r="H880">
            <v>2647</v>
          </cell>
          <cell r="I880">
            <v>5</v>
          </cell>
          <cell r="J880">
            <v>25</v>
          </cell>
          <cell r="K880">
            <v>8</v>
          </cell>
        </row>
        <row r="881">
          <cell r="B881" t="str">
            <v>Notes</v>
          </cell>
          <cell r="C881" t="str">
            <v>argraur/Notes</v>
          </cell>
          <cell r="D881" t="str">
            <v>argraur/Notes</v>
          </cell>
          <cell r="E881">
            <v>92</v>
          </cell>
          <cell r="F881">
            <v>5</v>
          </cell>
          <cell r="G881">
            <v>1</v>
          </cell>
          <cell r="H881">
            <v>351</v>
          </cell>
          <cell r="I881">
            <v>4</v>
          </cell>
          <cell r="J881">
            <v>21</v>
          </cell>
          <cell r="K881">
            <v>0</v>
          </cell>
        </row>
        <row r="882">
          <cell r="B882" t="str">
            <v>XXPermissions</v>
          </cell>
          <cell r="C882" t="str">
            <v>getActivity/XXPermissions</v>
          </cell>
          <cell r="D882" t="str">
            <v>getActivity/XXPermissions</v>
          </cell>
          <cell r="E882">
            <v>92</v>
          </cell>
          <cell r="F882">
            <v>6</v>
          </cell>
          <cell r="G882">
            <v>3</v>
          </cell>
          <cell r="H882">
            <v>84772</v>
          </cell>
          <cell r="I882">
            <v>581</v>
          </cell>
          <cell r="J882">
            <v>4170</v>
          </cell>
          <cell r="K882">
            <v>2</v>
          </cell>
        </row>
        <row r="883">
          <cell r="B883" t="str">
            <v>JReader</v>
          </cell>
          <cell r="C883" t="str">
            <v>joaojsrbr/JReader</v>
          </cell>
          <cell r="D883" t="str">
            <v>joaojsrbr/JReader</v>
          </cell>
          <cell r="E883">
            <v>92</v>
          </cell>
          <cell r="F883">
            <v>19</v>
          </cell>
          <cell r="G883">
            <v>1</v>
          </cell>
          <cell r="H883">
            <v>20210</v>
          </cell>
          <cell r="I883">
            <v>0</v>
          </cell>
          <cell r="J883">
            <v>2</v>
          </cell>
          <cell r="K883">
            <v>0</v>
          </cell>
        </row>
        <row r="884">
          <cell r="B884" t="str">
            <v>Tic-Tac-Toe</v>
          </cell>
          <cell r="C884" t="str">
            <v>Be-Better-Programmer/Tic-Tac-Toe</v>
          </cell>
          <cell r="D884" t="str">
            <v>Be-Better-Programmer/Tic-Tac-Toe</v>
          </cell>
          <cell r="E884">
            <v>92</v>
          </cell>
          <cell r="F884">
            <v>42</v>
          </cell>
          <cell r="G884">
            <v>5</v>
          </cell>
          <cell r="H884">
            <v>25208</v>
          </cell>
          <cell r="I884">
            <v>10</v>
          </cell>
          <cell r="J884">
            <v>7</v>
          </cell>
          <cell r="K884">
            <v>1</v>
          </cell>
        </row>
        <row r="885">
          <cell r="B885" t="str">
            <v>2048-android</v>
          </cell>
          <cell r="C885" t="str">
            <v>uberspot/2048-android</v>
          </cell>
          <cell r="D885" t="str">
            <v>uberspot/2048-android</v>
          </cell>
          <cell r="E885">
            <v>92</v>
          </cell>
          <cell r="F885">
            <v>43</v>
          </cell>
          <cell r="G885">
            <v>20</v>
          </cell>
          <cell r="H885">
            <v>8156</v>
          </cell>
          <cell r="I885">
            <v>803</v>
          </cell>
          <cell r="J885">
            <v>1014</v>
          </cell>
          <cell r="K885">
            <v>24</v>
          </cell>
        </row>
        <row r="886">
          <cell r="B886" t="str">
            <v>soundboard</v>
          </cell>
          <cell r="C886" t="str">
            <v>meonwax/soundboard</v>
          </cell>
          <cell r="D886" t="str">
            <v>meonwax/soundboard</v>
          </cell>
          <cell r="E886">
            <v>93</v>
          </cell>
          <cell r="F886">
            <v>0</v>
          </cell>
          <cell r="G886">
            <v>1</v>
          </cell>
          <cell r="H886">
            <v>311</v>
          </cell>
          <cell r="I886">
            <v>8</v>
          </cell>
          <cell r="J886">
            <v>22</v>
          </cell>
          <cell r="K886">
            <v>12</v>
          </cell>
        </row>
        <row r="887">
          <cell r="B887" t="str">
            <v>waifu</v>
          </cell>
          <cell r="C887" t="str">
            <v>Serious-senpai/waifu</v>
          </cell>
          <cell r="D887" t="str">
            <v>Serious-senpai/waifu</v>
          </cell>
          <cell r="E887">
            <v>93</v>
          </cell>
          <cell r="F887">
            <v>0</v>
          </cell>
          <cell r="G887">
            <v>1</v>
          </cell>
          <cell r="H887">
            <v>2259</v>
          </cell>
          <cell r="I887">
            <v>0</v>
          </cell>
          <cell r="J887">
            <v>7</v>
          </cell>
          <cell r="K887">
            <v>0</v>
          </cell>
        </row>
        <row r="888">
          <cell r="B888" t="str">
            <v>Noodle</v>
          </cell>
          <cell r="C888" t="str">
            <v>nolia/Noodle</v>
          </cell>
          <cell r="D888" t="str">
            <v>nolia/Noodle</v>
          </cell>
          <cell r="E888">
            <v>93</v>
          </cell>
          <cell r="F888">
            <v>3</v>
          </cell>
          <cell r="G888">
            <v>1</v>
          </cell>
          <cell r="H888">
            <v>401</v>
          </cell>
          <cell r="I888">
            <v>13</v>
          </cell>
          <cell r="J888">
            <v>55</v>
          </cell>
          <cell r="K888">
            <v>3</v>
          </cell>
        </row>
        <row r="889">
          <cell r="B889" t="str">
            <v>Colorwaver</v>
          </cell>
          <cell r="C889" t="str">
            <v>mrousavy/Colorwaver</v>
          </cell>
          <cell r="D889" t="str">
            <v>mrousavy/Colorwaver</v>
          </cell>
          <cell r="E889">
            <v>93</v>
          </cell>
          <cell r="F889">
            <v>11</v>
          </cell>
          <cell r="G889">
            <v>4</v>
          </cell>
          <cell r="H889">
            <v>24833</v>
          </cell>
          <cell r="I889">
            <v>59</v>
          </cell>
          <cell r="J889">
            <v>512</v>
          </cell>
          <cell r="K889">
            <v>6</v>
          </cell>
        </row>
        <row r="890">
          <cell r="B890" t="str">
            <v>AusweisApp2</v>
          </cell>
          <cell r="C890" t="str">
            <v>Governikus/AusweisApp2</v>
          </cell>
          <cell r="D890" t="str">
            <v>Governikus/AusweisApp</v>
          </cell>
          <cell r="E890">
            <v>93</v>
          </cell>
          <cell r="F890">
            <v>43</v>
          </cell>
          <cell r="G890">
            <v>16</v>
          </cell>
          <cell r="H890">
            <v>31537</v>
          </cell>
          <cell r="I890">
            <v>70</v>
          </cell>
          <cell r="J890">
            <v>449</v>
          </cell>
          <cell r="K890">
            <v>3</v>
          </cell>
        </row>
        <row r="891">
          <cell r="B891" t="str">
            <v>shaky-android</v>
          </cell>
          <cell r="C891" t="str">
            <v>linkedin/shaky-android</v>
          </cell>
          <cell r="D891" t="str">
            <v>linkedin/shaky-android</v>
          </cell>
          <cell r="E891">
            <v>93</v>
          </cell>
          <cell r="F891">
            <v>55</v>
          </cell>
          <cell r="G891">
            <v>17</v>
          </cell>
          <cell r="H891">
            <v>489</v>
          </cell>
          <cell r="I891">
            <v>54</v>
          </cell>
          <cell r="J891">
            <v>154</v>
          </cell>
          <cell r="K891">
            <v>13</v>
          </cell>
        </row>
        <row r="892">
          <cell r="B892" t="str">
            <v>plantmanager</v>
          </cell>
          <cell r="C892" t="str">
            <v>joaaomanooel/plantmanager</v>
          </cell>
          <cell r="D892" t="str">
            <v>joaaomanooel/plantmanager</v>
          </cell>
          <cell r="E892">
            <v>94</v>
          </cell>
          <cell r="F892">
            <v>3</v>
          </cell>
          <cell r="G892">
            <v>1</v>
          </cell>
          <cell r="H892">
            <v>3857</v>
          </cell>
          <cell r="I892">
            <v>6</v>
          </cell>
          <cell r="J892">
            <v>14</v>
          </cell>
          <cell r="K892">
            <v>0</v>
          </cell>
        </row>
        <row r="893">
          <cell r="B893" t="str">
            <v>TAT</v>
          </cell>
          <cell r="C893" t="str">
            <v>NEO-TAT/TAT</v>
          </cell>
          <cell r="D893" t="str">
            <v>NEO-TAT/TAT</v>
          </cell>
          <cell r="E893">
            <v>94</v>
          </cell>
          <cell r="F893">
            <v>17</v>
          </cell>
          <cell r="G893">
            <v>1</v>
          </cell>
          <cell r="H893">
            <v>18168</v>
          </cell>
          <cell r="I893">
            <v>2</v>
          </cell>
          <cell r="J893">
            <v>1</v>
          </cell>
          <cell r="K893">
            <v>1</v>
          </cell>
        </row>
        <row r="894">
          <cell r="B894" t="str">
            <v>jetpack-compose-bible</v>
          </cell>
          <cell r="C894" t="str">
            <v>AnthoniIP/jetpack-compose-bible</v>
          </cell>
          <cell r="D894" t="str">
            <v>ipirangad3v/jetpack-compose-bible</v>
          </cell>
          <cell r="E894">
            <v>94</v>
          </cell>
          <cell r="F894">
            <v>24</v>
          </cell>
          <cell r="G894">
            <v>1</v>
          </cell>
          <cell r="H894">
            <v>1750</v>
          </cell>
          <cell r="I894">
            <v>0</v>
          </cell>
          <cell r="J894">
            <v>3</v>
          </cell>
          <cell r="K894">
            <v>3</v>
          </cell>
        </row>
        <row r="895">
          <cell r="B895" t="str">
            <v>FwdPortForwardingApp</v>
          </cell>
          <cell r="C895" t="str">
            <v>elixsr/FwdPortForwardingApp</v>
          </cell>
          <cell r="D895" t="str">
            <v>elixsr/FwdPortForwardingApp</v>
          </cell>
          <cell r="E895">
            <v>95</v>
          </cell>
          <cell r="F895">
            <v>3</v>
          </cell>
          <cell r="G895">
            <v>3</v>
          </cell>
          <cell r="H895">
            <v>27694</v>
          </cell>
          <cell r="I895">
            <v>40</v>
          </cell>
          <cell r="J895">
            <v>90</v>
          </cell>
          <cell r="K895">
            <v>17</v>
          </cell>
        </row>
        <row r="896">
          <cell r="B896" t="str">
            <v>socialgist</v>
          </cell>
          <cell r="C896" t="str">
            <v>3daysapp/socialgist</v>
          </cell>
          <cell r="D896" t="str">
            <v>3daysapp/socialgist</v>
          </cell>
          <cell r="E896">
            <v>95</v>
          </cell>
          <cell r="F896">
            <v>31</v>
          </cell>
          <cell r="G896">
            <v>3</v>
          </cell>
          <cell r="H896">
            <v>4793</v>
          </cell>
          <cell r="I896">
            <v>1</v>
          </cell>
          <cell r="J896">
            <v>10</v>
          </cell>
          <cell r="K896">
            <v>11</v>
          </cell>
        </row>
        <row r="897">
          <cell r="B897" t="str">
            <v>gitpositive</v>
          </cell>
          <cell r="C897" t="str">
            <v>ACM-VIT/gitpositive</v>
          </cell>
          <cell r="D897" t="str">
            <v>ACM-VIT/gitpositive</v>
          </cell>
          <cell r="E897">
            <v>95</v>
          </cell>
          <cell r="F897">
            <v>41</v>
          </cell>
          <cell r="G897">
            <v>18</v>
          </cell>
          <cell r="H897">
            <v>1494</v>
          </cell>
          <cell r="I897">
            <v>19</v>
          </cell>
          <cell r="J897">
            <v>14</v>
          </cell>
          <cell r="K897">
            <v>8</v>
          </cell>
        </row>
        <row r="898">
          <cell r="B898" t="str">
            <v>Ning</v>
          </cell>
          <cell r="C898" t="str">
            <v>csicar/Ning</v>
          </cell>
          <cell r="D898" t="str">
            <v>csicar/Ning</v>
          </cell>
          <cell r="E898">
            <v>95</v>
          </cell>
          <cell r="F898">
            <v>136</v>
          </cell>
          <cell r="G898">
            <v>12</v>
          </cell>
          <cell r="H898">
            <v>2827</v>
          </cell>
          <cell r="I898">
            <v>33</v>
          </cell>
          <cell r="J898">
            <v>176</v>
          </cell>
          <cell r="K898">
            <v>37</v>
          </cell>
        </row>
        <row r="899">
          <cell r="B899" t="str">
            <v>Rithle</v>
          </cell>
          <cell r="C899" t="str">
            <v>TheClashFruit/Rithle</v>
          </cell>
          <cell r="D899" t="str">
            <v>TheClashFruit/Rithle</v>
          </cell>
          <cell r="E899">
            <v>96</v>
          </cell>
          <cell r="F899">
            <v>3</v>
          </cell>
          <cell r="G899">
            <v>1</v>
          </cell>
          <cell r="H899">
            <v>380</v>
          </cell>
          <cell r="I899">
            <v>0</v>
          </cell>
          <cell r="J899">
            <v>8</v>
          </cell>
          <cell r="K899">
            <v>1</v>
          </cell>
        </row>
        <row r="900">
          <cell r="B900" t="str">
            <v>Pomodoro</v>
          </cell>
          <cell r="C900" t="str">
            <v>marymirzaie/Pomodoro</v>
          </cell>
          <cell r="D900" t="str">
            <v>marymirzaie/Pomodoro</v>
          </cell>
          <cell r="E900">
            <v>96</v>
          </cell>
          <cell r="F900">
            <v>13</v>
          </cell>
          <cell r="G900">
            <v>2</v>
          </cell>
          <cell r="H900">
            <v>2375</v>
          </cell>
          <cell r="I900">
            <v>1</v>
          </cell>
          <cell r="J900">
            <v>4</v>
          </cell>
          <cell r="K900">
            <v>1</v>
          </cell>
        </row>
        <row r="901">
          <cell r="B901" t="str">
            <v>Marketplace-List</v>
          </cell>
          <cell r="C901" t="str">
            <v>Alvarenga-Dev/Marketplace-List</v>
          </cell>
          <cell r="D901" t="str">
            <v>Alvarenga-Dev/Marketplace-List</v>
          </cell>
          <cell r="E901">
            <v>96</v>
          </cell>
          <cell r="F901">
            <v>30</v>
          </cell>
          <cell r="G901">
            <v>1</v>
          </cell>
          <cell r="H901">
            <v>2267</v>
          </cell>
          <cell r="I901">
            <v>1</v>
          </cell>
          <cell r="J901">
            <v>9</v>
          </cell>
          <cell r="K901">
            <v>0</v>
          </cell>
        </row>
        <row r="902">
          <cell r="B902" t="str">
            <v>FLAITER</v>
          </cell>
          <cell r="C902" t="str">
            <v>tiquasar/FLAITER</v>
          </cell>
          <cell r="D902" t="str">
            <v>tiquasar/FLAITER</v>
          </cell>
          <cell r="E902">
            <v>97</v>
          </cell>
          <cell r="F902">
            <v>0</v>
          </cell>
          <cell r="G902">
            <v>1</v>
          </cell>
          <cell r="H902">
            <v>139948</v>
          </cell>
          <cell r="I902">
            <v>0</v>
          </cell>
          <cell r="J902">
            <v>4</v>
          </cell>
          <cell r="K902">
            <v>0</v>
          </cell>
        </row>
        <row r="903">
          <cell r="B903" t="str">
            <v>android-app</v>
          </cell>
          <cell r="C903" t="str">
            <v>ReCodEx/android-app</v>
          </cell>
          <cell r="D903" t="str">
            <v>ReCodEx/android-app</v>
          </cell>
          <cell r="E903">
            <v>97</v>
          </cell>
          <cell r="F903">
            <v>1</v>
          </cell>
          <cell r="G903">
            <v>3</v>
          </cell>
          <cell r="H903">
            <v>2210</v>
          </cell>
          <cell r="I903">
            <v>0</v>
          </cell>
          <cell r="J903">
            <v>4</v>
          </cell>
          <cell r="K903">
            <v>1</v>
          </cell>
        </row>
        <row r="904">
          <cell r="B904" t="str">
            <v>CoolWeather</v>
          </cell>
          <cell r="C904" t="str">
            <v>akoufa/CoolWeather</v>
          </cell>
          <cell r="D904" t="str">
            <v>akoufa/CoolWeather</v>
          </cell>
          <cell r="E904">
            <v>97</v>
          </cell>
          <cell r="F904">
            <v>2</v>
          </cell>
          <cell r="G904">
            <v>1</v>
          </cell>
          <cell r="H904">
            <v>6858</v>
          </cell>
          <cell r="I904">
            <v>14</v>
          </cell>
          <cell r="J904">
            <v>186</v>
          </cell>
          <cell r="K904">
            <v>3</v>
          </cell>
        </row>
        <row r="905">
          <cell r="B905" t="str">
            <v>fpv-dvca</v>
          </cell>
          <cell r="C905" t="str">
            <v>d4rken-org/fpv-dvca</v>
          </cell>
          <cell r="D905" t="str">
            <v>d4rken-org/fpv-dvca</v>
          </cell>
          <cell r="E905">
            <v>97</v>
          </cell>
          <cell r="F905">
            <v>2</v>
          </cell>
          <cell r="G905">
            <v>1</v>
          </cell>
          <cell r="H905">
            <v>9913</v>
          </cell>
          <cell r="I905">
            <v>7</v>
          </cell>
          <cell r="J905">
            <v>79</v>
          </cell>
          <cell r="K905">
            <v>5</v>
          </cell>
        </row>
        <row r="906">
          <cell r="B906" t="str">
            <v>Hashr</v>
          </cell>
          <cell r="C906" t="str">
            <v>Miskerest/Hashr</v>
          </cell>
          <cell r="D906" t="str">
            <v>Miskerest/Hashr</v>
          </cell>
          <cell r="E906">
            <v>97</v>
          </cell>
          <cell r="F906">
            <v>4</v>
          </cell>
          <cell r="G906">
            <v>4</v>
          </cell>
          <cell r="H906">
            <v>1991</v>
          </cell>
          <cell r="I906">
            <v>3</v>
          </cell>
          <cell r="J906">
            <v>15</v>
          </cell>
          <cell r="K906">
            <v>2</v>
          </cell>
        </row>
        <row r="907">
          <cell r="B907" t="str">
            <v>ExpenseManager</v>
          </cell>
          <cell r="C907" t="str">
            <v>ajitsing/ExpenseManager</v>
          </cell>
          <cell r="D907" t="str">
            <v>ajitsing/ExpenseManager</v>
          </cell>
          <cell r="E907">
            <v>97</v>
          </cell>
          <cell r="F907">
            <v>5</v>
          </cell>
          <cell r="G907">
            <v>1</v>
          </cell>
          <cell r="H907">
            <v>253</v>
          </cell>
          <cell r="I907">
            <v>85</v>
          </cell>
          <cell r="J907">
            <v>67</v>
          </cell>
          <cell r="K907">
            <v>8</v>
          </cell>
        </row>
        <row r="908">
          <cell r="B908" t="str">
            <v>APP_KookMoBanUser_PonJohmNaimann</v>
          </cell>
          <cell r="C908" t="str">
            <v>osamhack2020/APP_KookMoBanUser_PonJohmNaimann</v>
          </cell>
          <cell r="D908" t="str">
            <v>osamhack2020/APP_KookMoBanUser_PonJohmNaimann</v>
          </cell>
          <cell r="E908">
            <v>97</v>
          </cell>
          <cell r="F908">
            <v>22</v>
          </cell>
          <cell r="G908">
            <v>2</v>
          </cell>
          <cell r="H908">
            <v>188638</v>
          </cell>
          <cell r="I908">
            <v>1</v>
          </cell>
          <cell r="J908">
            <v>5</v>
          </cell>
          <cell r="K908">
            <v>1</v>
          </cell>
        </row>
        <row r="909">
          <cell r="B909" t="str">
            <v>context_launcher</v>
          </cell>
          <cell r="C909" t="str">
            <v>razinj/context_launcher</v>
          </cell>
          <cell r="D909" t="str">
            <v>razinj/context_launcher</v>
          </cell>
          <cell r="E909">
            <v>97</v>
          </cell>
          <cell r="F909">
            <v>25</v>
          </cell>
          <cell r="G909">
            <v>2</v>
          </cell>
          <cell r="H909">
            <v>3975</v>
          </cell>
          <cell r="I909">
            <v>3</v>
          </cell>
          <cell r="J909">
            <v>36</v>
          </cell>
          <cell r="K909">
            <v>0</v>
          </cell>
        </row>
        <row r="910">
          <cell r="B910" t="str">
            <v>glass-notes-app</v>
          </cell>
          <cell r="C910" t="str">
            <v>glass-notes/glass-notes-app</v>
          </cell>
          <cell r="D910" t="str">
            <v>glass-notes/glass-notes-app</v>
          </cell>
          <cell r="E910">
            <v>98</v>
          </cell>
          <cell r="F910">
            <v>3</v>
          </cell>
          <cell r="G910">
            <v>1</v>
          </cell>
          <cell r="H910">
            <v>410</v>
          </cell>
          <cell r="I910">
            <v>1</v>
          </cell>
          <cell r="J910">
            <v>3</v>
          </cell>
          <cell r="K910">
            <v>2</v>
          </cell>
        </row>
        <row r="911">
          <cell r="B911" t="str">
            <v>OfflineCookBook</v>
          </cell>
          <cell r="C911" t="str">
            <v>benarmstead/OfflineCookBook</v>
          </cell>
          <cell r="D911" t="str">
            <v>benarmstead/OfflineCookBook</v>
          </cell>
          <cell r="E911">
            <v>98</v>
          </cell>
          <cell r="F911">
            <v>7</v>
          </cell>
          <cell r="G911">
            <v>3</v>
          </cell>
          <cell r="H911">
            <v>41590</v>
          </cell>
          <cell r="I911">
            <v>1</v>
          </cell>
          <cell r="J911">
            <v>13</v>
          </cell>
          <cell r="K911">
            <v>1</v>
          </cell>
        </row>
        <row r="912">
          <cell r="B912" t="str">
            <v>jukuu</v>
          </cell>
          <cell r="C912" t="str">
            <v>konnovdev/jukuu</v>
          </cell>
          <cell r="D912" t="str">
            <v>konnovdev/jukuu</v>
          </cell>
          <cell r="E912">
            <v>98</v>
          </cell>
          <cell r="F912">
            <v>9</v>
          </cell>
          <cell r="G912">
            <v>1</v>
          </cell>
          <cell r="H912">
            <v>465</v>
          </cell>
          <cell r="I912">
            <v>2</v>
          </cell>
          <cell r="J912">
            <v>2</v>
          </cell>
          <cell r="K912">
            <v>0</v>
          </cell>
        </row>
        <row r="913">
          <cell r="B913" t="str">
            <v>Stable-Diffusion-Android</v>
          </cell>
          <cell r="C913" t="str">
            <v>ShiftHackZ/Stable-Diffusion-Android</v>
          </cell>
          <cell r="D913" t="str">
            <v>ShiftHackZ/Stable-Diffusion-Android</v>
          </cell>
          <cell r="E913">
            <v>98</v>
          </cell>
          <cell r="F913">
            <v>45</v>
          </cell>
          <cell r="G913">
            <v>8</v>
          </cell>
          <cell r="H913">
            <v>1242</v>
          </cell>
          <cell r="I913">
            <v>0</v>
          </cell>
          <cell r="J913">
            <v>1</v>
          </cell>
          <cell r="K913">
            <v>0</v>
          </cell>
        </row>
        <row r="914">
          <cell r="B914" t="str">
            <v>todo_app</v>
          </cell>
          <cell r="C914" t="str">
            <v>vladdossik/todo_app</v>
          </cell>
          <cell r="D914" t="str">
            <v>vladdossik/todo_app</v>
          </cell>
          <cell r="E914">
            <v>99</v>
          </cell>
          <cell r="F914">
            <v>1</v>
          </cell>
          <cell r="G914">
            <v>1</v>
          </cell>
          <cell r="H914">
            <v>8918</v>
          </cell>
          <cell r="I914">
            <v>0</v>
          </cell>
          <cell r="J914">
            <v>2</v>
          </cell>
          <cell r="K914">
            <v>0</v>
          </cell>
        </row>
        <row r="915">
          <cell r="B915" t="str">
            <v>DailyFootball</v>
          </cell>
          <cell r="C915" t="str">
            <v>mayojava/DailyFootball</v>
          </cell>
          <cell r="D915" t="str">
            <v>mayojava/DailyFootball</v>
          </cell>
          <cell r="E915">
            <v>99</v>
          </cell>
          <cell r="F915">
            <v>3</v>
          </cell>
          <cell r="G915">
            <v>1</v>
          </cell>
          <cell r="H915">
            <v>670</v>
          </cell>
          <cell r="I915">
            <v>1</v>
          </cell>
          <cell r="J915">
            <v>8</v>
          </cell>
          <cell r="K915">
            <v>0</v>
          </cell>
        </row>
        <row r="916">
          <cell r="B916" t="str">
            <v>biblionantes</v>
          </cell>
          <cell r="C916" t="str">
            <v>patou/biblionantes</v>
          </cell>
          <cell r="D916" t="str">
            <v>patou/biblionantes</v>
          </cell>
          <cell r="E916">
            <v>99</v>
          </cell>
          <cell r="F916">
            <v>7</v>
          </cell>
          <cell r="G916">
            <v>2</v>
          </cell>
          <cell r="H916">
            <v>3109</v>
          </cell>
          <cell r="I916">
            <v>1</v>
          </cell>
          <cell r="J916">
            <v>2</v>
          </cell>
          <cell r="K916">
            <v>16</v>
          </cell>
        </row>
        <row r="917">
          <cell r="B917" t="str">
            <v>Feedback-Prime</v>
          </cell>
          <cell r="C917" t="str">
            <v>itsnitish22/Feedback-Prime</v>
          </cell>
          <cell r="D917" t="str">
            <v>itsnitish22/Feedback-Prime</v>
          </cell>
          <cell r="E917">
            <v>99</v>
          </cell>
          <cell r="F917">
            <v>32</v>
          </cell>
          <cell r="G917">
            <v>2</v>
          </cell>
          <cell r="H917">
            <v>6219</v>
          </cell>
          <cell r="I917">
            <v>3</v>
          </cell>
          <cell r="J917">
            <v>3</v>
          </cell>
          <cell r="K917">
            <v>5</v>
          </cell>
        </row>
        <row r="918">
          <cell r="B918" t="str">
            <v>mobile_nebula</v>
          </cell>
          <cell r="C918" t="str">
            <v>DefinedNet/mobile_nebula</v>
          </cell>
          <cell r="D918" t="str">
            <v>DefinedNet/mobile_nebula</v>
          </cell>
          <cell r="E918">
            <v>99</v>
          </cell>
          <cell r="F918">
            <v>83</v>
          </cell>
          <cell r="G918">
            <v>5</v>
          </cell>
          <cell r="H918">
            <v>2322</v>
          </cell>
          <cell r="I918">
            <v>24</v>
          </cell>
          <cell r="J918">
            <v>84</v>
          </cell>
          <cell r="K918">
            <v>25</v>
          </cell>
        </row>
        <row r="919">
          <cell r="B919" t="str">
            <v>android</v>
          </cell>
          <cell r="C919" t="str">
            <v>NoProvider2Push/android</v>
          </cell>
          <cell r="D919" t="str">
            <v>NoProvider2Push/android</v>
          </cell>
          <cell r="E919">
            <v>99</v>
          </cell>
          <cell r="F919">
            <v>95</v>
          </cell>
          <cell r="G919">
            <v>4</v>
          </cell>
          <cell r="H919">
            <v>667</v>
          </cell>
          <cell r="I919">
            <v>0</v>
          </cell>
          <cell r="J919">
            <v>8</v>
          </cell>
          <cell r="K919">
            <v>12</v>
          </cell>
        </row>
        <row r="920">
          <cell r="B920" t="str">
            <v>Dexter</v>
          </cell>
          <cell r="C920" t="str">
            <v>MikeAndrson/Dexter</v>
          </cell>
          <cell r="D920" t="str">
            <v>omeraydindev/Dexter</v>
          </cell>
          <cell r="E920">
            <v>100</v>
          </cell>
          <cell r="F920">
            <v>0</v>
          </cell>
          <cell r="G920">
            <v>1</v>
          </cell>
          <cell r="H920">
            <v>3979</v>
          </cell>
          <cell r="I920">
            <v>21</v>
          </cell>
          <cell r="J920">
            <v>85</v>
          </cell>
          <cell r="K920">
            <v>3</v>
          </cell>
        </row>
        <row r="921">
          <cell r="B921" t="str">
            <v>Bitcoin-Wallet</v>
          </cell>
          <cell r="C921" t="str">
            <v>hoanghiephui/Bitcoin-Wallet</v>
          </cell>
          <cell r="D921" t="str">
            <v>hoanghiephui/Bitcoin-Wallet</v>
          </cell>
          <cell r="E921">
            <v>100</v>
          </cell>
          <cell r="F921">
            <v>0</v>
          </cell>
          <cell r="G921">
            <v>2</v>
          </cell>
          <cell r="H921">
            <v>15062</v>
          </cell>
          <cell r="I921">
            <v>19</v>
          </cell>
          <cell r="J921">
            <v>29</v>
          </cell>
          <cell r="K921">
            <v>8</v>
          </cell>
        </row>
        <row r="922">
          <cell r="B922" t="str">
            <v>Framer</v>
          </cell>
          <cell r="C922" t="str">
            <v>trenton-telge/Framer</v>
          </cell>
          <cell r="D922" t="str">
            <v>trenton-telge/Framer</v>
          </cell>
          <cell r="E922">
            <v>100</v>
          </cell>
          <cell r="F922">
            <v>1</v>
          </cell>
          <cell r="G922">
            <v>4</v>
          </cell>
          <cell r="H922">
            <v>30513</v>
          </cell>
          <cell r="I922">
            <v>2</v>
          </cell>
          <cell r="J922">
            <v>2</v>
          </cell>
          <cell r="K922">
            <v>2</v>
          </cell>
        </row>
        <row r="923">
          <cell r="B923" t="str">
            <v>Todo-compose</v>
          </cell>
          <cell r="C923" t="str">
            <v>fayaz07/Todo-compose</v>
          </cell>
          <cell r="D923" t="str">
            <v>fayaz07/Todo-compose</v>
          </cell>
          <cell r="E923">
            <v>100</v>
          </cell>
          <cell r="F923">
            <v>2</v>
          </cell>
          <cell r="G923">
            <v>2</v>
          </cell>
          <cell r="H923">
            <v>2211</v>
          </cell>
          <cell r="I923">
            <v>1</v>
          </cell>
          <cell r="J923">
            <v>1</v>
          </cell>
          <cell r="K923">
            <v>2</v>
          </cell>
        </row>
        <row r="924">
          <cell r="B924" t="str">
            <v>CZ3002</v>
          </cell>
          <cell r="C924" t="str">
            <v>SebastianLiando/CZ3002</v>
          </cell>
          <cell r="D924" t="str">
            <v>SebastianLiando/CZ3002</v>
          </cell>
          <cell r="E924">
            <v>100</v>
          </cell>
          <cell r="F924">
            <v>18</v>
          </cell>
          <cell r="G924">
            <v>3</v>
          </cell>
          <cell r="H924">
            <v>9332</v>
          </cell>
          <cell r="I924">
            <v>2</v>
          </cell>
          <cell r="J924">
            <v>1</v>
          </cell>
          <cell r="K924">
            <v>0</v>
          </cell>
        </row>
        <row r="925">
          <cell r="B925" t="str">
            <v>pincredible</v>
          </cell>
          <cell r="C925" t="str">
            <v>cyb3rko/pincredible</v>
          </cell>
          <cell r="D925" t="str">
            <v>cyb3rko/pincredible</v>
          </cell>
          <cell r="E925">
            <v>101</v>
          </cell>
          <cell r="F925">
            <v>2</v>
          </cell>
          <cell r="G925">
            <v>2</v>
          </cell>
          <cell r="H925">
            <v>2118</v>
          </cell>
          <cell r="I925">
            <v>2</v>
          </cell>
          <cell r="J925">
            <v>54</v>
          </cell>
          <cell r="K925">
            <v>8</v>
          </cell>
        </row>
        <row r="926">
          <cell r="B926" t="str">
            <v>LosslessJpgCrop</v>
          </cell>
          <cell r="C926" t="str">
            <v>k3b/LosslessJpgCrop</v>
          </cell>
          <cell r="D926" t="str">
            <v>k3b/LosslessJpgCrop</v>
          </cell>
          <cell r="E926">
            <v>101</v>
          </cell>
          <cell r="F926">
            <v>5</v>
          </cell>
          <cell r="G926">
            <v>5</v>
          </cell>
          <cell r="H926">
            <v>2913</v>
          </cell>
          <cell r="I926">
            <v>7</v>
          </cell>
          <cell r="J926">
            <v>41</v>
          </cell>
          <cell r="K926">
            <v>8</v>
          </cell>
        </row>
        <row r="927">
          <cell r="B927" t="str">
            <v>postcode</v>
          </cell>
          <cell r="C927" t="str">
            <v>palfrey/postcode</v>
          </cell>
          <cell r="D927" t="str">
            <v>palfrey/postcode</v>
          </cell>
          <cell r="E927">
            <v>101</v>
          </cell>
          <cell r="F927">
            <v>8</v>
          </cell>
          <cell r="G927">
            <v>2</v>
          </cell>
          <cell r="H927">
            <v>182</v>
          </cell>
          <cell r="I927">
            <v>5</v>
          </cell>
          <cell r="J927">
            <v>5</v>
          </cell>
          <cell r="K927">
            <v>2</v>
          </cell>
        </row>
        <row r="928">
          <cell r="B928" t="str">
            <v>eshop-android</v>
          </cell>
          <cell r="C928" t="str">
            <v>reskimulud/eshop-android</v>
          </cell>
          <cell r="D928" t="str">
            <v>reskimulud/eshop-android</v>
          </cell>
          <cell r="E928">
            <v>101</v>
          </cell>
          <cell r="F928">
            <v>11</v>
          </cell>
          <cell r="G928">
            <v>1</v>
          </cell>
          <cell r="H928">
            <v>11786</v>
          </cell>
          <cell r="I928">
            <v>0</v>
          </cell>
          <cell r="J928">
            <v>2</v>
          </cell>
          <cell r="K928">
            <v>0</v>
          </cell>
        </row>
        <row r="929">
          <cell r="B929" t="str">
            <v>Covid</v>
          </cell>
          <cell r="C929" t="str">
            <v>David-Hackro/Covid</v>
          </cell>
          <cell r="D929" t="str">
            <v>David-Hackro/Covid</v>
          </cell>
          <cell r="E929">
            <v>101</v>
          </cell>
          <cell r="F929">
            <v>25</v>
          </cell>
          <cell r="G929">
            <v>1</v>
          </cell>
          <cell r="H929">
            <v>522</v>
          </cell>
          <cell r="I929">
            <v>4</v>
          </cell>
          <cell r="J929">
            <v>23</v>
          </cell>
          <cell r="K929">
            <v>0</v>
          </cell>
        </row>
        <row r="930">
          <cell r="B930" t="str">
            <v>android-robocar</v>
          </cell>
          <cell r="C930" t="str">
            <v>zugaldia/android-robocar</v>
          </cell>
          <cell r="D930" t="str">
            <v>zugaldia/android-robocar</v>
          </cell>
          <cell r="E930">
            <v>101</v>
          </cell>
          <cell r="F930">
            <v>35</v>
          </cell>
          <cell r="G930">
            <v>3</v>
          </cell>
          <cell r="H930">
            <v>108111</v>
          </cell>
          <cell r="I930">
            <v>21</v>
          </cell>
          <cell r="J930">
            <v>95</v>
          </cell>
          <cell r="K930">
            <v>14</v>
          </cell>
        </row>
        <row r="931">
          <cell r="B931" t="str">
            <v>sushi</v>
          </cell>
          <cell r="C931" t="str">
            <v>jerameel/sushi</v>
          </cell>
          <cell r="D931" t="str">
            <v>jerameel/sushi</v>
          </cell>
          <cell r="E931">
            <v>101</v>
          </cell>
          <cell r="F931">
            <v>39</v>
          </cell>
          <cell r="G931">
            <v>13</v>
          </cell>
          <cell r="H931">
            <v>2192</v>
          </cell>
          <cell r="I931">
            <v>26</v>
          </cell>
          <cell r="J931">
            <v>106</v>
          </cell>
          <cell r="K931">
            <v>29</v>
          </cell>
        </row>
        <row r="932">
          <cell r="B932" t="str">
            <v>WiiMoteDSU</v>
          </cell>
          <cell r="C932" t="str">
            <v>marcowindt/WiiMoteDSU</v>
          </cell>
          <cell r="D932" t="str">
            <v>marcowindt/WiiMoteDSU</v>
          </cell>
          <cell r="E932">
            <v>101</v>
          </cell>
          <cell r="F932">
            <v>85</v>
          </cell>
          <cell r="G932">
            <v>6</v>
          </cell>
          <cell r="H932">
            <v>2339</v>
          </cell>
          <cell r="I932">
            <v>13</v>
          </cell>
          <cell r="J932">
            <v>51</v>
          </cell>
          <cell r="K932">
            <v>12</v>
          </cell>
        </row>
        <row r="933">
          <cell r="B933" t="str">
            <v>hex</v>
          </cell>
          <cell r="C933" t="str">
            <v>longdivision/hex</v>
          </cell>
          <cell r="D933" t="str">
            <v>longdivision/hex</v>
          </cell>
          <cell r="E933">
            <v>102</v>
          </cell>
          <cell r="F933">
            <v>6</v>
          </cell>
          <cell r="G933">
            <v>1</v>
          </cell>
          <cell r="H933">
            <v>10228</v>
          </cell>
          <cell r="I933">
            <v>7</v>
          </cell>
          <cell r="J933">
            <v>28</v>
          </cell>
          <cell r="K933">
            <v>10</v>
          </cell>
        </row>
        <row r="934">
          <cell r="B934" t="str">
            <v>melodeon</v>
          </cell>
          <cell r="C934" t="str">
            <v>billthefarmer/melodeon</v>
          </cell>
          <cell r="D934" t="str">
            <v>billthefarmer/melodeon</v>
          </cell>
          <cell r="E934">
            <v>103</v>
          </cell>
          <cell r="F934">
            <v>1</v>
          </cell>
          <cell r="G934">
            <v>2</v>
          </cell>
          <cell r="H934">
            <v>21424</v>
          </cell>
          <cell r="I934">
            <v>0</v>
          </cell>
          <cell r="J934">
            <v>8</v>
          </cell>
          <cell r="K934">
            <v>0</v>
          </cell>
        </row>
        <row r="935">
          <cell r="B935" t="str">
            <v>SubtleNews_Android_App</v>
          </cell>
          <cell r="C935" t="str">
            <v>teamOSC/SubtleNews_Android_App</v>
          </cell>
          <cell r="D935" t="str">
            <v>teamOSC/SubtleNews_Android_App</v>
          </cell>
          <cell r="E935">
            <v>103</v>
          </cell>
          <cell r="F935">
            <v>1</v>
          </cell>
          <cell r="G935">
            <v>3</v>
          </cell>
          <cell r="H935">
            <v>18730</v>
          </cell>
          <cell r="I935">
            <v>6</v>
          </cell>
          <cell r="J935">
            <v>10</v>
          </cell>
          <cell r="K935">
            <v>1</v>
          </cell>
        </row>
        <row r="936">
          <cell r="B936" t="str">
            <v>2021-1-OSSP2-Barcode-8</v>
          </cell>
          <cell r="C936" t="str">
            <v>CSID-DGU/2021-1-OSSP2-Barcode-8</v>
          </cell>
          <cell r="D936" t="str">
            <v>CSID-DGU/2021-1-OSSP2-Barcode-8</v>
          </cell>
          <cell r="E936">
            <v>103</v>
          </cell>
          <cell r="F936">
            <v>10</v>
          </cell>
          <cell r="G936">
            <v>4</v>
          </cell>
          <cell r="H936">
            <v>7939</v>
          </cell>
          <cell r="I936">
            <v>4</v>
          </cell>
          <cell r="J936">
            <v>8</v>
          </cell>
          <cell r="K936">
            <v>5</v>
          </cell>
        </row>
        <row r="937">
          <cell r="B937" t="str">
            <v>marvel-client</v>
          </cell>
          <cell r="C937" t="str">
            <v>felipehjcosta/marvel-client</v>
          </cell>
          <cell r="D937" t="str">
            <v>felipehjcosta/marvel-client</v>
          </cell>
          <cell r="E937">
            <v>103</v>
          </cell>
          <cell r="F937">
            <v>13</v>
          </cell>
          <cell r="G937">
            <v>1</v>
          </cell>
          <cell r="H937">
            <v>648</v>
          </cell>
          <cell r="I937">
            <v>0</v>
          </cell>
          <cell r="J937">
            <v>1</v>
          </cell>
          <cell r="K937">
            <v>12</v>
          </cell>
        </row>
        <row r="938">
          <cell r="B938" t="str">
            <v>dagda-app</v>
          </cell>
          <cell r="C938" t="str">
            <v>Dagda-Social/dagda-app</v>
          </cell>
          <cell r="D938" t="str">
            <v>Dagda-Social/dagda-app</v>
          </cell>
          <cell r="E938">
            <v>103</v>
          </cell>
          <cell r="F938">
            <v>26</v>
          </cell>
          <cell r="G938">
            <v>2</v>
          </cell>
          <cell r="H938">
            <v>2638</v>
          </cell>
          <cell r="I938">
            <v>0</v>
          </cell>
          <cell r="J938">
            <v>4</v>
          </cell>
          <cell r="K938">
            <v>4</v>
          </cell>
        </row>
        <row r="939">
          <cell r="B939" t="str">
            <v>lingvaandroid</v>
          </cell>
          <cell r="C939" t="str">
            <v>yaxarat/lingvaandroid</v>
          </cell>
          <cell r="D939" t="str">
            <v>yaxarat/lingvaandroid</v>
          </cell>
          <cell r="E939">
            <v>103</v>
          </cell>
          <cell r="F939">
            <v>27</v>
          </cell>
          <cell r="G939">
            <v>3</v>
          </cell>
          <cell r="H939">
            <v>8081</v>
          </cell>
          <cell r="I939">
            <v>6</v>
          </cell>
          <cell r="J939">
            <v>72</v>
          </cell>
          <cell r="K939">
            <v>2</v>
          </cell>
        </row>
        <row r="940">
          <cell r="B940" t="str">
            <v>pokedex</v>
          </cell>
          <cell r="C940" t="str">
            <v>BruceTrindade/pokedex</v>
          </cell>
          <cell r="D940" t="str">
            <v>BruceTrindade/pokedex</v>
          </cell>
          <cell r="E940">
            <v>103</v>
          </cell>
          <cell r="F940">
            <v>38</v>
          </cell>
          <cell r="G940">
            <v>2</v>
          </cell>
          <cell r="H940">
            <v>5815</v>
          </cell>
          <cell r="I940">
            <v>0</v>
          </cell>
          <cell r="J940">
            <v>1</v>
          </cell>
          <cell r="K940">
            <v>5</v>
          </cell>
        </row>
        <row r="941">
          <cell r="B941" t="str">
            <v>compose-color-picker</v>
          </cell>
          <cell r="C941" t="str">
            <v>godaddy/compose-color-picker</v>
          </cell>
          <cell r="D941" t="str">
            <v>godaddy/compose-color-picker</v>
          </cell>
          <cell r="E941">
            <v>103</v>
          </cell>
          <cell r="F941">
            <v>49</v>
          </cell>
          <cell r="G941">
            <v>9</v>
          </cell>
          <cell r="H941">
            <v>52735</v>
          </cell>
          <cell r="I941">
            <v>20</v>
          </cell>
          <cell r="J941">
            <v>286</v>
          </cell>
          <cell r="K941">
            <v>14</v>
          </cell>
        </row>
        <row r="942">
          <cell r="B942" t="str">
            <v>wanandroid_compose</v>
          </cell>
          <cell r="C942" t="str">
            <v>knight-kk/wanandroid_compose</v>
          </cell>
          <cell r="D942" t="str">
            <v>knight-kk/wanandroid_compose</v>
          </cell>
          <cell r="E942">
            <v>104</v>
          </cell>
          <cell r="F942">
            <v>0</v>
          </cell>
          <cell r="G942">
            <v>1</v>
          </cell>
          <cell r="H942">
            <v>729</v>
          </cell>
          <cell r="I942">
            <v>1</v>
          </cell>
          <cell r="J942">
            <v>4</v>
          </cell>
          <cell r="K942">
            <v>0</v>
          </cell>
        </row>
        <row r="943">
          <cell r="B943" t="str">
            <v>Instant</v>
          </cell>
          <cell r="C943" t="str">
            <v>EBfVince/Instant</v>
          </cell>
          <cell r="D943" t="str">
            <v>vinceglb/Instant</v>
          </cell>
          <cell r="E943">
            <v>104</v>
          </cell>
          <cell r="F943">
            <v>4</v>
          </cell>
          <cell r="G943">
            <v>2</v>
          </cell>
          <cell r="H943">
            <v>1255</v>
          </cell>
          <cell r="I943">
            <v>5</v>
          </cell>
          <cell r="J943">
            <v>62</v>
          </cell>
          <cell r="K943">
            <v>4</v>
          </cell>
        </row>
        <row r="944">
          <cell r="B944" t="str">
            <v>The_Calculator</v>
          </cell>
          <cell r="C944" t="str">
            <v>pako1/The_Calculator</v>
          </cell>
          <cell r="D944" t="str">
            <v>pako1/The_Calculator</v>
          </cell>
          <cell r="E944">
            <v>104</v>
          </cell>
          <cell r="F944">
            <v>5</v>
          </cell>
          <cell r="G944">
            <v>1</v>
          </cell>
          <cell r="H944">
            <v>471</v>
          </cell>
          <cell r="I944">
            <v>1</v>
          </cell>
          <cell r="J944">
            <v>1</v>
          </cell>
          <cell r="K944">
            <v>0</v>
          </cell>
        </row>
        <row r="945">
          <cell r="B945" t="str">
            <v>Flutter</v>
          </cell>
          <cell r="C945" t="str">
            <v>SimpleBoilerplates/Flutter</v>
          </cell>
          <cell r="D945" t="str">
            <v>SimpleBoilerplates/Flutter</v>
          </cell>
          <cell r="E945">
            <v>104</v>
          </cell>
          <cell r="F945">
            <v>10</v>
          </cell>
          <cell r="G945">
            <v>2</v>
          </cell>
          <cell r="H945">
            <v>2159</v>
          </cell>
          <cell r="I945">
            <v>80</v>
          </cell>
          <cell r="J945">
            <v>385</v>
          </cell>
          <cell r="K945">
            <v>4</v>
          </cell>
        </row>
        <row r="946">
          <cell r="B946" t="str">
            <v>blokish</v>
          </cell>
          <cell r="C946" t="str">
            <v>scoutant/blokish</v>
          </cell>
          <cell r="D946" t="str">
            <v>scoutant/blokish</v>
          </cell>
          <cell r="E946">
            <v>104</v>
          </cell>
          <cell r="F946">
            <v>11</v>
          </cell>
          <cell r="G946">
            <v>10</v>
          </cell>
          <cell r="H946">
            <v>892</v>
          </cell>
          <cell r="I946">
            <v>70</v>
          </cell>
          <cell r="J946">
            <v>91</v>
          </cell>
          <cell r="K946">
            <v>6</v>
          </cell>
        </row>
        <row r="947">
          <cell r="B947" t="str">
            <v>fbp-go</v>
          </cell>
          <cell r="C947" t="str">
            <v>bcgov/fbp-go</v>
          </cell>
          <cell r="D947" t="str">
            <v>bcgov/fbp-go</v>
          </cell>
          <cell r="E947">
            <v>104</v>
          </cell>
          <cell r="F947">
            <v>11</v>
          </cell>
          <cell r="G947">
            <v>5</v>
          </cell>
          <cell r="H947">
            <v>6591</v>
          </cell>
          <cell r="I947">
            <v>0</v>
          </cell>
          <cell r="J947">
            <v>4</v>
          </cell>
          <cell r="K947">
            <v>1</v>
          </cell>
        </row>
        <row r="948">
          <cell r="B948" t="str">
            <v>todo</v>
          </cell>
          <cell r="C948" t="str">
            <v>Hossam-Sayed/todo</v>
          </cell>
          <cell r="D948" t="str">
            <v>Hossam-Sayed/todo</v>
          </cell>
          <cell r="E948">
            <v>104</v>
          </cell>
          <cell r="F948">
            <v>29</v>
          </cell>
          <cell r="G948">
            <v>1</v>
          </cell>
          <cell r="H948">
            <v>226</v>
          </cell>
          <cell r="I948">
            <v>0</v>
          </cell>
          <cell r="J948">
            <v>1</v>
          </cell>
          <cell r="K948">
            <v>0</v>
          </cell>
        </row>
        <row r="949">
          <cell r="B949" t="str">
            <v>family-care</v>
          </cell>
          <cell r="C949" t="str">
            <v>Fic-Spinoff/family-care</v>
          </cell>
          <cell r="D949" t="str">
            <v>Fic-Spinoff/family-care</v>
          </cell>
          <cell r="E949">
            <v>104</v>
          </cell>
          <cell r="F949">
            <v>30</v>
          </cell>
          <cell r="G949">
            <v>6</v>
          </cell>
          <cell r="H949">
            <v>25332</v>
          </cell>
          <cell r="I949">
            <v>1</v>
          </cell>
          <cell r="J949">
            <v>1</v>
          </cell>
          <cell r="K949">
            <v>5</v>
          </cell>
        </row>
        <row r="950">
          <cell r="B950" t="str">
            <v>correctly</v>
          </cell>
          <cell r="C950" t="str">
            <v>whizzzkid/correctly</v>
          </cell>
          <cell r="D950" t="str">
            <v>whizzzkid/correctly</v>
          </cell>
          <cell r="E950">
            <v>104</v>
          </cell>
          <cell r="F950">
            <v>32</v>
          </cell>
          <cell r="G950">
            <v>2</v>
          </cell>
          <cell r="H950">
            <v>19117</v>
          </cell>
          <cell r="I950">
            <v>1</v>
          </cell>
          <cell r="J950">
            <v>1</v>
          </cell>
          <cell r="K950">
            <v>8</v>
          </cell>
        </row>
        <row r="951">
          <cell r="B951" t="str">
            <v>MadeSubmsission</v>
          </cell>
          <cell r="C951" t="str">
            <v>Adithya-13/MadeSubmsission</v>
          </cell>
          <cell r="D951" t="str">
            <v>Adithya-13/MadeSubmsission</v>
          </cell>
          <cell r="E951">
            <v>105</v>
          </cell>
          <cell r="F951">
            <v>13</v>
          </cell>
          <cell r="G951">
            <v>1</v>
          </cell>
          <cell r="H951">
            <v>294045</v>
          </cell>
          <cell r="I951">
            <v>8</v>
          </cell>
          <cell r="J951">
            <v>20</v>
          </cell>
          <cell r="K951">
            <v>0</v>
          </cell>
        </row>
        <row r="952">
          <cell r="B952" t="str">
            <v>HeartBeat</v>
          </cell>
          <cell r="C952" t="str">
            <v>berdosi/HeartBeat</v>
          </cell>
          <cell r="D952" t="str">
            <v>berdosi/HeartBeat</v>
          </cell>
          <cell r="E952">
            <v>105</v>
          </cell>
          <cell r="F952">
            <v>23</v>
          </cell>
          <cell r="G952">
            <v>7</v>
          </cell>
          <cell r="H952">
            <v>727</v>
          </cell>
          <cell r="I952">
            <v>10</v>
          </cell>
          <cell r="J952">
            <v>55</v>
          </cell>
          <cell r="K952">
            <v>4</v>
          </cell>
        </row>
        <row r="953">
          <cell r="B953" t="str">
            <v>continuousSpeechRecognition</v>
          </cell>
          <cell r="C953" t="str">
            <v>livnoni/continuousSpeechRecognition</v>
          </cell>
          <cell r="D953" t="str">
            <v>livnoni/continuousSpeechRecognition</v>
          </cell>
          <cell r="E953">
            <v>105</v>
          </cell>
          <cell r="F953">
            <v>28</v>
          </cell>
          <cell r="G953">
            <v>1</v>
          </cell>
          <cell r="H953">
            <v>327</v>
          </cell>
          <cell r="I953">
            <v>11</v>
          </cell>
          <cell r="J953">
            <v>20</v>
          </cell>
          <cell r="K953">
            <v>24</v>
          </cell>
        </row>
        <row r="954">
          <cell r="B954" t="str">
            <v>GIFit</v>
          </cell>
          <cell r="C954" t="str">
            <v>TheTeamPotato/GIFit</v>
          </cell>
          <cell r="D954" t="str">
            <v>TheTeamPotato/GIFit</v>
          </cell>
          <cell r="E954">
            <v>105</v>
          </cell>
          <cell r="F954">
            <v>32</v>
          </cell>
          <cell r="G954">
            <v>2</v>
          </cell>
          <cell r="H954">
            <v>26484</v>
          </cell>
          <cell r="I954">
            <v>4</v>
          </cell>
          <cell r="J954">
            <v>40</v>
          </cell>
          <cell r="K954">
            <v>3</v>
          </cell>
        </row>
        <row r="955">
          <cell r="B955" t="str">
            <v>multiplatform-markdown-renderer</v>
          </cell>
          <cell r="C955" t="str">
            <v>mikepenz/multiplatform-markdown-renderer</v>
          </cell>
          <cell r="D955" t="str">
            <v>mikepenz/multiplatform-markdown-renderer</v>
          </cell>
          <cell r="E955">
            <v>105</v>
          </cell>
          <cell r="F955">
            <v>47</v>
          </cell>
          <cell r="G955">
            <v>14</v>
          </cell>
          <cell r="H955">
            <v>238</v>
          </cell>
          <cell r="I955">
            <v>11</v>
          </cell>
          <cell r="J955">
            <v>144</v>
          </cell>
          <cell r="K955">
            <v>4</v>
          </cell>
        </row>
        <row r="956">
          <cell r="B956" t="str">
            <v>searchlight</v>
          </cell>
          <cell r="C956" t="str">
            <v>Betaco-Open/searchlight</v>
          </cell>
          <cell r="D956" t="str">
            <v>Betaco-Open/searchlight</v>
          </cell>
          <cell r="E956">
            <v>106</v>
          </cell>
          <cell r="F956">
            <v>0</v>
          </cell>
          <cell r="G956">
            <v>2</v>
          </cell>
          <cell r="H956">
            <v>325</v>
          </cell>
          <cell r="I956">
            <v>1</v>
          </cell>
          <cell r="J956">
            <v>5</v>
          </cell>
          <cell r="K956">
            <v>0</v>
          </cell>
        </row>
        <row r="957">
          <cell r="B957" t="str">
            <v>halfdot</v>
          </cell>
          <cell r="C957" t="str">
            <v>davquar/halfdot</v>
          </cell>
          <cell r="D957" t="str">
            <v>davquar/halfdot</v>
          </cell>
          <cell r="E957">
            <v>106</v>
          </cell>
          <cell r="F957">
            <v>19</v>
          </cell>
          <cell r="G957">
            <v>1</v>
          </cell>
          <cell r="H957">
            <v>912</v>
          </cell>
          <cell r="I957">
            <v>1</v>
          </cell>
          <cell r="J957">
            <v>22</v>
          </cell>
          <cell r="K957">
            <v>3</v>
          </cell>
        </row>
        <row r="958">
          <cell r="B958" t="str">
            <v>HackerNews-React-Native</v>
          </cell>
          <cell r="C958" t="str">
            <v>iSimar/HackerNews-React-Native</v>
          </cell>
          <cell r="D958" t="str">
            <v>iSimar/HackerNews-React-Native</v>
          </cell>
          <cell r="E958">
            <v>106</v>
          </cell>
          <cell r="F958">
            <v>22</v>
          </cell>
          <cell r="G958">
            <v>8</v>
          </cell>
          <cell r="H958">
            <v>6642</v>
          </cell>
          <cell r="I958">
            <v>635</v>
          </cell>
          <cell r="J958">
            <v>3624</v>
          </cell>
          <cell r="K958">
            <v>10</v>
          </cell>
        </row>
        <row r="959">
          <cell r="B959" t="str">
            <v>audio_player_flutter</v>
          </cell>
          <cell r="C959" t="str">
            <v>minikin/audio_player_flutter</v>
          </cell>
          <cell r="D959" t="str">
            <v>minikin/audio_player_flutter</v>
          </cell>
          <cell r="E959">
            <v>106</v>
          </cell>
          <cell r="F959">
            <v>28</v>
          </cell>
          <cell r="G959">
            <v>1</v>
          </cell>
          <cell r="H959">
            <v>41738</v>
          </cell>
          <cell r="I959">
            <v>21</v>
          </cell>
          <cell r="J959">
            <v>122</v>
          </cell>
          <cell r="K959">
            <v>1</v>
          </cell>
        </row>
        <row r="960">
          <cell r="B960" t="str">
            <v>nuntius-android</v>
          </cell>
          <cell r="C960" t="str">
            <v>holylobster/nuntius-android</v>
          </cell>
          <cell r="D960" t="str">
            <v>holylobster/nuntius-android</v>
          </cell>
          <cell r="E960">
            <v>106</v>
          </cell>
          <cell r="F960">
            <v>35</v>
          </cell>
          <cell r="G960">
            <v>8</v>
          </cell>
          <cell r="H960">
            <v>9640</v>
          </cell>
          <cell r="I960">
            <v>33</v>
          </cell>
          <cell r="J960">
            <v>121</v>
          </cell>
          <cell r="K960">
            <v>22</v>
          </cell>
        </row>
        <row r="961">
          <cell r="B961" t="str">
            <v>finder</v>
          </cell>
          <cell r="C961" t="str">
            <v>salah3x/finder</v>
          </cell>
          <cell r="D961" t="str">
            <v>salah3x/finder</v>
          </cell>
          <cell r="E961">
            <v>106</v>
          </cell>
          <cell r="F961">
            <v>52</v>
          </cell>
          <cell r="G961">
            <v>1</v>
          </cell>
          <cell r="H961">
            <v>3356</v>
          </cell>
          <cell r="I961">
            <v>1</v>
          </cell>
          <cell r="J961">
            <v>6</v>
          </cell>
          <cell r="K961">
            <v>36</v>
          </cell>
        </row>
        <row r="962">
          <cell r="B962" t="str">
            <v>router_remote2</v>
          </cell>
          <cell r="C962" t="str">
            <v>amake/router_remote2</v>
          </cell>
          <cell r="D962" t="str">
            <v>amake/router_remote2</v>
          </cell>
          <cell r="E962">
            <v>107</v>
          </cell>
          <cell r="F962">
            <v>0</v>
          </cell>
          <cell r="G962">
            <v>1</v>
          </cell>
          <cell r="H962">
            <v>219</v>
          </cell>
          <cell r="I962">
            <v>0</v>
          </cell>
          <cell r="J962">
            <v>3</v>
          </cell>
          <cell r="K962">
            <v>0</v>
          </cell>
        </row>
        <row r="963">
          <cell r="B963" t="str">
            <v>calculadhora</v>
          </cell>
          <cell r="C963" t="str">
            <v>tiefz/calculadhora</v>
          </cell>
          <cell r="D963" t="str">
            <v>tiefz/calculadhora</v>
          </cell>
          <cell r="E963">
            <v>107</v>
          </cell>
          <cell r="F963">
            <v>0</v>
          </cell>
          <cell r="G963">
            <v>2</v>
          </cell>
          <cell r="H963">
            <v>45995</v>
          </cell>
          <cell r="I963">
            <v>2</v>
          </cell>
          <cell r="J963">
            <v>3</v>
          </cell>
          <cell r="K963">
            <v>2</v>
          </cell>
        </row>
        <row r="964">
          <cell r="B964" t="str">
            <v>minimalin-watchface</v>
          </cell>
          <cell r="C964" t="str">
            <v>lanrat/minimalin-watchface</v>
          </cell>
          <cell r="D964" t="str">
            <v>lanrat/minimalin-watchface</v>
          </cell>
          <cell r="E964">
            <v>107</v>
          </cell>
          <cell r="F964">
            <v>1</v>
          </cell>
          <cell r="G964">
            <v>2</v>
          </cell>
          <cell r="H964">
            <v>5195</v>
          </cell>
          <cell r="I964">
            <v>6</v>
          </cell>
          <cell r="J964">
            <v>17</v>
          </cell>
          <cell r="K964">
            <v>0</v>
          </cell>
        </row>
        <row r="965">
          <cell r="B965" t="str">
            <v>LivescoreApp</v>
          </cell>
          <cell r="C965" t="str">
            <v>gideonrotich/LivescoreApp</v>
          </cell>
          <cell r="D965" t="str">
            <v>gideonrotich/LivescoreApp</v>
          </cell>
          <cell r="E965">
            <v>107</v>
          </cell>
          <cell r="F965">
            <v>3</v>
          </cell>
          <cell r="G965">
            <v>4</v>
          </cell>
          <cell r="H965">
            <v>20882</v>
          </cell>
          <cell r="I965">
            <v>8</v>
          </cell>
          <cell r="J965">
            <v>67</v>
          </cell>
          <cell r="K965">
            <v>0</v>
          </cell>
        </row>
        <row r="966">
          <cell r="B966" t="str">
            <v>FreeTamilEBooks</v>
          </cell>
          <cell r="C966" t="str">
            <v>khaleeljageer/FreeTamilEBooks</v>
          </cell>
          <cell r="D966" t="str">
            <v>khaleeljageer/FreeTamilEBooks</v>
          </cell>
          <cell r="E966">
            <v>107</v>
          </cell>
          <cell r="F966">
            <v>8</v>
          </cell>
          <cell r="G966">
            <v>2</v>
          </cell>
          <cell r="H966">
            <v>10071</v>
          </cell>
          <cell r="I966">
            <v>8</v>
          </cell>
          <cell r="J966">
            <v>1</v>
          </cell>
          <cell r="K966">
            <v>5</v>
          </cell>
        </row>
        <row r="967">
          <cell r="B967" t="str">
            <v>Hanstargram</v>
          </cell>
          <cell r="C967" t="str">
            <v>Foundy-LLC/Hanstargram</v>
          </cell>
          <cell r="D967" t="str">
            <v>Foundy-LLC/Hanstargram</v>
          </cell>
          <cell r="E967">
            <v>107</v>
          </cell>
          <cell r="F967">
            <v>49</v>
          </cell>
          <cell r="G967">
            <v>3</v>
          </cell>
          <cell r="H967">
            <v>51428</v>
          </cell>
          <cell r="I967">
            <v>0</v>
          </cell>
          <cell r="J967">
            <v>3</v>
          </cell>
          <cell r="K967">
            <v>2</v>
          </cell>
        </row>
        <row r="968">
          <cell r="B968" t="str">
            <v>RemoteDroid</v>
          </cell>
          <cell r="C968" t="str">
            <v>omerjerk/RemoteDroid</v>
          </cell>
          <cell r="D968" t="str">
            <v>omerjerk/RemoteDroid</v>
          </cell>
          <cell r="E968">
            <v>108</v>
          </cell>
          <cell r="F968">
            <v>3</v>
          </cell>
          <cell r="G968">
            <v>1</v>
          </cell>
          <cell r="H968">
            <v>5257</v>
          </cell>
          <cell r="I968">
            <v>185</v>
          </cell>
          <cell r="J968">
            <v>452</v>
          </cell>
          <cell r="K968">
            <v>12</v>
          </cell>
        </row>
        <row r="969">
          <cell r="B969" t="str">
            <v>Awaken</v>
          </cell>
          <cell r="C969" t="str">
            <v>tylerbwong/Awaken</v>
          </cell>
          <cell r="D969" t="str">
            <v>tylerbwong/Awaken</v>
          </cell>
          <cell r="E969">
            <v>108</v>
          </cell>
          <cell r="F969">
            <v>3</v>
          </cell>
          <cell r="G969">
            <v>3</v>
          </cell>
          <cell r="H969">
            <v>677</v>
          </cell>
          <cell r="I969">
            <v>2</v>
          </cell>
          <cell r="J969">
            <v>1</v>
          </cell>
          <cell r="K969">
            <v>1</v>
          </cell>
        </row>
        <row r="970">
          <cell r="B970" t="str">
            <v>Picasa-Gallery-Android</v>
          </cell>
          <cell r="C970" t="str">
            <v>ashtanko/Picasa-Gallery-Android</v>
          </cell>
          <cell r="D970" t="str">
            <v>ashtanko/Picasa-Gallery-Android</v>
          </cell>
          <cell r="E970">
            <v>108</v>
          </cell>
          <cell r="F970">
            <v>8</v>
          </cell>
          <cell r="G970">
            <v>2</v>
          </cell>
          <cell r="H970">
            <v>934</v>
          </cell>
          <cell r="I970">
            <v>1</v>
          </cell>
          <cell r="J970">
            <v>3</v>
          </cell>
          <cell r="K970">
            <v>0</v>
          </cell>
        </row>
        <row r="971">
          <cell r="B971" t="str">
            <v>Subscene</v>
          </cell>
          <cell r="C971" t="str">
            <v>masterj3y/Subscene</v>
          </cell>
          <cell r="D971" t="str">
            <v>masterj3y/Subscene</v>
          </cell>
          <cell r="E971">
            <v>108</v>
          </cell>
          <cell r="F971">
            <v>17</v>
          </cell>
          <cell r="G971">
            <v>2</v>
          </cell>
          <cell r="H971">
            <v>1152</v>
          </cell>
          <cell r="I971">
            <v>7</v>
          </cell>
          <cell r="J971">
            <v>28</v>
          </cell>
          <cell r="K971">
            <v>0</v>
          </cell>
        </row>
        <row r="972">
          <cell r="B972" t="str">
            <v>battlebuddy-android</v>
          </cell>
          <cell r="C972" t="str">
            <v>battle-buddy/battlebuddy-android</v>
          </cell>
          <cell r="D972" t="str">
            <v>battle-buddy/battlebuddy-android</v>
          </cell>
          <cell r="E972">
            <v>108</v>
          </cell>
          <cell r="F972">
            <v>34</v>
          </cell>
          <cell r="G972">
            <v>2</v>
          </cell>
          <cell r="H972">
            <v>6781</v>
          </cell>
          <cell r="I972">
            <v>1</v>
          </cell>
          <cell r="J972">
            <v>8</v>
          </cell>
          <cell r="K972">
            <v>2</v>
          </cell>
        </row>
        <row r="973">
          <cell r="B973" t="str">
            <v>Waypoint-Compass</v>
          </cell>
          <cell r="C973" t="str">
            <v>josh26turner/Waypoint-Compass</v>
          </cell>
          <cell r="D973" t="str">
            <v>josh26turner/Waypoint-Compass</v>
          </cell>
          <cell r="E973">
            <v>109</v>
          </cell>
          <cell r="F973">
            <v>0</v>
          </cell>
          <cell r="G973">
            <v>1</v>
          </cell>
          <cell r="H973">
            <v>29776</v>
          </cell>
          <cell r="I973">
            <v>1</v>
          </cell>
          <cell r="J973">
            <v>1</v>
          </cell>
          <cell r="K973">
            <v>0</v>
          </cell>
        </row>
        <row r="974">
          <cell r="B974" t="str">
            <v>privacy-friendly-boardgame-clock</v>
          </cell>
          <cell r="C974" t="str">
            <v>SecUSo/privacy-friendly-boardgame-clock</v>
          </cell>
          <cell r="D974" t="str">
            <v>SecUSo/privacy-friendly-boardgame-clock</v>
          </cell>
          <cell r="E974">
            <v>109</v>
          </cell>
          <cell r="F974">
            <v>5</v>
          </cell>
          <cell r="G974">
            <v>8</v>
          </cell>
          <cell r="H974">
            <v>77824</v>
          </cell>
          <cell r="I974">
            <v>3</v>
          </cell>
          <cell r="J974">
            <v>7</v>
          </cell>
          <cell r="K974">
            <v>3</v>
          </cell>
        </row>
        <row r="975">
          <cell r="B975" t="str">
            <v>privacy-friendly-ruler</v>
          </cell>
          <cell r="C975" t="str">
            <v>SecUSo/privacy-friendly-ruler</v>
          </cell>
          <cell r="D975" t="str">
            <v>SecUSo/privacy-friendly-ruler</v>
          </cell>
          <cell r="E975">
            <v>109</v>
          </cell>
          <cell r="F975">
            <v>7</v>
          </cell>
          <cell r="G975">
            <v>7</v>
          </cell>
          <cell r="H975">
            <v>922</v>
          </cell>
          <cell r="I975">
            <v>13</v>
          </cell>
          <cell r="J975">
            <v>26</v>
          </cell>
          <cell r="K975">
            <v>14</v>
          </cell>
        </row>
        <row r="976">
          <cell r="B976" t="str">
            <v>Gloom</v>
          </cell>
          <cell r="C976" t="str">
            <v>MateriiApps/Gloom</v>
          </cell>
          <cell r="D976" t="str">
            <v>MateriiApps/Gloom</v>
          </cell>
          <cell r="E976">
            <v>109</v>
          </cell>
          <cell r="F976">
            <v>11</v>
          </cell>
          <cell r="G976">
            <v>11</v>
          </cell>
          <cell r="H976">
            <v>1240</v>
          </cell>
          <cell r="I976">
            <v>6</v>
          </cell>
          <cell r="J976">
            <v>133</v>
          </cell>
          <cell r="K976">
            <v>6</v>
          </cell>
        </row>
        <row r="977">
          <cell r="B977" t="str">
            <v>My-Music</v>
          </cell>
          <cell r="C977" t="str">
            <v>shounak-dev/My-Music</v>
          </cell>
          <cell r="D977" t="str">
            <v>shounak-dev/My-Music</v>
          </cell>
          <cell r="E977">
            <v>109</v>
          </cell>
          <cell r="F977">
            <v>32</v>
          </cell>
          <cell r="G977">
            <v>14</v>
          </cell>
          <cell r="H977">
            <v>673</v>
          </cell>
          <cell r="I977">
            <v>12</v>
          </cell>
          <cell r="J977">
            <v>8</v>
          </cell>
          <cell r="K977">
            <v>6</v>
          </cell>
        </row>
        <row r="978">
          <cell r="B978" t="str">
            <v>raag</v>
          </cell>
          <cell r="C978" t="str">
            <v>raag-music/raag</v>
          </cell>
          <cell r="D978" t="str">
            <v>raag-music/raag</v>
          </cell>
          <cell r="E978">
            <v>109</v>
          </cell>
          <cell r="F978">
            <v>39</v>
          </cell>
          <cell r="G978">
            <v>8</v>
          </cell>
          <cell r="H978">
            <v>28249</v>
          </cell>
          <cell r="I978">
            <v>20</v>
          </cell>
          <cell r="J978">
            <v>97</v>
          </cell>
          <cell r="K978">
            <v>11</v>
          </cell>
        </row>
        <row r="979">
          <cell r="B979" t="str">
            <v>CrossPlatformVstHost</v>
          </cell>
          <cell r="C979" t="str">
            <v>RinoReyns/CrossPlatformVstHost</v>
          </cell>
          <cell r="D979" t="str">
            <v>RinoReyns/CrossPlatformVstHost</v>
          </cell>
          <cell r="E979">
            <v>109</v>
          </cell>
          <cell r="F979">
            <v>40</v>
          </cell>
          <cell r="G979">
            <v>1</v>
          </cell>
          <cell r="H979">
            <v>1088</v>
          </cell>
          <cell r="I979">
            <v>0</v>
          </cell>
          <cell r="J979">
            <v>10</v>
          </cell>
          <cell r="K979">
            <v>0</v>
          </cell>
        </row>
        <row r="980">
          <cell r="B980" t="str">
            <v>Nearby-Live</v>
          </cell>
          <cell r="C980" t="str">
            <v>N3TC4T/Nearby-Live</v>
          </cell>
          <cell r="D980" t="str">
            <v>N3TC4T/Nearby-Live</v>
          </cell>
          <cell r="E980">
            <v>110</v>
          </cell>
          <cell r="F980">
            <v>1</v>
          </cell>
          <cell r="G980">
            <v>1</v>
          </cell>
          <cell r="H980">
            <v>12315</v>
          </cell>
          <cell r="I980">
            <v>37</v>
          </cell>
          <cell r="J980">
            <v>90</v>
          </cell>
          <cell r="K980">
            <v>3</v>
          </cell>
        </row>
        <row r="981">
          <cell r="B981" t="str">
            <v>nextcloud-quicknotes-android</v>
          </cell>
          <cell r="C981" t="str">
            <v>matiasdelellis/nextcloud-quicknotes-android</v>
          </cell>
          <cell r="D981" t="str">
            <v>matiasdelellis/nextcloud-quicknotes-android</v>
          </cell>
          <cell r="E981">
            <v>110</v>
          </cell>
          <cell r="F981">
            <v>4</v>
          </cell>
          <cell r="G981">
            <v>3</v>
          </cell>
          <cell r="H981">
            <v>715</v>
          </cell>
          <cell r="I981">
            <v>5</v>
          </cell>
          <cell r="J981">
            <v>16</v>
          </cell>
          <cell r="K981">
            <v>15</v>
          </cell>
        </row>
        <row r="982">
          <cell r="B982" t="str">
            <v>WebMark</v>
          </cell>
          <cell r="C982" t="str">
            <v>Tunous/WebMark</v>
          </cell>
          <cell r="D982" t="str">
            <v>Tunous/WebMark</v>
          </cell>
          <cell r="E982">
            <v>111</v>
          </cell>
          <cell r="F982">
            <v>1</v>
          </cell>
          <cell r="G982">
            <v>1</v>
          </cell>
          <cell r="H982">
            <v>1251</v>
          </cell>
          <cell r="I982">
            <v>1</v>
          </cell>
          <cell r="J982">
            <v>5</v>
          </cell>
          <cell r="K982">
            <v>3</v>
          </cell>
        </row>
        <row r="983">
          <cell r="B983" t="str">
            <v>net.kibotu.android.deviceinfo</v>
          </cell>
          <cell r="C983" t="str">
            <v>kibotu/net.kibotu.android.deviceinfo</v>
          </cell>
          <cell r="D983" t="str">
            <v>kibotu/net.kibotu.android.deviceinfo</v>
          </cell>
          <cell r="E983">
            <v>111</v>
          </cell>
          <cell r="F983">
            <v>2</v>
          </cell>
          <cell r="G983">
            <v>1</v>
          </cell>
          <cell r="H983">
            <v>9395</v>
          </cell>
          <cell r="I983">
            <v>22</v>
          </cell>
          <cell r="J983">
            <v>34</v>
          </cell>
          <cell r="K983">
            <v>10</v>
          </cell>
        </row>
        <row r="984">
          <cell r="B984" t="str">
            <v>mCerebrum-MicrosoftBand</v>
          </cell>
          <cell r="C984" t="str">
            <v>MD2Korg/mCerebrum-MicrosoftBand</v>
          </cell>
          <cell r="D984" t="str">
            <v>MD2Korg/mCerebrum-MicrosoftBand</v>
          </cell>
          <cell r="E984">
            <v>111</v>
          </cell>
          <cell r="F984">
            <v>4</v>
          </cell>
          <cell r="G984">
            <v>4</v>
          </cell>
          <cell r="H984">
            <v>2095</v>
          </cell>
          <cell r="I984">
            <v>1</v>
          </cell>
          <cell r="J984">
            <v>1</v>
          </cell>
          <cell r="K984">
            <v>1</v>
          </cell>
        </row>
        <row r="985">
          <cell r="B985" t="str">
            <v>kotlin-surfaceduo-duobahn</v>
          </cell>
          <cell r="C985" t="str">
            <v>tscholze/kotlin-surfaceduo-duobahn</v>
          </cell>
          <cell r="D985" t="str">
            <v>tscholze/kotlin-surfaceduo-duobahn</v>
          </cell>
          <cell r="E985">
            <v>111</v>
          </cell>
          <cell r="F985">
            <v>8</v>
          </cell>
          <cell r="G985">
            <v>2</v>
          </cell>
          <cell r="H985">
            <v>13813</v>
          </cell>
          <cell r="I985">
            <v>2</v>
          </cell>
          <cell r="J985">
            <v>3</v>
          </cell>
          <cell r="K985">
            <v>7</v>
          </cell>
        </row>
        <row r="986">
          <cell r="B986" t="str">
            <v>bookend-android-ios</v>
          </cell>
          <cell r="C986" t="str">
            <v>LuiSauter/bookend-android-ios</v>
          </cell>
          <cell r="D986" t="str">
            <v>LuiSauter/bookend-android-ios</v>
          </cell>
          <cell r="E986">
            <v>111</v>
          </cell>
          <cell r="F986">
            <v>9</v>
          </cell>
          <cell r="G986">
            <v>2</v>
          </cell>
          <cell r="H986">
            <v>2135</v>
          </cell>
          <cell r="I986">
            <v>0</v>
          </cell>
          <cell r="J986">
            <v>2</v>
          </cell>
          <cell r="K986">
            <v>0</v>
          </cell>
        </row>
        <row r="987">
          <cell r="B987" t="str">
            <v>a2ln-app</v>
          </cell>
          <cell r="C987" t="str">
            <v>patri9ck/a2ln-app</v>
          </cell>
          <cell r="D987" t="str">
            <v>patri9ck/a2ln-app</v>
          </cell>
          <cell r="E987">
            <v>111</v>
          </cell>
          <cell r="F987">
            <v>15</v>
          </cell>
          <cell r="G987">
            <v>6</v>
          </cell>
          <cell r="H987">
            <v>3613</v>
          </cell>
          <cell r="I987">
            <v>3</v>
          </cell>
          <cell r="J987">
            <v>49</v>
          </cell>
          <cell r="K987">
            <v>1</v>
          </cell>
        </row>
        <row r="988">
          <cell r="B988" t="str">
            <v>kanji-recognition-android</v>
          </cell>
          <cell r="C988" t="str">
            <v>ichisadashioko/kanji-recognition-android</v>
          </cell>
          <cell r="D988" t="str">
            <v>ichisadashioko/kanji-recognition-android</v>
          </cell>
          <cell r="E988">
            <v>111</v>
          </cell>
          <cell r="F988">
            <v>15</v>
          </cell>
          <cell r="G988">
            <v>1</v>
          </cell>
          <cell r="H988">
            <v>6774</v>
          </cell>
          <cell r="I988">
            <v>2</v>
          </cell>
          <cell r="J988">
            <v>13</v>
          </cell>
          <cell r="K988">
            <v>5</v>
          </cell>
        </row>
        <row r="989">
          <cell r="B989" t="str">
            <v>MultiplatformGithubTopics</v>
          </cell>
          <cell r="C989" t="str">
            <v>jakepurple13/MultiplatformGithubTopics</v>
          </cell>
          <cell r="D989" t="str">
            <v>jakepurple13/MultiplatformGithubTopics</v>
          </cell>
          <cell r="E989">
            <v>111</v>
          </cell>
          <cell r="F989">
            <v>22</v>
          </cell>
          <cell r="G989">
            <v>2</v>
          </cell>
          <cell r="H989">
            <v>1267</v>
          </cell>
          <cell r="I989">
            <v>0</v>
          </cell>
          <cell r="J989">
            <v>2</v>
          </cell>
          <cell r="K989">
            <v>11</v>
          </cell>
        </row>
        <row r="990">
          <cell r="B990" t="str">
            <v>VNAVI</v>
          </cell>
          <cell r="C990" t="str">
            <v>AntonioShen/VNAVI</v>
          </cell>
          <cell r="D990" t="str">
            <v>xingbpshen/VNAVI</v>
          </cell>
          <cell r="E990">
            <v>111</v>
          </cell>
          <cell r="F990">
            <v>29</v>
          </cell>
          <cell r="G990">
            <v>2</v>
          </cell>
          <cell r="H990">
            <v>74745</v>
          </cell>
          <cell r="I990">
            <v>2</v>
          </cell>
          <cell r="J990">
            <v>3</v>
          </cell>
          <cell r="K990">
            <v>0</v>
          </cell>
        </row>
        <row r="991">
          <cell r="B991" t="str">
            <v>vergiss-nix</v>
          </cell>
          <cell r="C991" t="str">
            <v>andipabst/vergiss-nix</v>
          </cell>
          <cell r="D991" t="str">
            <v>andipabst/vergiss-nix</v>
          </cell>
          <cell r="E991">
            <v>112</v>
          </cell>
          <cell r="F991">
            <v>1</v>
          </cell>
          <cell r="G991">
            <v>2</v>
          </cell>
          <cell r="H991">
            <v>671</v>
          </cell>
          <cell r="I991">
            <v>0</v>
          </cell>
          <cell r="J991">
            <v>1</v>
          </cell>
          <cell r="K991">
            <v>2</v>
          </cell>
        </row>
        <row r="992">
          <cell r="B992" t="str">
            <v>GroupNo1-Vehicular-Traffic-Abatement</v>
          </cell>
          <cell r="C992" t="str">
            <v>BE-PROJECTS2018/GroupNo1-Vehicular-Traffic-Abatement</v>
          </cell>
          <cell r="D992" t="str">
            <v>BE-PROJECTS2018/GroupNo1-Vehicular-Traffic-Abatement</v>
          </cell>
          <cell r="E992">
            <v>112</v>
          </cell>
          <cell r="F992">
            <v>9</v>
          </cell>
          <cell r="G992">
            <v>5</v>
          </cell>
          <cell r="H992">
            <v>14640</v>
          </cell>
          <cell r="I992">
            <v>3</v>
          </cell>
          <cell r="J992">
            <v>4</v>
          </cell>
          <cell r="K992">
            <v>0</v>
          </cell>
        </row>
        <row r="993">
          <cell r="B993" t="str">
            <v>archwiki-viewer</v>
          </cell>
          <cell r="C993" t="str">
            <v>kevinhinterlong/archwiki-viewer</v>
          </cell>
          <cell r="D993" t="str">
            <v>kevinhinterlong/archwiki-viewer</v>
          </cell>
          <cell r="E993">
            <v>112</v>
          </cell>
          <cell r="F993">
            <v>47</v>
          </cell>
          <cell r="G993">
            <v>11</v>
          </cell>
          <cell r="H993">
            <v>4587</v>
          </cell>
          <cell r="I993">
            <v>12</v>
          </cell>
          <cell r="J993">
            <v>70</v>
          </cell>
          <cell r="K993">
            <v>12</v>
          </cell>
        </row>
        <row r="994">
          <cell r="B994" t="str">
            <v>DeckBox</v>
          </cell>
          <cell r="C994" t="str">
            <v>r0adkll/DeckBox</v>
          </cell>
          <cell r="D994" t="str">
            <v>r0adkll/DeckBox</v>
          </cell>
          <cell r="E994">
            <v>112</v>
          </cell>
          <cell r="F994">
            <v>55</v>
          </cell>
          <cell r="G994">
            <v>3</v>
          </cell>
          <cell r="H994">
            <v>16187</v>
          </cell>
          <cell r="I994">
            <v>11</v>
          </cell>
          <cell r="J994">
            <v>54</v>
          </cell>
          <cell r="K994">
            <v>28</v>
          </cell>
        </row>
        <row r="995">
          <cell r="B995" t="str">
            <v>Perfectus</v>
          </cell>
          <cell r="C995" t="str">
            <v>Coinfo/Perfectus</v>
          </cell>
          <cell r="D995" t="str">
            <v>vapoyan/Perfectus</v>
          </cell>
          <cell r="E995">
            <v>112</v>
          </cell>
          <cell r="F995">
            <v>60</v>
          </cell>
          <cell r="G995">
            <v>1</v>
          </cell>
          <cell r="H995">
            <v>1437</v>
          </cell>
          <cell r="I995">
            <v>3</v>
          </cell>
          <cell r="J995">
            <v>15</v>
          </cell>
          <cell r="K995">
            <v>0</v>
          </cell>
        </row>
        <row r="996">
          <cell r="B996" t="str">
            <v>price-per-unit</v>
          </cell>
          <cell r="C996" t="str">
            <v>brentvollebregt/price-per-unit</v>
          </cell>
          <cell r="D996" t="str">
            <v>brentvollebregt/price-per-unit</v>
          </cell>
          <cell r="E996">
            <v>113</v>
          </cell>
          <cell r="F996">
            <v>5</v>
          </cell>
          <cell r="G996">
            <v>5</v>
          </cell>
          <cell r="H996">
            <v>7337</v>
          </cell>
          <cell r="I996">
            <v>2</v>
          </cell>
          <cell r="J996">
            <v>23</v>
          </cell>
          <cell r="K996">
            <v>4</v>
          </cell>
        </row>
        <row r="997">
          <cell r="B997" t="str">
            <v>code_wars_android</v>
          </cell>
          <cell r="C997" t="str">
            <v>ice1000/code_wars_android</v>
          </cell>
          <cell r="D997" t="str">
            <v>ice1000/code_wars_android</v>
          </cell>
          <cell r="E997">
            <v>114</v>
          </cell>
          <cell r="F997">
            <v>0</v>
          </cell>
          <cell r="G997">
            <v>1</v>
          </cell>
          <cell r="H997">
            <v>183</v>
          </cell>
          <cell r="I997">
            <v>1</v>
          </cell>
          <cell r="J997">
            <v>49</v>
          </cell>
          <cell r="K997">
            <v>1</v>
          </cell>
        </row>
        <row r="998">
          <cell r="B998" t="str">
            <v>Wellness_meter</v>
          </cell>
          <cell r="C998" t="str">
            <v>skmodi649/Wellness_meter</v>
          </cell>
          <cell r="D998" t="str">
            <v>skmodi649/Wellness_meter</v>
          </cell>
          <cell r="E998">
            <v>114</v>
          </cell>
          <cell r="F998">
            <v>2</v>
          </cell>
          <cell r="G998">
            <v>2</v>
          </cell>
          <cell r="H998">
            <v>11538</v>
          </cell>
          <cell r="I998">
            <v>1</v>
          </cell>
          <cell r="J998">
            <v>2</v>
          </cell>
          <cell r="K998">
            <v>0</v>
          </cell>
        </row>
        <row r="999">
          <cell r="B999" t="str">
            <v>USBHIDTerminal</v>
          </cell>
          <cell r="C999" t="str">
            <v>452/USBHIDTerminal</v>
          </cell>
          <cell r="D999" t="str">
            <v>452/USBHIDTerminal</v>
          </cell>
          <cell r="E999">
            <v>114</v>
          </cell>
          <cell r="F999">
            <v>7</v>
          </cell>
          <cell r="G999">
            <v>3</v>
          </cell>
          <cell r="H999">
            <v>606</v>
          </cell>
          <cell r="I999">
            <v>53</v>
          </cell>
          <cell r="J999">
            <v>114</v>
          </cell>
          <cell r="K999">
            <v>6</v>
          </cell>
        </row>
        <row r="1000">
          <cell r="B1000" t="str">
            <v>RSSAid</v>
          </cell>
          <cell r="C1000" t="str">
            <v>LeetaoGoooo/RSSAid</v>
          </cell>
          <cell r="D1000" t="str">
            <v>LeetaoGoooo/RSSAid</v>
          </cell>
          <cell r="E1000">
            <v>114</v>
          </cell>
          <cell r="F1000">
            <v>10</v>
          </cell>
          <cell r="G1000">
            <v>4</v>
          </cell>
          <cell r="H1000">
            <v>1590</v>
          </cell>
          <cell r="I1000">
            <v>36</v>
          </cell>
          <cell r="J1000">
            <v>609</v>
          </cell>
          <cell r="K1000">
            <v>0</v>
          </cell>
        </row>
        <row r="1001">
          <cell r="B1001" t="str">
            <v>privacy-friendly-memo-game</v>
          </cell>
          <cell r="C1001" t="str">
            <v>SecUSo/privacy-friendly-memo-game</v>
          </cell>
          <cell r="D1001" t="str">
            <v>SecUSo/privacy-friendly-memo-game</v>
          </cell>
          <cell r="E1001">
            <v>114</v>
          </cell>
          <cell r="F1001">
            <v>15</v>
          </cell>
          <cell r="G1001">
            <v>10</v>
          </cell>
          <cell r="H1001">
            <v>4729</v>
          </cell>
          <cell r="I1001">
            <v>24</v>
          </cell>
          <cell r="J1001">
            <v>22</v>
          </cell>
          <cell r="K1001">
            <v>10</v>
          </cell>
        </row>
        <row r="1002">
          <cell r="B1002" t="str">
            <v>Harmony</v>
          </cell>
          <cell r="C1002" t="str">
            <v>pablobaxter/Harmony</v>
          </cell>
          <cell r="D1002" t="str">
            <v>pablobaxter/Harmony</v>
          </cell>
          <cell r="E1002">
            <v>114</v>
          </cell>
          <cell r="F1002">
            <v>36</v>
          </cell>
          <cell r="G1002">
            <v>1</v>
          </cell>
          <cell r="H1002">
            <v>609</v>
          </cell>
          <cell r="I1002">
            <v>6</v>
          </cell>
          <cell r="J1002">
            <v>70</v>
          </cell>
          <cell r="K1002">
            <v>1</v>
          </cell>
        </row>
        <row r="1003">
          <cell r="B1003" t="str">
            <v>trinkster</v>
          </cell>
          <cell r="C1003" t="str">
            <v>trinkster/trinkster</v>
          </cell>
          <cell r="D1003" t="str">
            <v>trinkster/trinkster</v>
          </cell>
          <cell r="E1003">
            <v>115</v>
          </cell>
          <cell r="F1003">
            <v>0</v>
          </cell>
          <cell r="G1003">
            <v>3</v>
          </cell>
          <cell r="H1003">
            <v>1103</v>
          </cell>
          <cell r="I1003">
            <v>0</v>
          </cell>
          <cell r="J1003">
            <v>1</v>
          </cell>
          <cell r="K1003">
            <v>0</v>
          </cell>
        </row>
        <row r="1004">
          <cell r="B1004" t="str">
            <v>objectbox-performance</v>
          </cell>
          <cell r="C1004" t="str">
            <v>objectbox/objectbox-performance</v>
          </cell>
          <cell r="D1004" t="str">
            <v>objectbox/objectbox-performance</v>
          </cell>
          <cell r="E1004">
            <v>115</v>
          </cell>
          <cell r="F1004">
            <v>3</v>
          </cell>
          <cell r="G1004">
            <v>2</v>
          </cell>
          <cell r="H1004">
            <v>338</v>
          </cell>
          <cell r="I1004">
            <v>30</v>
          </cell>
          <cell r="J1004">
            <v>116</v>
          </cell>
          <cell r="K1004">
            <v>4</v>
          </cell>
        </row>
        <row r="1005">
          <cell r="B1005" t="str">
            <v>NiceVieoPlayer</v>
          </cell>
          <cell r="C1005" t="str">
            <v>jianjunxiao/NiceVieoPlayer</v>
          </cell>
          <cell r="D1005" t="str">
            <v>jianjunxiao/NiceVieoPlayer</v>
          </cell>
          <cell r="E1005">
            <v>115</v>
          </cell>
          <cell r="F1005">
            <v>4</v>
          </cell>
          <cell r="G1005">
            <v>1</v>
          </cell>
          <cell r="H1005">
            <v>17826</v>
          </cell>
          <cell r="I1005">
            <v>477</v>
          </cell>
          <cell r="J1005">
            <v>2167</v>
          </cell>
          <cell r="K1005">
            <v>103</v>
          </cell>
        </row>
        <row r="1006">
          <cell r="B1006" t="str">
            <v>MediumClap-Android</v>
          </cell>
          <cell r="C1006" t="str">
            <v>wajahatkarim3/MediumClap-Android</v>
          </cell>
          <cell r="D1006" t="str">
            <v>wajahatkarim3/MediumClap-Android</v>
          </cell>
          <cell r="E1006">
            <v>115</v>
          </cell>
          <cell r="F1006">
            <v>9</v>
          </cell>
          <cell r="G1006">
            <v>2</v>
          </cell>
          <cell r="H1006">
            <v>1420</v>
          </cell>
          <cell r="I1006">
            <v>59</v>
          </cell>
          <cell r="J1006">
            <v>494</v>
          </cell>
          <cell r="K1006">
            <v>7</v>
          </cell>
        </row>
        <row r="1007">
          <cell r="B1007" t="str">
            <v>EvrimNews</v>
          </cell>
          <cell r="C1007" t="str">
            <v>ozelevrim/EvrimNews</v>
          </cell>
          <cell r="D1007" t="str">
            <v>ozelevrim/EvrimNews</v>
          </cell>
          <cell r="E1007">
            <v>115</v>
          </cell>
          <cell r="F1007">
            <v>14</v>
          </cell>
          <cell r="G1007">
            <v>1</v>
          </cell>
          <cell r="H1007">
            <v>334546</v>
          </cell>
          <cell r="I1007">
            <v>2</v>
          </cell>
          <cell r="J1007">
            <v>2</v>
          </cell>
          <cell r="K1007">
            <v>9</v>
          </cell>
        </row>
        <row r="1008">
          <cell r="B1008" t="str">
            <v>Mauth</v>
          </cell>
          <cell r="C1008" t="str">
            <v>X1nto/Mauth</v>
          </cell>
          <cell r="D1008" t="str">
            <v>X1nto/Mauth</v>
          </cell>
          <cell r="E1008">
            <v>115</v>
          </cell>
          <cell r="F1008">
            <v>16</v>
          </cell>
          <cell r="G1008">
            <v>11</v>
          </cell>
          <cell r="H1008">
            <v>3337</v>
          </cell>
          <cell r="I1008">
            <v>9</v>
          </cell>
          <cell r="J1008">
            <v>250</v>
          </cell>
          <cell r="K1008">
            <v>14</v>
          </cell>
        </row>
        <row r="1009">
          <cell r="B1009" t="str">
            <v>spending_tracker</v>
          </cell>
          <cell r="C1009" t="str">
            <v>MCarlomagno/spending_tracker</v>
          </cell>
          <cell r="D1009" t="str">
            <v>MCarlomagno/spending_tracker</v>
          </cell>
          <cell r="E1009">
            <v>115</v>
          </cell>
          <cell r="F1009">
            <v>22</v>
          </cell>
          <cell r="G1009">
            <v>1</v>
          </cell>
          <cell r="H1009">
            <v>3774</v>
          </cell>
          <cell r="I1009">
            <v>1</v>
          </cell>
          <cell r="J1009">
            <v>1</v>
          </cell>
          <cell r="K1009">
            <v>1</v>
          </cell>
        </row>
        <row r="1010">
          <cell r="B1010" t="str">
            <v>Kaesekaestchen</v>
          </cell>
          <cell r="C1010" t="str">
            <v>StefanOltmann/Kaesekaestchen</v>
          </cell>
          <cell r="D1010" t="str">
            <v>StefanOltmann/Kaesekaestchen</v>
          </cell>
          <cell r="E1010">
            <v>115</v>
          </cell>
          <cell r="F1010">
            <v>67</v>
          </cell>
          <cell r="G1010">
            <v>4</v>
          </cell>
          <cell r="H1010">
            <v>4770</v>
          </cell>
          <cell r="I1010">
            <v>5</v>
          </cell>
          <cell r="J1010">
            <v>5</v>
          </cell>
          <cell r="K1010">
            <v>0</v>
          </cell>
        </row>
        <row r="1011">
          <cell r="B1011" t="str">
            <v>my-fitness-app</v>
          </cell>
          <cell r="C1011" t="str">
            <v>Umfi/my-fitness-app</v>
          </cell>
          <cell r="D1011" t="str">
            <v>Umfi/my-fitness-app</v>
          </cell>
          <cell r="E1011">
            <v>116</v>
          </cell>
          <cell r="F1011">
            <v>0</v>
          </cell>
          <cell r="G1011">
            <v>1</v>
          </cell>
          <cell r="H1011">
            <v>25468</v>
          </cell>
          <cell r="I1011">
            <v>3</v>
          </cell>
          <cell r="J1011">
            <v>11</v>
          </cell>
          <cell r="K1011">
            <v>0</v>
          </cell>
        </row>
        <row r="1012">
          <cell r="B1012" t="str">
            <v>GrabRedEnvelope</v>
          </cell>
          <cell r="C1012" t="str">
            <v>xbdcc/GrabRedEnvelope</v>
          </cell>
          <cell r="D1012" t="str">
            <v>xbdcc/GrabRedEnvelope</v>
          </cell>
          <cell r="E1012">
            <v>116</v>
          </cell>
          <cell r="F1012">
            <v>0</v>
          </cell>
          <cell r="G1012">
            <v>1</v>
          </cell>
          <cell r="H1012">
            <v>13704</v>
          </cell>
          <cell r="I1012">
            <v>130</v>
          </cell>
          <cell r="J1012">
            <v>456</v>
          </cell>
          <cell r="K1012">
            <v>1</v>
          </cell>
        </row>
        <row r="1013">
          <cell r="B1013" t="str">
            <v>AndroidSSH</v>
          </cell>
          <cell r="C1013" t="str">
            <v>jonghough/AndroidSSH</v>
          </cell>
          <cell r="D1013" t="str">
            <v>jonghough/AndroidSSH</v>
          </cell>
          <cell r="E1013">
            <v>116</v>
          </cell>
          <cell r="F1013">
            <v>1</v>
          </cell>
          <cell r="G1013">
            <v>2</v>
          </cell>
          <cell r="H1013">
            <v>3602</v>
          </cell>
          <cell r="I1013">
            <v>46</v>
          </cell>
          <cell r="J1013">
            <v>95</v>
          </cell>
          <cell r="K1013">
            <v>7</v>
          </cell>
        </row>
        <row r="1014">
          <cell r="B1014" t="str">
            <v>zeptobird</v>
          </cell>
          <cell r="C1014" t="str">
            <v>proydakov/zeptobird</v>
          </cell>
          <cell r="D1014" t="str">
            <v>proydakov/zeptobird</v>
          </cell>
          <cell r="E1014">
            <v>116</v>
          </cell>
          <cell r="F1014">
            <v>1</v>
          </cell>
          <cell r="G1014">
            <v>2</v>
          </cell>
          <cell r="H1014">
            <v>5250</v>
          </cell>
          <cell r="I1014">
            <v>0</v>
          </cell>
          <cell r="J1014">
            <v>5</v>
          </cell>
          <cell r="K1014">
            <v>0</v>
          </cell>
        </row>
        <row r="1015">
          <cell r="B1015" t="str">
            <v>FaceRecognitionApp</v>
          </cell>
          <cell r="C1015" t="str">
            <v>Lauszus/FaceRecognitionApp</v>
          </cell>
          <cell r="D1015" t="str">
            <v>Lauszus/FaceRecognitionApp</v>
          </cell>
          <cell r="E1015">
            <v>116</v>
          </cell>
          <cell r="F1015">
            <v>5</v>
          </cell>
          <cell r="G1015">
            <v>1</v>
          </cell>
          <cell r="H1015">
            <v>12744</v>
          </cell>
          <cell r="I1015">
            <v>238</v>
          </cell>
          <cell r="J1015">
            <v>481</v>
          </cell>
          <cell r="K1015">
            <v>2</v>
          </cell>
        </row>
        <row r="1016">
          <cell r="B1016" t="str">
            <v>CollinsDictionary</v>
          </cell>
          <cell r="C1016" t="str">
            <v>Konyaco/CollinsDictionary</v>
          </cell>
          <cell r="D1016" t="str">
            <v>Konyaco/CollinsDictionary</v>
          </cell>
          <cell r="E1016">
            <v>116</v>
          </cell>
          <cell r="F1016">
            <v>12</v>
          </cell>
          <cell r="G1016">
            <v>5</v>
          </cell>
          <cell r="H1016">
            <v>6265</v>
          </cell>
          <cell r="I1016">
            <v>7</v>
          </cell>
          <cell r="J1016">
            <v>74</v>
          </cell>
          <cell r="K1016">
            <v>2</v>
          </cell>
        </row>
        <row r="1017">
          <cell r="B1017" t="str">
            <v>food_delivery_ui_flutter</v>
          </cell>
          <cell r="C1017" t="str">
            <v>edilsonmatola/food_delivery_ui_flutter</v>
          </cell>
          <cell r="D1017" t="str">
            <v>edilsonmatola/food_delivery_ui_flutter</v>
          </cell>
          <cell r="E1017">
            <v>116</v>
          </cell>
          <cell r="F1017">
            <v>14</v>
          </cell>
          <cell r="G1017">
            <v>3</v>
          </cell>
          <cell r="H1017">
            <v>21031</v>
          </cell>
          <cell r="I1017">
            <v>1</v>
          </cell>
          <cell r="J1017">
            <v>9</v>
          </cell>
          <cell r="K1017">
            <v>0</v>
          </cell>
        </row>
        <row r="1018">
          <cell r="B1018" t="str">
            <v>ClusTMPay-SIH2019</v>
          </cell>
          <cell r="C1018" t="str">
            <v>MexsonFernandes/ClusTMPay-SIH2019</v>
          </cell>
          <cell r="D1018" t="str">
            <v>MexsonFernandes/ClusTMPay-SIH2019</v>
          </cell>
          <cell r="E1018">
            <v>116</v>
          </cell>
          <cell r="F1018">
            <v>27</v>
          </cell>
          <cell r="G1018">
            <v>8</v>
          </cell>
          <cell r="H1018">
            <v>29226</v>
          </cell>
          <cell r="I1018">
            <v>2</v>
          </cell>
          <cell r="J1018">
            <v>6</v>
          </cell>
          <cell r="K1018">
            <v>9</v>
          </cell>
        </row>
        <row r="1019">
          <cell r="B1019" t="str">
            <v>bananapeel</v>
          </cell>
          <cell r="C1019" t="str">
            <v>mniip/bananapeel</v>
          </cell>
          <cell r="D1019" t="str">
            <v>mniip/bananapeel</v>
          </cell>
          <cell r="E1019">
            <v>117</v>
          </cell>
          <cell r="F1019">
            <v>0</v>
          </cell>
          <cell r="G1019">
            <v>2</v>
          </cell>
          <cell r="H1019">
            <v>210</v>
          </cell>
          <cell r="I1019">
            <v>0</v>
          </cell>
          <cell r="J1019">
            <v>2</v>
          </cell>
          <cell r="K1019">
            <v>2</v>
          </cell>
        </row>
        <row r="1020">
          <cell r="B1020" t="str">
            <v>Matsuri</v>
          </cell>
          <cell r="C1020" t="str">
            <v>MatsuriDayo/Matsuri</v>
          </cell>
          <cell r="D1020" t="str">
            <v>MatsuriDayo/Matsuri</v>
          </cell>
          <cell r="E1020">
            <v>117</v>
          </cell>
          <cell r="F1020">
            <v>9</v>
          </cell>
          <cell r="G1020">
            <v>4</v>
          </cell>
          <cell r="H1020">
            <v>2564</v>
          </cell>
          <cell r="I1020">
            <v>214</v>
          </cell>
          <cell r="J1020">
            <v>2266</v>
          </cell>
          <cell r="K1020">
            <v>49</v>
          </cell>
        </row>
        <row r="1021">
          <cell r="B1021" t="str">
            <v>IthakaBoardGame</v>
          </cell>
          <cell r="C1021" t="str">
            <v>VelbazhdSoftwareLLC/IthakaBoardGame</v>
          </cell>
          <cell r="D1021" t="str">
            <v>VelbazhdSoftwareLLC/IthakaBoardGame</v>
          </cell>
          <cell r="E1021">
            <v>118</v>
          </cell>
          <cell r="F1021">
            <v>1</v>
          </cell>
          <cell r="G1021">
            <v>2</v>
          </cell>
          <cell r="H1021">
            <v>68697</v>
          </cell>
          <cell r="I1021">
            <v>5</v>
          </cell>
          <cell r="J1021">
            <v>9</v>
          </cell>
          <cell r="K1021">
            <v>1</v>
          </cell>
        </row>
        <row r="1022">
          <cell r="B1022" t="str">
            <v>glut</v>
          </cell>
          <cell r="C1022" t="str">
            <v>Jacknic/glut</v>
          </cell>
          <cell r="D1022" t="str">
            <v>Jacknic/glut</v>
          </cell>
          <cell r="E1022">
            <v>118</v>
          </cell>
          <cell r="F1022">
            <v>1</v>
          </cell>
          <cell r="G1022">
            <v>1</v>
          </cell>
          <cell r="H1022">
            <v>1197</v>
          </cell>
          <cell r="I1022">
            <v>5</v>
          </cell>
          <cell r="J1022">
            <v>14</v>
          </cell>
          <cell r="K1022">
            <v>0</v>
          </cell>
        </row>
        <row r="1023">
          <cell r="B1023" t="str">
            <v>AntennaMap</v>
          </cell>
          <cell r="C1023" t="str">
            <v>platypii/AntennaMap</v>
          </cell>
          <cell r="D1023" t="str">
            <v>platypii/AntennaMap</v>
          </cell>
          <cell r="E1023">
            <v>118</v>
          </cell>
          <cell r="F1023">
            <v>2</v>
          </cell>
          <cell r="G1023">
            <v>2</v>
          </cell>
          <cell r="H1023">
            <v>12680</v>
          </cell>
          <cell r="I1023">
            <v>1</v>
          </cell>
          <cell r="J1023">
            <v>4</v>
          </cell>
          <cell r="K1023">
            <v>0</v>
          </cell>
        </row>
        <row r="1024">
          <cell r="B1024" t="str">
            <v>TheMovieDB</v>
          </cell>
          <cell r="C1024" t="str">
            <v>Skrilltrax/TheMovieDB</v>
          </cell>
          <cell r="D1024" t="str">
            <v>Skrilltrax/TheMovieDB</v>
          </cell>
          <cell r="E1024">
            <v>118</v>
          </cell>
          <cell r="F1024">
            <v>4</v>
          </cell>
          <cell r="G1024">
            <v>1</v>
          </cell>
          <cell r="H1024">
            <v>908</v>
          </cell>
          <cell r="I1024">
            <v>3</v>
          </cell>
          <cell r="J1024">
            <v>17</v>
          </cell>
          <cell r="K1024">
            <v>2</v>
          </cell>
        </row>
        <row r="1025">
          <cell r="B1025" t="str">
            <v>WiFiKeyShare</v>
          </cell>
          <cell r="C1025" t="str">
            <v>bparmentier/WiFiKeyShare</v>
          </cell>
          <cell r="D1025" t="str">
            <v>bparmentier/WiFiKeyShare</v>
          </cell>
          <cell r="E1025">
            <v>118</v>
          </cell>
          <cell r="F1025">
            <v>8</v>
          </cell>
          <cell r="G1025">
            <v>2</v>
          </cell>
          <cell r="H1025">
            <v>3562</v>
          </cell>
          <cell r="I1025">
            <v>38</v>
          </cell>
          <cell r="J1025">
            <v>109</v>
          </cell>
          <cell r="K1025">
            <v>16</v>
          </cell>
        </row>
        <row r="1026">
          <cell r="B1026" t="str">
            <v>sn4ke</v>
          </cell>
          <cell r="C1026" t="str">
            <v>dulvui/sn4ke</v>
          </cell>
          <cell r="D1026" t="str">
            <v>dulvui/sn4ke</v>
          </cell>
          <cell r="E1026">
            <v>119</v>
          </cell>
          <cell r="F1026">
            <v>0</v>
          </cell>
          <cell r="G1026">
            <v>1</v>
          </cell>
          <cell r="H1026">
            <v>3978</v>
          </cell>
          <cell r="I1026">
            <v>0</v>
          </cell>
          <cell r="J1026">
            <v>1</v>
          </cell>
          <cell r="K1026">
            <v>1</v>
          </cell>
        </row>
        <row r="1027">
          <cell r="B1027" t="str">
            <v>privacy-friendly-dice-game</v>
          </cell>
          <cell r="C1027" t="str">
            <v>SecUSo/privacy-friendly-dice-game</v>
          </cell>
          <cell r="D1027" t="str">
            <v>SecUSo/privacy-friendly-dice-game</v>
          </cell>
          <cell r="E1027">
            <v>119</v>
          </cell>
          <cell r="F1027">
            <v>3</v>
          </cell>
          <cell r="G1027">
            <v>7</v>
          </cell>
          <cell r="H1027">
            <v>1269</v>
          </cell>
          <cell r="I1027">
            <v>9</v>
          </cell>
          <cell r="J1027">
            <v>10</v>
          </cell>
          <cell r="K1027">
            <v>2</v>
          </cell>
        </row>
        <row r="1028">
          <cell r="B1028" t="str">
            <v>BitCoinPools</v>
          </cell>
          <cell r="C1028" t="str">
            <v>Javinator9889/BitCoinPools</v>
          </cell>
          <cell r="D1028" t="str">
            <v>Javinator9889/BitCoinPools</v>
          </cell>
          <cell r="E1028">
            <v>119</v>
          </cell>
          <cell r="F1028">
            <v>3</v>
          </cell>
          <cell r="G1028">
            <v>1</v>
          </cell>
          <cell r="H1028">
            <v>206165</v>
          </cell>
          <cell r="I1028">
            <v>2</v>
          </cell>
          <cell r="J1028">
            <v>4</v>
          </cell>
          <cell r="K1028">
            <v>0</v>
          </cell>
        </row>
        <row r="1029">
          <cell r="B1029" t="str">
            <v>HappyBubble</v>
          </cell>
          <cell r="C1029" t="str">
            <v>xujiaji/HappyBubble</v>
          </cell>
          <cell r="D1029" t="str">
            <v>xujiaji/HappyBubble</v>
          </cell>
          <cell r="E1029">
            <v>119</v>
          </cell>
          <cell r="F1029">
            <v>4</v>
          </cell>
          <cell r="G1029">
            <v>2</v>
          </cell>
          <cell r="H1029">
            <v>4490</v>
          </cell>
          <cell r="I1029">
            <v>106</v>
          </cell>
          <cell r="J1029">
            <v>678</v>
          </cell>
          <cell r="K1029">
            <v>8</v>
          </cell>
        </row>
        <row r="1030">
          <cell r="B1030" t="str">
            <v>ChocoBar</v>
          </cell>
          <cell r="C1030" t="str">
            <v>Pradyuman7/ChocoBar</v>
          </cell>
          <cell r="D1030" t="str">
            <v>Pradyuman7/ChocoBar</v>
          </cell>
          <cell r="E1030">
            <v>119</v>
          </cell>
          <cell r="F1030">
            <v>21</v>
          </cell>
          <cell r="G1030">
            <v>10</v>
          </cell>
          <cell r="H1030">
            <v>336</v>
          </cell>
          <cell r="I1030">
            <v>26</v>
          </cell>
          <cell r="J1030">
            <v>123</v>
          </cell>
          <cell r="K1030">
            <v>5</v>
          </cell>
        </row>
        <row r="1031">
          <cell r="B1031" t="str">
            <v>RadioTok</v>
          </cell>
          <cell r="C1031" t="str">
            <v>egorikftp/RadioTok</v>
          </cell>
          <cell r="D1031" t="str">
            <v>egorikftp/RadioTok</v>
          </cell>
          <cell r="E1031">
            <v>119</v>
          </cell>
          <cell r="F1031">
            <v>35</v>
          </cell>
          <cell r="G1031">
            <v>3</v>
          </cell>
          <cell r="H1031">
            <v>1051</v>
          </cell>
          <cell r="I1031">
            <v>7</v>
          </cell>
          <cell r="J1031">
            <v>37</v>
          </cell>
          <cell r="K1031">
            <v>12</v>
          </cell>
        </row>
        <row r="1032">
          <cell r="B1032" t="str">
            <v>Open-FCU</v>
          </cell>
          <cell r="C1032" t="str">
            <v>mikucat0309/Open-FCU</v>
          </cell>
          <cell r="D1032" t="str">
            <v>mikucat0309/Open-FCU</v>
          </cell>
          <cell r="E1032">
            <v>120</v>
          </cell>
          <cell r="F1032">
            <v>5</v>
          </cell>
          <cell r="G1032">
            <v>2</v>
          </cell>
          <cell r="H1032">
            <v>1400</v>
          </cell>
          <cell r="I1032">
            <v>1</v>
          </cell>
          <cell r="J1032">
            <v>9</v>
          </cell>
          <cell r="K1032">
            <v>0</v>
          </cell>
        </row>
        <row r="1033">
          <cell r="B1033" t="str">
            <v>NyanDroid</v>
          </cell>
          <cell r="C1033" t="str">
            <v>powerje/NyanDroid</v>
          </cell>
          <cell r="D1033" t="str">
            <v>powerje/NyanDroid</v>
          </cell>
          <cell r="E1033">
            <v>120</v>
          </cell>
          <cell r="F1033">
            <v>6</v>
          </cell>
          <cell r="G1033">
            <v>2</v>
          </cell>
          <cell r="H1033">
            <v>1150</v>
          </cell>
          <cell r="I1033">
            <v>2</v>
          </cell>
          <cell r="J1033">
            <v>15</v>
          </cell>
          <cell r="K1033">
            <v>2</v>
          </cell>
        </row>
        <row r="1034">
          <cell r="B1034" t="str">
            <v>clear-todolist</v>
          </cell>
          <cell r="C1034" t="str">
            <v>douzifly/clear-todolist</v>
          </cell>
          <cell r="D1034" t="str">
            <v>douzifly/clear-todolist</v>
          </cell>
          <cell r="E1034">
            <v>120</v>
          </cell>
          <cell r="F1034">
            <v>8</v>
          </cell>
          <cell r="G1034">
            <v>4</v>
          </cell>
          <cell r="H1034">
            <v>15966</v>
          </cell>
          <cell r="I1034">
            <v>18</v>
          </cell>
          <cell r="J1034">
            <v>59</v>
          </cell>
          <cell r="K1034">
            <v>28</v>
          </cell>
        </row>
        <row r="1035">
          <cell r="B1035" t="str">
            <v>shortyz</v>
          </cell>
          <cell r="C1035" t="str">
            <v>kebernet/shortyz</v>
          </cell>
          <cell r="D1035" t="str">
            <v>kebernet/shortyz</v>
          </cell>
          <cell r="E1035">
            <v>120</v>
          </cell>
          <cell r="F1035">
            <v>57</v>
          </cell>
          <cell r="G1035">
            <v>8</v>
          </cell>
          <cell r="H1035">
            <v>5275</v>
          </cell>
          <cell r="I1035">
            <v>58</v>
          </cell>
          <cell r="J1035">
            <v>97</v>
          </cell>
          <cell r="K1035">
            <v>126</v>
          </cell>
        </row>
        <row r="1036">
          <cell r="B1036" t="str">
            <v>sherpa-onnx</v>
          </cell>
          <cell r="C1036" t="str">
            <v>k2-fsa/sherpa-onnx</v>
          </cell>
          <cell r="D1036" t="str">
            <v>k2-fsa/sherpa-onnx</v>
          </cell>
          <cell r="E1036">
            <v>120</v>
          </cell>
          <cell r="F1036">
            <v>119</v>
          </cell>
          <cell r="G1036">
            <v>120</v>
          </cell>
          <cell r="H1036">
            <v>857</v>
          </cell>
          <cell r="I1036">
            <v>15</v>
          </cell>
          <cell r="J1036">
            <v>61</v>
          </cell>
          <cell r="K1036">
            <v>5</v>
          </cell>
        </row>
        <row r="1037">
          <cell r="B1037" t="str">
            <v>SamRemote</v>
          </cell>
          <cell r="C1037" t="str">
            <v>mkg20001/SamRemote</v>
          </cell>
          <cell r="D1037" t="str">
            <v>mkg20001/SamRemote</v>
          </cell>
          <cell r="E1037">
            <v>121</v>
          </cell>
          <cell r="F1037">
            <v>1</v>
          </cell>
          <cell r="G1037">
            <v>2</v>
          </cell>
          <cell r="H1037">
            <v>1439</v>
          </cell>
          <cell r="I1037">
            <v>10</v>
          </cell>
          <cell r="J1037">
            <v>37</v>
          </cell>
          <cell r="K1037">
            <v>5</v>
          </cell>
        </row>
        <row r="1038">
          <cell r="B1038" t="str">
            <v>android-accounting</v>
          </cell>
          <cell r="C1038" t="str">
            <v>mohsenyz/android-accounting</v>
          </cell>
          <cell r="D1038" t="str">
            <v>mohsenyz/android-accounting</v>
          </cell>
          <cell r="E1038">
            <v>121</v>
          </cell>
          <cell r="F1038">
            <v>3</v>
          </cell>
          <cell r="G1038">
            <v>2</v>
          </cell>
          <cell r="H1038">
            <v>6654</v>
          </cell>
          <cell r="I1038">
            <v>1</v>
          </cell>
          <cell r="J1038">
            <v>3</v>
          </cell>
          <cell r="K1038">
            <v>1</v>
          </cell>
        </row>
        <row r="1039">
          <cell r="B1039" t="str">
            <v>obsqr</v>
          </cell>
          <cell r="C1039" t="str">
            <v>trikita/obsqr</v>
          </cell>
          <cell r="D1039" t="str">
            <v>trikita/obsqr</v>
          </cell>
          <cell r="E1039">
            <v>121</v>
          </cell>
          <cell r="F1039">
            <v>6</v>
          </cell>
          <cell r="G1039">
            <v>3</v>
          </cell>
          <cell r="H1039">
            <v>1910</v>
          </cell>
          <cell r="I1039">
            <v>19</v>
          </cell>
          <cell r="J1039">
            <v>58</v>
          </cell>
          <cell r="K1039">
            <v>14</v>
          </cell>
        </row>
        <row r="1040">
          <cell r="B1040" t="str">
            <v>DagashiApp-android</v>
          </cell>
          <cell r="C1040" t="str">
            <v>NUmeroAndDev/DagashiApp-android</v>
          </cell>
          <cell r="D1040" t="str">
            <v>NUmeroAndDev/DagashiApp-android</v>
          </cell>
          <cell r="E1040">
            <v>121</v>
          </cell>
          <cell r="F1040">
            <v>14</v>
          </cell>
          <cell r="G1040">
            <v>2</v>
          </cell>
          <cell r="H1040">
            <v>513</v>
          </cell>
          <cell r="I1040">
            <v>2</v>
          </cell>
          <cell r="J1040">
            <v>8</v>
          </cell>
          <cell r="K1040">
            <v>2</v>
          </cell>
        </row>
        <row r="1041">
          <cell r="B1041" t="str">
            <v>elder_launcher</v>
          </cell>
          <cell r="C1041" t="str">
            <v>itsarjunsinh/elder_launcher</v>
          </cell>
          <cell r="D1041" t="str">
            <v>itsarjunsinh/elder_launcher</v>
          </cell>
          <cell r="E1041">
            <v>121</v>
          </cell>
          <cell r="F1041">
            <v>15</v>
          </cell>
          <cell r="G1041">
            <v>5</v>
          </cell>
          <cell r="H1041">
            <v>738</v>
          </cell>
          <cell r="I1041">
            <v>15</v>
          </cell>
          <cell r="J1041">
            <v>31</v>
          </cell>
          <cell r="K1041">
            <v>6</v>
          </cell>
        </row>
        <row r="1042">
          <cell r="B1042" t="str">
            <v>DeezerClone</v>
          </cell>
          <cell r="C1042" t="str">
            <v>fevziomurtekin/DeezerClone</v>
          </cell>
          <cell r="D1042" t="str">
            <v>fevziomurtekin/DeezerClone</v>
          </cell>
          <cell r="E1042">
            <v>121</v>
          </cell>
          <cell r="F1042">
            <v>21</v>
          </cell>
          <cell r="G1042">
            <v>2</v>
          </cell>
          <cell r="H1042">
            <v>15613</v>
          </cell>
          <cell r="I1042">
            <v>9</v>
          </cell>
          <cell r="J1042">
            <v>92</v>
          </cell>
          <cell r="K1042">
            <v>6</v>
          </cell>
        </row>
        <row r="1043">
          <cell r="B1043" t="str">
            <v>app-whois</v>
          </cell>
          <cell r="C1043" t="str">
            <v>vilmacio/app-whois</v>
          </cell>
          <cell r="D1043" t="str">
            <v>vilmacio/app-whois</v>
          </cell>
          <cell r="E1043">
            <v>121</v>
          </cell>
          <cell r="F1043">
            <v>36</v>
          </cell>
          <cell r="G1043">
            <v>2</v>
          </cell>
          <cell r="H1043">
            <v>2561</v>
          </cell>
          <cell r="I1043">
            <v>1</v>
          </cell>
          <cell r="J1043">
            <v>5</v>
          </cell>
          <cell r="K1043">
            <v>0</v>
          </cell>
        </row>
        <row r="1044">
          <cell r="B1044" t="str">
            <v>httptracking</v>
          </cell>
          <cell r="C1044" t="str">
            <v>sieunju/httptracking</v>
          </cell>
          <cell r="D1044" t="str">
            <v>sieunju/httptracking</v>
          </cell>
          <cell r="E1044">
            <v>121</v>
          </cell>
          <cell r="F1044">
            <v>58</v>
          </cell>
          <cell r="G1044">
            <v>1</v>
          </cell>
          <cell r="H1044">
            <v>2087</v>
          </cell>
          <cell r="I1044">
            <v>0</v>
          </cell>
          <cell r="J1044">
            <v>5</v>
          </cell>
          <cell r="K1044">
            <v>1</v>
          </cell>
        </row>
        <row r="1045">
          <cell r="B1045" t="str">
            <v>elfeed-cljsrn</v>
          </cell>
          <cell r="C1045" t="str">
            <v>areina/elfeed-cljsrn</v>
          </cell>
          <cell r="D1045" t="str">
            <v>areina/elfeed-cljsrn</v>
          </cell>
          <cell r="E1045">
            <v>123</v>
          </cell>
          <cell r="F1045">
            <v>2</v>
          </cell>
          <cell r="G1045">
            <v>3</v>
          </cell>
          <cell r="H1045">
            <v>1708</v>
          </cell>
          <cell r="I1045">
            <v>5</v>
          </cell>
          <cell r="J1045">
            <v>89</v>
          </cell>
          <cell r="K1045">
            <v>9</v>
          </cell>
        </row>
        <row r="1046">
          <cell r="B1046" t="str">
            <v>SSLSocks</v>
          </cell>
          <cell r="C1046" t="str">
            <v>comp500/SSLSocks</v>
          </cell>
          <cell r="D1046" t="str">
            <v>comp500/SSLSocks</v>
          </cell>
          <cell r="E1046">
            <v>123</v>
          </cell>
          <cell r="F1046">
            <v>3</v>
          </cell>
          <cell r="G1046">
            <v>1</v>
          </cell>
          <cell r="H1046">
            <v>464</v>
          </cell>
          <cell r="I1046">
            <v>45</v>
          </cell>
          <cell r="J1046">
            <v>105</v>
          </cell>
          <cell r="K1046">
            <v>7</v>
          </cell>
        </row>
        <row r="1047">
          <cell r="B1047" t="str">
            <v>FractalZoo</v>
          </cell>
          <cell r="C1047" t="str">
            <v>comodoro/FractalZoo</v>
          </cell>
          <cell r="D1047" t="str">
            <v>comodoro/FractalZoo</v>
          </cell>
          <cell r="E1047">
            <v>123</v>
          </cell>
          <cell r="F1047">
            <v>6</v>
          </cell>
          <cell r="G1047">
            <v>3</v>
          </cell>
          <cell r="H1047">
            <v>1535</v>
          </cell>
          <cell r="I1047">
            <v>11</v>
          </cell>
          <cell r="J1047">
            <v>8</v>
          </cell>
          <cell r="K1047">
            <v>12</v>
          </cell>
        </row>
        <row r="1048">
          <cell r="B1048" t="str">
            <v>crime_map</v>
          </cell>
          <cell r="C1048" t="str">
            <v>mulieriq/crime_map</v>
          </cell>
          <cell r="D1048" t="str">
            <v>mulieriq/crime_map</v>
          </cell>
          <cell r="E1048">
            <v>123</v>
          </cell>
          <cell r="F1048">
            <v>9</v>
          </cell>
          <cell r="G1048">
            <v>3</v>
          </cell>
          <cell r="H1048">
            <v>542832</v>
          </cell>
          <cell r="I1048">
            <v>2</v>
          </cell>
          <cell r="J1048">
            <v>14</v>
          </cell>
          <cell r="K1048">
            <v>0</v>
          </cell>
        </row>
        <row r="1049">
          <cell r="B1049" t="str">
            <v>CustomBottomSheetBehavior</v>
          </cell>
          <cell r="C1049" t="str">
            <v>miguelhincapie/CustomBottomSheetBehavior</v>
          </cell>
          <cell r="D1049" t="str">
            <v>miguelhincapie/CustomBottomSheetBehavior</v>
          </cell>
          <cell r="E1049">
            <v>123</v>
          </cell>
          <cell r="F1049">
            <v>24</v>
          </cell>
          <cell r="G1049">
            <v>10</v>
          </cell>
          <cell r="H1049">
            <v>8264</v>
          </cell>
          <cell r="I1049">
            <v>186</v>
          </cell>
          <cell r="J1049">
            <v>902</v>
          </cell>
          <cell r="K1049">
            <v>36</v>
          </cell>
        </row>
        <row r="1050">
          <cell r="B1050" t="str">
            <v>lyricly</v>
          </cell>
          <cell r="C1050" t="str">
            <v>felipejoglar/lyricly</v>
          </cell>
          <cell r="D1050" t="str">
            <v>felipejoglar/lyricly</v>
          </cell>
          <cell r="E1050">
            <v>123</v>
          </cell>
          <cell r="F1050">
            <v>25</v>
          </cell>
          <cell r="G1050">
            <v>1</v>
          </cell>
          <cell r="H1050">
            <v>1993</v>
          </cell>
          <cell r="I1050">
            <v>1</v>
          </cell>
          <cell r="J1050">
            <v>6</v>
          </cell>
          <cell r="K1050">
            <v>1</v>
          </cell>
        </row>
        <row r="1051">
          <cell r="B1051" t="str">
            <v>JetQuotes</v>
          </cell>
          <cell r="C1051" t="str">
            <v>Spikeysanju/JetQuotes</v>
          </cell>
          <cell r="D1051" t="str">
            <v>Spikeysanju/JetQuotes</v>
          </cell>
          <cell r="E1051">
            <v>123</v>
          </cell>
          <cell r="F1051">
            <v>235</v>
          </cell>
          <cell r="G1051">
            <v>7</v>
          </cell>
          <cell r="H1051">
            <v>8828</v>
          </cell>
          <cell r="I1051">
            <v>61</v>
          </cell>
          <cell r="J1051">
            <v>483</v>
          </cell>
          <cell r="K1051">
            <v>8</v>
          </cell>
        </row>
        <row r="1052">
          <cell r="B1052" t="str">
            <v>Debt-Manager</v>
          </cell>
          <cell r="C1052" t="str">
            <v>chikecodes/Debt-Manager</v>
          </cell>
          <cell r="D1052" t="str">
            <v>chikecodes/Debt-Manager</v>
          </cell>
          <cell r="E1052">
            <v>124</v>
          </cell>
          <cell r="F1052">
            <v>0</v>
          </cell>
          <cell r="G1052">
            <v>1</v>
          </cell>
          <cell r="H1052">
            <v>2470</v>
          </cell>
          <cell r="I1052">
            <v>7</v>
          </cell>
          <cell r="J1052">
            <v>24</v>
          </cell>
          <cell r="K1052">
            <v>1</v>
          </cell>
        </row>
        <row r="1053">
          <cell r="B1053" t="str">
            <v>water-me</v>
          </cell>
          <cell r="C1053" t="str">
            <v>abertschi/water-me</v>
          </cell>
          <cell r="D1053" t="str">
            <v>abertschi/water-me</v>
          </cell>
          <cell r="E1053">
            <v>124</v>
          </cell>
          <cell r="F1053">
            <v>5</v>
          </cell>
          <cell r="G1053">
            <v>2</v>
          </cell>
          <cell r="H1053">
            <v>8285</v>
          </cell>
          <cell r="I1053">
            <v>3</v>
          </cell>
          <cell r="J1053">
            <v>43</v>
          </cell>
          <cell r="K1053">
            <v>14</v>
          </cell>
        </row>
        <row r="1054">
          <cell r="B1054" t="str">
            <v>fluidsynth-midi-service-j</v>
          </cell>
          <cell r="C1054" t="str">
            <v>atsushieno/fluidsynth-midi-service-j</v>
          </cell>
          <cell r="D1054" t="str">
            <v>atsushieno/fluidsynth-midi-service-j</v>
          </cell>
          <cell r="E1054">
            <v>125</v>
          </cell>
          <cell r="F1054">
            <v>0</v>
          </cell>
          <cell r="G1054">
            <v>1</v>
          </cell>
          <cell r="H1054">
            <v>26683</v>
          </cell>
          <cell r="I1054">
            <v>6</v>
          </cell>
          <cell r="J1054">
            <v>24</v>
          </cell>
          <cell r="K1054">
            <v>6</v>
          </cell>
        </row>
        <row r="1055">
          <cell r="B1055" t="str">
            <v>CattleBodyConditioning</v>
          </cell>
          <cell r="C1055" t="str">
            <v>IanField90/CattleBodyConditioning</v>
          </cell>
          <cell r="D1055" t="str">
            <v>IanField90/CattleBodyConditioning</v>
          </cell>
          <cell r="E1055">
            <v>125</v>
          </cell>
          <cell r="F1055">
            <v>1</v>
          </cell>
          <cell r="G1055">
            <v>1</v>
          </cell>
          <cell r="H1055">
            <v>4283</v>
          </cell>
          <cell r="I1055">
            <v>0</v>
          </cell>
          <cell r="J1055">
            <v>1</v>
          </cell>
          <cell r="K1055">
            <v>1</v>
          </cell>
        </row>
        <row r="1056">
          <cell r="B1056" t="str">
            <v>DeviantArt</v>
          </cell>
          <cell r="C1056" t="str">
            <v>PhongHuynh93/DeviantArt</v>
          </cell>
          <cell r="D1056" t="str">
            <v>PhongHuynh93/DeviantArt</v>
          </cell>
          <cell r="E1056">
            <v>125</v>
          </cell>
          <cell r="F1056">
            <v>3</v>
          </cell>
          <cell r="G1056">
            <v>1</v>
          </cell>
          <cell r="H1056">
            <v>94147</v>
          </cell>
          <cell r="I1056">
            <v>0</v>
          </cell>
          <cell r="J1056">
            <v>8</v>
          </cell>
          <cell r="K1056">
            <v>0</v>
          </cell>
        </row>
        <row r="1057">
          <cell r="B1057" t="str">
            <v>privacy-friendly-dame</v>
          </cell>
          <cell r="C1057" t="str">
            <v>SecUSo/privacy-friendly-dame</v>
          </cell>
          <cell r="D1057" t="str">
            <v>SecUSo/privacy-friendly-dame</v>
          </cell>
          <cell r="E1057">
            <v>125</v>
          </cell>
          <cell r="F1057">
            <v>9</v>
          </cell>
          <cell r="G1057">
            <v>13</v>
          </cell>
          <cell r="H1057">
            <v>1782</v>
          </cell>
          <cell r="I1057">
            <v>9</v>
          </cell>
          <cell r="J1057">
            <v>18</v>
          </cell>
          <cell r="K1057">
            <v>6</v>
          </cell>
        </row>
        <row r="1058">
          <cell r="B1058" t="str">
            <v>mCerebrum-AutoSense</v>
          </cell>
          <cell r="C1058" t="str">
            <v>MD2Korg/mCerebrum-AutoSense</v>
          </cell>
          <cell r="D1058" t="str">
            <v>MD2Korg/mCerebrum-AutoSense</v>
          </cell>
          <cell r="E1058">
            <v>125</v>
          </cell>
          <cell r="F1058">
            <v>12</v>
          </cell>
          <cell r="G1058">
            <v>5</v>
          </cell>
          <cell r="H1058">
            <v>23363</v>
          </cell>
          <cell r="I1058">
            <v>2</v>
          </cell>
          <cell r="J1058">
            <v>3</v>
          </cell>
          <cell r="K1058">
            <v>1</v>
          </cell>
        </row>
        <row r="1059">
          <cell r="B1059" t="str">
            <v>Android-Beginner-Projects</v>
          </cell>
          <cell r="C1059" t="str">
            <v>akebu6/Android-Beginner-Projects</v>
          </cell>
          <cell r="D1059" t="str">
            <v>akebu6/Android-Beginner-Projects</v>
          </cell>
          <cell r="E1059">
            <v>125</v>
          </cell>
          <cell r="F1059">
            <v>27</v>
          </cell>
          <cell r="G1059">
            <v>7</v>
          </cell>
          <cell r="H1059">
            <v>39411</v>
          </cell>
          <cell r="I1059">
            <v>8</v>
          </cell>
          <cell r="J1059">
            <v>12</v>
          </cell>
          <cell r="K1059">
            <v>6</v>
          </cell>
        </row>
        <row r="1060">
          <cell r="B1060" t="str">
            <v>empty-view</v>
          </cell>
          <cell r="C1060" t="str">
            <v>santalu/empty-view</v>
          </cell>
          <cell r="D1060" t="str">
            <v>santalu/empty-view</v>
          </cell>
          <cell r="E1060">
            <v>125</v>
          </cell>
          <cell r="F1060">
            <v>28</v>
          </cell>
          <cell r="G1060">
            <v>2</v>
          </cell>
          <cell r="H1060">
            <v>407</v>
          </cell>
          <cell r="I1060">
            <v>50</v>
          </cell>
          <cell r="J1060">
            <v>378</v>
          </cell>
          <cell r="K1060">
            <v>5</v>
          </cell>
        </row>
        <row r="1061">
          <cell r="B1061" t="str">
            <v>signalr-chatroom</v>
          </cell>
          <cell r="C1061" t="str">
            <v>0GiS0/signalr-chatroom</v>
          </cell>
          <cell r="D1061" t="str">
            <v>0GiS0/signalr-chatroom</v>
          </cell>
          <cell r="E1061">
            <v>126</v>
          </cell>
          <cell r="F1061">
            <v>0</v>
          </cell>
          <cell r="G1061">
            <v>2</v>
          </cell>
          <cell r="H1061">
            <v>277</v>
          </cell>
          <cell r="I1061">
            <v>1</v>
          </cell>
          <cell r="J1061">
            <v>1</v>
          </cell>
          <cell r="K1061">
            <v>0</v>
          </cell>
        </row>
        <row r="1062">
          <cell r="B1062" t="str">
            <v>Raven-Messenger</v>
          </cell>
          <cell r="C1062" t="str">
            <v>SabraTech/Raven-Messenger</v>
          </cell>
          <cell r="D1062" t="str">
            <v>SabraTech/Raven-Messenger</v>
          </cell>
          <cell r="E1062">
            <v>126</v>
          </cell>
          <cell r="F1062">
            <v>0</v>
          </cell>
          <cell r="G1062">
            <v>2</v>
          </cell>
          <cell r="H1062">
            <v>31645</v>
          </cell>
          <cell r="I1062">
            <v>4</v>
          </cell>
          <cell r="J1062">
            <v>12</v>
          </cell>
          <cell r="K1062">
            <v>1</v>
          </cell>
        </row>
        <row r="1063">
          <cell r="B1063" t="str">
            <v>youtube-android</v>
          </cell>
          <cell r="C1063" t="str">
            <v>MrBean355/youtube-android</v>
          </cell>
          <cell r="D1063" t="str">
            <v>MrBean355/youtube-android</v>
          </cell>
          <cell r="E1063">
            <v>126</v>
          </cell>
          <cell r="F1063">
            <v>4</v>
          </cell>
          <cell r="G1063">
            <v>2</v>
          </cell>
          <cell r="H1063">
            <v>559</v>
          </cell>
          <cell r="I1063">
            <v>15</v>
          </cell>
          <cell r="J1063">
            <v>36</v>
          </cell>
          <cell r="K1063">
            <v>0</v>
          </cell>
        </row>
        <row r="1064">
          <cell r="B1064" t="str">
            <v>IJH-Android</v>
          </cell>
          <cell r="C1064" t="str">
            <v>I-Info/IJH-Android</v>
          </cell>
          <cell r="D1064" t="str">
            <v>zjutjh/IJH-Android</v>
          </cell>
          <cell r="E1064">
            <v>126</v>
          </cell>
          <cell r="F1064">
            <v>29</v>
          </cell>
          <cell r="G1064">
            <v>2</v>
          </cell>
          <cell r="H1064">
            <v>537</v>
          </cell>
          <cell r="I1064">
            <v>0</v>
          </cell>
          <cell r="J1064">
            <v>3</v>
          </cell>
          <cell r="K1064">
            <v>0</v>
          </cell>
        </row>
        <row r="1065">
          <cell r="B1065" t="str">
            <v>YtAlarm</v>
          </cell>
          <cell r="C1065" t="str">
            <v>turtton/YtAlarm</v>
          </cell>
          <cell r="D1065" t="str">
            <v>turtton/YtAlarm</v>
          </cell>
          <cell r="E1065">
            <v>126</v>
          </cell>
          <cell r="F1065">
            <v>131</v>
          </cell>
          <cell r="G1065">
            <v>3</v>
          </cell>
          <cell r="H1065">
            <v>10895</v>
          </cell>
          <cell r="I1065">
            <v>1</v>
          </cell>
          <cell r="J1065">
            <v>5</v>
          </cell>
          <cell r="K1065">
            <v>14</v>
          </cell>
        </row>
        <row r="1066">
          <cell r="B1066" t="str">
            <v>cnpj_company</v>
          </cell>
          <cell r="C1066" t="str">
            <v>wendreof/cnpj_company</v>
          </cell>
          <cell r="D1066" t="str">
            <v>wendreof/cnpj_company</v>
          </cell>
          <cell r="E1066">
            <v>127</v>
          </cell>
          <cell r="F1066">
            <v>0</v>
          </cell>
          <cell r="G1066">
            <v>3</v>
          </cell>
          <cell r="H1066">
            <v>1932</v>
          </cell>
          <cell r="I1066">
            <v>2</v>
          </cell>
          <cell r="J1066">
            <v>5</v>
          </cell>
          <cell r="K1066">
            <v>0</v>
          </cell>
        </row>
        <row r="1067">
          <cell r="B1067" t="str">
            <v>MuslimDay</v>
          </cell>
          <cell r="C1067" t="str">
            <v>amrabed/MuslimDay</v>
          </cell>
          <cell r="D1067" t="str">
            <v>amrabed/MuslimDay</v>
          </cell>
          <cell r="E1067">
            <v>127</v>
          </cell>
          <cell r="F1067">
            <v>3</v>
          </cell>
          <cell r="G1067">
            <v>1</v>
          </cell>
          <cell r="H1067">
            <v>12085</v>
          </cell>
          <cell r="I1067">
            <v>0</v>
          </cell>
          <cell r="J1067">
            <v>3</v>
          </cell>
          <cell r="K1067">
            <v>7</v>
          </cell>
        </row>
        <row r="1068">
          <cell r="B1068" t="str">
            <v>BJUTLoginApp</v>
          </cell>
          <cell r="C1068" t="str">
            <v>z7workbench/BJUTLoginApp</v>
          </cell>
          <cell r="D1068" t="str">
            <v>z7workbench/BJUTLoginApp</v>
          </cell>
          <cell r="E1068">
            <v>127</v>
          </cell>
          <cell r="F1068">
            <v>5</v>
          </cell>
          <cell r="G1068">
            <v>1</v>
          </cell>
          <cell r="H1068">
            <v>5306</v>
          </cell>
          <cell r="I1068">
            <v>0</v>
          </cell>
          <cell r="J1068">
            <v>7</v>
          </cell>
          <cell r="K1068">
            <v>0</v>
          </cell>
        </row>
        <row r="1069">
          <cell r="B1069" t="str">
            <v>readhub-android</v>
          </cell>
          <cell r="C1069" t="str">
            <v>bihe0832/readhub-android</v>
          </cell>
          <cell r="D1069" t="str">
            <v>bihe0832/readhub-android</v>
          </cell>
          <cell r="E1069">
            <v>127</v>
          </cell>
          <cell r="F1069">
            <v>8</v>
          </cell>
          <cell r="G1069">
            <v>3</v>
          </cell>
          <cell r="H1069">
            <v>93034</v>
          </cell>
          <cell r="I1069">
            <v>7</v>
          </cell>
          <cell r="J1069">
            <v>60</v>
          </cell>
          <cell r="K1069">
            <v>0</v>
          </cell>
        </row>
        <row r="1070">
          <cell r="B1070" t="str">
            <v>xzil-wallet</v>
          </cell>
          <cell r="C1070" t="str">
            <v>AndreiD/xzil-wallet</v>
          </cell>
          <cell r="D1070" t="str">
            <v>AndreiD/xzil-wallet</v>
          </cell>
          <cell r="E1070">
            <v>127</v>
          </cell>
          <cell r="F1070">
            <v>20</v>
          </cell>
          <cell r="G1070">
            <v>1</v>
          </cell>
          <cell r="H1070">
            <v>70880</v>
          </cell>
          <cell r="I1070">
            <v>2</v>
          </cell>
          <cell r="J1070">
            <v>7</v>
          </cell>
          <cell r="K1070">
            <v>0</v>
          </cell>
        </row>
        <row r="1071">
          <cell r="B1071" t="str">
            <v>protect-baby-monitor</v>
          </cell>
          <cell r="C1071" t="str">
            <v>brarcher/protect-baby-monitor</v>
          </cell>
          <cell r="D1071" t="str">
            <v>brarcher/protect-baby-monitor</v>
          </cell>
          <cell r="E1071">
            <v>127</v>
          </cell>
          <cell r="F1071">
            <v>34</v>
          </cell>
          <cell r="G1071">
            <v>4</v>
          </cell>
          <cell r="H1071">
            <v>372</v>
          </cell>
          <cell r="I1071">
            <v>27</v>
          </cell>
          <cell r="J1071">
            <v>59</v>
          </cell>
          <cell r="K1071">
            <v>10</v>
          </cell>
        </row>
        <row r="1072">
          <cell r="B1072" t="str">
            <v>gift-card-guard</v>
          </cell>
          <cell r="C1072" t="str">
            <v>brarcher/gift-card-guard</v>
          </cell>
          <cell r="D1072" t="str">
            <v>brarcher/gift-card-guard</v>
          </cell>
          <cell r="E1072">
            <v>127</v>
          </cell>
          <cell r="F1072">
            <v>42</v>
          </cell>
          <cell r="G1072">
            <v>2</v>
          </cell>
          <cell r="H1072">
            <v>3450</v>
          </cell>
          <cell r="I1072">
            <v>8</v>
          </cell>
          <cell r="J1072">
            <v>12</v>
          </cell>
          <cell r="K1072">
            <v>1</v>
          </cell>
        </row>
        <row r="1073">
          <cell r="B1073" t="str">
            <v>Gcam-Services-Provider</v>
          </cell>
          <cell r="C1073" t="str">
            <v>lukaspieper/Gcam-Services-Provider</v>
          </cell>
          <cell r="D1073" t="str">
            <v>lukaspieper/Gcam-Services-Provider</v>
          </cell>
          <cell r="E1073">
            <v>127</v>
          </cell>
          <cell r="F1073">
            <v>60</v>
          </cell>
          <cell r="G1073">
            <v>5</v>
          </cell>
          <cell r="H1073">
            <v>391</v>
          </cell>
          <cell r="I1073">
            <v>24</v>
          </cell>
          <cell r="J1073">
            <v>486</v>
          </cell>
          <cell r="K1073">
            <v>6</v>
          </cell>
        </row>
        <row r="1074">
          <cell r="B1074" t="str">
            <v>Parceler</v>
          </cell>
          <cell r="C1074" t="str">
            <v>JumeiRdGroup/Parceler</v>
          </cell>
          <cell r="D1074" t="str">
            <v>JumeiRdGroup/Parceler</v>
          </cell>
          <cell r="E1074">
            <v>128</v>
          </cell>
          <cell r="F1074">
            <v>2</v>
          </cell>
          <cell r="G1074">
            <v>2</v>
          </cell>
          <cell r="H1074">
            <v>353</v>
          </cell>
          <cell r="I1074">
            <v>13</v>
          </cell>
          <cell r="J1074">
            <v>107</v>
          </cell>
          <cell r="K1074">
            <v>0</v>
          </cell>
        </row>
        <row r="1075">
          <cell r="B1075" t="str">
            <v>Corridor-Navigation-Android</v>
          </cell>
          <cell r="C1075" t="str">
            <v>AMOS-Project-TU-Berlin-Team-2/Corridor-Navigation-Android</v>
          </cell>
          <cell r="D1075" t="str">
            <v>AMOS-Project-TU-Berlin-Team-2/Corridor-Navigation-Android</v>
          </cell>
          <cell r="E1075">
            <v>128</v>
          </cell>
          <cell r="F1075">
            <v>8</v>
          </cell>
          <cell r="G1075">
            <v>8</v>
          </cell>
          <cell r="H1075">
            <v>545</v>
          </cell>
          <cell r="I1075">
            <v>1</v>
          </cell>
          <cell r="J1075">
            <v>3</v>
          </cell>
          <cell r="K1075">
            <v>0</v>
          </cell>
        </row>
        <row r="1076">
          <cell r="B1076" t="str">
            <v>mCerebrum-StreamProcessor</v>
          </cell>
          <cell r="C1076" t="str">
            <v>MD2Korg/mCerebrum-StreamProcessor</v>
          </cell>
          <cell r="D1076" t="str">
            <v>MD2Korg/mCerebrum-StreamProcessor</v>
          </cell>
          <cell r="E1076">
            <v>128</v>
          </cell>
          <cell r="F1076">
            <v>10</v>
          </cell>
          <cell r="G1076">
            <v>6</v>
          </cell>
          <cell r="H1076">
            <v>1650</v>
          </cell>
          <cell r="I1076">
            <v>0</v>
          </cell>
          <cell r="J1076">
            <v>2</v>
          </cell>
          <cell r="K1076">
            <v>0</v>
          </cell>
        </row>
        <row r="1077">
          <cell r="B1077" t="str">
            <v>Android-Boilerplate</v>
          </cell>
          <cell r="C1077" t="str">
            <v>dcampogiani/Android-Boilerplate</v>
          </cell>
          <cell r="D1077" t="str">
            <v>dcampogiani/Android-Boilerplate</v>
          </cell>
          <cell r="E1077">
            <v>128</v>
          </cell>
          <cell r="F1077">
            <v>101</v>
          </cell>
          <cell r="G1077">
            <v>3</v>
          </cell>
          <cell r="H1077">
            <v>253</v>
          </cell>
          <cell r="I1077">
            <v>0</v>
          </cell>
          <cell r="J1077">
            <v>1</v>
          </cell>
          <cell r="K1077">
            <v>4</v>
          </cell>
        </row>
        <row r="1078">
          <cell r="B1078" t="str">
            <v>Splum</v>
          </cell>
          <cell r="C1078" t="str">
            <v>ThatCakeID/Splum</v>
          </cell>
          <cell r="D1078" t="str">
            <v>ThatCakeID/Splum</v>
          </cell>
          <cell r="E1078">
            <v>129</v>
          </cell>
          <cell r="F1078">
            <v>0</v>
          </cell>
          <cell r="G1078">
            <v>3</v>
          </cell>
          <cell r="H1078">
            <v>408</v>
          </cell>
          <cell r="I1078">
            <v>0</v>
          </cell>
          <cell r="J1078">
            <v>4</v>
          </cell>
          <cell r="K1078">
            <v>5</v>
          </cell>
        </row>
        <row r="1079">
          <cell r="B1079" t="str">
            <v>gobi-player</v>
          </cell>
          <cell r="C1079" t="str">
            <v>bobpoekert/gobi-player</v>
          </cell>
          <cell r="D1079" t="str">
            <v>bobpoekert/gobi-player</v>
          </cell>
          <cell r="E1079">
            <v>129</v>
          </cell>
          <cell r="F1079">
            <v>0</v>
          </cell>
          <cell r="G1079">
            <v>8</v>
          </cell>
          <cell r="H1079">
            <v>132795</v>
          </cell>
          <cell r="I1079">
            <v>0</v>
          </cell>
          <cell r="J1079">
            <v>2</v>
          </cell>
          <cell r="K1079">
            <v>0</v>
          </cell>
        </row>
        <row r="1080">
          <cell r="B1080" t="str">
            <v>start-guide</v>
          </cell>
          <cell r="C1080" t="str">
            <v>elimu-ai/start-guide</v>
          </cell>
          <cell r="D1080" t="str">
            <v>elimu-ai/start-guide</v>
          </cell>
          <cell r="E1080">
            <v>129</v>
          </cell>
          <cell r="F1080">
            <v>21</v>
          </cell>
          <cell r="G1080">
            <v>5</v>
          </cell>
          <cell r="H1080">
            <v>3228</v>
          </cell>
          <cell r="I1080">
            <v>2</v>
          </cell>
          <cell r="J1080">
            <v>1</v>
          </cell>
          <cell r="K1080">
            <v>6</v>
          </cell>
        </row>
        <row r="1081">
          <cell r="B1081" t="str">
            <v>Event-Registration-App</v>
          </cell>
          <cell r="C1081" t="str">
            <v>violetwei/Event-Registration-App</v>
          </cell>
          <cell r="D1081" t="str">
            <v>violetwei/Event-Registration-App</v>
          </cell>
          <cell r="E1081">
            <v>129</v>
          </cell>
          <cell r="F1081">
            <v>40</v>
          </cell>
          <cell r="G1081">
            <v>2</v>
          </cell>
          <cell r="H1081">
            <v>2117</v>
          </cell>
          <cell r="I1081">
            <v>3</v>
          </cell>
          <cell r="J1081">
            <v>10</v>
          </cell>
          <cell r="K1081">
            <v>6</v>
          </cell>
        </row>
        <row r="1082">
          <cell r="B1082" t="str">
            <v>VT-AndroidClient</v>
          </cell>
          <cell r="C1082" t="str">
            <v>code-gambit/VT-AndroidClient</v>
          </cell>
          <cell r="D1082" t="str">
            <v>code-gambit/VT-AndroidClient</v>
          </cell>
          <cell r="E1082">
            <v>129</v>
          </cell>
          <cell r="F1082">
            <v>61</v>
          </cell>
          <cell r="G1082">
            <v>3</v>
          </cell>
          <cell r="H1082">
            <v>4208</v>
          </cell>
          <cell r="I1082">
            <v>1</v>
          </cell>
          <cell r="J1082">
            <v>2</v>
          </cell>
          <cell r="K1082">
            <v>5</v>
          </cell>
        </row>
        <row r="1083">
          <cell r="B1083" t="str">
            <v>ReferandumProject</v>
          </cell>
          <cell r="C1083" t="str">
            <v>CodeRockets/ReferandumProject</v>
          </cell>
          <cell r="D1083" t="str">
            <v>CodeRockets/ReferandumProject</v>
          </cell>
          <cell r="E1083">
            <v>130</v>
          </cell>
          <cell r="F1083">
            <v>0</v>
          </cell>
          <cell r="G1083">
            <v>1</v>
          </cell>
          <cell r="H1083">
            <v>2118</v>
          </cell>
          <cell r="I1083">
            <v>1</v>
          </cell>
          <cell r="J1083">
            <v>2</v>
          </cell>
          <cell r="K1083">
            <v>9</v>
          </cell>
        </row>
        <row r="1084">
          <cell r="B1084" t="str">
            <v>SimpleNews.io</v>
          </cell>
          <cell r="C1084" t="str">
            <v>whiskeyfei/SimpleNews.io</v>
          </cell>
          <cell r="D1084" t="str">
            <v>whiskeyfei/SimpleNews.io</v>
          </cell>
          <cell r="E1084">
            <v>130</v>
          </cell>
          <cell r="F1084">
            <v>0</v>
          </cell>
          <cell r="G1084">
            <v>1</v>
          </cell>
          <cell r="H1084">
            <v>27471</v>
          </cell>
          <cell r="I1084">
            <v>21</v>
          </cell>
          <cell r="J1084">
            <v>75</v>
          </cell>
          <cell r="K1084">
            <v>4</v>
          </cell>
        </row>
        <row r="1085">
          <cell r="B1085" t="str">
            <v>PopCorn2</v>
          </cell>
          <cell r="C1085" t="str">
            <v>hitanshu-dhawan/PopCorn2</v>
          </cell>
          <cell r="D1085" t="str">
            <v>hitanshu-dhawan/PopCorn2</v>
          </cell>
          <cell r="E1085">
            <v>130</v>
          </cell>
          <cell r="F1085">
            <v>9</v>
          </cell>
          <cell r="G1085">
            <v>2</v>
          </cell>
          <cell r="H1085">
            <v>440</v>
          </cell>
          <cell r="I1085">
            <v>4</v>
          </cell>
          <cell r="J1085">
            <v>20</v>
          </cell>
          <cell r="K1085">
            <v>3</v>
          </cell>
        </row>
        <row r="1086">
          <cell r="B1086" t="str">
            <v>idee-android</v>
          </cell>
          <cell r="C1086" t="str">
            <v>TheMindhouse/idee-android</v>
          </cell>
          <cell r="D1086" t="str">
            <v>TheMindhouse/idee-android</v>
          </cell>
          <cell r="E1086">
            <v>130</v>
          </cell>
          <cell r="F1086">
            <v>9</v>
          </cell>
          <cell r="G1086">
            <v>1</v>
          </cell>
          <cell r="H1086">
            <v>533</v>
          </cell>
          <cell r="I1086">
            <v>2</v>
          </cell>
          <cell r="J1086">
            <v>1</v>
          </cell>
          <cell r="K1086">
            <v>1</v>
          </cell>
        </row>
        <row r="1087">
          <cell r="B1087" t="str">
            <v>MeeRoo</v>
          </cell>
          <cell r="C1087" t="str">
            <v>synyx/MeeRoo</v>
          </cell>
          <cell r="D1087" t="str">
            <v>synyx/MeeRoo</v>
          </cell>
          <cell r="E1087">
            <v>130</v>
          </cell>
          <cell r="F1087">
            <v>90</v>
          </cell>
          <cell r="G1087">
            <v>6</v>
          </cell>
          <cell r="H1087">
            <v>607</v>
          </cell>
          <cell r="I1087">
            <v>1</v>
          </cell>
          <cell r="J1087">
            <v>14</v>
          </cell>
          <cell r="K1087">
            <v>40</v>
          </cell>
        </row>
        <row r="1088">
          <cell r="B1088" t="str">
            <v>lotonaticos</v>
          </cell>
          <cell r="C1088" t="str">
            <v>VictorHVS/lotonaticos</v>
          </cell>
          <cell r="D1088" t="str">
            <v>VictorHVS/lotonaticos</v>
          </cell>
          <cell r="E1088">
            <v>130</v>
          </cell>
          <cell r="F1088">
            <v>114</v>
          </cell>
          <cell r="G1088">
            <v>2</v>
          </cell>
          <cell r="H1088">
            <v>2536</v>
          </cell>
          <cell r="I1088">
            <v>1</v>
          </cell>
          <cell r="J1088">
            <v>7</v>
          </cell>
          <cell r="K1088">
            <v>14</v>
          </cell>
        </row>
        <row r="1089">
          <cell r="B1089" t="str">
            <v>mCerebrum-PhoneSensor</v>
          </cell>
          <cell r="C1089" t="str">
            <v>MD2Korg/mCerebrum-PhoneSensor</v>
          </cell>
          <cell r="D1089" t="str">
            <v>MD2Korg/mCerebrum-PhoneSensor</v>
          </cell>
          <cell r="E1089">
            <v>131</v>
          </cell>
          <cell r="F1089">
            <v>9</v>
          </cell>
          <cell r="G1089">
            <v>3</v>
          </cell>
          <cell r="H1089">
            <v>6543</v>
          </cell>
          <cell r="I1089">
            <v>1</v>
          </cell>
          <cell r="J1089">
            <v>5</v>
          </cell>
          <cell r="K1089">
            <v>0</v>
          </cell>
        </row>
        <row r="1090">
          <cell r="B1090" t="str">
            <v>Popular-Movies-App</v>
          </cell>
          <cell r="C1090" t="str">
            <v>maksim-m/Popular-Movies-App</v>
          </cell>
          <cell r="D1090" t="str">
            <v>maksim-m/Popular-Movies-App</v>
          </cell>
          <cell r="E1090">
            <v>131</v>
          </cell>
          <cell r="F1090">
            <v>11</v>
          </cell>
          <cell r="G1090">
            <v>1</v>
          </cell>
          <cell r="H1090">
            <v>28548</v>
          </cell>
          <cell r="I1090">
            <v>123</v>
          </cell>
          <cell r="J1090">
            <v>300</v>
          </cell>
          <cell r="K1090">
            <v>1</v>
          </cell>
        </row>
        <row r="1091">
          <cell r="B1091" t="str">
            <v>AFreeSvg</v>
          </cell>
          <cell r="C1091" t="str">
            <v>feiyin0719/AFreeSvg</v>
          </cell>
          <cell r="D1091" t="str">
            <v>feiyin0719/AFreeSvg</v>
          </cell>
          <cell r="E1091">
            <v>131</v>
          </cell>
          <cell r="F1091">
            <v>28</v>
          </cell>
          <cell r="G1091">
            <v>2</v>
          </cell>
          <cell r="H1091">
            <v>1930</v>
          </cell>
          <cell r="I1091">
            <v>2</v>
          </cell>
          <cell r="J1091">
            <v>12</v>
          </cell>
          <cell r="K1091">
            <v>0</v>
          </cell>
        </row>
        <row r="1092">
          <cell r="B1092" t="str">
            <v>XiaomiOde2Code2022</v>
          </cell>
          <cell r="C1092" t="str">
            <v>quantum-shift/XiaomiOde2Code2022</v>
          </cell>
          <cell r="D1092" t="str">
            <v>quantum-shift/XiaomiOde2Code2022</v>
          </cell>
          <cell r="E1092">
            <v>131</v>
          </cell>
          <cell r="F1092">
            <v>44</v>
          </cell>
          <cell r="G1092">
            <v>2</v>
          </cell>
          <cell r="H1092">
            <v>1904</v>
          </cell>
          <cell r="I1092">
            <v>0</v>
          </cell>
          <cell r="J1092">
            <v>1</v>
          </cell>
          <cell r="K1092">
            <v>0</v>
          </cell>
        </row>
        <row r="1093">
          <cell r="B1093" t="str">
            <v>Price_Comparison_App</v>
          </cell>
          <cell r="C1093" t="str">
            <v>DidahDx/Price_Comparison_App</v>
          </cell>
          <cell r="D1093" t="str">
            <v>DidahDx/Price_Comparison_App</v>
          </cell>
          <cell r="E1093">
            <v>132</v>
          </cell>
          <cell r="F1093">
            <v>2</v>
          </cell>
          <cell r="G1093">
            <v>1</v>
          </cell>
          <cell r="H1093">
            <v>1864</v>
          </cell>
          <cell r="I1093">
            <v>0</v>
          </cell>
          <cell r="J1093">
            <v>6</v>
          </cell>
          <cell r="K1093">
            <v>0</v>
          </cell>
        </row>
        <row r="1094">
          <cell r="B1094" t="str">
            <v>android-base</v>
          </cell>
          <cell r="C1094" t="str">
            <v>rootstrap/android-base</v>
          </cell>
          <cell r="D1094" t="str">
            <v>rootstrap/android-base</v>
          </cell>
          <cell r="E1094">
            <v>132</v>
          </cell>
          <cell r="F1094">
            <v>47</v>
          </cell>
          <cell r="G1094">
            <v>13</v>
          </cell>
          <cell r="H1094">
            <v>5964</v>
          </cell>
          <cell r="I1094">
            <v>6</v>
          </cell>
          <cell r="J1094">
            <v>38</v>
          </cell>
          <cell r="K1094">
            <v>13</v>
          </cell>
        </row>
        <row r="1095">
          <cell r="B1095" t="str">
            <v>aTrainingTracker</v>
          </cell>
          <cell r="C1095" t="str">
            <v>rainerblind/aTrainingTracker</v>
          </cell>
          <cell r="D1095" t="str">
            <v>rainerblind/aTrainingTracker</v>
          </cell>
          <cell r="E1095">
            <v>133</v>
          </cell>
          <cell r="F1095">
            <v>3</v>
          </cell>
          <cell r="G1095">
            <v>3</v>
          </cell>
          <cell r="H1095">
            <v>5721</v>
          </cell>
          <cell r="I1095">
            <v>18</v>
          </cell>
          <cell r="J1095">
            <v>41</v>
          </cell>
          <cell r="K1095">
            <v>37</v>
          </cell>
        </row>
        <row r="1096">
          <cell r="B1096" t="str">
            <v>Taskly</v>
          </cell>
          <cell r="C1096" t="str">
            <v>JobinBiju/Taskly</v>
          </cell>
          <cell r="D1096" t="str">
            <v>JobinBiju/Taskly</v>
          </cell>
          <cell r="E1096">
            <v>133</v>
          </cell>
          <cell r="F1096">
            <v>4</v>
          </cell>
          <cell r="G1096">
            <v>2</v>
          </cell>
          <cell r="H1096">
            <v>3204</v>
          </cell>
          <cell r="I1096">
            <v>35</v>
          </cell>
          <cell r="J1096">
            <v>145</v>
          </cell>
          <cell r="K1096">
            <v>4</v>
          </cell>
        </row>
        <row r="1097">
          <cell r="B1097" t="str">
            <v>DialogMusicPlayer</v>
          </cell>
          <cell r="C1097" t="str">
            <v>VishnuSanal/DialogMusicPlayer</v>
          </cell>
          <cell r="D1097" t="str">
            <v>VishnuSanal/DialogMusicPlayer</v>
          </cell>
          <cell r="E1097">
            <v>133</v>
          </cell>
          <cell r="F1097">
            <v>6</v>
          </cell>
          <cell r="G1097">
            <v>5</v>
          </cell>
          <cell r="H1097">
            <v>587</v>
          </cell>
          <cell r="I1097">
            <v>4</v>
          </cell>
          <cell r="J1097">
            <v>42</v>
          </cell>
          <cell r="K1097">
            <v>14</v>
          </cell>
        </row>
        <row r="1098">
          <cell r="B1098" t="str">
            <v>Kuwas</v>
          </cell>
          <cell r="C1098" t="str">
            <v>brookmg/Kuwas</v>
          </cell>
          <cell r="D1098" t="str">
            <v>brookmg/Kuwas</v>
          </cell>
          <cell r="E1098">
            <v>133</v>
          </cell>
          <cell r="F1098">
            <v>6</v>
          </cell>
          <cell r="G1098">
            <v>2</v>
          </cell>
          <cell r="H1098">
            <v>2016</v>
          </cell>
          <cell r="I1098">
            <v>1</v>
          </cell>
          <cell r="J1098">
            <v>19</v>
          </cell>
          <cell r="K1098">
            <v>0</v>
          </cell>
        </row>
        <row r="1099">
          <cell r="B1099" t="str">
            <v>ZoomLayout</v>
          </cell>
          <cell r="C1099" t="str">
            <v>natario1/ZoomLayout</v>
          </cell>
          <cell r="D1099" t="str">
            <v>natario1/ZoomLayout</v>
          </cell>
          <cell r="E1099">
            <v>133</v>
          </cell>
          <cell r="F1099">
            <v>69</v>
          </cell>
          <cell r="G1099">
            <v>16</v>
          </cell>
          <cell r="H1099">
            <v>46477</v>
          </cell>
          <cell r="I1099">
            <v>143</v>
          </cell>
          <cell r="J1099">
            <v>914</v>
          </cell>
          <cell r="K1099">
            <v>22</v>
          </cell>
        </row>
        <row r="1100">
          <cell r="B1100" t="str">
            <v>garlic-launcher</v>
          </cell>
          <cell r="C1100" t="str">
            <v>sagiadinos/garlic-launcher</v>
          </cell>
          <cell r="D1100" t="str">
            <v>sagiadinos/garlic-launcher</v>
          </cell>
          <cell r="E1100">
            <v>134</v>
          </cell>
          <cell r="F1100">
            <v>0</v>
          </cell>
          <cell r="G1100">
            <v>1</v>
          </cell>
          <cell r="H1100">
            <v>332</v>
          </cell>
          <cell r="I1100">
            <v>5</v>
          </cell>
          <cell r="J1100">
            <v>13</v>
          </cell>
          <cell r="K1100">
            <v>2</v>
          </cell>
        </row>
        <row r="1101">
          <cell r="B1101" t="str">
            <v>shorty</v>
          </cell>
          <cell r="C1101" t="str">
            <v>billthefarmer/shorty</v>
          </cell>
          <cell r="D1101" t="str">
            <v>billthefarmer/shorty</v>
          </cell>
          <cell r="E1101">
            <v>134</v>
          </cell>
          <cell r="F1101">
            <v>1</v>
          </cell>
          <cell r="G1101">
            <v>2</v>
          </cell>
          <cell r="H1101">
            <v>2633</v>
          </cell>
          <cell r="I1101">
            <v>1</v>
          </cell>
          <cell r="J1101">
            <v>13</v>
          </cell>
          <cell r="K1101">
            <v>0</v>
          </cell>
        </row>
        <row r="1102">
          <cell r="B1102" t="str">
            <v>privacy-friendly-interval-timer</v>
          </cell>
          <cell r="C1102" t="str">
            <v>SecUSo/privacy-friendly-interval-timer</v>
          </cell>
          <cell r="D1102" t="str">
            <v>SecUSo/privacy-friendly-interval-timer</v>
          </cell>
          <cell r="E1102">
            <v>134</v>
          </cell>
          <cell r="F1102">
            <v>11</v>
          </cell>
          <cell r="G1102">
            <v>11</v>
          </cell>
          <cell r="H1102">
            <v>14970</v>
          </cell>
          <cell r="I1102">
            <v>19</v>
          </cell>
          <cell r="J1102">
            <v>31</v>
          </cell>
          <cell r="K1102">
            <v>25</v>
          </cell>
        </row>
        <row r="1103">
          <cell r="B1103" t="str">
            <v>Stanley</v>
          </cell>
          <cell r="C1103" t="str">
            <v>xgouchet/Stanley</v>
          </cell>
          <cell r="D1103" t="str">
            <v>xgouchet/Stanley</v>
          </cell>
          <cell r="E1103">
            <v>134</v>
          </cell>
          <cell r="F1103">
            <v>23</v>
          </cell>
          <cell r="G1103">
            <v>8</v>
          </cell>
          <cell r="H1103">
            <v>8816</v>
          </cell>
          <cell r="I1103">
            <v>33</v>
          </cell>
          <cell r="J1103">
            <v>82</v>
          </cell>
          <cell r="K1103">
            <v>10</v>
          </cell>
        </row>
        <row r="1104">
          <cell r="B1104" t="str">
            <v>AndroidApp</v>
          </cell>
          <cell r="C1104" t="str">
            <v>ianDesson/AndroidApp</v>
          </cell>
          <cell r="D1104" t="str">
            <v>ianDesson/AndroidApp</v>
          </cell>
          <cell r="E1104">
            <v>135</v>
          </cell>
          <cell r="F1104">
            <v>0</v>
          </cell>
          <cell r="G1104">
            <v>5</v>
          </cell>
          <cell r="H1104">
            <v>15594</v>
          </cell>
          <cell r="I1104">
            <v>6</v>
          </cell>
          <cell r="J1104">
            <v>5</v>
          </cell>
          <cell r="K1104">
            <v>1</v>
          </cell>
        </row>
        <row r="1105">
          <cell r="B1105" t="str">
            <v>universal-native-boilerplate</v>
          </cell>
          <cell r="C1105" t="str">
            <v>c-h-/universal-native-boilerplate</v>
          </cell>
          <cell r="D1105" t="str">
            <v>c-h-/universal-native-boilerplate</v>
          </cell>
          <cell r="E1105">
            <v>135</v>
          </cell>
          <cell r="F1105">
            <v>1</v>
          </cell>
          <cell r="G1105">
            <v>2</v>
          </cell>
          <cell r="H1105">
            <v>1667</v>
          </cell>
          <cell r="I1105">
            <v>15</v>
          </cell>
          <cell r="J1105">
            <v>128</v>
          </cell>
          <cell r="K1105">
            <v>4</v>
          </cell>
        </row>
        <row r="1106">
          <cell r="B1106" t="str">
            <v>accordion</v>
          </cell>
          <cell r="C1106" t="str">
            <v>billthefarmer/accordion</v>
          </cell>
          <cell r="D1106" t="str">
            <v>billthefarmer/accordion</v>
          </cell>
          <cell r="E1106">
            <v>135</v>
          </cell>
          <cell r="F1106">
            <v>5</v>
          </cell>
          <cell r="G1106">
            <v>4</v>
          </cell>
          <cell r="H1106">
            <v>22901</v>
          </cell>
          <cell r="I1106">
            <v>8</v>
          </cell>
          <cell r="J1106">
            <v>27</v>
          </cell>
          <cell r="K1106">
            <v>0</v>
          </cell>
        </row>
        <row r="1107">
          <cell r="B1107" t="str">
            <v>ShapeOfView</v>
          </cell>
          <cell r="C1107" t="str">
            <v>florent37/ShapeOfView</v>
          </cell>
          <cell r="D1107" t="str">
            <v>florent37/ShapeOfView</v>
          </cell>
          <cell r="E1107">
            <v>135</v>
          </cell>
          <cell r="F1107">
            <v>12</v>
          </cell>
          <cell r="G1107">
            <v>8</v>
          </cell>
          <cell r="H1107">
            <v>14176</v>
          </cell>
          <cell r="I1107">
            <v>405</v>
          </cell>
          <cell r="J1107">
            <v>3050</v>
          </cell>
          <cell r="K1107">
            <v>47</v>
          </cell>
        </row>
        <row r="1108">
          <cell r="B1108" t="str">
            <v>ktnes</v>
          </cell>
          <cell r="C1108" t="str">
            <v>felipecsl/ktnes</v>
          </cell>
          <cell r="D1108" t="str">
            <v>felipecsl/ktnes</v>
          </cell>
          <cell r="E1108">
            <v>135</v>
          </cell>
          <cell r="F1108">
            <v>18</v>
          </cell>
          <cell r="G1108">
            <v>3</v>
          </cell>
          <cell r="H1108">
            <v>127977</v>
          </cell>
          <cell r="I1108">
            <v>29</v>
          </cell>
          <cell r="J1108">
            <v>281</v>
          </cell>
          <cell r="K1108">
            <v>7</v>
          </cell>
        </row>
        <row r="1109">
          <cell r="B1109" t="str">
            <v>Inventory-Tracker</v>
          </cell>
          <cell r="C1109" t="str">
            <v>aditmodhvadia/Inventory-Tracker</v>
          </cell>
          <cell r="D1109" t="str">
            <v>aditmodhvadia/Inventory-Tracker</v>
          </cell>
          <cell r="E1109">
            <v>135</v>
          </cell>
          <cell r="F1109">
            <v>397</v>
          </cell>
          <cell r="G1109">
            <v>3</v>
          </cell>
          <cell r="H1109">
            <v>1260</v>
          </cell>
          <cell r="I1109">
            <v>1</v>
          </cell>
          <cell r="J1109">
            <v>7</v>
          </cell>
          <cell r="K1109">
            <v>28</v>
          </cell>
        </row>
        <row r="1110">
          <cell r="B1110" t="str">
            <v>Sheep</v>
          </cell>
          <cell r="C1110" t="str">
            <v>nEdAy/Sheep</v>
          </cell>
          <cell r="D1110" t="str">
            <v>nEdAy/Sheep</v>
          </cell>
          <cell r="E1110">
            <v>136</v>
          </cell>
          <cell r="F1110">
            <v>2</v>
          </cell>
          <cell r="G1110">
            <v>2</v>
          </cell>
          <cell r="H1110">
            <v>9039</v>
          </cell>
          <cell r="I1110">
            <v>3</v>
          </cell>
          <cell r="J1110">
            <v>11</v>
          </cell>
          <cell r="K1110">
            <v>0</v>
          </cell>
        </row>
        <row r="1111">
          <cell r="B1111" t="str">
            <v>sensify-android</v>
          </cell>
          <cell r="C1111" t="str">
            <v>JunkieLabs/sensify-android</v>
          </cell>
          <cell r="D1111" t="str">
            <v>JunkieLabs/sensify-android</v>
          </cell>
          <cell r="E1111">
            <v>136</v>
          </cell>
          <cell r="F1111">
            <v>11</v>
          </cell>
          <cell r="G1111">
            <v>2</v>
          </cell>
          <cell r="H1111">
            <v>3699</v>
          </cell>
          <cell r="I1111">
            <v>8</v>
          </cell>
          <cell r="J1111">
            <v>102</v>
          </cell>
          <cell r="K1111">
            <v>1</v>
          </cell>
        </row>
        <row r="1112">
          <cell r="B1112" t="str">
            <v>werewolf</v>
          </cell>
          <cell r="C1112" t="str">
            <v>lx223/werewolf</v>
          </cell>
          <cell r="D1112" t="str">
            <v>lx223/werewolf</v>
          </cell>
          <cell r="E1112">
            <v>136</v>
          </cell>
          <cell r="F1112">
            <v>35</v>
          </cell>
          <cell r="G1112">
            <v>3</v>
          </cell>
          <cell r="H1112">
            <v>29553</v>
          </cell>
          <cell r="I1112">
            <v>0</v>
          </cell>
          <cell r="J1112">
            <v>3</v>
          </cell>
          <cell r="K1112">
            <v>25</v>
          </cell>
        </row>
        <row r="1113">
          <cell r="B1113" t="str">
            <v>AnimeWallpaper</v>
          </cell>
          <cell r="C1113" t="str">
            <v>miao1007/AnimeWallpaper</v>
          </cell>
          <cell r="D1113" t="str">
            <v>miao1007/AnimeWallpaper</v>
          </cell>
          <cell r="E1113">
            <v>137</v>
          </cell>
          <cell r="F1113">
            <v>4</v>
          </cell>
          <cell r="G1113">
            <v>3</v>
          </cell>
          <cell r="H1113">
            <v>7986</v>
          </cell>
          <cell r="I1113">
            <v>91</v>
          </cell>
          <cell r="J1113">
            <v>425</v>
          </cell>
          <cell r="K1113">
            <v>2</v>
          </cell>
        </row>
        <row r="1114">
          <cell r="B1114" t="str">
            <v>bitcoin-balance-check</v>
          </cell>
          <cell r="C1114" t="str">
            <v>jurajkusnier/bitcoin-balance-check</v>
          </cell>
          <cell r="D1114" t="str">
            <v>jurajkusnier/bitcoin-balance-check</v>
          </cell>
          <cell r="E1114">
            <v>137</v>
          </cell>
          <cell r="F1114">
            <v>9</v>
          </cell>
          <cell r="G1114">
            <v>1</v>
          </cell>
          <cell r="H1114">
            <v>1614</v>
          </cell>
          <cell r="I1114">
            <v>4</v>
          </cell>
          <cell r="J1114">
            <v>12</v>
          </cell>
          <cell r="K1114">
            <v>2</v>
          </cell>
        </row>
        <row r="1115">
          <cell r="B1115" t="str">
            <v>GreenStash</v>
          </cell>
          <cell r="C1115" t="str">
            <v>Pool-Of-Tears/GreenStash</v>
          </cell>
          <cell r="D1115" t="str">
            <v>Pool-Of-Tears/GreenStash</v>
          </cell>
          <cell r="E1115">
            <v>137</v>
          </cell>
          <cell r="F1115">
            <v>12</v>
          </cell>
          <cell r="G1115">
            <v>13</v>
          </cell>
          <cell r="H1115">
            <v>7054</v>
          </cell>
          <cell r="I1115">
            <v>10</v>
          </cell>
          <cell r="J1115">
            <v>132</v>
          </cell>
          <cell r="K1115">
            <v>1</v>
          </cell>
        </row>
        <row r="1116">
          <cell r="B1116" t="str">
            <v>Activity-Tracker</v>
          </cell>
          <cell r="C1116" t="str">
            <v>OpenLake/Activity-Tracker</v>
          </cell>
          <cell r="D1116" t="str">
            <v>OpenLake/Activity-Tracker</v>
          </cell>
          <cell r="E1116">
            <v>137</v>
          </cell>
          <cell r="F1116">
            <v>57</v>
          </cell>
          <cell r="G1116">
            <v>11</v>
          </cell>
          <cell r="H1116">
            <v>855</v>
          </cell>
          <cell r="I1116">
            <v>29</v>
          </cell>
          <cell r="J1116">
            <v>14</v>
          </cell>
          <cell r="K1116">
            <v>10</v>
          </cell>
        </row>
        <row r="1117">
          <cell r="B1117" t="str">
            <v>ScriptManager</v>
          </cell>
          <cell r="C1117" t="str">
            <v>ReleaseStandard/ScriptManager</v>
          </cell>
          <cell r="D1117" t="str">
            <v>ReleaseStandard/ScriptManager</v>
          </cell>
          <cell r="E1117">
            <v>138</v>
          </cell>
          <cell r="F1117">
            <v>0</v>
          </cell>
          <cell r="G1117">
            <v>1</v>
          </cell>
          <cell r="H1117">
            <v>1421</v>
          </cell>
          <cell r="I1117">
            <v>2</v>
          </cell>
          <cell r="J1117">
            <v>12</v>
          </cell>
          <cell r="K1117">
            <v>3</v>
          </cell>
        </row>
        <row r="1118">
          <cell r="B1118" t="str">
            <v>CCDroidX</v>
          </cell>
          <cell r="C1118" t="str">
            <v>vincent-paing/CCDroidX</v>
          </cell>
          <cell r="D1118" t="str">
            <v>vincent-paing/CCDroidX</v>
          </cell>
          <cell r="E1118">
            <v>138</v>
          </cell>
          <cell r="F1118">
            <v>0</v>
          </cell>
          <cell r="G1118">
            <v>1</v>
          </cell>
          <cell r="H1118">
            <v>726</v>
          </cell>
          <cell r="I1118">
            <v>0</v>
          </cell>
          <cell r="J1118">
            <v>10</v>
          </cell>
          <cell r="K1118">
            <v>2</v>
          </cell>
        </row>
        <row r="1119">
          <cell r="B1119" t="str">
            <v>audio-recorder</v>
          </cell>
          <cell r="C1119" t="str">
            <v>vivekweb2013/audio-recorder</v>
          </cell>
          <cell r="D1119" t="str">
            <v>vivekweb2013/audio-recorder</v>
          </cell>
          <cell r="E1119">
            <v>138</v>
          </cell>
          <cell r="F1119">
            <v>0</v>
          </cell>
          <cell r="G1119">
            <v>1</v>
          </cell>
          <cell r="H1119">
            <v>4070</v>
          </cell>
          <cell r="I1119">
            <v>6</v>
          </cell>
          <cell r="J1119">
            <v>23</v>
          </cell>
          <cell r="K1119">
            <v>2</v>
          </cell>
        </row>
        <row r="1120">
          <cell r="B1120" t="str">
            <v>GuideApp</v>
          </cell>
          <cell r="C1120" t="str">
            <v>thaleslima/GuideApp</v>
          </cell>
          <cell r="D1120" t="str">
            <v>thaleslima/GuideApp</v>
          </cell>
          <cell r="E1120">
            <v>138</v>
          </cell>
          <cell r="F1120">
            <v>1</v>
          </cell>
          <cell r="G1120">
            <v>1</v>
          </cell>
          <cell r="H1120">
            <v>7922</v>
          </cell>
          <cell r="I1120">
            <v>18</v>
          </cell>
          <cell r="J1120">
            <v>19</v>
          </cell>
          <cell r="K1120">
            <v>8</v>
          </cell>
        </row>
        <row r="1121">
          <cell r="B1121" t="str">
            <v>FridgeXLight</v>
          </cell>
          <cell r="C1121" t="str">
            <v>T8RIN/FridgeXLight</v>
          </cell>
          <cell r="D1121" t="str">
            <v>T8RIN/FridgeXLight</v>
          </cell>
          <cell r="E1121">
            <v>138</v>
          </cell>
          <cell r="F1121">
            <v>1</v>
          </cell>
          <cell r="G1121">
            <v>1</v>
          </cell>
          <cell r="H1121">
            <v>287512</v>
          </cell>
          <cell r="I1121">
            <v>3</v>
          </cell>
          <cell r="J1121">
            <v>18</v>
          </cell>
          <cell r="K1121">
            <v>0</v>
          </cell>
        </row>
        <row r="1122">
          <cell r="B1122" t="str">
            <v>9tique-android</v>
          </cell>
          <cell r="C1122" t="str">
            <v>mash-up-kr/9tique-android</v>
          </cell>
          <cell r="D1122" t="str">
            <v>mash-up-kr/9tique-android</v>
          </cell>
          <cell r="E1122">
            <v>138</v>
          </cell>
          <cell r="F1122">
            <v>13</v>
          </cell>
          <cell r="G1122">
            <v>3</v>
          </cell>
          <cell r="H1122">
            <v>46571</v>
          </cell>
          <cell r="I1122">
            <v>2</v>
          </cell>
          <cell r="J1122">
            <v>1</v>
          </cell>
          <cell r="K1122">
            <v>38</v>
          </cell>
        </row>
        <row r="1123">
          <cell r="B1123" t="str">
            <v>intent-intercept</v>
          </cell>
          <cell r="C1123" t="str">
            <v>intrications/intent-intercept</v>
          </cell>
          <cell r="D1123" t="str">
            <v>intrications/intent-intercept</v>
          </cell>
          <cell r="E1123">
            <v>138</v>
          </cell>
          <cell r="F1123">
            <v>23</v>
          </cell>
          <cell r="G1123">
            <v>9</v>
          </cell>
          <cell r="H1123">
            <v>4771</v>
          </cell>
          <cell r="I1123">
            <v>113</v>
          </cell>
          <cell r="J1123">
            <v>345</v>
          </cell>
          <cell r="K1123">
            <v>8</v>
          </cell>
        </row>
        <row r="1124">
          <cell r="B1124" t="str">
            <v>Open-Source-Android-Weather-App</v>
          </cell>
          <cell r="C1124" t="str">
            <v>ardovic/Open-Source-Android-Weather-App</v>
          </cell>
          <cell r="D1124" t="str">
            <v>ardovic/Open-Source-Android-Weather-App</v>
          </cell>
          <cell r="E1124">
            <v>138</v>
          </cell>
          <cell r="F1124">
            <v>43</v>
          </cell>
          <cell r="G1124">
            <v>19</v>
          </cell>
          <cell r="H1124">
            <v>29186</v>
          </cell>
          <cell r="I1124">
            <v>66</v>
          </cell>
          <cell r="J1124">
            <v>98</v>
          </cell>
          <cell r="K1124">
            <v>8</v>
          </cell>
        </row>
        <row r="1125">
          <cell r="B1125" t="str">
            <v>Tracktor-ComposeUI</v>
          </cell>
          <cell r="C1125" t="str">
            <v>Popalay/Tracktor-ComposeUI</v>
          </cell>
          <cell r="D1125" t="str">
            <v>Popalay/Tracktor-ComposeUI</v>
          </cell>
          <cell r="E1125">
            <v>138</v>
          </cell>
          <cell r="F1125">
            <v>71</v>
          </cell>
          <cell r="G1125">
            <v>1</v>
          </cell>
          <cell r="H1125">
            <v>26350</v>
          </cell>
          <cell r="I1125">
            <v>3</v>
          </cell>
          <cell r="J1125">
            <v>29</v>
          </cell>
          <cell r="K1125">
            <v>14</v>
          </cell>
        </row>
        <row r="1126">
          <cell r="B1126" t="str">
            <v>cleaner</v>
          </cell>
          <cell r="C1126" t="str">
            <v>amirisback/cleaner</v>
          </cell>
          <cell r="D1126" t="str">
            <v>amirisback/cleaner</v>
          </cell>
          <cell r="E1126">
            <v>139</v>
          </cell>
          <cell r="F1126">
            <v>0</v>
          </cell>
          <cell r="G1126">
            <v>1</v>
          </cell>
          <cell r="H1126">
            <v>3162</v>
          </cell>
          <cell r="I1126">
            <v>3</v>
          </cell>
          <cell r="J1126">
            <v>10</v>
          </cell>
          <cell r="K1126">
            <v>1</v>
          </cell>
        </row>
        <row r="1127">
          <cell r="B1127" t="str">
            <v>flashdim</v>
          </cell>
          <cell r="C1127" t="str">
            <v>cyb3rko/flashdim</v>
          </cell>
          <cell r="D1127" t="str">
            <v>cyb3rko/flashdim</v>
          </cell>
          <cell r="E1127">
            <v>139</v>
          </cell>
          <cell r="F1127">
            <v>2</v>
          </cell>
          <cell r="G1127">
            <v>4</v>
          </cell>
          <cell r="H1127">
            <v>3648</v>
          </cell>
          <cell r="I1127">
            <v>2</v>
          </cell>
          <cell r="J1127">
            <v>85</v>
          </cell>
          <cell r="K1127">
            <v>2</v>
          </cell>
        </row>
        <row r="1128">
          <cell r="B1128" t="str">
            <v>covid-19</v>
          </cell>
          <cell r="C1128" t="str">
            <v>mehatab/covid-19</v>
          </cell>
          <cell r="D1128" t="str">
            <v>mehatab/covid-19</v>
          </cell>
          <cell r="E1128">
            <v>139</v>
          </cell>
          <cell r="F1128">
            <v>3</v>
          </cell>
          <cell r="G1128">
            <v>2</v>
          </cell>
          <cell r="H1128">
            <v>3446</v>
          </cell>
          <cell r="I1128">
            <v>4</v>
          </cell>
          <cell r="J1128">
            <v>10</v>
          </cell>
          <cell r="K1128">
            <v>0</v>
          </cell>
        </row>
        <row r="1129">
          <cell r="B1129" t="str">
            <v>envelop-android</v>
          </cell>
          <cell r="C1129" t="str">
            <v>envelop-app/envelop-android</v>
          </cell>
          <cell r="D1129" t="str">
            <v>envelop-app/envelop-android</v>
          </cell>
          <cell r="E1129">
            <v>139</v>
          </cell>
          <cell r="F1129">
            <v>32</v>
          </cell>
          <cell r="G1129">
            <v>4</v>
          </cell>
          <cell r="H1129">
            <v>35935</v>
          </cell>
          <cell r="I1129">
            <v>7</v>
          </cell>
          <cell r="J1129">
            <v>39</v>
          </cell>
          <cell r="K1129">
            <v>2</v>
          </cell>
        </row>
        <row r="1130">
          <cell r="B1130" t="str">
            <v>mirru-android</v>
          </cell>
          <cell r="C1130" t="str">
            <v>mirru-app/mirru-android</v>
          </cell>
          <cell r="D1130" t="str">
            <v>mirru-app/mirru-android</v>
          </cell>
          <cell r="E1130">
            <v>140</v>
          </cell>
          <cell r="F1130">
            <v>4</v>
          </cell>
          <cell r="G1130">
            <v>2</v>
          </cell>
          <cell r="H1130">
            <v>43628</v>
          </cell>
          <cell r="I1130">
            <v>2</v>
          </cell>
          <cell r="J1130">
            <v>7</v>
          </cell>
          <cell r="K1130">
            <v>6</v>
          </cell>
        </row>
        <row r="1131">
          <cell r="B1131" t="str">
            <v>mobile-cardio</v>
          </cell>
          <cell r="C1131" t="str">
            <v>invercity/mobile-cardio</v>
          </cell>
          <cell r="D1131" t="str">
            <v>invercity/mobile-cardio</v>
          </cell>
          <cell r="E1131">
            <v>140</v>
          </cell>
          <cell r="F1131">
            <v>5</v>
          </cell>
          <cell r="G1131">
            <v>3</v>
          </cell>
          <cell r="H1131">
            <v>24749</v>
          </cell>
          <cell r="I1131">
            <v>7</v>
          </cell>
          <cell r="J1131">
            <v>10</v>
          </cell>
          <cell r="K1131">
            <v>1</v>
          </cell>
        </row>
        <row r="1132">
          <cell r="B1132" t="str">
            <v>Junior</v>
          </cell>
          <cell r="C1132" t="str">
            <v>OverPoweredDev/Junior</v>
          </cell>
          <cell r="D1132" t="str">
            <v>OverPoweredDev/Junior</v>
          </cell>
          <cell r="E1132">
            <v>140</v>
          </cell>
          <cell r="F1132">
            <v>14</v>
          </cell>
          <cell r="G1132">
            <v>6</v>
          </cell>
          <cell r="H1132">
            <v>29803</v>
          </cell>
          <cell r="I1132">
            <v>10</v>
          </cell>
          <cell r="J1132">
            <v>21</v>
          </cell>
          <cell r="K1132">
            <v>8</v>
          </cell>
        </row>
        <row r="1133">
          <cell r="B1133" t="str">
            <v>EasyRecipe</v>
          </cell>
          <cell r="C1133" t="str">
            <v>Appaxer/EasyRecipe</v>
          </cell>
          <cell r="D1133" t="str">
            <v>Appaxer/EasyRecipe</v>
          </cell>
          <cell r="E1133">
            <v>140</v>
          </cell>
          <cell r="F1133">
            <v>15</v>
          </cell>
          <cell r="G1133">
            <v>3</v>
          </cell>
          <cell r="H1133">
            <v>1562</v>
          </cell>
          <cell r="I1133">
            <v>1</v>
          </cell>
          <cell r="J1133">
            <v>7</v>
          </cell>
          <cell r="K1133">
            <v>10</v>
          </cell>
        </row>
        <row r="1134">
          <cell r="B1134" t="str">
            <v>WellnessCity</v>
          </cell>
          <cell r="C1134" t="str">
            <v>kulloveth/WellnessCity</v>
          </cell>
          <cell r="D1134" t="str">
            <v>kulloveth/WellnessCity</v>
          </cell>
          <cell r="E1134">
            <v>140</v>
          </cell>
          <cell r="F1134">
            <v>49</v>
          </cell>
          <cell r="G1134">
            <v>4</v>
          </cell>
          <cell r="H1134">
            <v>12001</v>
          </cell>
          <cell r="I1134">
            <v>17</v>
          </cell>
          <cell r="J1134">
            <v>19</v>
          </cell>
          <cell r="K1134">
            <v>9</v>
          </cell>
        </row>
        <row r="1135">
          <cell r="B1135" t="str">
            <v>rabbitmq-management-android</v>
          </cell>
          <cell r="C1135" t="str">
            <v>tommus/rabbitmq-management-android</v>
          </cell>
          <cell r="D1135" t="str">
            <v>tommus/rabbitmq-management-android</v>
          </cell>
          <cell r="E1135">
            <v>141</v>
          </cell>
          <cell r="F1135">
            <v>1</v>
          </cell>
          <cell r="G1135">
            <v>1</v>
          </cell>
          <cell r="H1135">
            <v>612</v>
          </cell>
          <cell r="I1135">
            <v>0</v>
          </cell>
          <cell r="J1135">
            <v>1</v>
          </cell>
          <cell r="K1135">
            <v>0</v>
          </cell>
        </row>
        <row r="1136">
          <cell r="B1136" t="str">
            <v>kidsphone</v>
          </cell>
          <cell r="C1136" t="str">
            <v>quickwritereader/kidsphone</v>
          </cell>
          <cell r="D1136" t="str">
            <v>quickwritereader/kidsphone</v>
          </cell>
          <cell r="E1136">
            <v>141</v>
          </cell>
          <cell r="F1136">
            <v>1</v>
          </cell>
          <cell r="G1136">
            <v>2</v>
          </cell>
          <cell r="H1136">
            <v>16896</v>
          </cell>
          <cell r="I1136">
            <v>1</v>
          </cell>
          <cell r="J1136">
            <v>3</v>
          </cell>
          <cell r="K1136">
            <v>5</v>
          </cell>
        </row>
        <row r="1137">
          <cell r="B1137" t="str">
            <v>class-organizer</v>
          </cell>
          <cell r="C1137" t="str">
            <v>musfiqus/class-organizer</v>
          </cell>
          <cell r="D1137" t="str">
            <v>musfiqus/class-organizer</v>
          </cell>
          <cell r="E1137">
            <v>141</v>
          </cell>
          <cell r="F1137">
            <v>3</v>
          </cell>
          <cell r="G1137">
            <v>1</v>
          </cell>
          <cell r="H1137">
            <v>2472</v>
          </cell>
          <cell r="I1137">
            <v>1</v>
          </cell>
          <cell r="J1137">
            <v>13</v>
          </cell>
          <cell r="K1137">
            <v>0</v>
          </cell>
        </row>
        <row r="1138">
          <cell r="B1138" t="str">
            <v>android-vpn-client-ics-openvpn</v>
          </cell>
          <cell r="C1138" t="str">
            <v>gayanvoice/android-vpn-client-ics-openvpn</v>
          </cell>
          <cell r="D1138" t="str">
            <v>gayanvoice/android-vpn-client-ics-openvpn</v>
          </cell>
          <cell r="E1138">
            <v>141</v>
          </cell>
          <cell r="F1138">
            <v>12</v>
          </cell>
          <cell r="G1138">
            <v>2</v>
          </cell>
          <cell r="H1138">
            <v>29861</v>
          </cell>
          <cell r="I1138">
            <v>298</v>
          </cell>
          <cell r="J1138">
            <v>487</v>
          </cell>
          <cell r="K1138">
            <v>42</v>
          </cell>
        </row>
        <row r="1139">
          <cell r="B1139" t="str">
            <v>paperless_app</v>
          </cell>
          <cell r="C1139" t="str">
            <v>bauerj/paperless_app</v>
          </cell>
          <cell r="D1139" t="str">
            <v>bauerj/paperless_app</v>
          </cell>
          <cell r="E1139">
            <v>141</v>
          </cell>
          <cell r="F1139">
            <v>21</v>
          </cell>
          <cell r="G1139">
            <v>12</v>
          </cell>
          <cell r="H1139">
            <v>3057</v>
          </cell>
          <cell r="I1139">
            <v>45</v>
          </cell>
          <cell r="J1139">
            <v>420</v>
          </cell>
          <cell r="K1139">
            <v>38</v>
          </cell>
        </row>
        <row r="1140">
          <cell r="B1140" t="str">
            <v>Pangea</v>
          </cell>
          <cell r="C1140" t="str">
            <v>NevilleAntony98/Pangea</v>
          </cell>
          <cell r="D1140" t="str">
            <v>NevilleAntony98/Pangea</v>
          </cell>
          <cell r="E1140">
            <v>141</v>
          </cell>
          <cell r="F1140">
            <v>28</v>
          </cell>
          <cell r="G1140">
            <v>5</v>
          </cell>
          <cell r="H1140">
            <v>3443</v>
          </cell>
          <cell r="I1140">
            <v>3</v>
          </cell>
          <cell r="J1140">
            <v>2</v>
          </cell>
          <cell r="K1140">
            <v>2</v>
          </cell>
        </row>
        <row r="1141">
          <cell r="B1141" t="str">
            <v>mobile</v>
          </cell>
          <cell r="C1141" t="str">
            <v>BeerXP/mobile</v>
          </cell>
          <cell r="D1141" t="str">
            <v>BeerXP/mobile_old</v>
          </cell>
          <cell r="E1141">
            <v>141</v>
          </cell>
          <cell r="F1141">
            <v>35</v>
          </cell>
          <cell r="G1141">
            <v>4</v>
          </cell>
          <cell r="H1141">
            <v>48407</v>
          </cell>
          <cell r="I1141">
            <v>1</v>
          </cell>
          <cell r="J1141">
            <v>2</v>
          </cell>
          <cell r="K1141">
            <v>14</v>
          </cell>
        </row>
        <row r="1142">
          <cell r="B1142" t="str">
            <v>flutter_book</v>
          </cell>
          <cell r="C1142" t="str">
            <v>Tecode/flutter_book</v>
          </cell>
          <cell r="D1142" t="str">
            <v>Tecode/flutter_book</v>
          </cell>
          <cell r="E1142">
            <v>142</v>
          </cell>
          <cell r="F1142">
            <v>1</v>
          </cell>
          <cell r="G1142">
            <v>1</v>
          </cell>
          <cell r="H1142">
            <v>16502</v>
          </cell>
          <cell r="I1142">
            <v>40</v>
          </cell>
          <cell r="J1142">
            <v>200</v>
          </cell>
          <cell r="K1142">
            <v>1</v>
          </cell>
        </row>
        <row r="1143">
          <cell r="B1143" t="str">
            <v>QAQ-Android</v>
          </cell>
          <cell r="C1143" t="str">
            <v>I-Info/QAQ-Android</v>
          </cell>
          <cell r="D1143" t="str">
            <v>I-Info/QAQ-Android</v>
          </cell>
          <cell r="E1143">
            <v>142</v>
          </cell>
          <cell r="F1143">
            <v>2</v>
          </cell>
          <cell r="G1143">
            <v>1</v>
          </cell>
          <cell r="H1143">
            <v>1318</v>
          </cell>
          <cell r="I1143">
            <v>0</v>
          </cell>
          <cell r="J1143">
            <v>1</v>
          </cell>
          <cell r="K1143">
            <v>0</v>
          </cell>
        </row>
        <row r="1144">
          <cell r="B1144" t="str">
            <v>wearkit</v>
          </cell>
          <cell r="C1144" t="str">
            <v>TocappGames/wearkit</v>
          </cell>
          <cell r="D1144" t="str">
            <v>TocappGames/wearkit</v>
          </cell>
          <cell r="E1144">
            <v>142</v>
          </cell>
          <cell r="F1144">
            <v>3</v>
          </cell>
          <cell r="G1144">
            <v>1</v>
          </cell>
          <cell r="H1144">
            <v>5641</v>
          </cell>
          <cell r="I1144">
            <v>0</v>
          </cell>
          <cell r="J1144">
            <v>3</v>
          </cell>
          <cell r="K1144">
            <v>3</v>
          </cell>
        </row>
        <row r="1145">
          <cell r="B1145" t="str">
            <v>android-pitchpipe</v>
          </cell>
          <cell r="C1145" t="str">
            <v>bmaupin/android-pitchpipe</v>
          </cell>
          <cell r="D1145" t="str">
            <v>bmaupin/android-pitchpipe</v>
          </cell>
          <cell r="E1145">
            <v>142</v>
          </cell>
          <cell r="F1145">
            <v>6</v>
          </cell>
          <cell r="G1145">
            <v>2</v>
          </cell>
          <cell r="H1145">
            <v>2053</v>
          </cell>
          <cell r="I1145">
            <v>2</v>
          </cell>
          <cell r="J1145">
            <v>3</v>
          </cell>
          <cell r="K1145">
            <v>0</v>
          </cell>
        </row>
        <row r="1146">
          <cell r="B1146" t="str">
            <v>ToneDef</v>
          </cell>
          <cell r="C1146" t="str">
            <v>Fortyseven/ToneDef</v>
          </cell>
          <cell r="D1146" t="str">
            <v>Fortyseven/ToneDef</v>
          </cell>
          <cell r="E1146">
            <v>142</v>
          </cell>
          <cell r="F1146">
            <v>9</v>
          </cell>
          <cell r="G1146">
            <v>3</v>
          </cell>
          <cell r="H1146">
            <v>564</v>
          </cell>
          <cell r="I1146">
            <v>19</v>
          </cell>
          <cell r="J1146">
            <v>66</v>
          </cell>
          <cell r="K1146">
            <v>6</v>
          </cell>
        </row>
        <row r="1147">
          <cell r="B1147" t="str">
            <v>spasic-app</v>
          </cell>
          <cell r="C1147" t="str">
            <v>koha13/spasic-app</v>
          </cell>
          <cell r="D1147" t="str">
            <v>koha13/spasic-app</v>
          </cell>
          <cell r="E1147">
            <v>142</v>
          </cell>
          <cell r="F1147">
            <v>10</v>
          </cell>
          <cell r="G1147">
            <v>1</v>
          </cell>
          <cell r="H1147">
            <v>5224</v>
          </cell>
          <cell r="I1147">
            <v>0</v>
          </cell>
          <cell r="J1147">
            <v>4</v>
          </cell>
          <cell r="K1147">
            <v>0</v>
          </cell>
        </row>
        <row r="1148">
          <cell r="B1148" t="str">
            <v>NLWeer</v>
          </cell>
          <cell r="C1148" t="str">
            <v>CNugteren/NLWeer</v>
          </cell>
          <cell r="D1148" t="str">
            <v>CNugteren/NLWeer</v>
          </cell>
          <cell r="E1148">
            <v>142</v>
          </cell>
          <cell r="F1148">
            <v>13</v>
          </cell>
          <cell r="G1148">
            <v>6</v>
          </cell>
          <cell r="H1148">
            <v>3460</v>
          </cell>
          <cell r="I1148">
            <v>4</v>
          </cell>
          <cell r="J1148">
            <v>15</v>
          </cell>
          <cell r="K1148">
            <v>7</v>
          </cell>
        </row>
        <row r="1149">
          <cell r="B1149" t="str">
            <v>AndroidAutoTrack</v>
          </cell>
          <cell r="C1149" t="str">
            <v>Leifzhang/AndroidAutoTrack</v>
          </cell>
          <cell r="D1149" t="str">
            <v>Leifzhang/AndroidAutoTrack</v>
          </cell>
          <cell r="E1149">
            <v>142</v>
          </cell>
          <cell r="F1149">
            <v>40</v>
          </cell>
          <cell r="G1149">
            <v>1</v>
          </cell>
          <cell r="H1149">
            <v>836</v>
          </cell>
          <cell r="I1149">
            <v>135</v>
          </cell>
          <cell r="J1149">
            <v>952</v>
          </cell>
          <cell r="K1149">
            <v>4</v>
          </cell>
        </row>
        <row r="1150">
          <cell r="B1150" t="str">
            <v>system-bridge-android-companion</v>
          </cell>
          <cell r="C1150" t="str">
            <v>timmo001/system-bridge-android-companion</v>
          </cell>
          <cell r="D1150" t="str">
            <v>timmo001/system-bridge-android-companion</v>
          </cell>
          <cell r="E1150">
            <v>142</v>
          </cell>
          <cell r="F1150">
            <v>95</v>
          </cell>
          <cell r="G1150">
            <v>3</v>
          </cell>
          <cell r="H1150">
            <v>1023</v>
          </cell>
          <cell r="I1150">
            <v>0</v>
          </cell>
          <cell r="J1150">
            <v>1</v>
          </cell>
          <cell r="K1150">
            <v>1</v>
          </cell>
        </row>
        <row r="1151">
          <cell r="B1151" t="str">
            <v>Epicture</v>
          </cell>
          <cell r="C1151" t="str">
            <v>bguillaumat/Epicture</v>
          </cell>
          <cell r="D1151" t="str">
            <v>bguillaumat/Epicture</v>
          </cell>
          <cell r="E1151">
            <v>143</v>
          </cell>
          <cell r="F1151">
            <v>0</v>
          </cell>
          <cell r="G1151">
            <v>2</v>
          </cell>
          <cell r="H1151">
            <v>1062</v>
          </cell>
          <cell r="I1151">
            <v>0</v>
          </cell>
          <cell r="J1151">
            <v>1</v>
          </cell>
          <cell r="K1151">
            <v>0</v>
          </cell>
        </row>
        <row r="1152">
          <cell r="B1152" t="str">
            <v>FancyPlaces</v>
          </cell>
          <cell r="C1152" t="str">
            <v>gabm/FancyPlaces</v>
          </cell>
          <cell r="D1152" t="str">
            <v>gabm/FancyPlaces</v>
          </cell>
          <cell r="E1152">
            <v>143</v>
          </cell>
          <cell r="F1152">
            <v>5</v>
          </cell>
          <cell r="G1152">
            <v>2</v>
          </cell>
          <cell r="H1152">
            <v>6287</v>
          </cell>
          <cell r="I1152">
            <v>8</v>
          </cell>
          <cell r="J1152">
            <v>22</v>
          </cell>
          <cell r="K1152">
            <v>7</v>
          </cell>
        </row>
        <row r="1153">
          <cell r="B1153" t="str">
            <v>i2pd-android</v>
          </cell>
          <cell r="C1153" t="str">
            <v>PurpleI2P/i2pd-android</v>
          </cell>
          <cell r="D1153" t="str">
            <v>PurpleI2P/i2pd-android</v>
          </cell>
          <cell r="E1153">
            <v>143</v>
          </cell>
          <cell r="F1153">
            <v>12</v>
          </cell>
          <cell r="G1153">
            <v>5</v>
          </cell>
          <cell r="H1153">
            <v>1217</v>
          </cell>
          <cell r="I1153">
            <v>15</v>
          </cell>
          <cell r="J1153">
            <v>108</v>
          </cell>
          <cell r="K1153">
            <v>15</v>
          </cell>
        </row>
        <row r="1154">
          <cell r="B1154" t="str">
            <v>retrograde-android</v>
          </cell>
          <cell r="C1154" t="str">
            <v>retrograde/retrograde-android</v>
          </cell>
          <cell r="D1154" t="str">
            <v>retrograde/retrograde-android</v>
          </cell>
          <cell r="E1154">
            <v>143</v>
          </cell>
          <cell r="F1154">
            <v>20</v>
          </cell>
          <cell r="G1154">
            <v>5</v>
          </cell>
          <cell r="H1154">
            <v>16074</v>
          </cell>
          <cell r="I1154">
            <v>27</v>
          </cell>
          <cell r="J1154">
            <v>158</v>
          </cell>
          <cell r="K1154">
            <v>5</v>
          </cell>
        </row>
        <row r="1155">
          <cell r="B1155" t="str">
            <v>Songs</v>
          </cell>
          <cell r="C1155" t="str">
            <v>Church-Life-Apps/Songs</v>
          </cell>
          <cell r="D1155" t="str">
            <v>Church-Life-Apps/Songs</v>
          </cell>
          <cell r="E1155">
            <v>143</v>
          </cell>
          <cell r="F1155">
            <v>118</v>
          </cell>
          <cell r="G1155">
            <v>7</v>
          </cell>
          <cell r="H1155">
            <v>86797</v>
          </cell>
          <cell r="I1155">
            <v>0</v>
          </cell>
          <cell r="J1155">
            <v>3</v>
          </cell>
          <cell r="K1155">
            <v>42</v>
          </cell>
        </row>
        <row r="1156">
          <cell r="B1156" t="str">
            <v>notifier</v>
          </cell>
          <cell r="C1156" t="str">
            <v>probablykasper/notifier</v>
          </cell>
          <cell r="D1156" t="str">
            <v>probablykasper/notifier</v>
          </cell>
          <cell r="E1156">
            <v>144</v>
          </cell>
          <cell r="F1156">
            <v>0</v>
          </cell>
          <cell r="G1156">
            <v>1</v>
          </cell>
          <cell r="H1156">
            <v>3758</v>
          </cell>
          <cell r="I1156">
            <v>0</v>
          </cell>
          <cell r="J1156">
            <v>2</v>
          </cell>
          <cell r="K1156">
            <v>0</v>
          </cell>
        </row>
        <row r="1157">
          <cell r="B1157" t="str">
            <v>DisneyMotions</v>
          </cell>
          <cell r="C1157" t="str">
            <v>skydoves/DisneyMotions</v>
          </cell>
          <cell r="D1157" t="str">
            <v>skydoves/DisneyMotions</v>
          </cell>
          <cell r="E1157">
            <v>144</v>
          </cell>
          <cell r="F1157">
            <v>5</v>
          </cell>
          <cell r="G1157">
            <v>2</v>
          </cell>
          <cell r="H1157">
            <v>95881</v>
          </cell>
          <cell r="I1157">
            <v>185</v>
          </cell>
          <cell r="J1157">
            <v>1410</v>
          </cell>
          <cell r="K1157">
            <v>0</v>
          </cell>
        </row>
        <row r="1158">
          <cell r="B1158" t="str">
            <v>android-icon-pack</v>
          </cell>
          <cell r="C1158" t="str">
            <v>materialos/android-icon-pack</v>
          </cell>
          <cell r="D1158" t="str">
            <v>materialos/android-icon-pack</v>
          </cell>
          <cell r="E1158">
            <v>144</v>
          </cell>
          <cell r="F1158">
            <v>7</v>
          </cell>
          <cell r="G1158">
            <v>8</v>
          </cell>
          <cell r="H1158">
            <v>42990</v>
          </cell>
          <cell r="I1158">
            <v>41</v>
          </cell>
          <cell r="J1158">
            <v>154</v>
          </cell>
          <cell r="K1158">
            <v>8</v>
          </cell>
        </row>
        <row r="1159">
          <cell r="B1159" t="str">
            <v>android-splitbus</v>
          </cell>
          <cell r="C1159" t="str">
            <v>marinantonio/android-splitbus</v>
          </cell>
          <cell r="D1159" t="str">
            <v>marinantonio/android-splitbus</v>
          </cell>
          <cell r="E1159">
            <v>144</v>
          </cell>
          <cell r="F1159">
            <v>13</v>
          </cell>
          <cell r="G1159">
            <v>1</v>
          </cell>
          <cell r="H1159">
            <v>3649</v>
          </cell>
          <cell r="I1159">
            <v>0</v>
          </cell>
          <cell r="J1159">
            <v>4</v>
          </cell>
          <cell r="K1159">
            <v>0</v>
          </cell>
        </row>
        <row r="1160">
          <cell r="B1160" t="str">
            <v>EmojiBottomSheetDialog</v>
          </cell>
          <cell r="C1160" t="str">
            <v>withplum/EmojiBottomSheetDialog</v>
          </cell>
          <cell r="D1160" t="str">
            <v>withplum/EmojiBottomSheetDialog</v>
          </cell>
          <cell r="E1160">
            <v>144</v>
          </cell>
          <cell r="F1160">
            <v>14</v>
          </cell>
          <cell r="G1160">
            <v>8</v>
          </cell>
          <cell r="H1160">
            <v>356</v>
          </cell>
          <cell r="I1160">
            <v>4</v>
          </cell>
          <cell r="J1160">
            <v>14</v>
          </cell>
          <cell r="K1160">
            <v>5</v>
          </cell>
        </row>
        <row r="1161">
          <cell r="B1161" t="str">
            <v>Stud.IP-App</v>
          </cell>
          <cell r="C1161" t="str">
            <v>tareksander/Stud.IP-App</v>
          </cell>
          <cell r="D1161" t="str">
            <v>tareksander/Stud.IP-App</v>
          </cell>
          <cell r="E1161">
            <v>144</v>
          </cell>
          <cell r="F1161">
            <v>16</v>
          </cell>
          <cell r="G1161">
            <v>1</v>
          </cell>
          <cell r="H1161">
            <v>5377</v>
          </cell>
          <cell r="I1161">
            <v>2</v>
          </cell>
          <cell r="J1161">
            <v>11</v>
          </cell>
          <cell r="K1161">
            <v>0</v>
          </cell>
        </row>
        <row r="1162">
          <cell r="B1162" t="str">
            <v>BJUTWiFi</v>
          </cell>
          <cell r="C1162" t="str">
            <v>yunowo/BJUTWiFi</v>
          </cell>
          <cell r="D1162" t="str">
            <v>yunowo/BJUTWiFi</v>
          </cell>
          <cell r="E1162">
            <v>144</v>
          </cell>
          <cell r="F1162">
            <v>247</v>
          </cell>
          <cell r="G1162">
            <v>2</v>
          </cell>
          <cell r="H1162">
            <v>2003</v>
          </cell>
          <cell r="I1162">
            <v>1</v>
          </cell>
          <cell r="J1162">
            <v>6</v>
          </cell>
          <cell r="K1162">
            <v>10</v>
          </cell>
        </row>
        <row r="1163">
          <cell r="B1163" t="str">
            <v>filmchecker</v>
          </cell>
          <cell r="C1163" t="str">
            <v>zouroboros/filmchecker</v>
          </cell>
          <cell r="D1163" t="str">
            <v>zouroboros/filmchecker</v>
          </cell>
          <cell r="E1163">
            <v>145</v>
          </cell>
          <cell r="F1163">
            <v>1</v>
          </cell>
          <cell r="G1163">
            <v>3</v>
          </cell>
          <cell r="H1163">
            <v>417</v>
          </cell>
          <cell r="I1163">
            <v>1</v>
          </cell>
          <cell r="J1163">
            <v>7</v>
          </cell>
          <cell r="K1163">
            <v>4</v>
          </cell>
        </row>
        <row r="1164">
          <cell r="B1164" t="str">
            <v>donezo</v>
          </cell>
          <cell r="C1164" t="str">
            <v>jamiesanson/donezo</v>
          </cell>
          <cell r="D1164" t="str">
            <v>jamiesanson/donezo</v>
          </cell>
          <cell r="E1164">
            <v>145</v>
          </cell>
          <cell r="F1164">
            <v>1</v>
          </cell>
          <cell r="G1164">
            <v>1</v>
          </cell>
          <cell r="H1164">
            <v>1315</v>
          </cell>
          <cell r="I1164">
            <v>0</v>
          </cell>
          <cell r="J1164">
            <v>9</v>
          </cell>
          <cell r="K1164">
            <v>3</v>
          </cell>
        </row>
        <row r="1165">
          <cell r="B1165" t="str">
            <v>GeoNotesPlus</v>
          </cell>
          <cell r="C1165" t="str">
            <v>SoorajModi/GeoNotesPlus</v>
          </cell>
          <cell r="D1165" t="str">
            <v>SoorajModi/GeoNotesPlus</v>
          </cell>
          <cell r="E1165">
            <v>145</v>
          </cell>
          <cell r="F1165">
            <v>2</v>
          </cell>
          <cell r="G1165">
            <v>5</v>
          </cell>
          <cell r="H1165">
            <v>29763</v>
          </cell>
          <cell r="I1165">
            <v>1</v>
          </cell>
          <cell r="J1165">
            <v>1</v>
          </cell>
          <cell r="K1165">
            <v>0</v>
          </cell>
        </row>
        <row r="1166">
          <cell r="B1166" t="str">
            <v>Android-Touch-Helper</v>
          </cell>
          <cell r="C1166" t="str">
            <v>zfdang/Android-Touch-Helper</v>
          </cell>
          <cell r="D1166" t="str">
            <v>zfdang/Android-Touch-Helper</v>
          </cell>
          <cell r="E1166">
            <v>145</v>
          </cell>
          <cell r="F1166">
            <v>3</v>
          </cell>
          <cell r="G1166">
            <v>4</v>
          </cell>
          <cell r="H1166">
            <v>155449</v>
          </cell>
          <cell r="I1166">
            <v>92</v>
          </cell>
          <cell r="J1166">
            <v>519</v>
          </cell>
          <cell r="K1166">
            <v>20</v>
          </cell>
        </row>
        <row r="1167">
          <cell r="B1167" t="str">
            <v>Napkin-Collect-Android</v>
          </cell>
          <cell r="C1167" t="str">
            <v>TaQuangKhoi/Napkin-Collect-Android</v>
          </cell>
          <cell r="D1167" t="str">
            <v>TaQuangKhoi/Napkin-Collect-Android</v>
          </cell>
          <cell r="E1167">
            <v>145</v>
          </cell>
          <cell r="F1167">
            <v>6</v>
          </cell>
          <cell r="G1167">
            <v>1</v>
          </cell>
          <cell r="H1167">
            <v>5949</v>
          </cell>
          <cell r="I1167">
            <v>0</v>
          </cell>
          <cell r="J1167">
            <v>6</v>
          </cell>
          <cell r="K1167">
            <v>3</v>
          </cell>
        </row>
        <row r="1168">
          <cell r="B1168" t="str">
            <v>BlackList</v>
          </cell>
          <cell r="C1168" t="str">
            <v>kaliturin/BlackList</v>
          </cell>
          <cell r="D1168" t="str">
            <v>kaliturin/BlackList</v>
          </cell>
          <cell r="E1168">
            <v>145</v>
          </cell>
          <cell r="F1168">
            <v>7</v>
          </cell>
          <cell r="G1168">
            <v>4</v>
          </cell>
          <cell r="H1168">
            <v>952</v>
          </cell>
          <cell r="I1168">
            <v>36</v>
          </cell>
          <cell r="J1168">
            <v>100</v>
          </cell>
          <cell r="K1168">
            <v>22</v>
          </cell>
        </row>
        <row r="1169">
          <cell r="B1169" t="str">
            <v>Pandroid</v>
          </cell>
          <cell r="C1169" t="str">
            <v>sugarmanz/Pandroid</v>
          </cell>
          <cell r="D1169" t="str">
            <v>sugarmanz/Pandroid</v>
          </cell>
          <cell r="E1169">
            <v>145</v>
          </cell>
          <cell r="F1169">
            <v>8</v>
          </cell>
          <cell r="G1169">
            <v>1</v>
          </cell>
          <cell r="H1169">
            <v>15085</v>
          </cell>
          <cell r="I1169">
            <v>5</v>
          </cell>
          <cell r="J1169">
            <v>6</v>
          </cell>
          <cell r="K1169">
            <v>2</v>
          </cell>
        </row>
        <row r="1170">
          <cell r="B1170" t="str">
            <v>soundcrowd</v>
          </cell>
          <cell r="C1170" t="str">
            <v>soundcrowd/soundcrowd</v>
          </cell>
          <cell r="D1170" t="str">
            <v>soundcrowd/soundcrowd</v>
          </cell>
          <cell r="E1170">
            <v>145</v>
          </cell>
          <cell r="F1170">
            <v>70</v>
          </cell>
          <cell r="G1170">
            <v>5</v>
          </cell>
          <cell r="H1170">
            <v>759</v>
          </cell>
          <cell r="I1170">
            <v>1</v>
          </cell>
          <cell r="J1170">
            <v>12</v>
          </cell>
          <cell r="K1170">
            <v>2</v>
          </cell>
        </row>
        <row r="1171">
          <cell r="B1171" t="str">
            <v>BoFiLo</v>
          </cell>
          <cell r="C1171" t="str">
            <v>Octav14n/BoFiLo</v>
          </cell>
          <cell r="D1171" t="str">
            <v>Octav14n/BoFiLo</v>
          </cell>
          <cell r="E1171">
            <v>146</v>
          </cell>
          <cell r="F1171">
            <v>0</v>
          </cell>
          <cell r="G1171">
            <v>2</v>
          </cell>
          <cell r="H1171">
            <v>778</v>
          </cell>
          <cell r="I1171">
            <v>0</v>
          </cell>
          <cell r="J1171">
            <v>7</v>
          </cell>
          <cell r="K1171">
            <v>3</v>
          </cell>
        </row>
        <row r="1172">
          <cell r="B1172" t="str">
            <v>AndroidAppShortcuts</v>
          </cell>
          <cell r="C1172" t="str">
            <v>michelelacorte/AndroidAppShortcuts</v>
          </cell>
          <cell r="D1172" t="str">
            <v>michelelacorte/AndroidAppShortcuts</v>
          </cell>
          <cell r="E1172">
            <v>146</v>
          </cell>
          <cell r="F1172">
            <v>2</v>
          </cell>
          <cell r="G1172">
            <v>3</v>
          </cell>
          <cell r="H1172">
            <v>2593</v>
          </cell>
          <cell r="I1172">
            <v>42</v>
          </cell>
          <cell r="J1172">
            <v>228</v>
          </cell>
          <cell r="K1172">
            <v>4</v>
          </cell>
        </row>
        <row r="1173">
          <cell r="B1173" t="str">
            <v>WanAndroid</v>
          </cell>
          <cell r="C1173" t="str">
            <v>jixiaoyong/WanAndroid</v>
          </cell>
          <cell r="D1173" t="str">
            <v>jixiaoyong/WanAndroid</v>
          </cell>
          <cell r="E1173">
            <v>146</v>
          </cell>
          <cell r="F1173">
            <v>2</v>
          </cell>
          <cell r="G1173">
            <v>1</v>
          </cell>
          <cell r="H1173">
            <v>29864</v>
          </cell>
          <cell r="I1173">
            <v>6</v>
          </cell>
          <cell r="J1173">
            <v>23</v>
          </cell>
          <cell r="K1173">
            <v>1</v>
          </cell>
        </row>
        <row r="1174">
          <cell r="B1174" t="str">
            <v>EasyAdapter</v>
          </cell>
          <cell r="C1174" t="str">
            <v>mkrupal09/EasyAdapter</v>
          </cell>
          <cell r="D1174" t="str">
            <v>mkrupal09/EasyAdapter</v>
          </cell>
          <cell r="E1174">
            <v>146</v>
          </cell>
          <cell r="F1174">
            <v>3</v>
          </cell>
          <cell r="G1174">
            <v>1</v>
          </cell>
          <cell r="H1174">
            <v>2294</v>
          </cell>
          <cell r="I1174">
            <v>15</v>
          </cell>
          <cell r="J1174">
            <v>145</v>
          </cell>
          <cell r="K1174">
            <v>4</v>
          </cell>
        </row>
        <row r="1175">
          <cell r="B1175" t="str">
            <v>project-raasan</v>
          </cell>
          <cell r="C1175" t="str">
            <v>dscnitrourkela/project-raasan</v>
          </cell>
          <cell r="D1175" t="str">
            <v>dscnitrourkela/project-raasan</v>
          </cell>
          <cell r="E1175">
            <v>146</v>
          </cell>
          <cell r="F1175">
            <v>24</v>
          </cell>
          <cell r="G1175">
            <v>5</v>
          </cell>
          <cell r="H1175">
            <v>12627</v>
          </cell>
          <cell r="I1175">
            <v>7</v>
          </cell>
          <cell r="J1175">
            <v>8</v>
          </cell>
          <cell r="K1175">
            <v>4</v>
          </cell>
        </row>
        <row r="1176">
          <cell r="B1176" t="str">
            <v>TORGI</v>
          </cell>
          <cell r="C1176" t="str">
            <v>sofwerx/TORGI</v>
          </cell>
          <cell r="D1176" t="str">
            <v>sofwerx/TORGI</v>
          </cell>
          <cell r="E1176">
            <v>146</v>
          </cell>
          <cell r="F1176">
            <v>35</v>
          </cell>
          <cell r="G1176">
            <v>4</v>
          </cell>
          <cell r="H1176">
            <v>13352</v>
          </cell>
          <cell r="I1176">
            <v>12</v>
          </cell>
          <cell r="J1176">
            <v>12</v>
          </cell>
          <cell r="K1176">
            <v>10</v>
          </cell>
        </row>
        <row r="1177">
          <cell r="B1177" t="str">
            <v>OpenTopoMapViewer</v>
          </cell>
          <cell r="C1177" t="str">
            <v>Pygmalion69/OpenTopoMapViewer</v>
          </cell>
          <cell r="D1177" t="str">
            <v>Pygmalion69/OpenTopoMapViewer</v>
          </cell>
          <cell r="E1177">
            <v>147</v>
          </cell>
          <cell r="F1177">
            <v>5</v>
          </cell>
          <cell r="G1177">
            <v>3</v>
          </cell>
          <cell r="H1177">
            <v>6091</v>
          </cell>
          <cell r="I1177">
            <v>10</v>
          </cell>
          <cell r="J1177">
            <v>33</v>
          </cell>
          <cell r="K1177">
            <v>9</v>
          </cell>
        </row>
        <row r="1178">
          <cell r="B1178" t="str">
            <v>munchkin-counter-android</v>
          </cell>
          <cell r="C1178" t="str">
            <v>datarockets/munchkin-counter-android</v>
          </cell>
          <cell r="D1178" t="str">
            <v>datarockets/munchkin-counter-android</v>
          </cell>
          <cell r="E1178">
            <v>147</v>
          </cell>
          <cell r="F1178">
            <v>9</v>
          </cell>
          <cell r="G1178">
            <v>2</v>
          </cell>
          <cell r="H1178">
            <v>2759</v>
          </cell>
          <cell r="I1178">
            <v>4</v>
          </cell>
          <cell r="J1178">
            <v>8</v>
          </cell>
          <cell r="K1178">
            <v>2</v>
          </cell>
        </row>
        <row r="1179">
          <cell r="B1179" t="str">
            <v>privacy-friendly-dicer</v>
          </cell>
          <cell r="C1179" t="str">
            <v>SecUSo/privacy-friendly-dicer</v>
          </cell>
          <cell r="D1179" t="str">
            <v>SecUSo/privacy-friendly-dicer</v>
          </cell>
          <cell r="E1179">
            <v>147</v>
          </cell>
          <cell r="F1179">
            <v>11</v>
          </cell>
          <cell r="G1179">
            <v>9</v>
          </cell>
          <cell r="H1179">
            <v>1212</v>
          </cell>
          <cell r="I1179">
            <v>12</v>
          </cell>
          <cell r="J1179">
            <v>16</v>
          </cell>
          <cell r="K1179">
            <v>3</v>
          </cell>
        </row>
        <row r="1180">
          <cell r="B1180" t="str">
            <v>swadeeq</v>
          </cell>
          <cell r="C1180" t="str">
            <v>Muhammed-Rahif/swadeeq</v>
          </cell>
          <cell r="D1180" t="str">
            <v>Muhammed-Rahif/swadeeq</v>
          </cell>
          <cell r="E1180">
            <v>147</v>
          </cell>
          <cell r="F1180">
            <v>56</v>
          </cell>
          <cell r="G1180">
            <v>2</v>
          </cell>
          <cell r="H1180">
            <v>5498</v>
          </cell>
          <cell r="I1180">
            <v>1</v>
          </cell>
          <cell r="J1180">
            <v>1</v>
          </cell>
          <cell r="K1180">
            <v>11</v>
          </cell>
        </row>
        <row r="1181">
          <cell r="B1181" t="str">
            <v>4th_Grade_IS-Master-</v>
          </cell>
          <cell r="C1181" t="str">
            <v>mansoura-cis/4th_Grade_IS-Master-</v>
          </cell>
          <cell r="D1181" t="str">
            <v>mansoura-cis/4th_Grade_IS-Master-</v>
          </cell>
          <cell r="E1181">
            <v>148</v>
          </cell>
          <cell r="F1181">
            <v>1</v>
          </cell>
          <cell r="G1181">
            <v>1</v>
          </cell>
          <cell r="H1181">
            <v>1078236</v>
          </cell>
          <cell r="I1181">
            <v>2</v>
          </cell>
          <cell r="J1181">
            <v>1</v>
          </cell>
          <cell r="K1181">
            <v>0</v>
          </cell>
        </row>
        <row r="1182">
          <cell r="B1182" t="str">
            <v>kotlin-android-starter</v>
          </cell>
          <cell r="C1182" t="str">
            <v>androidstarters/kotlin-android-starter</v>
          </cell>
          <cell r="D1182" t="str">
            <v>androidstarters/kotlin-android-starter</v>
          </cell>
          <cell r="E1182">
            <v>148</v>
          </cell>
          <cell r="F1182">
            <v>7</v>
          </cell>
          <cell r="G1182">
            <v>9</v>
          </cell>
          <cell r="H1182">
            <v>2003</v>
          </cell>
          <cell r="I1182">
            <v>97</v>
          </cell>
          <cell r="J1182">
            <v>596</v>
          </cell>
          <cell r="K1182">
            <v>8</v>
          </cell>
        </row>
        <row r="1183">
          <cell r="B1183" t="str">
            <v>openWorkout</v>
          </cell>
          <cell r="C1183" t="str">
            <v>oliexdev/openWorkout</v>
          </cell>
          <cell r="D1183" t="str">
            <v>oliexdev/openWorkout</v>
          </cell>
          <cell r="E1183">
            <v>148</v>
          </cell>
          <cell r="F1183">
            <v>12</v>
          </cell>
          <cell r="G1183">
            <v>8</v>
          </cell>
          <cell r="H1183">
            <v>23349</v>
          </cell>
          <cell r="I1183">
            <v>11</v>
          </cell>
          <cell r="J1183">
            <v>107</v>
          </cell>
          <cell r="K1183">
            <v>15</v>
          </cell>
        </row>
        <row r="1184">
          <cell r="B1184" t="str">
            <v>WaWa-Tabor</v>
          </cell>
          <cell r="C1184" t="str">
            <v>wkrzywiec/WaWa-Tabor</v>
          </cell>
          <cell r="D1184" t="str">
            <v>wkrzywiec/WaWa-Tabor</v>
          </cell>
          <cell r="E1184">
            <v>149</v>
          </cell>
          <cell r="F1184">
            <v>11</v>
          </cell>
          <cell r="G1184">
            <v>1</v>
          </cell>
          <cell r="H1184">
            <v>2263</v>
          </cell>
          <cell r="I1184">
            <v>10</v>
          </cell>
          <cell r="J1184">
            <v>23</v>
          </cell>
          <cell r="K1184">
            <v>17</v>
          </cell>
        </row>
        <row r="1185">
          <cell r="B1185" t="str">
            <v>tsukimisou</v>
          </cell>
          <cell r="C1185" t="str">
            <v>ygohko/tsukimisou</v>
          </cell>
          <cell r="D1185" t="str">
            <v>ygohko/tsukimisou</v>
          </cell>
          <cell r="E1185">
            <v>149</v>
          </cell>
          <cell r="F1185">
            <v>143</v>
          </cell>
          <cell r="G1185">
            <v>1</v>
          </cell>
          <cell r="H1185">
            <v>9418</v>
          </cell>
          <cell r="I1185">
            <v>0</v>
          </cell>
          <cell r="J1185">
            <v>2</v>
          </cell>
          <cell r="K1185">
            <v>1</v>
          </cell>
        </row>
        <row r="1186">
          <cell r="B1186" t="str">
            <v>IRRemote</v>
          </cell>
          <cell r="C1186" t="str">
            <v>Divested-Mobile/IRRemote</v>
          </cell>
          <cell r="D1186" t="str">
            <v>Divested-Mobile/IRRemote</v>
          </cell>
          <cell r="E1186">
            <v>150</v>
          </cell>
          <cell r="F1186">
            <v>0</v>
          </cell>
          <cell r="G1186">
            <v>9</v>
          </cell>
          <cell r="H1186">
            <v>2820</v>
          </cell>
          <cell r="I1186">
            <v>2</v>
          </cell>
          <cell r="J1186">
            <v>6</v>
          </cell>
          <cell r="K1186">
            <v>3</v>
          </cell>
        </row>
        <row r="1187">
          <cell r="B1187" t="str">
            <v>flone-android</v>
          </cell>
          <cell r="C1187" t="str">
            <v>fewlaps/flone-android</v>
          </cell>
          <cell r="D1187" t="str">
            <v>fewlaps/flone-android</v>
          </cell>
          <cell r="E1187">
            <v>151</v>
          </cell>
          <cell r="F1187">
            <v>6</v>
          </cell>
          <cell r="G1187">
            <v>3</v>
          </cell>
          <cell r="H1187">
            <v>27086</v>
          </cell>
          <cell r="I1187">
            <v>14</v>
          </cell>
          <cell r="J1187">
            <v>52</v>
          </cell>
          <cell r="K1187">
            <v>15</v>
          </cell>
        </row>
        <row r="1188">
          <cell r="B1188" t="str">
            <v>pretixdroid</v>
          </cell>
          <cell r="C1188" t="str">
            <v>pretix/pretixdroid</v>
          </cell>
          <cell r="D1188" t="str">
            <v>pretix/pretixdroid</v>
          </cell>
          <cell r="E1188">
            <v>151</v>
          </cell>
          <cell r="F1188">
            <v>17</v>
          </cell>
          <cell r="G1188">
            <v>10</v>
          </cell>
          <cell r="H1188">
            <v>613</v>
          </cell>
          <cell r="I1188">
            <v>18</v>
          </cell>
          <cell r="J1188">
            <v>32</v>
          </cell>
          <cell r="K1188">
            <v>12</v>
          </cell>
        </row>
        <row r="1189">
          <cell r="B1189" t="str">
            <v>Yummy</v>
          </cell>
          <cell r="C1189" t="str">
            <v>Felix-Kariuki/Yummy</v>
          </cell>
          <cell r="D1189" t="str">
            <v>Felix-Kariuki/Yummy</v>
          </cell>
          <cell r="E1189">
            <v>151</v>
          </cell>
          <cell r="F1189">
            <v>29</v>
          </cell>
          <cell r="G1189">
            <v>5</v>
          </cell>
          <cell r="H1189">
            <v>68444</v>
          </cell>
          <cell r="I1189">
            <v>9</v>
          </cell>
          <cell r="J1189">
            <v>34</v>
          </cell>
          <cell r="K1189">
            <v>0</v>
          </cell>
        </row>
        <row r="1190">
          <cell r="B1190" t="str">
            <v>main</v>
          </cell>
          <cell r="C1190" t="str">
            <v>gallettilance/main</v>
          </cell>
          <cell r="D1190" t="str">
            <v>gallettilance/main</v>
          </cell>
          <cell r="E1190">
            <v>151</v>
          </cell>
          <cell r="F1190">
            <v>32</v>
          </cell>
          <cell r="G1190">
            <v>6</v>
          </cell>
          <cell r="H1190">
            <v>1202</v>
          </cell>
          <cell r="I1190">
            <v>16</v>
          </cell>
          <cell r="J1190">
            <v>15</v>
          </cell>
          <cell r="K1190">
            <v>10</v>
          </cell>
        </row>
        <row r="1191">
          <cell r="B1191" t="str">
            <v>RelaxFinger</v>
          </cell>
          <cell r="C1191" t="str">
            <v>fg607/RelaxFinger</v>
          </cell>
          <cell r="D1191" t="str">
            <v>fg607/RelaxFinger</v>
          </cell>
          <cell r="E1191">
            <v>152</v>
          </cell>
          <cell r="F1191">
            <v>0</v>
          </cell>
          <cell r="G1191">
            <v>1</v>
          </cell>
          <cell r="H1191">
            <v>16429</v>
          </cell>
          <cell r="I1191">
            <v>17</v>
          </cell>
          <cell r="J1191">
            <v>79</v>
          </cell>
          <cell r="K1191">
            <v>0</v>
          </cell>
        </row>
        <row r="1192">
          <cell r="B1192" t="str">
            <v>rust-keylock-android</v>
          </cell>
          <cell r="C1192" t="str">
            <v>rust-keylock/rust-keylock-android</v>
          </cell>
          <cell r="D1192" t="str">
            <v>rust-keylock/rust-keylock-android</v>
          </cell>
          <cell r="E1192">
            <v>152</v>
          </cell>
          <cell r="F1192">
            <v>1</v>
          </cell>
          <cell r="G1192">
            <v>2</v>
          </cell>
          <cell r="H1192">
            <v>1542</v>
          </cell>
          <cell r="I1192">
            <v>0</v>
          </cell>
          <cell r="J1192">
            <v>11</v>
          </cell>
          <cell r="K1192">
            <v>1</v>
          </cell>
        </row>
        <row r="1193">
          <cell r="B1193" t="str">
            <v>GSYRickText</v>
          </cell>
          <cell r="C1193" t="str">
            <v>CarGuo/GSYRickText</v>
          </cell>
          <cell r="D1193" t="str">
            <v>CarGuo/GSYRickText</v>
          </cell>
          <cell r="E1193">
            <v>152</v>
          </cell>
          <cell r="F1193">
            <v>2</v>
          </cell>
          <cell r="G1193">
            <v>2</v>
          </cell>
          <cell r="H1193">
            <v>3147</v>
          </cell>
          <cell r="I1193">
            <v>99</v>
          </cell>
          <cell r="J1193">
            <v>691</v>
          </cell>
          <cell r="K1193">
            <v>13</v>
          </cell>
        </row>
        <row r="1194">
          <cell r="B1194" t="str">
            <v>safe-dot-android</v>
          </cell>
          <cell r="C1194" t="str">
            <v>kamaravichow/safe-dot-android</v>
          </cell>
          <cell r="D1194" t="str">
            <v>kamaravichow/safe-dot-android</v>
          </cell>
          <cell r="E1194">
            <v>152</v>
          </cell>
          <cell r="F1194">
            <v>12</v>
          </cell>
          <cell r="G1194">
            <v>5</v>
          </cell>
          <cell r="H1194">
            <v>2182</v>
          </cell>
          <cell r="I1194">
            <v>13</v>
          </cell>
          <cell r="J1194">
            <v>86</v>
          </cell>
          <cell r="K1194">
            <v>4</v>
          </cell>
        </row>
        <row r="1195">
          <cell r="B1195" t="str">
            <v>Current-Activity</v>
          </cell>
          <cell r="C1195" t="str">
            <v>ratsan/Current-Activity</v>
          </cell>
          <cell r="D1195" t="str">
            <v>codehasan/Current-Activity</v>
          </cell>
          <cell r="E1195">
            <v>152</v>
          </cell>
          <cell r="F1195">
            <v>15</v>
          </cell>
          <cell r="G1195">
            <v>5</v>
          </cell>
          <cell r="H1195">
            <v>1242</v>
          </cell>
          <cell r="I1195">
            <v>6</v>
          </cell>
          <cell r="J1195">
            <v>37</v>
          </cell>
          <cell r="K1195">
            <v>3</v>
          </cell>
        </row>
        <row r="1196">
          <cell r="B1196" t="str">
            <v>cazadescuentos</v>
          </cell>
          <cell r="C1196" t="str">
            <v>wiringbits/cazadescuentos</v>
          </cell>
          <cell r="D1196" t="str">
            <v>wiringbits/cazadescuentos</v>
          </cell>
          <cell r="E1196">
            <v>152</v>
          </cell>
          <cell r="F1196">
            <v>86</v>
          </cell>
          <cell r="G1196">
            <v>13</v>
          </cell>
          <cell r="H1196">
            <v>6960</v>
          </cell>
          <cell r="I1196">
            <v>13</v>
          </cell>
          <cell r="J1196">
            <v>38</v>
          </cell>
          <cell r="K1196">
            <v>43</v>
          </cell>
        </row>
        <row r="1197">
          <cell r="B1197" t="str">
            <v>NoFbEventScraper</v>
          </cell>
          <cell r="C1197" t="str">
            <v>akaessens/NoFbEventScraper</v>
          </cell>
          <cell r="D1197" t="str">
            <v>akaessens/NoFbEventScraper</v>
          </cell>
          <cell r="E1197">
            <v>153</v>
          </cell>
          <cell r="F1197">
            <v>2</v>
          </cell>
          <cell r="G1197">
            <v>2</v>
          </cell>
          <cell r="H1197">
            <v>7009</v>
          </cell>
          <cell r="I1197">
            <v>1</v>
          </cell>
          <cell r="J1197">
            <v>27</v>
          </cell>
          <cell r="K1197">
            <v>3</v>
          </cell>
        </row>
        <row r="1198">
          <cell r="B1198" t="str">
            <v>BladePlayer</v>
          </cell>
          <cell r="C1198" t="str">
            <v>vhaudiquet/BladePlayer</v>
          </cell>
          <cell r="D1198" t="str">
            <v>vhaudiquet/BladePlayer</v>
          </cell>
          <cell r="E1198">
            <v>153</v>
          </cell>
          <cell r="F1198">
            <v>5</v>
          </cell>
          <cell r="G1198">
            <v>4</v>
          </cell>
          <cell r="H1198">
            <v>3241</v>
          </cell>
          <cell r="I1198">
            <v>8</v>
          </cell>
          <cell r="J1198">
            <v>85</v>
          </cell>
          <cell r="K1198">
            <v>14</v>
          </cell>
        </row>
        <row r="1199">
          <cell r="B1199" t="str">
            <v>super-pub-android</v>
          </cell>
          <cell r="C1199" t="str">
            <v>orogersilva/super-pub-android</v>
          </cell>
          <cell r="D1199" t="str">
            <v>orogersilva/super-pub-android</v>
          </cell>
          <cell r="E1199">
            <v>153</v>
          </cell>
          <cell r="F1199">
            <v>9</v>
          </cell>
          <cell r="G1199">
            <v>1</v>
          </cell>
          <cell r="H1199">
            <v>1180</v>
          </cell>
          <cell r="I1199">
            <v>0</v>
          </cell>
          <cell r="J1199">
            <v>2</v>
          </cell>
          <cell r="K1199">
            <v>0</v>
          </cell>
        </row>
        <row r="1200">
          <cell r="B1200" t="str">
            <v>Translator</v>
          </cell>
          <cell r="C1200" t="str">
            <v>sunilpaulmathew/Translator</v>
          </cell>
          <cell r="D1200" t="str">
            <v>sunilpaulmathew/Translator</v>
          </cell>
          <cell r="E1200">
            <v>153</v>
          </cell>
          <cell r="F1200">
            <v>20</v>
          </cell>
          <cell r="G1200">
            <v>16</v>
          </cell>
          <cell r="H1200">
            <v>5984</v>
          </cell>
          <cell r="I1200">
            <v>42</v>
          </cell>
          <cell r="J1200">
            <v>86</v>
          </cell>
          <cell r="K1200">
            <v>10</v>
          </cell>
        </row>
        <row r="1201">
          <cell r="B1201" t="str">
            <v>MaterialFilePicker</v>
          </cell>
          <cell r="C1201" t="str">
            <v>nbsp-team/MaterialFilePicker</v>
          </cell>
          <cell r="D1201" t="str">
            <v>nbsp-team/MaterialFilePicker</v>
          </cell>
          <cell r="E1201">
            <v>153</v>
          </cell>
          <cell r="F1201">
            <v>35</v>
          </cell>
          <cell r="G1201">
            <v>12</v>
          </cell>
          <cell r="H1201">
            <v>788</v>
          </cell>
          <cell r="I1201">
            <v>236</v>
          </cell>
          <cell r="J1201">
            <v>1114</v>
          </cell>
          <cell r="K1201">
            <v>32</v>
          </cell>
        </row>
        <row r="1202">
          <cell r="B1202" t="str">
            <v>oeis-android</v>
          </cell>
          <cell r="C1202" t="str">
            <v>RSBat/oeis-android</v>
          </cell>
          <cell r="D1202" t="str">
            <v>tabasavr/oeis-android</v>
          </cell>
          <cell r="E1202">
            <v>153</v>
          </cell>
          <cell r="F1202">
            <v>53</v>
          </cell>
          <cell r="G1202">
            <v>2</v>
          </cell>
          <cell r="H1202">
            <v>306</v>
          </cell>
          <cell r="I1202">
            <v>0</v>
          </cell>
          <cell r="J1202">
            <v>2</v>
          </cell>
          <cell r="K1202">
            <v>6</v>
          </cell>
        </row>
        <row r="1203">
          <cell r="B1203" t="str">
            <v>tldroid</v>
          </cell>
          <cell r="C1203" t="str">
            <v>hidroh/tldroid</v>
          </cell>
          <cell r="D1203" t="str">
            <v>hidroh/tldroid</v>
          </cell>
          <cell r="E1203">
            <v>153</v>
          </cell>
          <cell r="F1203">
            <v>54</v>
          </cell>
          <cell r="G1203">
            <v>1</v>
          </cell>
          <cell r="H1203">
            <v>1637</v>
          </cell>
          <cell r="I1203">
            <v>15</v>
          </cell>
          <cell r="J1203">
            <v>129</v>
          </cell>
          <cell r="K1203">
            <v>6</v>
          </cell>
        </row>
        <row r="1204">
          <cell r="B1204" t="str">
            <v>boromi</v>
          </cell>
          <cell r="C1204" t="str">
            <v>CMPUT301F20T41/boromi</v>
          </cell>
          <cell r="D1204" t="str">
            <v>CMPUT301F20T41/boromi</v>
          </cell>
          <cell r="E1204">
            <v>153</v>
          </cell>
          <cell r="F1204">
            <v>89</v>
          </cell>
          <cell r="G1204">
            <v>5</v>
          </cell>
          <cell r="H1204">
            <v>855</v>
          </cell>
          <cell r="I1204">
            <v>4</v>
          </cell>
          <cell r="J1204">
            <v>4</v>
          </cell>
          <cell r="K1204">
            <v>0</v>
          </cell>
        </row>
        <row r="1205">
          <cell r="B1205" t="str">
            <v>Minimal-Todo</v>
          </cell>
          <cell r="C1205" t="str">
            <v>avjinder/Minimal-Todo</v>
          </cell>
          <cell r="D1205" t="str">
            <v>avjinder/Minimal-Todo</v>
          </cell>
          <cell r="E1205">
            <v>153</v>
          </cell>
          <cell r="F1205">
            <v>98</v>
          </cell>
          <cell r="G1205">
            <v>14</v>
          </cell>
          <cell r="H1205">
            <v>17725</v>
          </cell>
          <cell r="I1205">
            <v>1020</v>
          </cell>
          <cell r="J1205">
            <v>2122</v>
          </cell>
          <cell r="K1205">
            <v>98</v>
          </cell>
        </row>
        <row r="1206">
          <cell r="B1206" t="str">
            <v>Rachma-Android</v>
          </cell>
          <cell r="C1206" t="str">
            <v>Binary-Team/Rachma-Android</v>
          </cell>
          <cell r="D1206" t="str">
            <v>Binary-Team/Rachma-Android</v>
          </cell>
          <cell r="E1206">
            <v>154</v>
          </cell>
          <cell r="F1206">
            <v>0</v>
          </cell>
          <cell r="G1206">
            <v>2</v>
          </cell>
          <cell r="H1206">
            <v>1848</v>
          </cell>
          <cell r="I1206">
            <v>1</v>
          </cell>
          <cell r="J1206">
            <v>5</v>
          </cell>
          <cell r="K1206">
            <v>8</v>
          </cell>
        </row>
        <row r="1207">
          <cell r="B1207" t="str">
            <v>Pokebase</v>
          </cell>
          <cell r="C1207" t="str">
            <v>tylerbwong/Pokebase</v>
          </cell>
          <cell r="D1207" t="str">
            <v>tylerbwong/Pokebase</v>
          </cell>
          <cell r="E1207">
            <v>154</v>
          </cell>
          <cell r="F1207">
            <v>1</v>
          </cell>
          <cell r="G1207">
            <v>2</v>
          </cell>
          <cell r="H1207">
            <v>22919</v>
          </cell>
          <cell r="I1207">
            <v>1</v>
          </cell>
          <cell r="J1207">
            <v>12</v>
          </cell>
          <cell r="K1207">
            <v>0</v>
          </cell>
        </row>
        <row r="1208">
          <cell r="B1208" t="str">
            <v>BaseKotlinAndroid</v>
          </cell>
          <cell r="C1208" t="str">
            <v>pratamawijaya/BaseKotlinAndroid</v>
          </cell>
          <cell r="D1208" t="str">
            <v>pratamawijaya/BaseKotlinAndroid</v>
          </cell>
          <cell r="E1208">
            <v>154</v>
          </cell>
          <cell r="F1208">
            <v>2</v>
          </cell>
          <cell r="G1208">
            <v>1</v>
          </cell>
          <cell r="H1208">
            <v>4604</v>
          </cell>
          <cell r="I1208">
            <v>37</v>
          </cell>
          <cell r="J1208">
            <v>90</v>
          </cell>
          <cell r="K1208">
            <v>0</v>
          </cell>
        </row>
        <row r="1209">
          <cell r="B1209" t="str">
            <v>MarvelApp</v>
          </cell>
          <cell r="C1209" t="str">
            <v>serbelga/MarvelApp</v>
          </cell>
          <cell r="D1209" t="str">
            <v>serbelga/MarvelApp</v>
          </cell>
          <cell r="E1209">
            <v>154</v>
          </cell>
          <cell r="F1209">
            <v>60</v>
          </cell>
          <cell r="G1209">
            <v>2</v>
          </cell>
          <cell r="H1209">
            <v>468</v>
          </cell>
          <cell r="I1209">
            <v>0</v>
          </cell>
          <cell r="J1209">
            <v>2</v>
          </cell>
          <cell r="K1209">
            <v>1</v>
          </cell>
        </row>
        <row r="1210">
          <cell r="B1210" t="str">
            <v>rally</v>
          </cell>
          <cell r="C1210" t="str">
            <v>hashlin/rally</v>
          </cell>
          <cell r="D1210" t="str">
            <v>hashlin/rally</v>
          </cell>
          <cell r="E1210">
            <v>155</v>
          </cell>
          <cell r="F1210">
            <v>1</v>
          </cell>
          <cell r="G1210">
            <v>2</v>
          </cell>
          <cell r="H1210">
            <v>21846</v>
          </cell>
          <cell r="I1210">
            <v>60</v>
          </cell>
          <cell r="J1210">
            <v>448</v>
          </cell>
          <cell r="K1210">
            <v>0</v>
          </cell>
        </row>
        <row r="1211">
          <cell r="B1211" t="str">
            <v>mCerebrum-Study</v>
          </cell>
          <cell r="C1211" t="str">
            <v>MD2Korg/mCerebrum-Study</v>
          </cell>
          <cell r="D1211" t="str">
            <v>MD2Korg/mCerebrum-Study</v>
          </cell>
          <cell r="E1211">
            <v>155</v>
          </cell>
          <cell r="F1211">
            <v>1</v>
          </cell>
          <cell r="G1211">
            <v>3</v>
          </cell>
          <cell r="H1211">
            <v>4068</v>
          </cell>
          <cell r="I1211">
            <v>1</v>
          </cell>
          <cell r="J1211">
            <v>3</v>
          </cell>
          <cell r="K1211">
            <v>3</v>
          </cell>
        </row>
        <row r="1212">
          <cell r="B1212" t="str">
            <v>pogoplusle</v>
          </cell>
          <cell r="C1212" t="str">
            <v>Mygod/pogoplusle</v>
          </cell>
          <cell r="D1212" t="str">
            <v>Mygod/pogoplusle</v>
          </cell>
          <cell r="E1212">
            <v>155</v>
          </cell>
          <cell r="F1212">
            <v>2</v>
          </cell>
          <cell r="G1212">
            <v>2</v>
          </cell>
          <cell r="H1212">
            <v>307</v>
          </cell>
          <cell r="I1212">
            <v>3</v>
          </cell>
          <cell r="J1212">
            <v>10</v>
          </cell>
          <cell r="K1212">
            <v>1</v>
          </cell>
        </row>
        <row r="1213">
          <cell r="B1213" t="str">
            <v>ripple</v>
          </cell>
          <cell r="C1213" t="str">
            <v>guardianproject/ripple</v>
          </cell>
          <cell r="D1213" t="str">
            <v>guardianproject/ripple</v>
          </cell>
          <cell r="E1213">
            <v>155</v>
          </cell>
          <cell r="F1213">
            <v>7</v>
          </cell>
          <cell r="G1213">
            <v>35</v>
          </cell>
          <cell r="H1213">
            <v>2496</v>
          </cell>
          <cell r="I1213">
            <v>26</v>
          </cell>
          <cell r="J1213">
            <v>172</v>
          </cell>
          <cell r="K1213">
            <v>15</v>
          </cell>
        </row>
        <row r="1214">
          <cell r="B1214" t="str">
            <v>deedum</v>
          </cell>
          <cell r="C1214" t="str">
            <v>snoe/deedum</v>
          </cell>
          <cell r="D1214" t="str">
            <v>snoe/deedum</v>
          </cell>
          <cell r="E1214">
            <v>155</v>
          </cell>
          <cell r="F1214">
            <v>16</v>
          </cell>
          <cell r="G1214">
            <v>4</v>
          </cell>
          <cell r="H1214">
            <v>3703</v>
          </cell>
          <cell r="I1214">
            <v>10</v>
          </cell>
          <cell r="J1214">
            <v>114</v>
          </cell>
          <cell r="K1214">
            <v>10</v>
          </cell>
        </row>
        <row r="1215">
          <cell r="B1215" t="str">
            <v>mTUO</v>
          </cell>
          <cell r="C1215" t="str">
            <v>APN-Pucky/mTUO</v>
          </cell>
          <cell r="D1215" t="str">
            <v>APN-Pucky/mTUO</v>
          </cell>
          <cell r="E1215">
            <v>155</v>
          </cell>
          <cell r="F1215">
            <v>32</v>
          </cell>
          <cell r="G1215">
            <v>5</v>
          </cell>
          <cell r="H1215">
            <v>315714</v>
          </cell>
          <cell r="I1215">
            <v>0</v>
          </cell>
          <cell r="J1215">
            <v>3</v>
          </cell>
          <cell r="K1215">
            <v>7</v>
          </cell>
        </row>
        <row r="1216">
          <cell r="B1216" t="str">
            <v>Wantum-android</v>
          </cell>
          <cell r="C1216" t="str">
            <v>TechCafeFreedom/Wantum-android</v>
          </cell>
          <cell r="D1216" t="str">
            <v>TechCafeFreedom/Wantum-android</v>
          </cell>
          <cell r="E1216">
            <v>155</v>
          </cell>
          <cell r="F1216">
            <v>35</v>
          </cell>
          <cell r="G1216">
            <v>6</v>
          </cell>
          <cell r="H1216">
            <v>455</v>
          </cell>
          <cell r="I1216">
            <v>0</v>
          </cell>
          <cell r="J1216">
            <v>1</v>
          </cell>
          <cell r="K1216">
            <v>12</v>
          </cell>
        </row>
        <row r="1217">
          <cell r="B1217" t="str">
            <v>sdbviewer</v>
          </cell>
          <cell r="C1217" t="str">
            <v>mathisdt/sdbviewer</v>
          </cell>
          <cell r="D1217" t="str">
            <v>mathisdt/sdbviewer</v>
          </cell>
          <cell r="E1217">
            <v>155</v>
          </cell>
          <cell r="F1217">
            <v>49</v>
          </cell>
          <cell r="G1217">
            <v>4</v>
          </cell>
          <cell r="H1217">
            <v>563</v>
          </cell>
          <cell r="I1217">
            <v>0</v>
          </cell>
          <cell r="J1217">
            <v>5</v>
          </cell>
          <cell r="K1217">
            <v>6</v>
          </cell>
        </row>
        <row r="1218">
          <cell r="B1218" t="str">
            <v>simple-calculator</v>
          </cell>
          <cell r="C1218" t="str">
            <v>jusleg/simple-calculator</v>
          </cell>
          <cell r="D1218" t="str">
            <v>jusleg/simple-calculator</v>
          </cell>
          <cell r="E1218">
            <v>155</v>
          </cell>
          <cell r="F1218">
            <v>62</v>
          </cell>
          <cell r="G1218">
            <v>5</v>
          </cell>
          <cell r="H1218">
            <v>2307</v>
          </cell>
          <cell r="I1218">
            <v>1</v>
          </cell>
          <cell r="J1218">
            <v>1</v>
          </cell>
          <cell r="K1218">
            <v>0</v>
          </cell>
        </row>
        <row r="1219">
          <cell r="B1219" t="str">
            <v>android-client</v>
          </cell>
          <cell r="C1219" t="str">
            <v>docspell/android-client</v>
          </cell>
          <cell r="D1219" t="str">
            <v>docspell/android-client</v>
          </cell>
          <cell r="E1219">
            <v>155</v>
          </cell>
          <cell r="F1219">
            <v>63</v>
          </cell>
          <cell r="G1219">
            <v>4</v>
          </cell>
          <cell r="H1219">
            <v>513</v>
          </cell>
          <cell r="I1219">
            <v>3</v>
          </cell>
          <cell r="J1219">
            <v>11</v>
          </cell>
          <cell r="K1219">
            <v>12</v>
          </cell>
        </row>
        <row r="1220">
          <cell r="B1220" t="str">
            <v>wordle-kt</v>
          </cell>
          <cell r="C1220" t="str">
            <v>opatry/wordle-kt</v>
          </cell>
          <cell r="D1220" t="str">
            <v>opatry/wordle-kt</v>
          </cell>
          <cell r="E1220">
            <v>156</v>
          </cell>
          <cell r="F1220">
            <v>5</v>
          </cell>
          <cell r="G1220">
            <v>1</v>
          </cell>
          <cell r="H1220">
            <v>1426</v>
          </cell>
          <cell r="I1220">
            <v>3</v>
          </cell>
          <cell r="J1220">
            <v>39</v>
          </cell>
          <cell r="K1220">
            <v>20</v>
          </cell>
        </row>
        <row r="1221">
          <cell r="B1221" t="str">
            <v>umimecesky</v>
          </cell>
          <cell r="C1221" t="str">
            <v>mareksabo/umimecesky</v>
          </cell>
          <cell r="D1221" t="str">
            <v>mareksabo/umimecesky</v>
          </cell>
          <cell r="E1221">
            <v>157</v>
          </cell>
          <cell r="F1221">
            <v>0</v>
          </cell>
          <cell r="G1221">
            <v>1</v>
          </cell>
          <cell r="H1221">
            <v>1878</v>
          </cell>
          <cell r="I1221">
            <v>0</v>
          </cell>
          <cell r="J1221">
            <v>4</v>
          </cell>
          <cell r="K1221">
            <v>1</v>
          </cell>
        </row>
        <row r="1222">
          <cell r="B1222" t="str">
            <v>souvenirs-android</v>
          </cell>
          <cell r="C1222" t="str">
            <v>zorgluf/souvenirs-android</v>
          </cell>
          <cell r="D1222" t="str">
            <v>zorgluf/souvenirs-android</v>
          </cell>
          <cell r="E1222">
            <v>157</v>
          </cell>
          <cell r="F1222">
            <v>5</v>
          </cell>
          <cell r="G1222">
            <v>3</v>
          </cell>
          <cell r="H1222">
            <v>13866</v>
          </cell>
          <cell r="I1222">
            <v>2</v>
          </cell>
          <cell r="J1222">
            <v>7</v>
          </cell>
          <cell r="K1222">
            <v>4</v>
          </cell>
        </row>
        <row r="1223">
          <cell r="B1223" t="str">
            <v>dawnn_client</v>
          </cell>
          <cell r="C1223" t="str">
            <v>dawnn-team/dawnn_client</v>
          </cell>
          <cell r="D1223" t="str">
            <v>dawnn-team/dawnn_client</v>
          </cell>
          <cell r="E1223">
            <v>157</v>
          </cell>
          <cell r="F1223">
            <v>13</v>
          </cell>
          <cell r="G1223">
            <v>1</v>
          </cell>
          <cell r="H1223">
            <v>441</v>
          </cell>
          <cell r="I1223">
            <v>0</v>
          </cell>
          <cell r="J1223">
            <v>2</v>
          </cell>
          <cell r="K1223">
            <v>1</v>
          </cell>
        </row>
        <row r="1224">
          <cell r="B1224" t="str">
            <v>Calculator-inator</v>
          </cell>
          <cell r="C1224" t="str">
            <v>prathameshmm02/Calculator-inator</v>
          </cell>
          <cell r="D1224" t="str">
            <v>prathameshmm02/Calculator-inator</v>
          </cell>
          <cell r="E1224">
            <v>157</v>
          </cell>
          <cell r="F1224">
            <v>33</v>
          </cell>
          <cell r="G1224">
            <v>10</v>
          </cell>
          <cell r="H1224">
            <v>8875</v>
          </cell>
          <cell r="I1224">
            <v>7</v>
          </cell>
          <cell r="J1224">
            <v>98</v>
          </cell>
          <cell r="K1224">
            <v>19</v>
          </cell>
        </row>
        <row r="1225">
          <cell r="B1225" t="str">
            <v>bigsolarhunt</v>
          </cell>
          <cell r="C1225" t="str">
            <v>openclimatefix/bigsolarhunt</v>
          </cell>
          <cell r="D1225" t="str">
            <v>openclimatefix/bigsolarhunt</v>
          </cell>
          <cell r="E1225">
            <v>158</v>
          </cell>
          <cell r="F1225">
            <v>0</v>
          </cell>
          <cell r="G1225">
            <v>3</v>
          </cell>
          <cell r="H1225">
            <v>3984</v>
          </cell>
          <cell r="I1225">
            <v>0</v>
          </cell>
          <cell r="J1225">
            <v>4</v>
          </cell>
          <cell r="K1225">
            <v>3</v>
          </cell>
        </row>
        <row r="1226">
          <cell r="B1226" t="str">
            <v>ProximityService</v>
          </cell>
          <cell r="C1226" t="str">
            <v>ssaqua/ProximityService</v>
          </cell>
          <cell r="D1226" t="str">
            <v>ssaqua/ProximityService</v>
          </cell>
          <cell r="E1226">
            <v>158</v>
          </cell>
          <cell r="F1226">
            <v>4</v>
          </cell>
          <cell r="G1226">
            <v>1</v>
          </cell>
          <cell r="H1226">
            <v>531</v>
          </cell>
          <cell r="I1226">
            <v>10</v>
          </cell>
          <cell r="J1226">
            <v>32</v>
          </cell>
          <cell r="K1226">
            <v>4</v>
          </cell>
        </row>
        <row r="1227">
          <cell r="B1227" t="str">
            <v>AndProx</v>
          </cell>
          <cell r="C1227" t="str">
            <v>AndProx/AndProx</v>
          </cell>
          <cell r="D1227" t="str">
            <v>AndProx/AndProx</v>
          </cell>
          <cell r="E1227">
            <v>158</v>
          </cell>
          <cell r="F1227">
            <v>9</v>
          </cell>
          <cell r="G1227">
            <v>3</v>
          </cell>
          <cell r="H1227">
            <v>1252</v>
          </cell>
          <cell r="I1227">
            <v>41</v>
          </cell>
          <cell r="J1227">
            <v>204</v>
          </cell>
          <cell r="K1227">
            <v>16</v>
          </cell>
        </row>
        <row r="1228">
          <cell r="B1228" t="str">
            <v>pict2cam</v>
          </cell>
          <cell r="C1228" t="str">
            <v>adriangl/pict2cam</v>
          </cell>
          <cell r="D1228" t="str">
            <v>adriangl/pict2cam</v>
          </cell>
          <cell r="E1228">
            <v>158</v>
          </cell>
          <cell r="F1228">
            <v>178</v>
          </cell>
          <cell r="G1228">
            <v>2</v>
          </cell>
          <cell r="H1228">
            <v>4605</v>
          </cell>
          <cell r="I1228">
            <v>13</v>
          </cell>
          <cell r="J1228">
            <v>94</v>
          </cell>
          <cell r="K1228">
            <v>10</v>
          </cell>
        </row>
        <row r="1229">
          <cell r="B1229" t="str">
            <v>crossword</v>
          </cell>
          <cell r="C1229" t="str">
            <v>billthefarmer/crossword</v>
          </cell>
          <cell r="D1229" t="str">
            <v>billthefarmer/crossword</v>
          </cell>
          <cell r="E1229">
            <v>159</v>
          </cell>
          <cell r="F1229">
            <v>1</v>
          </cell>
          <cell r="G1229">
            <v>2</v>
          </cell>
          <cell r="H1229">
            <v>2742</v>
          </cell>
          <cell r="I1229">
            <v>4</v>
          </cell>
          <cell r="J1229">
            <v>32</v>
          </cell>
          <cell r="K1229">
            <v>0</v>
          </cell>
        </row>
        <row r="1230">
          <cell r="B1230" t="str">
            <v>xiaExpressAndroid</v>
          </cell>
          <cell r="C1230" t="str">
            <v>gbarre/xiaExpressAndroid</v>
          </cell>
          <cell r="D1230" t="str">
            <v>gbarre/xiaExpressAndroid</v>
          </cell>
          <cell r="E1230">
            <v>159</v>
          </cell>
          <cell r="F1230">
            <v>1</v>
          </cell>
          <cell r="G1230">
            <v>2</v>
          </cell>
          <cell r="H1230">
            <v>497</v>
          </cell>
          <cell r="I1230">
            <v>0</v>
          </cell>
          <cell r="J1230">
            <v>3</v>
          </cell>
          <cell r="K1230">
            <v>2</v>
          </cell>
        </row>
        <row r="1231">
          <cell r="B1231" t="str">
            <v>cdlc_player</v>
          </cell>
          <cell r="C1231" t="str">
            <v>tilk/cdlc_player</v>
          </cell>
          <cell r="D1231" t="str">
            <v>tilk/cdlc_player</v>
          </cell>
          <cell r="E1231">
            <v>159</v>
          </cell>
          <cell r="F1231">
            <v>3</v>
          </cell>
          <cell r="G1231">
            <v>2</v>
          </cell>
          <cell r="H1231">
            <v>3088</v>
          </cell>
          <cell r="I1231">
            <v>5</v>
          </cell>
          <cell r="J1231">
            <v>23</v>
          </cell>
          <cell r="K1231">
            <v>3</v>
          </cell>
        </row>
        <row r="1232">
          <cell r="B1232" t="str">
            <v>towers</v>
          </cell>
          <cell r="C1232" t="str">
            <v>floschnell/towers</v>
          </cell>
          <cell r="D1232" t="str">
            <v>floschnell/towers</v>
          </cell>
          <cell r="E1232">
            <v>159</v>
          </cell>
          <cell r="F1232">
            <v>3</v>
          </cell>
          <cell r="G1232">
            <v>1</v>
          </cell>
          <cell r="H1232">
            <v>14258</v>
          </cell>
          <cell r="I1232">
            <v>0</v>
          </cell>
          <cell r="J1232">
            <v>1</v>
          </cell>
          <cell r="K1232">
            <v>0</v>
          </cell>
        </row>
        <row r="1233">
          <cell r="B1233" t="str">
            <v>LoggingInterceptor</v>
          </cell>
          <cell r="C1233" t="str">
            <v>ihsanbal/LoggingInterceptor</v>
          </cell>
          <cell r="D1233" t="str">
            <v>ihsanbal/LoggingInterceptor</v>
          </cell>
          <cell r="E1233">
            <v>159</v>
          </cell>
          <cell r="F1233">
            <v>23</v>
          </cell>
          <cell r="G1233">
            <v>6</v>
          </cell>
          <cell r="H1233">
            <v>34156</v>
          </cell>
          <cell r="I1233">
            <v>97</v>
          </cell>
          <cell r="J1233">
            <v>1269</v>
          </cell>
          <cell r="K1233">
            <v>9</v>
          </cell>
        </row>
        <row r="1234">
          <cell r="B1234" t="str">
            <v>BCVAX-Android</v>
          </cell>
          <cell r="C1234" t="str">
            <v>bcgov/BCVAX-Android</v>
          </cell>
          <cell r="D1234" t="str">
            <v>bcgov/BCVAX-Android</v>
          </cell>
          <cell r="E1234">
            <v>159</v>
          </cell>
          <cell r="F1234">
            <v>32</v>
          </cell>
          <cell r="G1234">
            <v>7</v>
          </cell>
          <cell r="H1234">
            <v>1911</v>
          </cell>
          <cell r="I1234">
            <v>5</v>
          </cell>
          <cell r="J1234">
            <v>19</v>
          </cell>
          <cell r="K1234">
            <v>7</v>
          </cell>
        </row>
        <row r="1235">
          <cell r="B1235" t="str">
            <v>seeneva-reader-android</v>
          </cell>
          <cell r="C1235" t="str">
            <v>Seeneva/seeneva-reader-android</v>
          </cell>
          <cell r="D1235" t="str">
            <v>Seeneva/seeneva-reader-android</v>
          </cell>
          <cell r="E1235">
            <v>159</v>
          </cell>
          <cell r="F1235">
            <v>36</v>
          </cell>
          <cell r="G1235">
            <v>16</v>
          </cell>
          <cell r="H1235">
            <v>176475</v>
          </cell>
          <cell r="I1235">
            <v>13</v>
          </cell>
          <cell r="J1235">
            <v>151</v>
          </cell>
          <cell r="K1235">
            <v>26</v>
          </cell>
        </row>
        <row r="1236">
          <cell r="B1236" t="str">
            <v>c2c-android-2021</v>
          </cell>
          <cell r="C1236" t="str">
            <v>ACM-VIT/c2c-android-2021</v>
          </cell>
          <cell r="D1236" t="str">
            <v>ACM-VIT/c2c-android-2021</v>
          </cell>
          <cell r="E1236">
            <v>159</v>
          </cell>
          <cell r="F1236">
            <v>51</v>
          </cell>
          <cell r="G1236">
            <v>6</v>
          </cell>
          <cell r="H1236">
            <v>4469</v>
          </cell>
          <cell r="I1236">
            <v>2</v>
          </cell>
          <cell r="J1236">
            <v>7</v>
          </cell>
          <cell r="K1236">
            <v>0</v>
          </cell>
        </row>
        <row r="1237">
          <cell r="B1237" t="str">
            <v>DokuwikiAndroid</v>
          </cell>
          <cell r="C1237" t="str">
            <v>fabienli/DokuwikiAndroid</v>
          </cell>
          <cell r="D1237" t="str">
            <v>fabienli/DokuwikiAndroid</v>
          </cell>
          <cell r="E1237">
            <v>159</v>
          </cell>
          <cell r="F1237">
            <v>79</v>
          </cell>
          <cell r="G1237">
            <v>5</v>
          </cell>
          <cell r="H1237">
            <v>1043</v>
          </cell>
          <cell r="I1237">
            <v>7</v>
          </cell>
          <cell r="J1237">
            <v>52</v>
          </cell>
          <cell r="K1237">
            <v>17</v>
          </cell>
        </row>
        <row r="1238">
          <cell r="B1238" t="str">
            <v>ARD</v>
          </cell>
          <cell r="C1238" t="str">
            <v>Devsoc-BPGC/ARD</v>
          </cell>
          <cell r="D1238" t="str">
            <v>Devsoc-BPGC/ARD</v>
          </cell>
          <cell r="E1238">
            <v>159</v>
          </cell>
          <cell r="F1238">
            <v>110</v>
          </cell>
          <cell r="G1238">
            <v>7</v>
          </cell>
          <cell r="H1238">
            <v>2309</v>
          </cell>
          <cell r="I1238">
            <v>8</v>
          </cell>
          <cell r="J1238">
            <v>3</v>
          </cell>
          <cell r="K1238">
            <v>16</v>
          </cell>
        </row>
        <row r="1239">
          <cell r="B1239" t="str">
            <v>SatoshiProof</v>
          </cell>
          <cell r="C1239" t="str">
            <v>ligi/SatoshiProof</v>
          </cell>
          <cell r="D1239" t="str">
            <v>ligi/SatoshiProof</v>
          </cell>
          <cell r="E1239">
            <v>160</v>
          </cell>
          <cell r="F1239">
            <v>2</v>
          </cell>
          <cell r="G1239">
            <v>1</v>
          </cell>
          <cell r="H1239">
            <v>12171</v>
          </cell>
          <cell r="I1239">
            <v>23</v>
          </cell>
          <cell r="J1239">
            <v>63</v>
          </cell>
          <cell r="K1239">
            <v>2</v>
          </cell>
        </row>
        <row r="1240">
          <cell r="B1240" t="str">
            <v>ClipboardCleaner</v>
          </cell>
          <cell r="C1240" t="str">
            <v>DeweyReed/ClipboardCleaner</v>
          </cell>
          <cell r="D1240" t="str">
            <v>DeweyReed/ClipboardCleaner</v>
          </cell>
          <cell r="E1240">
            <v>160</v>
          </cell>
          <cell r="F1240">
            <v>4</v>
          </cell>
          <cell r="G1240">
            <v>3</v>
          </cell>
          <cell r="H1240">
            <v>2835</v>
          </cell>
          <cell r="I1240">
            <v>17</v>
          </cell>
          <cell r="J1240">
            <v>120</v>
          </cell>
          <cell r="K1240">
            <v>3</v>
          </cell>
        </row>
        <row r="1241">
          <cell r="B1241" t="str">
            <v>animation-garden</v>
          </cell>
          <cell r="C1241" t="str">
            <v>Him188/animation-garden</v>
          </cell>
          <cell r="D1241" t="str">
            <v>open-ani/animeko</v>
          </cell>
          <cell r="E1241">
            <v>160</v>
          </cell>
          <cell r="F1241">
            <v>5</v>
          </cell>
          <cell r="G1241">
            <v>16</v>
          </cell>
          <cell r="H1241">
            <v>18382</v>
          </cell>
          <cell r="I1241">
            <v>5</v>
          </cell>
          <cell r="J1241">
            <v>91</v>
          </cell>
          <cell r="K1241">
            <v>20</v>
          </cell>
        </row>
        <row r="1242">
          <cell r="B1242" t="str">
            <v>nextcloud-tables</v>
          </cell>
          <cell r="C1242" t="str">
            <v>stefan-niedermann/nextcloud-tables</v>
          </cell>
          <cell r="D1242" t="str">
            <v>stefan-niedermann/nextcloud-tables</v>
          </cell>
          <cell r="E1242">
            <v>160</v>
          </cell>
          <cell r="F1242">
            <v>6</v>
          </cell>
          <cell r="G1242">
            <v>4</v>
          </cell>
          <cell r="H1242">
            <v>2386</v>
          </cell>
          <cell r="I1242">
            <v>1</v>
          </cell>
          <cell r="J1242">
            <v>16</v>
          </cell>
          <cell r="K1242">
            <v>2</v>
          </cell>
        </row>
        <row r="1243">
          <cell r="B1243" t="str">
            <v>scala-android</v>
          </cell>
          <cell r="C1243" t="str">
            <v>47degrees/scala-android</v>
          </cell>
          <cell r="D1243" t="str">
            <v>xebia-functional/scala-android</v>
          </cell>
          <cell r="E1243">
            <v>160</v>
          </cell>
          <cell r="F1243">
            <v>37</v>
          </cell>
          <cell r="G1243">
            <v>4</v>
          </cell>
          <cell r="H1243">
            <v>2603</v>
          </cell>
          <cell r="I1243">
            <v>17</v>
          </cell>
          <cell r="J1243">
            <v>143</v>
          </cell>
          <cell r="K1243">
            <v>2</v>
          </cell>
        </row>
        <row r="1244">
          <cell r="B1244" t="str">
            <v>gauchoshare</v>
          </cell>
          <cell r="C1244" t="str">
            <v>ucsb-cs48-w20/gauchoshare</v>
          </cell>
          <cell r="D1244" t="str">
            <v>ucsb-cs48-w20/gauchoshare</v>
          </cell>
          <cell r="E1244">
            <v>160</v>
          </cell>
          <cell r="F1244">
            <v>62</v>
          </cell>
          <cell r="G1244">
            <v>7</v>
          </cell>
          <cell r="H1244">
            <v>113062</v>
          </cell>
          <cell r="I1244">
            <v>2</v>
          </cell>
          <cell r="J1244">
            <v>2</v>
          </cell>
          <cell r="K1244">
            <v>18</v>
          </cell>
        </row>
        <row r="1245">
          <cell r="B1245" t="str">
            <v>cloudinary_android</v>
          </cell>
          <cell r="C1245" t="str">
            <v>cloudinary/cloudinary_android</v>
          </cell>
          <cell r="D1245" t="str">
            <v>cloudinary/cloudinary_android</v>
          </cell>
          <cell r="E1245">
            <v>160</v>
          </cell>
          <cell r="F1245">
            <v>75</v>
          </cell>
          <cell r="G1245">
            <v>16</v>
          </cell>
          <cell r="H1245">
            <v>1246</v>
          </cell>
          <cell r="I1245">
            <v>59</v>
          </cell>
          <cell r="J1245">
            <v>62</v>
          </cell>
          <cell r="K1245">
            <v>9</v>
          </cell>
        </row>
        <row r="1246">
          <cell r="B1246" t="str">
            <v>robinhood-options-mobile</v>
          </cell>
          <cell r="C1246" t="str">
            <v>CIInc/robinhood-options-mobile</v>
          </cell>
          <cell r="D1246" t="str">
            <v>CIInc/robinhood-options-mobile</v>
          </cell>
          <cell r="E1246">
            <v>161</v>
          </cell>
          <cell r="F1246">
            <v>0</v>
          </cell>
          <cell r="G1246">
            <v>2</v>
          </cell>
          <cell r="H1246">
            <v>2330</v>
          </cell>
          <cell r="I1246">
            <v>0</v>
          </cell>
          <cell r="J1246">
            <v>3</v>
          </cell>
          <cell r="K1246">
            <v>0</v>
          </cell>
        </row>
        <row r="1247">
          <cell r="B1247" t="str">
            <v>AniSched-Android</v>
          </cell>
          <cell r="C1247" t="str">
            <v>qkdxorjs1002/AniSched-Android</v>
          </cell>
          <cell r="D1247" t="str">
            <v>qkdxorjs1002/AniSched-Android</v>
          </cell>
          <cell r="E1247">
            <v>161</v>
          </cell>
          <cell r="F1247">
            <v>1</v>
          </cell>
          <cell r="G1247">
            <v>1</v>
          </cell>
          <cell r="H1247">
            <v>11674</v>
          </cell>
          <cell r="I1247">
            <v>0</v>
          </cell>
          <cell r="J1247">
            <v>4</v>
          </cell>
          <cell r="K1247">
            <v>5</v>
          </cell>
        </row>
        <row r="1248">
          <cell r="B1248" t="str">
            <v>ArmsComponent</v>
          </cell>
          <cell r="C1248" t="str">
            <v>JessYanCoding/ArmsComponent</v>
          </cell>
          <cell r="D1248" t="str">
            <v>JessYanCoding/ArmsComponent</v>
          </cell>
          <cell r="E1248">
            <v>161</v>
          </cell>
          <cell r="F1248">
            <v>3</v>
          </cell>
          <cell r="G1248">
            <v>2</v>
          </cell>
          <cell r="H1248">
            <v>9421</v>
          </cell>
          <cell r="I1248">
            <v>244</v>
          </cell>
          <cell r="J1248">
            <v>1685</v>
          </cell>
          <cell r="K1248">
            <v>7</v>
          </cell>
        </row>
        <row r="1249">
          <cell r="B1249" t="str">
            <v>Handy</v>
          </cell>
          <cell r="C1249" t="str">
            <v>thisisyusub/Handy</v>
          </cell>
          <cell r="D1249" t="str">
            <v>thisisyusub/Handy</v>
          </cell>
          <cell r="E1249">
            <v>161</v>
          </cell>
          <cell r="F1249">
            <v>9</v>
          </cell>
          <cell r="G1249">
            <v>1</v>
          </cell>
          <cell r="H1249">
            <v>8529</v>
          </cell>
          <cell r="I1249">
            <v>33</v>
          </cell>
          <cell r="J1249">
            <v>102</v>
          </cell>
          <cell r="K1249">
            <v>5</v>
          </cell>
        </row>
        <row r="1250">
          <cell r="B1250" t="str">
            <v>snapstreak-alarm</v>
          </cell>
          <cell r="C1250" t="str">
            <v>fei0316/snapstreak-alarm</v>
          </cell>
          <cell r="D1250" t="str">
            <v>fei0316/snapstreak-alarm</v>
          </cell>
          <cell r="E1250">
            <v>161</v>
          </cell>
          <cell r="F1250">
            <v>11</v>
          </cell>
          <cell r="G1250">
            <v>1</v>
          </cell>
          <cell r="H1250">
            <v>4274</v>
          </cell>
          <cell r="I1250">
            <v>0</v>
          </cell>
          <cell r="J1250">
            <v>9</v>
          </cell>
          <cell r="K1250">
            <v>0</v>
          </cell>
        </row>
        <row r="1251">
          <cell r="B1251" t="str">
            <v>mapwall</v>
          </cell>
          <cell r="C1251" t="str">
            <v>devindi/mapwall</v>
          </cell>
          <cell r="D1251" t="str">
            <v>devindi/mapwall</v>
          </cell>
          <cell r="E1251">
            <v>161</v>
          </cell>
          <cell r="F1251">
            <v>19</v>
          </cell>
          <cell r="G1251">
            <v>4</v>
          </cell>
          <cell r="H1251">
            <v>3451</v>
          </cell>
          <cell r="I1251">
            <v>6</v>
          </cell>
          <cell r="J1251">
            <v>9</v>
          </cell>
          <cell r="K1251">
            <v>3</v>
          </cell>
        </row>
        <row r="1252">
          <cell r="B1252" t="str">
            <v>CoffeeDrinksWithJetpackCompose</v>
          </cell>
          <cell r="C1252" t="str">
            <v>AlexZhukovich/CoffeeDrinksWithJetpackCompose</v>
          </cell>
          <cell r="D1252" t="str">
            <v>AlexZhukovich/CoffeeDrinksWithJetpackCompose</v>
          </cell>
          <cell r="E1252">
            <v>161</v>
          </cell>
          <cell r="F1252">
            <v>42</v>
          </cell>
          <cell r="G1252">
            <v>1</v>
          </cell>
          <cell r="H1252">
            <v>3501</v>
          </cell>
          <cell r="I1252">
            <v>17</v>
          </cell>
          <cell r="J1252">
            <v>139</v>
          </cell>
          <cell r="K1252">
            <v>0</v>
          </cell>
        </row>
        <row r="1253">
          <cell r="B1253" t="str">
            <v>mobile-app</v>
          </cell>
          <cell r="C1253" t="str">
            <v>free-watermark/mobile-app</v>
          </cell>
          <cell r="D1253" t="str">
            <v>free-watermark/mobile-app</v>
          </cell>
          <cell r="E1253">
            <v>162</v>
          </cell>
          <cell r="F1253">
            <v>0</v>
          </cell>
          <cell r="G1253">
            <v>1</v>
          </cell>
          <cell r="H1253">
            <v>4730</v>
          </cell>
          <cell r="I1253">
            <v>0</v>
          </cell>
          <cell r="J1253">
            <v>6</v>
          </cell>
          <cell r="K1253">
            <v>0</v>
          </cell>
        </row>
        <row r="1254">
          <cell r="B1254" t="str">
            <v>Shopkart</v>
          </cell>
          <cell r="C1254" t="str">
            <v>siddheshkothadi/Shopkart</v>
          </cell>
          <cell r="D1254" t="str">
            <v>siddheshkothadi/Shopkart</v>
          </cell>
          <cell r="E1254">
            <v>162</v>
          </cell>
          <cell r="F1254">
            <v>8</v>
          </cell>
          <cell r="G1254">
            <v>3</v>
          </cell>
          <cell r="H1254">
            <v>16937</v>
          </cell>
          <cell r="I1254">
            <v>4</v>
          </cell>
          <cell r="J1254">
            <v>7</v>
          </cell>
          <cell r="K1254">
            <v>0</v>
          </cell>
        </row>
        <row r="1255">
          <cell r="B1255" t="str">
            <v>StormAppMaster2020</v>
          </cell>
          <cell r="C1255" t="str">
            <v>2729StormRobotics/StormAppMaster2020</v>
          </cell>
          <cell r="D1255" t="str">
            <v>2729StormRobotics/StormAppMaster2020</v>
          </cell>
          <cell r="E1255">
            <v>162</v>
          </cell>
          <cell r="F1255">
            <v>195</v>
          </cell>
          <cell r="G1255">
            <v>9</v>
          </cell>
          <cell r="H1255">
            <v>13953</v>
          </cell>
          <cell r="I1255">
            <v>2</v>
          </cell>
          <cell r="J1255">
            <v>1</v>
          </cell>
          <cell r="K1255">
            <v>16</v>
          </cell>
        </row>
        <row r="1256">
          <cell r="B1256" t="str">
            <v>CalcuPiano</v>
          </cell>
          <cell r="C1256" t="str">
            <v>liplum/CalcuPiano</v>
          </cell>
          <cell r="D1256" t="str">
            <v>plum-tech/CalcuPiano</v>
          </cell>
          <cell r="E1256">
            <v>163</v>
          </cell>
          <cell r="F1256">
            <v>12</v>
          </cell>
          <cell r="G1256">
            <v>4</v>
          </cell>
          <cell r="H1256">
            <v>9775</v>
          </cell>
          <cell r="I1256">
            <v>4</v>
          </cell>
          <cell r="J1256">
            <v>8</v>
          </cell>
          <cell r="K1256">
            <v>12</v>
          </cell>
        </row>
        <row r="1257">
          <cell r="B1257" t="str">
            <v>termux-styling</v>
          </cell>
          <cell r="C1257" t="str">
            <v>termux/termux-styling</v>
          </cell>
          <cell r="D1257" t="str">
            <v>termux/termux-styling</v>
          </cell>
          <cell r="E1257">
            <v>163</v>
          </cell>
          <cell r="F1257">
            <v>32</v>
          </cell>
          <cell r="G1257">
            <v>24</v>
          </cell>
          <cell r="H1257">
            <v>56361</v>
          </cell>
          <cell r="I1257">
            <v>217</v>
          </cell>
          <cell r="J1257">
            <v>734</v>
          </cell>
          <cell r="K1257">
            <v>28</v>
          </cell>
        </row>
        <row r="1258">
          <cell r="B1258" t="str">
            <v>RxWebView</v>
          </cell>
          <cell r="C1258" t="str">
            <v>satoshun/RxWebView</v>
          </cell>
          <cell r="D1258" t="str">
            <v>satoshun/RxWebView</v>
          </cell>
          <cell r="E1258">
            <v>163</v>
          </cell>
          <cell r="F1258">
            <v>32</v>
          </cell>
          <cell r="G1258">
            <v>2</v>
          </cell>
          <cell r="H1258">
            <v>435</v>
          </cell>
          <cell r="I1258">
            <v>5</v>
          </cell>
          <cell r="J1258">
            <v>22</v>
          </cell>
          <cell r="K1258">
            <v>2</v>
          </cell>
        </row>
        <row r="1259">
          <cell r="B1259" t="str">
            <v>15puzzle</v>
          </cell>
          <cell r="C1259" t="str">
            <v>AChep/15puzzle</v>
          </cell>
          <cell r="D1259" t="str">
            <v>AChep/15puzzle</v>
          </cell>
          <cell r="E1259">
            <v>164</v>
          </cell>
          <cell r="F1259">
            <v>3</v>
          </cell>
          <cell r="G1259">
            <v>2</v>
          </cell>
          <cell r="H1259">
            <v>5994</v>
          </cell>
          <cell r="I1259">
            <v>67</v>
          </cell>
          <cell r="J1259">
            <v>190</v>
          </cell>
          <cell r="K1259">
            <v>2</v>
          </cell>
        </row>
        <row r="1260">
          <cell r="B1260" t="str">
            <v>snu_class_2021_art</v>
          </cell>
          <cell r="C1260" t="str">
            <v>cloudtrack/snu_class_2021_art</v>
          </cell>
          <cell r="D1260" t="str">
            <v>cloudtrack/snu_class_2021_art</v>
          </cell>
          <cell r="E1260">
            <v>164</v>
          </cell>
          <cell r="F1260">
            <v>20</v>
          </cell>
          <cell r="G1260">
            <v>3</v>
          </cell>
          <cell r="H1260">
            <v>2955</v>
          </cell>
          <cell r="I1260">
            <v>0</v>
          </cell>
          <cell r="J1260">
            <v>1</v>
          </cell>
          <cell r="K1260">
            <v>0</v>
          </cell>
        </row>
        <row r="1261">
          <cell r="B1261" t="str">
            <v>AWOL</v>
          </cell>
          <cell r="C1261" t="str">
            <v>pawank0411/AWOL</v>
          </cell>
          <cell r="D1261" t="str">
            <v>pawank0411/AWOL</v>
          </cell>
          <cell r="E1261">
            <v>164</v>
          </cell>
          <cell r="F1261">
            <v>22</v>
          </cell>
          <cell r="G1261">
            <v>10</v>
          </cell>
          <cell r="H1261">
            <v>80536</v>
          </cell>
          <cell r="I1261">
            <v>11</v>
          </cell>
          <cell r="J1261">
            <v>6</v>
          </cell>
          <cell r="K1261">
            <v>0</v>
          </cell>
        </row>
        <row r="1262">
          <cell r="B1262" t="str">
            <v>AWOL</v>
          </cell>
          <cell r="C1262" t="str">
            <v>codex-iter/AWOL</v>
          </cell>
          <cell r="D1262" t="str">
            <v>codex-iter/AWOL</v>
          </cell>
          <cell r="E1262">
            <v>164</v>
          </cell>
          <cell r="F1262">
            <v>22</v>
          </cell>
          <cell r="G1262">
            <v>10</v>
          </cell>
          <cell r="H1262">
            <v>94192</v>
          </cell>
          <cell r="I1262">
            <v>8</v>
          </cell>
          <cell r="J1262">
            <v>15</v>
          </cell>
          <cell r="K1262">
            <v>0</v>
          </cell>
        </row>
        <row r="1263">
          <cell r="B1263" t="str">
            <v>TwitchApp</v>
          </cell>
          <cell r="C1263" t="str">
            <v>rikuyu/TwitchApp</v>
          </cell>
          <cell r="D1263" t="str">
            <v>rikuyu/TwitchApp</v>
          </cell>
          <cell r="E1263">
            <v>164</v>
          </cell>
          <cell r="F1263">
            <v>27</v>
          </cell>
          <cell r="G1263">
            <v>1</v>
          </cell>
          <cell r="H1263">
            <v>2819</v>
          </cell>
          <cell r="I1263">
            <v>0</v>
          </cell>
          <cell r="J1263">
            <v>1</v>
          </cell>
          <cell r="K1263">
            <v>1</v>
          </cell>
        </row>
        <row r="1264">
          <cell r="B1264" t="str">
            <v>ScanIt</v>
          </cell>
          <cell r="C1264" t="str">
            <v>mishraaditya595/ScanIt</v>
          </cell>
          <cell r="D1264" t="str">
            <v>mishraaditya595/ScanIt</v>
          </cell>
          <cell r="E1264">
            <v>164</v>
          </cell>
          <cell r="F1264">
            <v>31</v>
          </cell>
          <cell r="G1264">
            <v>10</v>
          </cell>
          <cell r="H1264">
            <v>270610</v>
          </cell>
          <cell r="I1264">
            <v>76</v>
          </cell>
          <cell r="J1264">
            <v>80</v>
          </cell>
          <cell r="K1264">
            <v>20</v>
          </cell>
        </row>
        <row r="1265">
          <cell r="B1265" t="str">
            <v>MusicManager</v>
          </cell>
          <cell r="C1265" t="str">
            <v>SirLordPouya/MusicManager</v>
          </cell>
          <cell r="D1265" t="str">
            <v>HeyPouya/MusicManager</v>
          </cell>
          <cell r="E1265">
            <v>165</v>
          </cell>
          <cell r="F1265">
            <v>0</v>
          </cell>
          <cell r="G1265">
            <v>1</v>
          </cell>
          <cell r="H1265">
            <v>7767</v>
          </cell>
          <cell r="I1265">
            <v>5</v>
          </cell>
          <cell r="J1265">
            <v>23</v>
          </cell>
          <cell r="K1265">
            <v>0</v>
          </cell>
        </row>
        <row r="1266">
          <cell r="B1266" t="str">
            <v>LocationMapViewer</v>
          </cell>
          <cell r="C1266" t="str">
            <v>k3b/LocationMapViewer</v>
          </cell>
          <cell r="D1266" t="str">
            <v>k3b/LocationMapViewer</v>
          </cell>
          <cell r="E1266">
            <v>165</v>
          </cell>
          <cell r="F1266">
            <v>3</v>
          </cell>
          <cell r="G1266">
            <v>3</v>
          </cell>
          <cell r="H1266">
            <v>1598</v>
          </cell>
          <cell r="I1266">
            <v>11</v>
          </cell>
          <cell r="J1266">
            <v>35</v>
          </cell>
          <cell r="K1266">
            <v>12</v>
          </cell>
        </row>
        <row r="1267">
          <cell r="B1267" t="str">
            <v>WhatsThere</v>
          </cell>
          <cell r="C1267" t="str">
            <v>darkmatter18/WhatsThere</v>
          </cell>
          <cell r="D1267" t="str">
            <v>darkmatter18/WhatsThere</v>
          </cell>
          <cell r="E1267">
            <v>165</v>
          </cell>
          <cell r="F1267">
            <v>173</v>
          </cell>
          <cell r="G1267">
            <v>7</v>
          </cell>
          <cell r="H1267">
            <v>56344</v>
          </cell>
          <cell r="I1267">
            <v>10</v>
          </cell>
          <cell r="J1267">
            <v>16</v>
          </cell>
          <cell r="K1267">
            <v>15</v>
          </cell>
        </row>
        <row r="1268">
          <cell r="B1268" t="str">
            <v>passport-reader</v>
          </cell>
          <cell r="C1268" t="str">
            <v>tananaev/passport-reader</v>
          </cell>
          <cell r="D1268" t="str">
            <v>tananaev/passport-reader</v>
          </cell>
          <cell r="E1268">
            <v>166</v>
          </cell>
          <cell r="F1268">
            <v>15</v>
          </cell>
          <cell r="G1268">
            <v>5</v>
          </cell>
          <cell r="H1268">
            <v>815</v>
          </cell>
          <cell r="I1268">
            <v>102</v>
          </cell>
          <cell r="J1268">
            <v>257</v>
          </cell>
          <cell r="K1268">
            <v>23</v>
          </cell>
        </row>
        <row r="1269">
          <cell r="B1269" t="str">
            <v>app</v>
          </cell>
          <cell r="C1269" t="str">
            <v>freenet-mobile/app</v>
          </cell>
          <cell r="D1269" t="str">
            <v>freenet-mobile/app</v>
          </cell>
          <cell r="E1269">
            <v>166</v>
          </cell>
          <cell r="F1269">
            <v>43</v>
          </cell>
          <cell r="G1269">
            <v>2</v>
          </cell>
          <cell r="H1269">
            <v>16819</v>
          </cell>
          <cell r="I1269">
            <v>11</v>
          </cell>
          <cell r="J1269">
            <v>109</v>
          </cell>
          <cell r="K1269">
            <v>29</v>
          </cell>
        </row>
        <row r="1270">
          <cell r="B1270" t="str">
            <v>TempleApp</v>
          </cell>
          <cell r="C1270" t="str">
            <v>amfoss/TempleApp</v>
          </cell>
          <cell r="D1270" t="str">
            <v>amfoss/temple-app</v>
          </cell>
          <cell r="E1270">
            <v>166</v>
          </cell>
          <cell r="F1270">
            <v>83</v>
          </cell>
          <cell r="G1270">
            <v>18</v>
          </cell>
          <cell r="H1270">
            <v>1043</v>
          </cell>
          <cell r="I1270">
            <v>36</v>
          </cell>
          <cell r="J1270">
            <v>553</v>
          </cell>
          <cell r="K1270">
            <v>0</v>
          </cell>
        </row>
        <row r="1271">
          <cell r="B1271" t="str">
            <v>notification-notes</v>
          </cell>
          <cell r="C1271" t="str">
            <v>DanielBerge/notification-notes</v>
          </cell>
          <cell r="D1271" t="str">
            <v>DanielBerge/notification-notes</v>
          </cell>
          <cell r="E1271">
            <v>167</v>
          </cell>
          <cell r="F1271">
            <v>1</v>
          </cell>
          <cell r="G1271">
            <v>1</v>
          </cell>
          <cell r="H1271">
            <v>660</v>
          </cell>
          <cell r="I1271">
            <v>3</v>
          </cell>
          <cell r="J1271">
            <v>9</v>
          </cell>
          <cell r="K1271">
            <v>1</v>
          </cell>
        </row>
        <row r="1272">
          <cell r="B1272" t="str">
            <v>WeatherRadar</v>
          </cell>
          <cell r="C1272" t="str">
            <v>dh4/WeatherRadar</v>
          </cell>
          <cell r="D1272" t="str">
            <v>dh4/WeatherRadar</v>
          </cell>
          <cell r="E1272">
            <v>167</v>
          </cell>
          <cell r="F1272">
            <v>3</v>
          </cell>
          <cell r="G1272">
            <v>4</v>
          </cell>
          <cell r="H1272">
            <v>5334</v>
          </cell>
          <cell r="I1272">
            <v>8</v>
          </cell>
          <cell r="J1272">
            <v>40</v>
          </cell>
          <cell r="K1272">
            <v>4</v>
          </cell>
        </row>
        <row r="1273">
          <cell r="B1273" t="str">
            <v>Wazaker</v>
          </cell>
          <cell r="C1273" t="str">
            <v>hamza94max/Wazaker</v>
          </cell>
          <cell r="D1273" t="str">
            <v>hamza94max/Wazaker</v>
          </cell>
          <cell r="E1273">
            <v>167</v>
          </cell>
          <cell r="F1273">
            <v>22</v>
          </cell>
          <cell r="G1273">
            <v>2</v>
          </cell>
          <cell r="H1273">
            <v>16374</v>
          </cell>
          <cell r="I1273">
            <v>6</v>
          </cell>
          <cell r="J1273">
            <v>17</v>
          </cell>
          <cell r="K1273">
            <v>1</v>
          </cell>
        </row>
        <row r="1274">
          <cell r="B1274" t="str">
            <v>InSync</v>
          </cell>
          <cell r="C1274" t="str">
            <v>InSync-HQ/InSync</v>
          </cell>
          <cell r="D1274" t="str">
            <v>InSync-HQ/InSync</v>
          </cell>
          <cell r="E1274">
            <v>168</v>
          </cell>
          <cell r="F1274">
            <v>52</v>
          </cell>
          <cell r="G1274">
            <v>6</v>
          </cell>
          <cell r="H1274">
            <v>2915</v>
          </cell>
          <cell r="I1274">
            <v>7</v>
          </cell>
          <cell r="J1274">
            <v>8</v>
          </cell>
          <cell r="K1274">
            <v>4</v>
          </cell>
        </row>
        <row r="1275">
          <cell r="B1275" t="str">
            <v>DigiView-Android</v>
          </cell>
          <cell r="C1275" t="str">
            <v>fpvout/DigiView-Android</v>
          </cell>
          <cell r="D1275" t="str">
            <v>fpvout/DigiView-Android</v>
          </cell>
          <cell r="E1275">
            <v>168</v>
          </cell>
          <cell r="F1275">
            <v>52</v>
          </cell>
          <cell r="G1275">
            <v>12</v>
          </cell>
          <cell r="H1275">
            <v>2822</v>
          </cell>
          <cell r="I1275">
            <v>57</v>
          </cell>
          <cell r="J1275">
            <v>245</v>
          </cell>
          <cell r="K1275">
            <v>28</v>
          </cell>
        </row>
        <row r="1276">
          <cell r="B1276" t="str">
            <v>Leamonax</v>
          </cell>
          <cell r="C1276" t="str">
            <v>houxg/Leamonax</v>
          </cell>
          <cell r="D1276" t="str">
            <v>FlyingRadish/Leamonax</v>
          </cell>
          <cell r="E1276">
            <v>170</v>
          </cell>
          <cell r="F1276">
            <v>8</v>
          </cell>
          <cell r="G1276">
            <v>3</v>
          </cell>
          <cell r="H1276">
            <v>7390</v>
          </cell>
          <cell r="I1276">
            <v>292</v>
          </cell>
          <cell r="J1276">
            <v>50</v>
          </cell>
          <cell r="K1276">
            <v>1</v>
          </cell>
        </row>
        <row r="1277">
          <cell r="B1277" t="str">
            <v>Pure</v>
          </cell>
          <cell r="C1277" t="str">
            <v>Aanu1995/Pure</v>
          </cell>
          <cell r="D1277" t="str">
            <v>Aanu1995/Pure</v>
          </cell>
          <cell r="E1277">
            <v>170</v>
          </cell>
          <cell r="F1277">
            <v>28</v>
          </cell>
          <cell r="G1277">
            <v>1</v>
          </cell>
          <cell r="H1277">
            <v>3394</v>
          </cell>
          <cell r="I1277">
            <v>8</v>
          </cell>
          <cell r="J1277">
            <v>27</v>
          </cell>
          <cell r="K1277">
            <v>2</v>
          </cell>
        </row>
        <row r="1278">
          <cell r="B1278" t="str">
            <v>IdeaTrackerPlus</v>
          </cell>
          <cell r="C1278" t="str">
            <v>IdeaTrackerPlus/IdeaTrackerPlus</v>
          </cell>
          <cell r="D1278" t="str">
            <v>IdeaTrackerPlus/IdeaTrackerPlus</v>
          </cell>
          <cell r="E1278">
            <v>170</v>
          </cell>
          <cell r="F1278">
            <v>30</v>
          </cell>
          <cell r="G1278">
            <v>10</v>
          </cell>
          <cell r="H1278">
            <v>5610</v>
          </cell>
          <cell r="I1278">
            <v>23</v>
          </cell>
          <cell r="J1278">
            <v>37</v>
          </cell>
          <cell r="K1278">
            <v>34</v>
          </cell>
        </row>
        <row r="1279">
          <cell r="B1279" t="str">
            <v>innoextract-android</v>
          </cell>
          <cell r="C1279" t="str">
            <v>alanwoolley/innoextract-android</v>
          </cell>
          <cell r="D1279" t="str">
            <v>alanwoolley/innoextract-android</v>
          </cell>
          <cell r="E1279">
            <v>171</v>
          </cell>
          <cell r="F1279">
            <v>0</v>
          </cell>
          <cell r="G1279">
            <v>1</v>
          </cell>
          <cell r="H1279">
            <v>82342</v>
          </cell>
          <cell r="I1279">
            <v>11</v>
          </cell>
          <cell r="J1279">
            <v>22</v>
          </cell>
          <cell r="K1279">
            <v>1</v>
          </cell>
        </row>
        <row r="1280">
          <cell r="B1280" t="str">
            <v>runlog-kmm</v>
          </cell>
          <cell r="C1280" t="str">
            <v>jdamcd/runlog-kmm</v>
          </cell>
          <cell r="D1280" t="str">
            <v>jdamcd/runlog-kmm</v>
          </cell>
          <cell r="E1280">
            <v>171</v>
          </cell>
          <cell r="F1280">
            <v>9</v>
          </cell>
          <cell r="G1280">
            <v>1</v>
          </cell>
          <cell r="H1280">
            <v>6537</v>
          </cell>
          <cell r="I1280">
            <v>0</v>
          </cell>
          <cell r="J1280">
            <v>22</v>
          </cell>
          <cell r="K1280">
            <v>0</v>
          </cell>
        </row>
        <row r="1281">
          <cell r="B1281" t="str">
            <v>ExpandableBottomBar</v>
          </cell>
          <cell r="C1281" t="str">
            <v>st235/ExpandableBottomBar</v>
          </cell>
          <cell r="D1281" t="str">
            <v>st235/ExpandableBottomBar</v>
          </cell>
          <cell r="E1281">
            <v>171</v>
          </cell>
          <cell r="F1281">
            <v>63</v>
          </cell>
          <cell r="G1281">
            <v>3</v>
          </cell>
          <cell r="H1281">
            <v>28374</v>
          </cell>
          <cell r="I1281">
            <v>53</v>
          </cell>
          <cell r="J1281">
            <v>706</v>
          </cell>
          <cell r="K1281">
            <v>0</v>
          </cell>
        </row>
        <row r="1282">
          <cell r="B1282" t="str">
            <v>privacy-friendly-pausing-healthily</v>
          </cell>
          <cell r="C1282" t="str">
            <v>SecUSo/privacy-friendly-pausing-healthily</v>
          </cell>
          <cell r="D1282" t="str">
            <v>SecUSo/privacy-friendly-pausing-healthily</v>
          </cell>
          <cell r="E1282">
            <v>172</v>
          </cell>
          <cell r="F1282">
            <v>1</v>
          </cell>
          <cell r="G1282">
            <v>7</v>
          </cell>
          <cell r="H1282">
            <v>6397</v>
          </cell>
          <cell r="I1282">
            <v>5</v>
          </cell>
          <cell r="J1282">
            <v>15</v>
          </cell>
          <cell r="K1282">
            <v>9</v>
          </cell>
        </row>
        <row r="1283">
          <cell r="B1283" t="str">
            <v>dial-dial</v>
          </cell>
          <cell r="C1283" t="str">
            <v>b0r3k/dial-dial</v>
          </cell>
          <cell r="D1283" t="str">
            <v>b0r3k/dial-dial</v>
          </cell>
          <cell r="E1283">
            <v>172</v>
          </cell>
          <cell r="F1283">
            <v>4</v>
          </cell>
          <cell r="G1283">
            <v>2</v>
          </cell>
          <cell r="H1283">
            <v>59919</v>
          </cell>
          <cell r="I1283">
            <v>0</v>
          </cell>
          <cell r="J1283">
            <v>1</v>
          </cell>
          <cell r="K1283">
            <v>0</v>
          </cell>
        </row>
        <row r="1284">
          <cell r="B1284" t="str">
            <v>FreifunkAutoConnectApp</v>
          </cell>
          <cell r="C1284" t="str">
            <v>WIStudent/FreifunkAutoConnectApp</v>
          </cell>
          <cell r="D1284" t="str">
            <v>WIStudent/FreifunkAutoConnectApp</v>
          </cell>
          <cell r="E1284">
            <v>172</v>
          </cell>
          <cell r="F1284">
            <v>8</v>
          </cell>
          <cell r="G1284">
            <v>5</v>
          </cell>
          <cell r="H1284">
            <v>14305</v>
          </cell>
          <cell r="I1284">
            <v>4</v>
          </cell>
          <cell r="J1284">
            <v>15</v>
          </cell>
          <cell r="K1284">
            <v>4</v>
          </cell>
        </row>
        <row r="1285">
          <cell r="B1285" t="str">
            <v>Nothing</v>
          </cell>
          <cell r="C1285" t="str">
            <v>gorrotowi/Nothing</v>
          </cell>
          <cell r="D1285" t="str">
            <v>gorrotowi/Nothing</v>
          </cell>
          <cell r="E1285">
            <v>172</v>
          </cell>
          <cell r="F1285">
            <v>50</v>
          </cell>
          <cell r="G1285">
            <v>5</v>
          </cell>
          <cell r="H1285">
            <v>13632</v>
          </cell>
          <cell r="I1285">
            <v>0</v>
          </cell>
          <cell r="J1285">
            <v>9</v>
          </cell>
          <cell r="K1285">
            <v>1</v>
          </cell>
        </row>
        <row r="1286">
          <cell r="B1286" t="str">
            <v>ElectriCity_Front</v>
          </cell>
          <cell r="C1286" t="str">
            <v>davidpb0/ElectriCity_Front</v>
          </cell>
          <cell r="D1286" t="str">
            <v>davidpb0/ElectriCity_Front</v>
          </cell>
          <cell r="E1286">
            <v>172</v>
          </cell>
          <cell r="F1286">
            <v>52</v>
          </cell>
          <cell r="G1286">
            <v>3</v>
          </cell>
          <cell r="H1286">
            <v>1660</v>
          </cell>
          <cell r="I1286">
            <v>0</v>
          </cell>
          <cell r="J1286">
            <v>1</v>
          </cell>
          <cell r="K1286">
            <v>1</v>
          </cell>
        </row>
        <row r="1287">
          <cell r="B1287" t="str">
            <v>Journal3</v>
          </cell>
          <cell r="C1287" t="str">
            <v>MrHadiSatrio/Journal3</v>
          </cell>
          <cell r="D1287" t="str">
            <v>MrHadiSatrio/Journal3</v>
          </cell>
          <cell r="E1287">
            <v>172</v>
          </cell>
          <cell r="F1287">
            <v>63</v>
          </cell>
          <cell r="G1287">
            <v>2</v>
          </cell>
          <cell r="H1287">
            <v>343</v>
          </cell>
          <cell r="I1287">
            <v>0</v>
          </cell>
          <cell r="J1287">
            <v>8</v>
          </cell>
          <cell r="K1287">
            <v>4</v>
          </cell>
        </row>
        <row r="1288">
          <cell r="B1288" t="str">
            <v>txt</v>
          </cell>
          <cell r="C1288" t="str">
            <v>Crazy-Marvin/txt</v>
          </cell>
          <cell r="D1288" t="str">
            <v>Crazy-Marvin/txt</v>
          </cell>
          <cell r="E1288">
            <v>173</v>
          </cell>
          <cell r="F1288">
            <v>1</v>
          </cell>
          <cell r="G1288">
            <v>2</v>
          </cell>
          <cell r="H1288">
            <v>14653</v>
          </cell>
          <cell r="I1288">
            <v>2</v>
          </cell>
          <cell r="J1288">
            <v>36</v>
          </cell>
          <cell r="K1288">
            <v>0</v>
          </cell>
        </row>
        <row r="1289">
          <cell r="B1289" t="str">
            <v>moneycontrol</v>
          </cell>
          <cell r="C1289" t="str">
            <v>niltonvasques/moneycontrol</v>
          </cell>
          <cell r="D1289" t="str">
            <v>niltonvasques/moneycontrol</v>
          </cell>
          <cell r="E1289">
            <v>174</v>
          </cell>
          <cell r="F1289">
            <v>27</v>
          </cell>
          <cell r="G1289">
            <v>1</v>
          </cell>
          <cell r="H1289">
            <v>3204</v>
          </cell>
          <cell r="I1289">
            <v>1</v>
          </cell>
          <cell r="J1289">
            <v>4</v>
          </cell>
          <cell r="K1289">
            <v>26</v>
          </cell>
        </row>
        <row r="1290">
          <cell r="B1290" t="str">
            <v>OcrLiteAndroidNcnn</v>
          </cell>
          <cell r="C1290" t="str">
            <v>benjaminwan/OcrLiteAndroidNcnn</v>
          </cell>
          <cell r="D1290" t="str">
            <v>benjaminwan/OcrLiteAndroidNcnn</v>
          </cell>
          <cell r="E1290">
            <v>175</v>
          </cell>
          <cell r="F1290">
            <v>0</v>
          </cell>
          <cell r="G1290">
            <v>1</v>
          </cell>
          <cell r="H1290">
            <v>67494</v>
          </cell>
          <cell r="I1290">
            <v>11</v>
          </cell>
          <cell r="J1290">
            <v>43</v>
          </cell>
          <cell r="K1290">
            <v>0</v>
          </cell>
        </row>
        <row r="1291">
          <cell r="B1291" t="str">
            <v>All-In-One</v>
          </cell>
          <cell r="C1291" t="str">
            <v>skydoves/All-In-One</v>
          </cell>
          <cell r="D1291" t="str">
            <v>skydoves/All-In-One</v>
          </cell>
          <cell r="E1291">
            <v>175</v>
          </cell>
          <cell r="F1291">
            <v>5</v>
          </cell>
          <cell r="G1291">
            <v>1</v>
          </cell>
          <cell r="H1291">
            <v>3302</v>
          </cell>
          <cell r="I1291">
            <v>28</v>
          </cell>
          <cell r="J1291">
            <v>117</v>
          </cell>
          <cell r="K1291">
            <v>3</v>
          </cell>
        </row>
        <row r="1292">
          <cell r="B1292" t="str">
            <v>Aladin-AOS</v>
          </cell>
          <cell r="C1292" t="str">
            <v>SOPT-TEAM6-Aladin/Aladin-AOS</v>
          </cell>
          <cell r="D1292" t="str">
            <v>SOPT-TEAM6-Aladin/Aladin-AOS</v>
          </cell>
          <cell r="E1292">
            <v>175</v>
          </cell>
          <cell r="F1292">
            <v>16</v>
          </cell>
          <cell r="G1292">
            <v>5</v>
          </cell>
          <cell r="H1292">
            <v>4874</v>
          </cell>
          <cell r="I1292">
            <v>1</v>
          </cell>
          <cell r="J1292">
            <v>1</v>
          </cell>
          <cell r="K1292">
            <v>0</v>
          </cell>
        </row>
        <row r="1293">
          <cell r="B1293" t="str">
            <v>keyboard</v>
          </cell>
          <cell r="C1293" t="str">
            <v>amirisback/keyboard</v>
          </cell>
          <cell r="D1293" t="str">
            <v>amirisback/keyboard</v>
          </cell>
          <cell r="E1293">
            <v>175</v>
          </cell>
          <cell r="F1293">
            <v>24</v>
          </cell>
          <cell r="G1293">
            <v>3</v>
          </cell>
          <cell r="H1293">
            <v>3575</v>
          </cell>
          <cell r="I1293">
            <v>2</v>
          </cell>
          <cell r="J1293">
            <v>19</v>
          </cell>
          <cell r="K1293">
            <v>1</v>
          </cell>
        </row>
        <row r="1294">
          <cell r="B1294" t="str">
            <v>Meow</v>
          </cell>
          <cell r="C1294" t="str">
            <v>neverfelly/Meow</v>
          </cell>
          <cell r="D1294" t="str">
            <v>jczh98/Meow</v>
          </cell>
          <cell r="E1294">
            <v>176</v>
          </cell>
          <cell r="F1294">
            <v>1</v>
          </cell>
          <cell r="G1294">
            <v>1</v>
          </cell>
          <cell r="H1294">
            <v>2256</v>
          </cell>
          <cell r="I1294">
            <v>11</v>
          </cell>
          <cell r="J1294">
            <v>43</v>
          </cell>
          <cell r="K1294">
            <v>4</v>
          </cell>
        </row>
        <row r="1295">
          <cell r="B1295" t="str">
            <v>android-customtabs</v>
          </cell>
          <cell r="C1295" t="str">
            <v>saschpe/android-customtabs</v>
          </cell>
          <cell r="D1295" t="str">
            <v>saschpe/android-customtabs</v>
          </cell>
          <cell r="E1295">
            <v>176</v>
          </cell>
          <cell r="F1295">
            <v>16</v>
          </cell>
          <cell r="G1295">
            <v>3</v>
          </cell>
          <cell r="H1295">
            <v>5343</v>
          </cell>
          <cell r="I1295">
            <v>47</v>
          </cell>
          <cell r="J1295">
            <v>381</v>
          </cell>
          <cell r="K1295">
            <v>8</v>
          </cell>
        </row>
        <row r="1296">
          <cell r="B1296" t="str">
            <v>De-Bloater</v>
          </cell>
          <cell r="C1296" t="str">
            <v>sunilpaulmathew/De-Bloater</v>
          </cell>
          <cell r="D1296" t="str">
            <v>sunilpaulmathew/De-Bloater</v>
          </cell>
          <cell r="E1296">
            <v>177</v>
          </cell>
          <cell r="F1296">
            <v>4</v>
          </cell>
          <cell r="G1296">
            <v>5</v>
          </cell>
          <cell r="H1296">
            <v>2742</v>
          </cell>
          <cell r="I1296">
            <v>16</v>
          </cell>
          <cell r="J1296">
            <v>287</v>
          </cell>
          <cell r="K1296">
            <v>15</v>
          </cell>
        </row>
        <row r="1297">
          <cell r="B1297" t="str">
            <v>debty-v2</v>
          </cell>
          <cell r="C1297" t="str">
            <v>fabirt/debty-v2</v>
          </cell>
          <cell r="D1297" t="str">
            <v>fabirt/debty-v2</v>
          </cell>
          <cell r="E1297">
            <v>178</v>
          </cell>
          <cell r="F1297">
            <v>0</v>
          </cell>
          <cell r="G1297">
            <v>1</v>
          </cell>
          <cell r="H1297">
            <v>3322</v>
          </cell>
          <cell r="I1297">
            <v>8</v>
          </cell>
          <cell r="J1297">
            <v>43</v>
          </cell>
          <cell r="K1297">
            <v>0</v>
          </cell>
        </row>
        <row r="1298">
          <cell r="B1298" t="str">
            <v>PicGo</v>
          </cell>
          <cell r="C1298" t="str">
            <v>intret/PicGo</v>
          </cell>
          <cell r="D1298" t="str">
            <v>intret/PicGo</v>
          </cell>
          <cell r="E1298">
            <v>178</v>
          </cell>
          <cell r="F1298">
            <v>0</v>
          </cell>
          <cell r="G1298">
            <v>1</v>
          </cell>
          <cell r="H1298">
            <v>4824</v>
          </cell>
          <cell r="I1298">
            <v>1</v>
          </cell>
          <cell r="J1298">
            <v>6</v>
          </cell>
          <cell r="K1298">
            <v>0</v>
          </cell>
        </row>
        <row r="1299">
          <cell r="B1299" t="str">
            <v>android-starter-2022</v>
          </cell>
          <cell r="C1299" t="str">
            <v>krzdabrowski/android-starter-2022</v>
          </cell>
          <cell r="D1299" t="str">
            <v>krzdabrowski/android-starter-2022</v>
          </cell>
          <cell r="E1299">
            <v>178</v>
          </cell>
          <cell r="F1299">
            <v>43</v>
          </cell>
          <cell r="G1299">
            <v>2</v>
          </cell>
          <cell r="H1299">
            <v>385</v>
          </cell>
          <cell r="I1299">
            <v>22</v>
          </cell>
          <cell r="J1299">
            <v>207</v>
          </cell>
          <cell r="K1299">
            <v>2</v>
          </cell>
        </row>
        <row r="1300">
          <cell r="B1300" t="str">
            <v>wilt-android</v>
          </cell>
          <cell r="C1300" t="str">
            <v>oliveroneill/wilt-android</v>
          </cell>
          <cell r="D1300" t="str">
            <v>oliveroneill/wilt-android</v>
          </cell>
          <cell r="E1300">
            <v>179</v>
          </cell>
          <cell r="F1300">
            <v>0</v>
          </cell>
          <cell r="G1300">
            <v>1</v>
          </cell>
          <cell r="H1300">
            <v>5510</v>
          </cell>
          <cell r="I1300">
            <v>1</v>
          </cell>
          <cell r="J1300">
            <v>3</v>
          </cell>
          <cell r="K1300">
            <v>0</v>
          </cell>
        </row>
        <row r="1301">
          <cell r="B1301" t="str">
            <v>Engine</v>
          </cell>
          <cell r="C1301" t="str">
            <v>liangjingkanji/Engine</v>
          </cell>
          <cell r="D1301" t="str">
            <v>liangjingkanji/Engine</v>
          </cell>
          <cell r="E1301">
            <v>179</v>
          </cell>
          <cell r="F1301">
            <v>5</v>
          </cell>
          <cell r="G1301">
            <v>4</v>
          </cell>
          <cell r="H1301">
            <v>5101</v>
          </cell>
          <cell r="I1301">
            <v>17</v>
          </cell>
          <cell r="J1301">
            <v>122</v>
          </cell>
          <cell r="K1301">
            <v>0</v>
          </cell>
        </row>
        <row r="1302">
          <cell r="B1302" t="str">
            <v>eduJam</v>
          </cell>
          <cell r="C1302" t="str">
            <v>CerritusCodersComm/eduJam</v>
          </cell>
          <cell r="D1302" t="str">
            <v>CerritusCodersComm/eduJam</v>
          </cell>
          <cell r="E1302">
            <v>179</v>
          </cell>
          <cell r="F1302">
            <v>49</v>
          </cell>
          <cell r="G1302">
            <v>7</v>
          </cell>
          <cell r="H1302">
            <v>36698</v>
          </cell>
          <cell r="I1302">
            <v>12</v>
          </cell>
          <cell r="J1302">
            <v>16</v>
          </cell>
          <cell r="K1302">
            <v>5</v>
          </cell>
        </row>
        <row r="1303">
          <cell r="B1303" t="str">
            <v>client</v>
          </cell>
          <cell r="C1303" t="str">
            <v>TheToxProject/client</v>
          </cell>
          <cell r="D1303" t="str">
            <v>TheToxProject/client</v>
          </cell>
          <cell r="E1303">
            <v>179</v>
          </cell>
          <cell r="F1303">
            <v>130</v>
          </cell>
          <cell r="G1303">
            <v>2</v>
          </cell>
          <cell r="H1303">
            <v>5417</v>
          </cell>
          <cell r="I1303">
            <v>11</v>
          </cell>
          <cell r="J1303">
            <v>92</v>
          </cell>
          <cell r="K1303">
            <v>45</v>
          </cell>
        </row>
        <row r="1304">
          <cell r="B1304" t="str">
            <v>XPlayer</v>
          </cell>
          <cell r="C1304" t="str">
            <v>gouri-panda/XPlayer</v>
          </cell>
          <cell r="D1304" t="str">
            <v>gouri-panda/XPlayer</v>
          </cell>
          <cell r="E1304">
            <v>180</v>
          </cell>
          <cell r="F1304">
            <v>30</v>
          </cell>
          <cell r="G1304">
            <v>8</v>
          </cell>
          <cell r="H1304">
            <v>109992</v>
          </cell>
          <cell r="I1304">
            <v>10</v>
          </cell>
          <cell r="J1304">
            <v>6</v>
          </cell>
          <cell r="K1304">
            <v>12</v>
          </cell>
        </row>
        <row r="1305">
          <cell r="B1305" t="str">
            <v>Openticator</v>
          </cell>
          <cell r="C1305" t="str">
            <v>arturogutierrez/Openticator</v>
          </cell>
          <cell r="D1305" t="str">
            <v>arturogutierrez/Openticator</v>
          </cell>
          <cell r="E1305">
            <v>180</v>
          </cell>
          <cell r="F1305">
            <v>65</v>
          </cell>
          <cell r="G1305">
            <v>2</v>
          </cell>
          <cell r="H1305">
            <v>7032</v>
          </cell>
          <cell r="I1305">
            <v>12</v>
          </cell>
          <cell r="J1305">
            <v>79</v>
          </cell>
          <cell r="K1305">
            <v>12</v>
          </cell>
        </row>
        <row r="1306">
          <cell r="B1306" t="str">
            <v>meaning_Android</v>
          </cell>
          <cell r="C1306" t="str">
            <v>nneaning/meaning_Android</v>
          </cell>
          <cell r="D1306" t="str">
            <v>nneaning/meaning_Android</v>
          </cell>
          <cell r="E1306">
            <v>181</v>
          </cell>
          <cell r="F1306">
            <v>40</v>
          </cell>
          <cell r="G1306">
            <v>3</v>
          </cell>
          <cell r="H1306">
            <v>154484</v>
          </cell>
          <cell r="I1306">
            <v>2</v>
          </cell>
          <cell r="J1306">
            <v>10</v>
          </cell>
          <cell r="K1306">
            <v>5</v>
          </cell>
        </row>
        <row r="1307">
          <cell r="B1307" t="str">
            <v>android-local-vpn</v>
          </cell>
          <cell r="C1307" t="str">
            <v>JonForShort/android-local-vpn</v>
          </cell>
          <cell r="D1307" t="str">
            <v>JonForShort/android-local-vpn</v>
          </cell>
          <cell r="E1307">
            <v>182</v>
          </cell>
          <cell r="F1307">
            <v>1</v>
          </cell>
          <cell r="G1307">
            <v>3</v>
          </cell>
          <cell r="H1307">
            <v>385</v>
          </cell>
          <cell r="I1307">
            <v>5</v>
          </cell>
          <cell r="J1307">
            <v>10</v>
          </cell>
          <cell r="K1307">
            <v>2</v>
          </cell>
        </row>
        <row r="1308">
          <cell r="B1308" t="str">
            <v>cavedroid</v>
          </cell>
          <cell r="C1308" t="str">
            <v>fredboy/cavedroid</v>
          </cell>
          <cell r="D1308" t="str">
            <v>fredboy/cavedroid</v>
          </cell>
          <cell r="E1308">
            <v>182</v>
          </cell>
          <cell r="F1308">
            <v>9</v>
          </cell>
          <cell r="G1308">
            <v>1</v>
          </cell>
          <cell r="H1308">
            <v>889</v>
          </cell>
          <cell r="I1308">
            <v>1</v>
          </cell>
          <cell r="J1308">
            <v>4</v>
          </cell>
          <cell r="K1308">
            <v>12</v>
          </cell>
        </row>
        <row r="1309">
          <cell r="B1309" t="str">
            <v>timeclock</v>
          </cell>
          <cell r="C1309" t="str">
            <v>NicksPatties/timeclock</v>
          </cell>
          <cell r="D1309" t="str">
            <v>NicksPatties/timeclock</v>
          </cell>
          <cell r="E1309">
            <v>182</v>
          </cell>
          <cell r="F1309">
            <v>20</v>
          </cell>
          <cell r="G1309">
            <v>1</v>
          </cell>
          <cell r="H1309">
            <v>1822</v>
          </cell>
          <cell r="I1309">
            <v>2</v>
          </cell>
          <cell r="J1309">
            <v>4</v>
          </cell>
          <cell r="K1309">
            <v>11</v>
          </cell>
        </row>
        <row r="1310">
          <cell r="B1310" t="str">
            <v>InstiComplaints-App</v>
          </cell>
          <cell r="C1310" t="str">
            <v>shubhanshu02/InstiComplaints-App</v>
          </cell>
          <cell r="D1310" t="str">
            <v>shubhanshu02/InstiComplaints-App</v>
          </cell>
          <cell r="E1310">
            <v>182</v>
          </cell>
          <cell r="F1310">
            <v>41</v>
          </cell>
          <cell r="G1310">
            <v>6</v>
          </cell>
          <cell r="H1310">
            <v>6319</v>
          </cell>
          <cell r="I1310">
            <v>2</v>
          </cell>
          <cell r="J1310">
            <v>4</v>
          </cell>
          <cell r="K1310">
            <v>0</v>
          </cell>
        </row>
        <row r="1311">
          <cell r="B1311" t="str">
            <v>AndroidNotificationNotifier</v>
          </cell>
          <cell r="C1311" t="str">
            <v>ptkNktq/AndroidNotificationNotifier</v>
          </cell>
          <cell r="D1311" t="str">
            <v>ptkNktq/AndroidNotificationNotifier</v>
          </cell>
          <cell r="E1311">
            <v>182</v>
          </cell>
          <cell r="F1311">
            <v>63</v>
          </cell>
          <cell r="G1311">
            <v>3</v>
          </cell>
          <cell r="H1311">
            <v>1287</v>
          </cell>
          <cell r="I1311">
            <v>0</v>
          </cell>
          <cell r="J1311">
            <v>2</v>
          </cell>
          <cell r="K1311">
            <v>4</v>
          </cell>
        </row>
        <row r="1312">
          <cell r="B1312" t="str">
            <v>Mensaplan</v>
          </cell>
          <cell r="C1312" t="str">
            <v>dotWee/Mensaplan</v>
          </cell>
          <cell r="D1312" t="str">
            <v>dotWee/Mensaplan</v>
          </cell>
          <cell r="E1312">
            <v>183</v>
          </cell>
          <cell r="F1312">
            <v>0</v>
          </cell>
          <cell r="G1312">
            <v>1</v>
          </cell>
          <cell r="H1312">
            <v>5610</v>
          </cell>
          <cell r="I1312">
            <v>1</v>
          </cell>
          <cell r="J1312">
            <v>1</v>
          </cell>
          <cell r="K1312">
            <v>0</v>
          </cell>
        </row>
        <row r="1313">
          <cell r="B1313" t="str">
            <v>UnityModManager</v>
          </cell>
          <cell r="C1313" t="str">
            <v>xausky/UnityModManager</v>
          </cell>
          <cell r="D1313" t="str">
            <v>xausky/UnityModManager</v>
          </cell>
          <cell r="E1313">
            <v>183</v>
          </cell>
          <cell r="F1313">
            <v>1</v>
          </cell>
          <cell r="G1313">
            <v>1</v>
          </cell>
          <cell r="H1313">
            <v>6669</v>
          </cell>
          <cell r="I1313">
            <v>47</v>
          </cell>
          <cell r="J1313">
            <v>311</v>
          </cell>
          <cell r="K1313">
            <v>5</v>
          </cell>
        </row>
        <row r="1314">
          <cell r="B1314" t="str">
            <v>dialogplus</v>
          </cell>
          <cell r="C1314" t="str">
            <v>orhanobut/dialogplus</v>
          </cell>
          <cell r="D1314" t="str">
            <v>orhanobut/dialogplus</v>
          </cell>
          <cell r="E1314">
            <v>183</v>
          </cell>
          <cell r="F1314">
            <v>49</v>
          </cell>
          <cell r="G1314">
            <v>11</v>
          </cell>
          <cell r="H1314">
            <v>6790</v>
          </cell>
          <cell r="I1314">
            <v>806</v>
          </cell>
          <cell r="J1314">
            <v>4985</v>
          </cell>
          <cell r="K1314">
            <v>54</v>
          </cell>
        </row>
        <row r="1315">
          <cell r="B1315" t="str">
            <v>sig-gen</v>
          </cell>
          <cell r="C1315" t="str">
            <v>billthefarmer/sig-gen</v>
          </cell>
          <cell r="D1315" t="str">
            <v>billthefarmer/sig-gen</v>
          </cell>
          <cell r="E1315">
            <v>184</v>
          </cell>
          <cell r="F1315">
            <v>5</v>
          </cell>
          <cell r="G1315">
            <v>5</v>
          </cell>
          <cell r="H1315">
            <v>1592</v>
          </cell>
          <cell r="I1315">
            <v>25</v>
          </cell>
          <cell r="J1315">
            <v>79</v>
          </cell>
          <cell r="K1315">
            <v>0</v>
          </cell>
        </row>
        <row r="1316">
          <cell r="B1316" t="str">
            <v>privacy-friendly-tape-measure</v>
          </cell>
          <cell r="C1316" t="str">
            <v>SecUSo/privacy-friendly-tape-measure</v>
          </cell>
          <cell r="D1316" t="str">
            <v>SecUSo/privacy-friendly-tape-measure</v>
          </cell>
          <cell r="E1316">
            <v>184</v>
          </cell>
          <cell r="F1316">
            <v>5</v>
          </cell>
          <cell r="G1316">
            <v>10</v>
          </cell>
          <cell r="H1316">
            <v>17729</v>
          </cell>
          <cell r="I1316">
            <v>10</v>
          </cell>
          <cell r="J1316">
            <v>19</v>
          </cell>
          <cell r="K1316">
            <v>8</v>
          </cell>
        </row>
        <row r="1317">
          <cell r="B1317" t="str">
            <v>NextcloudServices</v>
          </cell>
          <cell r="C1317" t="str">
            <v>Andrewerr/NextcloudServices</v>
          </cell>
          <cell r="D1317" t="str">
            <v>0xf104a/NextcloudServices</v>
          </cell>
          <cell r="E1317">
            <v>184</v>
          </cell>
          <cell r="F1317">
            <v>12</v>
          </cell>
          <cell r="G1317">
            <v>6</v>
          </cell>
          <cell r="H1317">
            <v>7598</v>
          </cell>
          <cell r="I1317">
            <v>8</v>
          </cell>
          <cell r="J1317">
            <v>36</v>
          </cell>
          <cell r="K1317">
            <v>19</v>
          </cell>
        </row>
        <row r="1318">
          <cell r="B1318" t="str">
            <v>ad-silence</v>
          </cell>
          <cell r="C1318" t="str">
            <v>aghontpi/ad-silence</v>
          </cell>
          <cell r="D1318" t="str">
            <v>aghontpi/ad-silence</v>
          </cell>
          <cell r="E1318">
            <v>184</v>
          </cell>
          <cell r="F1318">
            <v>23</v>
          </cell>
          <cell r="G1318">
            <v>2</v>
          </cell>
          <cell r="H1318">
            <v>10419</v>
          </cell>
          <cell r="I1318">
            <v>6</v>
          </cell>
          <cell r="J1318">
            <v>149</v>
          </cell>
          <cell r="K1318">
            <v>25</v>
          </cell>
        </row>
        <row r="1319">
          <cell r="B1319" t="str">
            <v>ScalePractice</v>
          </cell>
          <cell r="C1319" t="str">
            <v>aburdiss/ScalePractice</v>
          </cell>
          <cell r="D1319" t="str">
            <v>aburdiss/ScalePractice</v>
          </cell>
          <cell r="E1319">
            <v>184</v>
          </cell>
          <cell r="F1319">
            <v>24</v>
          </cell>
          <cell r="G1319">
            <v>4</v>
          </cell>
          <cell r="H1319">
            <v>6663</v>
          </cell>
          <cell r="I1319">
            <v>0</v>
          </cell>
          <cell r="J1319">
            <v>6</v>
          </cell>
          <cell r="K1319">
            <v>3</v>
          </cell>
        </row>
        <row r="1320">
          <cell r="B1320" t="str">
            <v>aw-android</v>
          </cell>
          <cell r="C1320" t="str">
            <v>ActivityWatch/aw-android</v>
          </cell>
          <cell r="D1320" t="str">
            <v>ActivityWatch/aw-android</v>
          </cell>
          <cell r="E1320">
            <v>184</v>
          </cell>
          <cell r="F1320">
            <v>30</v>
          </cell>
          <cell r="G1320">
            <v>5</v>
          </cell>
          <cell r="H1320">
            <v>676</v>
          </cell>
          <cell r="I1320">
            <v>19</v>
          </cell>
          <cell r="J1320">
            <v>103</v>
          </cell>
          <cell r="K1320">
            <v>36</v>
          </cell>
        </row>
        <row r="1321">
          <cell r="B1321" t="str">
            <v>NyaaPantsu-android-app</v>
          </cell>
          <cell r="C1321" t="str">
            <v>NyaaPantsu/NyaaPantsu-android-app</v>
          </cell>
          <cell r="D1321" t="str">
            <v>NyaaPantsu/NyaaPantsu-android-app</v>
          </cell>
          <cell r="E1321">
            <v>184</v>
          </cell>
          <cell r="F1321">
            <v>39</v>
          </cell>
          <cell r="G1321">
            <v>4</v>
          </cell>
          <cell r="H1321">
            <v>1835</v>
          </cell>
          <cell r="I1321">
            <v>12</v>
          </cell>
          <cell r="J1321">
            <v>46</v>
          </cell>
          <cell r="K1321">
            <v>7</v>
          </cell>
        </row>
        <row r="1322">
          <cell r="B1322" t="str">
            <v>CacheManage</v>
          </cell>
          <cell r="C1322" t="str">
            <v>ronghao/CacheManage</v>
          </cell>
          <cell r="D1322" t="str">
            <v>ronghao/CacheManage</v>
          </cell>
          <cell r="E1322">
            <v>185</v>
          </cell>
          <cell r="F1322">
            <v>1</v>
          </cell>
          <cell r="G1322">
            <v>2</v>
          </cell>
          <cell r="H1322">
            <v>411</v>
          </cell>
          <cell r="I1322">
            <v>17</v>
          </cell>
          <cell r="J1322">
            <v>84</v>
          </cell>
          <cell r="K1322">
            <v>0</v>
          </cell>
        </row>
        <row r="1323">
          <cell r="B1323" t="str">
            <v>LoadersPack-Android</v>
          </cell>
          <cell r="C1323" t="str">
            <v>agrawalsuneet/LoadersPack-Android</v>
          </cell>
          <cell r="D1323" t="str">
            <v>agrawalsuneet/LoadersPack-Android</v>
          </cell>
          <cell r="E1323">
            <v>185</v>
          </cell>
          <cell r="F1323">
            <v>33</v>
          </cell>
          <cell r="G1323">
            <v>1</v>
          </cell>
          <cell r="H1323">
            <v>418</v>
          </cell>
          <cell r="I1323">
            <v>18</v>
          </cell>
          <cell r="J1323">
            <v>130</v>
          </cell>
          <cell r="K1323">
            <v>0</v>
          </cell>
        </row>
        <row r="1324">
          <cell r="B1324" t="str">
            <v>kanade</v>
          </cell>
          <cell r="C1324" t="str">
            <v>alexrintt/kanade</v>
          </cell>
          <cell r="D1324" t="str">
            <v>alexcmgit/kanade</v>
          </cell>
          <cell r="E1324">
            <v>186</v>
          </cell>
          <cell r="F1324">
            <v>8</v>
          </cell>
          <cell r="G1324">
            <v>6</v>
          </cell>
          <cell r="H1324">
            <v>6107</v>
          </cell>
          <cell r="I1324">
            <v>3</v>
          </cell>
          <cell r="J1324">
            <v>93</v>
          </cell>
          <cell r="K1324">
            <v>10</v>
          </cell>
        </row>
        <row r="1325">
          <cell r="B1325" t="str">
            <v>rental-calc</v>
          </cell>
          <cell r="C1325" t="str">
            <v>brarcher/rental-calc</v>
          </cell>
          <cell r="D1325" t="str">
            <v>brarcher/rental-calc</v>
          </cell>
          <cell r="E1325">
            <v>186</v>
          </cell>
          <cell r="F1325">
            <v>46</v>
          </cell>
          <cell r="G1325">
            <v>2</v>
          </cell>
          <cell r="H1325">
            <v>3150</v>
          </cell>
          <cell r="I1325">
            <v>9</v>
          </cell>
          <cell r="J1325">
            <v>11</v>
          </cell>
          <cell r="K1325">
            <v>1</v>
          </cell>
        </row>
        <row r="1326">
          <cell r="B1326" t="str">
            <v>domaine-nc-mobile</v>
          </cell>
          <cell r="C1326" t="str">
            <v>lschaeffer313/domaine-nc-mobile</v>
          </cell>
          <cell r="D1326" t="str">
            <v>lschaeffer313/domaine-nc-mobile</v>
          </cell>
          <cell r="E1326">
            <v>186</v>
          </cell>
          <cell r="F1326">
            <v>83</v>
          </cell>
          <cell r="G1326">
            <v>6</v>
          </cell>
          <cell r="H1326">
            <v>1100</v>
          </cell>
          <cell r="I1326">
            <v>2</v>
          </cell>
          <cell r="J1326">
            <v>6</v>
          </cell>
          <cell r="K1326">
            <v>14</v>
          </cell>
        </row>
        <row r="1327">
          <cell r="B1327" t="str">
            <v>interconnected_mobile_client</v>
          </cell>
          <cell r="C1327" t="str">
            <v>Interconnected-project/interconnected_mobile_client</v>
          </cell>
          <cell r="D1327" t="str">
            <v>Interconnected-project/interconnected_mobile_client</v>
          </cell>
          <cell r="E1327">
            <v>186</v>
          </cell>
          <cell r="F1327">
            <v>86</v>
          </cell>
          <cell r="G1327">
            <v>2</v>
          </cell>
          <cell r="H1327">
            <v>3634</v>
          </cell>
          <cell r="I1327">
            <v>0</v>
          </cell>
          <cell r="J1327">
            <v>2</v>
          </cell>
          <cell r="K1327">
            <v>8</v>
          </cell>
        </row>
        <row r="1328">
          <cell r="B1328" t="str">
            <v>clicli-dark</v>
          </cell>
          <cell r="C1328" t="str">
            <v>upvorg/clicli-dark</v>
          </cell>
          <cell r="D1328" t="str">
            <v>upvorg/clicli-dark</v>
          </cell>
          <cell r="E1328">
            <v>188</v>
          </cell>
          <cell r="F1328">
            <v>3</v>
          </cell>
          <cell r="G1328">
            <v>3</v>
          </cell>
          <cell r="H1328">
            <v>13825</v>
          </cell>
          <cell r="I1328">
            <v>10</v>
          </cell>
          <cell r="J1328">
            <v>48</v>
          </cell>
          <cell r="K1328">
            <v>0</v>
          </cell>
        </row>
        <row r="1329">
          <cell r="B1329" t="str">
            <v>timer-machine-android</v>
          </cell>
          <cell r="C1329" t="str">
            <v>timer-machine/timer-machine-android</v>
          </cell>
          <cell r="D1329" t="str">
            <v>timer-machine/timer-machine-android</v>
          </cell>
          <cell r="E1329">
            <v>188</v>
          </cell>
          <cell r="F1329">
            <v>12</v>
          </cell>
          <cell r="G1329">
            <v>12</v>
          </cell>
          <cell r="H1329">
            <v>3672</v>
          </cell>
          <cell r="I1329">
            <v>9</v>
          </cell>
          <cell r="J1329">
            <v>68</v>
          </cell>
          <cell r="K1329">
            <v>2</v>
          </cell>
        </row>
        <row r="1330">
          <cell r="B1330" t="str">
            <v>Watchlist</v>
          </cell>
          <cell r="C1330" t="str">
            <v>LeonErath/Watchlist</v>
          </cell>
          <cell r="D1330" t="str">
            <v>LeonErath/Watchlist</v>
          </cell>
          <cell r="E1330">
            <v>188</v>
          </cell>
          <cell r="F1330">
            <v>51</v>
          </cell>
          <cell r="G1330">
            <v>3</v>
          </cell>
          <cell r="H1330">
            <v>245173</v>
          </cell>
          <cell r="I1330">
            <v>0</v>
          </cell>
          <cell r="J1330">
            <v>1</v>
          </cell>
          <cell r="K1330">
            <v>0</v>
          </cell>
        </row>
        <row r="1331">
          <cell r="B1331" t="str">
            <v>DevStat</v>
          </cell>
          <cell r="C1331" t="str">
            <v>IanField90/DevStat</v>
          </cell>
          <cell r="D1331" t="str">
            <v>IanField90/DevStat</v>
          </cell>
          <cell r="E1331">
            <v>189</v>
          </cell>
          <cell r="F1331">
            <v>4</v>
          </cell>
          <cell r="G1331">
            <v>1</v>
          </cell>
          <cell r="H1331">
            <v>3702</v>
          </cell>
          <cell r="I1331">
            <v>4</v>
          </cell>
          <cell r="J1331">
            <v>12</v>
          </cell>
          <cell r="K1331">
            <v>0</v>
          </cell>
        </row>
        <row r="1332">
          <cell r="B1332" t="str">
            <v>Momento</v>
          </cell>
          <cell r="C1332" t="str">
            <v>lazy-geek/Momento</v>
          </cell>
          <cell r="D1332" t="str">
            <v>lazy-geek/Momento</v>
          </cell>
          <cell r="E1332">
            <v>189</v>
          </cell>
          <cell r="F1332">
            <v>6</v>
          </cell>
          <cell r="G1332">
            <v>1</v>
          </cell>
          <cell r="H1332">
            <v>28250</v>
          </cell>
          <cell r="I1332">
            <v>0</v>
          </cell>
          <cell r="J1332">
            <v>10</v>
          </cell>
          <cell r="K1332">
            <v>1</v>
          </cell>
        </row>
        <row r="1333">
          <cell r="B1333" t="str">
            <v>Fitary</v>
          </cell>
          <cell r="C1333" t="str">
            <v>MarcellHarmaci/Fitary</v>
          </cell>
          <cell r="D1333" t="str">
            <v>MarcellHarmaci/Fitary</v>
          </cell>
          <cell r="E1333">
            <v>189</v>
          </cell>
          <cell r="F1333">
            <v>9</v>
          </cell>
          <cell r="G1333">
            <v>1</v>
          </cell>
          <cell r="H1333">
            <v>458</v>
          </cell>
          <cell r="I1333">
            <v>0</v>
          </cell>
          <cell r="J1333">
            <v>1</v>
          </cell>
          <cell r="K1333">
            <v>3</v>
          </cell>
        </row>
        <row r="1334">
          <cell r="B1334" t="str">
            <v>IES-IPS-Android</v>
          </cell>
          <cell r="C1334" t="str">
            <v>MohitGupta121/IES-IPS-Android</v>
          </cell>
          <cell r="D1334" t="str">
            <v>MohitGupta121/IES-IPS-Android</v>
          </cell>
          <cell r="E1334">
            <v>189</v>
          </cell>
          <cell r="F1334">
            <v>38</v>
          </cell>
          <cell r="G1334">
            <v>4</v>
          </cell>
          <cell r="H1334">
            <v>1474</v>
          </cell>
          <cell r="I1334">
            <v>7</v>
          </cell>
          <cell r="J1334">
            <v>7</v>
          </cell>
          <cell r="K1334">
            <v>3</v>
          </cell>
        </row>
        <row r="1335">
          <cell r="B1335" t="str">
            <v>LessCode</v>
          </cell>
          <cell r="C1335" t="str">
            <v>openproject/LessCode</v>
          </cell>
          <cell r="D1335" t="str">
            <v>openproject/LessCode</v>
          </cell>
          <cell r="E1335">
            <v>190</v>
          </cell>
          <cell r="F1335">
            <v>3</v>
          </cell>
          <cell r="G1335">
            <v>2</v>
          </cell>
          <cell r="H1335">
            <v>670</v>
          </cell>
          <cell r="I1335">
            <v>164</v>
          </cell>
          <cell r="J1335">
            <v>933</v>
          </cell>
          <cell r="K1335">
            <v>0</v>
          </cell>
        </row>
        <row r="1336">
          <cell r="B1336" t="str">
            <v>freeotp-android</v>
          </cell>
          <cell r="C1336" t="str">
            <v>freeotp/freeotp-android</v>
          </cell>
          <cell r="D1336" t="str">
            <v>freeotp/freeotp-android</v>
          </cell>
          <cell r="E1336">
            <v>190</v>
          </cell>
          <cell r="F1336">
            <v>88</v>
          </cell>
          <cell r="G1336">
            <v>26</v>
          </cell>
          <cell r="H1336">
            <v>1365</v>
          </cell>
          <cell r="I1336">
            <v>258</v>
          </cell>
          <cell r="J1336">
            <v>1140</v>
          </cell>
          <cell r="K1336">
            <v>111</v>
          </cell>
        </row>
        <row r="1337">
          <cell r="B1337" t="str">
            <v>In-App-Update-Compose</v>
          </cell>
          <cell r="C1337" t="str">
            <v>warting/In-App-Update-Compose</v>
          </cell>
          <cell r="D1337" t="str">
            <v>warting/In-App-Update-Compose</v>
          </cell>
          <cell r="E1337">
            <v>190</v>
          </cell>
          <cell r="F1337">
            <v>245</v>
          </cell>
          <cell r="G1337">
            <v>2</v>
          </cell>
          <cell r="H1337">
            <v>283</v>
          </cell>
          <cell r="I1337">
            <v>1</v>
          </cell>
          <cell r="J1337">
            <v>37</v>
          </cell>
          <cell r="K1337">
            <v>3</v>
          </cell>
        </row>
        <row r="1338">
          <cell r="B1338" t="str">
            <v>hajk</v>
          </cell>
          <cell r="C1338" t="str">
            <v>johnjore/hajk</v>
          </cell>
          <cell r="D1338" t="str">
            <v>johnjore/hajk</v>
          </cell>
          <cell r="E1338">
            <v>191</v>
          </cell>
          <cell r="F1338">
            <v>2</v>
          </cell>
          <cell r="G1338">
            <v>1</v>
          </cell>
          <cell r="H1338">
            <v>27438</v>
          </cell>
          <cell r="I1338">
            <v>3</v>
          </cell>
          <cell r="J1338">
            <v>3</v>
          </cell>
          <cell r="K1338">
            <v>25</v>
          </cell>
        </row>
        <row r="1339">
          <cell r="B1339" t="str">
            <v>retroboy</v>
          </cell>
          <cell r="C1339" t="str">
            <v>mikljohansson/retroboy</v>
          </cell>
          <cell r="D1339" t="str">
            <v>mikljohansson/retroboy</v>
          </cell>
          <cell r="E1339">
            <v>191</v>
          </cell>
          <cell r="F1339">
            <v>3</v>
          </cell>
          <cell r="G1339">
            <v>3</v>
          </cell>
          <cell r="H1339">
            <v>6799</v>
          </cell>
          <cell r="I1339">
            <v>12</v>
          </cell>
          <cell r="J1339">
            <v>37</v>
          </cell>
          <cell r="K1339">
            <v>7</v>
          </cell>
        </row>
        <row r="1340">
          <cell r="B1340" t="str">
            <v>munich-ways-app</v>
          </cell>
          <cell r="C1340" t="str">
            <v>MunichWays/munich-ways-app</v>
          </cell>
          <cell r="D1340" t="str">
            <v>MunichWays/munich-ways-app</v>
          </cell>
          <cell r="E1340">
            <v>191</v>
          </cell>
          <cell r="F1340">
            <v>21</v>
          </cell>
          <cell r="G1340">
            <v>4</v>
          </cell>
          <cell r="H1340">
            <v>3767</v>
          </cell>
          <cell r="I1340">
            <v>1</v>
          </cell>
          <cell r="J1340">
            <v>1</v>
          </cell>
          <cell r="K1340">
            <v>17</v>
          </cell>
        </row>
        <row r="1341">
          <cell r="B1341" t="str">
            <v>RxBluetooth</v>
          </cell>
          <cell r="C1341" t="str">
            <v>IvBaranov/RxBluetooth</v>
          </cell>
          <cell r="D1341" t="str">
            <v>IvBaranov/RxBluetooth</v>
          </cell>
          <cell r="E1341">
            <v>191</v>
          </cell>
          <cell r="F1341">
            <v>30</v>
          </cell>
          <cell r="G1341">
            <v>9</v>
          </cell>
          <cell r="H1341">
            <v>438</v>
          </cell>
          <cell r="I1341">
            <v>96</v>
          </cell>
          <cell r="J1341">
            <v>401</v>
          </cell>
          <cell r="K1341">
            <v>12</v>
          </cell>
        </row>
        <row r="1342">
          <cell r="B1342" t="str">
            <v>findapet</v>
          </cell>
          <cell r="C1342" t="str">
            <v>kpauly2/findapet</v>
          </cell>
          <cell r="D1342" t="str">
            <v>kpauly2/findapet</v>
          </cell>
          <cell r="E1342">
            <v>191</v>
          </cell>
          <cell r="F1342">
            <v>45</v>
          </cell>
          <cell r="G1342">
            <v>1</v>
          </cell>
          <cell r="H1342">
            <v>1168</v>
          </cell>
          <cell r="I1342">
            <v>0</v>
          </cell>
          <cell r="J1342">
            <v>3</v>
          </cell>
          <cell r="K1342">
            <v>0</v>
          </cell>
        </row>
        <row r="1343">
          <cell r="B1343" t="str">
            <v>flutter</v>
          </cell>
          <cell r="C1343" t="str">
            <v>u-wave/flutter</v>
          </cell>
          <cell r="D1343" t="str">
            <v>u-wave/flutter</v>
          </cell>
          <cell r="E1343">
            <v>192</v>
          </cell>
          <cell r="F1343">
            <v>3</v>
          </cell>
          <cell r="G1343">
            <v>1</v>
          </cell>
          <cell r="H1343">
            <v>941</v>
          </cell>
          <cell r="I1343">
            <v>1</v>
          </cell>
          <cell r="J1343">
            <v>9</v>
          </cell>
          <cell r="K1343">
            <v>2</v>
          </cell>
        </row>
        <row r="1344">
          <cell r="B1344" t="str">
            <v>ProxerTv</v>
          </cell>
          <cell r="C1344" t="str">
            <v>inv3rse/ProxerTv</v>
          </cell>
          <cell r="D1344" t="str">
            <v>inv3rse/ProxerTv</v>
          </cell>
          <cell r="E1344">
            <v>193</v>
          </cell>
          <cell r="F1344">
            <v>0</v>
          </cell>
          <cell r="G1344">
            <v>1</v>
          </cell>
          <cell r="H1344">
            <v>22943</v>
          </cell>
          <cell r="I1344">
            <v>1</v>
          </cell>
          <cell r="J1344">
            <v>18</v>
          </cell>
          <cell r="K1344">
            <v>1</v>
          </cell>
        </row>
        <row r="1345">
          <cell r="B1345" t="str">
            <v>privacy-friendly-pain-diary</v>
          </cell>
          <cell r="C1345" t="str">
            <v>SecUSo/privacy-friendly-pain-diary</v>
          </cell>
          <cell r="D1345" t="str">
            <v>SecUSo/privacy-friendly-pain-diary</v>
          </cell>
          <cell r="E1345">
            <v>193</v>
          </cell>
          <cell r="F1345">
            <v>8</v>
          </cell>
          <cell r="G1345">
            <v>10</v>
          </cell>
          <cell r="H1345">
            <v>1990</v>
          </cell>
          <cell r="I1345">
            <v>9</v>
          </cell>
          <cell r="J1345">
            <v>25</v>
          </cell>
          <cell r="K1345">
            <v>13</v>
          </cell>
        </row>
        <row r="1346">
          <cell r="B1346" t="str">
            <v>ez-recipes-android</v>
          </cell>
          <cell r="C1346" t="str">
            <v>Abhiek187/ez-recipes-android</v>
          </cell>
          <cell r="D1346" t="str">
            <v>Abhiek187/ez-recipes-android</v>
          </cell>
          <cell r="E1346">
            <v>193</v>
          </cell>
          <cell r="F1346">
            <v>31</v>
          </cell>
          <cell r="G1346">
            <v>2</v>
          </cell>
          <cell r="H1346">
            <v>5863</v>
          </cell>
          <cell r="I1346">
            <v>0</v>
          </cell>
          <cell r="J1346">
            <v>1</v>
          </cell>
          <cell r="K1346">
            <v>0</v>
          </cell>
        </row>
        <row r="1347">
          <cell r="B1347" t="str">
            <v>Stepper-Touch</v>
          </cell>
          <cell r="C1347" t="str">
            <v>DanielMartinus/Stepper-Touch</v>
          </cell>
          <cell r="D1347" t="str">
            <v>DanielMartinus/Stepper-Touch</v>
          </cell>
          <cell r="E1347">
            <v>193</v>
          </cell>
          <cell r="F1347">
            <v>124</v>
          </cell>
          <cell r="G1347">
            <v>4</v>
          </cell>
          <cell r="H1347">
            <v>731</v>
          </cell>
          <cell r="I1347">
            <v>85</v>
          </cell>
          <cell r="J1347">
            <v>669</v>
          </cell>
          <cell r="K1347">
            <v>12</v>
          </cell>
        </row>
        <row r="1348">
          <cell r="B1348" t="str">
            <v>dowel</v>
          </cell>
          <cell r="C1348" t="str">
            <v>jayasuryat/dowel</v>
          </cell>
          <cell r="D1348" t="str">
            <v>jayasuryat/dowel</v>
          </cell>
          <cell r="E1348">
            <v>194</v>
          </cell>
          <cell r="F1348">
            <v>11</v>
          </cell>
          <cell r="G1348">
            <v>1</v>
          </cell>
          <cell r="H1348">
            <v>417</v>
          </cell>
          <cell r="I1348">
            <v>2</v>
          </cell>
          <cell r="J1348">
            <v>118</v>
          </cell>
          <cell r="K1348">
            <v>0</v>
          </cell>
        </row>
        <row r="1349">
          <cell r="B1349" t="str">
            <v>RacoAndroid</v>
          </cell>
          <cell r="C1349" t="str">
            <v>hegocre/RacoAndroid</v>
          </cell>
          <cell r="D1349" t="str">
            <v>hegocre/RacoAndroid</v>
          </cell>
          <cell r="E1349">
            <v>194</v>
          </cell>
          <cell r="F1349">
            <v>30</v>
          </cell>
          <cell r="G1349">
            <v>3</v>
          </cell>
          <cell r="H1349">
            <v>1906</v>
          </cell>
          <cell r="I1349">
            <v>0</v>
          </cell>
          <cell r="J1349">
            <v>7</v>
          </cell>
          <cell r="K1349">
            <v>3</v>
          </cell>
        </row>
        <row r="1350">
          <cell r="B1350" t="str">
            <v>flashy-alarm</v>
          </cell>
          <cell r="C1350" t="str">
            <v>yahyatinani/flashy-alarm</v>
          </cell>
          <cell r="D1350" t="str">
            <v>yahyatinani/flashy-alarm</v>
          </cell>
          <cell r="E1350">
            <v>194</v>
          </cell>
          <cell r="F1350">
            <v>33</v>
          </cell>
          <cell r="G1350">
            <v>2</v>
          </cell>
          <cell r="H1350">
            <v>1204</v>
          </cell>
          <cell r="I1350">
            <v>1</v>
          </cell>
          <cell r="J1350">
            <v>7</v>
          </cell>
          <cell r="K1350">
            <v>0</v>
          </cell>
        </row>
        <row r="1351">
          <cell r="B1351" t="str">
            <v>EdTrack</v>
          </cell>
          <cell r="C1351" t="str">
            <v>Yash-Garg/EdTrack</v>
          </cell>
          <cell r="D1351" t="str">
            <v>Yash-Garg/EdTrack</v>
          </cell>
          <cell r="E1351">
            <v>194</v>
          </cell>
          <cell r="F1351">
            <v>63</v>
          </cell>
          <cell r="G1351">
            <v>5</v>
          </cell>
          <cell r="H1351">
            <v>2888</v>
          </cell>
          <cell r="I1351">
            <v>2</v>
          </cell>
          <cell r="J1351">
            <v>8</v>
          </cell>
          <cell r="K1351">
            <v>5</v>
          </cell>
        </row>
        <row r="1352">
          <cell r="B1352" t="str">
            <v>Study-Buddy-app</v>
          </cell>
          <cell r="C1352" t="str">
            <v>CodeChefVIT/Study-Buddy-app</v>
          </cell>
          <cell r="D1352" t="str">
            <v>CodeChefVIT/Study-Buddy-app</v>
          </cell>
          <cell r="E1352">
            <v>195</v>
          </cell>
          <cell r="F1352">
            <v>41</v>
          </cell>
          <cell r="G1352">
            <v>5</v>
          </cell>
          <cell r="H1352">
            <v>8300</v>
          </cell>
          <cell r="I1352">
            <v>2</v>
          </cell>
          <cell r="J1352">
            <v>4</v>
          </cell>
          <cell r="K1352">
            <v>8</v>
          </cell>
        </row>
        <row r="1353">
          <cell r="B1353" t="str">
            <v>sweyer</v>
          </cell>
          <cell r="C1353" t="str">
            <v>nt4f04uNd/sweyer</v>
          </cell>
          <cell r="D1353" t="str">
            <v>nt4f04uNd/sweyer</v>
          </cell>
          <cell r="E1353">
            <v>195</v>
          </cell>
          <cell r="F1353">
            <v>59</v>
          </cell>
          <cell r="G1353">
            <v>4</v>
          </cell>
          <cell r="H1353">
            <v>128555</v>
          </cell>
          <cell r="I1353">
            <v>43</v>
          </cell>
          <cell r="J1353">
            <v>178</v>
          </cell>
          <cell r="K1353">
            <v>12</v>
          </cell>
        </row>
        <row r="1354">
          <cell r="B1354" t="str">
            <v>Delock</v>
          </cell>
          <cell r="C1354" t="str">
            <v>mcadamm4/Delock</v>
          </cell>
          <cell r="D1354" t="str">
            <v>mcadamm4/Delock</v>
          </cell>
          <cell r="E1354">
            <v>196</v>
          </cell>
          <cell r="F1354">
            <v>1</v>
          </cell>
          <cell r="G1354">
            <v>4</v>
          </cell>
          <cell r="H1354">
            <v>89511</v>
          </cell>
          <cell r="I1354">
            <v>0</v>
          </cell>
          <cell r="J1354">
            <v>3</v>
          </cell>
          <cell r="K1354">
            <v>0</v>
          </cell>
        </row>
        <row r="1355">
          <cell r="B1355" t="str">
            <v>ghostotp</v>
          </cell>
          <cell r="C1355" t="str">
            <v>ogtega/ghostotp</v>
          </cell>
          <cell r="D1355" t="str">
            <v>ogtega/ghostotp</v>
          </cell>
          <cell r="E1355">
            <v>196</v>
          </cell>
          <cell r="F1355">
            <v>1</v>
          </cell>
          <cell r="G1355">
            <v>1</v>
          </cell>
          <cell r="H1355">
            <v>877</v>
          </cell>
          <cell r="I1355">
            <v>0</v>
          </cell>
          <cell r="J1355">
            <v>5</v>
          </cell>
          <cell r="K1355">
            <v>2</v>
          </cell>
        </row>
        <row r="1356">
          <cell r="B1356" t="str">
            <v>parandroid</v>
          </cell>
          <cell r="C1356" t="str">
            <v>sschuberth/parandroid</v>
          </cell>
          <cell r="D1356" t="str">
            <v>sschuberth/parandroid</v>
          </cell>
          <cell r="E1356">
            <v>196</v>
          </cell>
          <cell r="F1356">
            <v>1</v>
          </cell>
          <cell r="G1356">
            <v>2</v>
          </cell>
          <cell r="H1356">
            <v>39692</v>
          </cell>
          <cell r="I1356">
            <v>7</v>
          </cell>
          <cell r="J1356">
            <v>12</v>
          </cell>
          <cell r="K1356">
            <v>1</v>
          </cell>
        </row>
        <row r="1357">
          <cell r="B1357" t="str">
            <v>Mensa</v>
          </cell>
          <cell r="C1357" t="str">
            <v>famoser/Mensa</v>
          </cell>
          <cell r="D1357" t="str">
            <v>famoser/Mensa</v>
          </cell>
          <cell r="E1357">
            <v>196</v>
          </cell>
          <cell r="F1357">
            <v>14</v>
          </cell>
          <cell r="G1357">
            <v>5</v>
          </cell>
          <cell r="H1357">
            <v>65700</v>
          </cell>
          <cell r="I1357">
            <v>6</v>
          </cell>
          <cell r="J1357">
            <v>10</v>
          </cell>
          <cell r="K1357">
            <v>4</v>
          </cell>
        </row>
        <row r="1358">
          <cell r="B1358" t="str">
            <v>easysshfs</v>
          </cell>
          <cell r="C1358" t="str">
            <v>bobrofon/easysshfs</v>
          </cell>
          <cell r="D1358" t="str">
            <v>bobrofon/easysshfs</v>
          </cell>
          <cell r="E1358">
            <v>196</v>
          </cell>
          <cell r="F1358">
            <v>27</v>
          </cell>
          <cell r="G1358">
            <v>4</v>
          </cell>
          <cell r="H1358">
            <v>29752</v>
          </cell>
          <cell r="I1358">
            <v>11</v>
          </cell>
          <cell r="J1358">
            <v>60</v>
          </cell>
          <cell r="K1358">
            <v>8</v>
          </cell>
        </row>
        <row r="1359">
          <cell r="B1359" t="str">
            <v>Herculade</v>
          </cell>
          <cell r="C1359" t="str">
            <v>sdresselmann/Herculade</v>
          </cell>
          <cell r="D1359" t="str">
            <v>sdresselmann/Herculade</v>
          </cell>
          <cell r="E1359">
            <v>196</v>
          </cell>
          <cell r="F1359">
            <v>34</v>
          </cell>
          <cell r="G1359">
            <v>1</v>
          </cell>
          <cell r="H1359">
            <v>366</v>
          </cell>
          <cell r="I1359">
            <v>0</v>
          </cell>
          <cell r="J1359">
            <v>1</v>
          </cell>
          <cell r="K1359">
            <v>3</v>
          </cell>
        </row>
        <row r="1360">
          <cell r="B1360" t="str">
            <v>gitnotes</v>
          </cell>
          <cell r="C1360" t="str">
            <v>jeremyrempel/gitnotes</v>
          </cell>
          <cell r="D1360" t="str">
            <v>jeremyrempel/gitnotes</v>
          </cell>
          <cell r="E1360">
            <v>196</v>
          </cell>
          <cell r="F1360">
            <v>35</v>
          </cell>
          <cell r="G1360">
            <v>2</v>
          </cell>
          <cell r="H1360">
            <v>636</v>
          </cell>
          <cell r="I1360">
            <v>1</v>
          </cell>
          <cell r="J1360">
            <v>7</v>
          </cell>
          <cell r="K1360">
            <v>3</v>
          </cell>
        </row>
        <row r="1361">
          <cell r="B1361" t="str">
            <v>Nutrifit</v>
          </cell>
          <cell r="C1361" t="str">
            <v>anamansari062/Nutrifit</v>
          </cell>
          <cell r="D1361" t="str">
            <v>anamansari062/Nutrifit</v>
          </cell>
          <cell r="E1361">
            <v>196</v>
          </cell>
          <cell r="F1361">
            <v>50</v>
          </cell>
          <cell r="G1361">
            <v>4</v>
          </cell>
          <cell r="H1361">
            <v>9664</v>
          </cell>
          <cell r="I1361">
            <v>8</v>
          </cell>
          <cell r="J1361">
            <v>10</v>
          </cell>
          <cell r="K1361">
            <v>0</v>
          </cell>
        </row>
        <row r="1362">
          <cell r="B1362" t="str">
            <v>ensicord</v>
          </cell>
          <cell r="C1362" t="str">
            <v>aliernfrog/ensicord</v>
          </cell>
          <cell r="D1362" t="str">
            <v>aliernfrog/ensicord</v>
          </cell>
          <cell r="E1362">
            <v>197</v>
          </cell>
          <cell r="F1362">
            <v>10</v>
          </cell>
          <cell r="G1362">
            <v>1</v>
          </cell>
          <cell r="H1362">
            <v>623</v>
          </cell>
          <cell r="I1362">
            <v>0</v>
          </cell>
          <cell r="J1362">
            <v>1</v>
          </cell>
          <cell r="K1362">
            <v>0</v>
          </cell>
        </row>
        <row r="1363">
          <cell r="B1363" t="str">
            <v>baby-sleep-sounds</v>
          </cell>
          <cell r="C1363" t="str">
            <v>brarcher/baby-sleep-sounds</v>
          </cell>
          <cell r="D1363" t="str">
            <v>brarcher/baby-sleep-sounds</v>
          </cell>
          <cell r="E1363">
            <v>198</v>
          </cell>
          <cell r="F1363">
            <v>74</v>
          </cell>
          <cell r="G1363">
            <v>4</v>
          </cell>
          <cell r="H1363">
            <v>50603</v>
          </cell>
          <cell r="I1363">
            <v>16</v>
          </cell>
          <cell r="J1363">
            <v>24</v>
          </cell>
          <cell r="K1363">
            <v>2</v>
          </cell>
        </row>
        <row r="1364">
          <cell r="B1364" t="str">
            <v>mypodcasts-android</v>
          </cell>
          <cell r="C1364" t="str">
            <v>alabeduarte/mypodcasts-android</v>
          </cell>
          <cell r="D1364" t="str">
            <v>alabeduarte/mypodcasts-android</v>
          </cell>
          <cell r="E1364">
            <v>199</v>
          </cell>
          <cell r="F1364">
            <v>6</v>
          </cell>
          <cell r="G1364">
            <v>2</v>
          </cell>
          <cell r="H1364">
            <v>1966</v>
          </cell>
          <cell r="I1364">
            <v>4</v>
          </cell>
          <cell r="J1364">
            <v>14</v>
          </cell>
          <cell r="K1364">
            <v>9</v>
          </cell>
        </row>
        <row r="1365">
          <cell r="B1365" t="str">
            <v>arduino-usb-terminal</v>
          </cell>
          <cell r="C1365" t="str">
            <v>superus8r/arduino-usb-terminal</v>
          </cell>
          <cell r="D1365" t="str">
            <v>superus8r/arduino-usb-terminal</v>
          </cell>
          <cell r="E1365">
            <v>199</v>
          </cell>
          <cell r="F1365">
            <v>24</v>
          </cell>
          <cell r="G1365">
            <v>1</v>
          </cell>
          <cell r="H1365">
            <v>861</v>
          </cell>
          <cell r="I1365">
            <v>1</v>
          </cell>
          <cell r="J1365">
            <v>8</v>
          </cell>
          <cell r="K1365">
            <v>0</v>
          </cell>
        </row>
        <row r="1366">
          <cell r="B1366" t="str">
            <v>Pingo</v>
          </cell>
          <cell r="C1366" t="str">
            <v>sv-bootcamp/Pingo</v>
          </cell>
          <cell r="D1366" t="str">
            <v>sv-bootcamp/Pingo</v>
          </cell>
          <cell r="E1366">
            <v>199</v>
          </cell>
          <cell r="F1366">
            <v>205</v>
          </cell>
          <cell r="G1366">
            <v>6</v>
          </cell>
          <cell r="H1366">
            <v>27010</v>
          </cell>
          <cell r="I1366">
            <v>2</v>
          </cell>
          <cell r="J1366">
            <v>9</v>
          </cell>
          <cell r="K1366">
            <v>1</v>
          </cell>
        </row>
        <row r="1367">
          <cell r="B1367" t="str">
            <v>Manji</v>
          </cell>
          <cell r="C1367" t="str">
            <v>Livinglist/Manji</v>
          </cell>
          <cell r="D1367" t="str">
            <v>Livinglist/Manji</v>
          </cell>
          <cell r="E1367">
            <v>200</v>
          </cell>
          <cell r="F1367">
            <v>9</v>
          </cell>
          <cell r="G1367">
            <v>2</v>
          </cell>
          <cell r="H1367">
            <v>37907</v>
          </cell>
          <cell r="I1367">
            <v>27</v>
          </cell>
          <cell r="J1367">
            <v>144</v>
          </cell>
          <cell r="K1367">
            <v>1</v>
          </cell>
        </row>
        <row r="1368">
          <cell r="B1368" t="str">
            <v>weather-app-2020-android</v>
          </cell>
          <cell r="C1368" t="str">
            <v>whether-jacket/weather-app-2020-android</v>
          </cell>
          <cell r="D1368" t="str">
            <v>whether-jacket/weather-app-2020-android</v>
          </cell>
          <cell r="E1368">
            <v>200</v>
          </cell>
          <cell r="F1368">
            <v>26</v>
          </cell>
          <cell r="G1368">
            <v>1</v>
          </cell>
          <cell r="H1368">
            <v>2895</v>
          </cell>
          <cell r="I1368">
            <v>1</v>
          </cell>
          <cell r="J1368">
            <v>16</v>
          </cell>
          <cell r="K1368">
            <v>22</v>
          </cell>
        </row>
        <row r="1369">
          <cell r="B1369" t="str">
            <v>ThePrincipleApp</v>
          </cell>
          <cell r="C1369" t="str">
            <v>FaceInCake/ThePrincipleApp</v>
          </cell>
          <cell r="D1369" t="str">
            <v>FaceInCake/ThePrincipleApp</v>
          </cell>
          <cell r="E1369">
            <v>200</v>
          </cell>
          <cell r="F1369">
            <v>30</v>
          </cell>
          <cell r="G1369">
            <v>4</v>
          </cell>
          <cell r="H1369">
            <v>2670</v>
          </cell>
          <cell r="I1369">
            <v>1</v>
          </cell>
          <cell r="J1369">
            <v>1</v>
          </cell>
          <cell r="K1369">
            <v>1</v>
          </cell>
        </row>
        <row r="1370">
          <cell r="B1370" t="str">
            <v>Ocquarium</v>
          </cell>
          <cell r="C1370" t="str">
            <v>ZeevoX/Ocquarium</v>
          </cell>
          <cell r="D1370" t="str">
            <v>zeevox/Ocquarium</v>
          </cell>
          <cell r="E1370">
            <v>200</v>
          </cell>
          <cell r="F1370">
            <v>68</v>
          </cell>
          <cell r="G1370">
            <v>5</v>
          </cell>
          <cell r="H1370">
            <v>40785</v>
          </cell>
          <cell r="I1370">
            <v>4</v>
          </cell>
          <cell r="J1370">
            <v>8</v>
          </cell>
          <cell r="K1370">
            <v>5</v>
          </cell>
        </row>
        <row r="1371">
          <cell r="B1371" t="str">
            <v>TimeTable</v>
          </cell>
          <cell r="C1371" t="str">
            <v>GuJin/TimeTable</v>
          </cell>
          <cell r="D1371" t="str">
            <v>GuJin/TimeTable</v>
          </cell>
          <cell r="E1371">
            <v>201</v>
          </cell>
          <cell r="F1371">
            <v>0</v>
          </cell>
          <cell r="G1371">
            <v>1</v>
          </cell>
          <cell r="H1371">
            <v>1642</v>
          </cell>
          <cell r="I1371">
            <v>8</v>
          </cell>
          <cell r="J1371">
            <v>18</v>
          </cell>
          <cell r="K1371">
            <v>0</v>
          </cell>
        </row>
        <row r="1372">
          <cell r="B1372" t="str">
            <v>ShoppingList</v>
          </cell>
          <cell r="C1372" t="str">
            <v>yusufonderd/ShoppingList</v>
          </cell>
          <cell r="D1372" t="str">
            <v>yusufonderd/ShoppingList</v>
          </cell>
          <cell r="E1372">
            <v>201</v>
          </cell>
          <cell r="F1372">
            <v>0</v>
          </cell>
          <cell r="G1372">
            <v>1</v>
          </cell>
          <cell r="H1372">
            <v>4698</v>
          </cell>
          <cell r="I1372">
            <v>2</v>
          </cell>
          <cell r="J1372">
            <v>26</v>
          </cell>
          <cell r="K1372">
            <v>2</v>
          </cell>
        </row>
        <row r="1373">
          <cell r="B1373" t="str">
            <v>Detoxiom</v>
          </cell>
          <cell r="C1373" t="str">
            <v>01sadra/Detoxiom</v>
          </cell>
          <cell r="D1373" t="str">
            <v>01sadra/Detoxiom</v>
          </cell>
          <cell r="E1373">
            <v>201</v>
          </cell>
          <cell r="F1373">
            <v>4</v>
          </cell>
          <cell r="G1373">
            <v>3</v>
          </cell>
          <cell r="H1373">
            <v>5689</v>
          </cell>
          <cell r="I1373">
            <v>3</v>
          </cell>
          <cell r="J1373">
            <v>29</v>
          </cell>
          <cell r="K1373">
            <v>0</v>
          </cell>
        </row>
        <row r="1374">
          <cell r="B1374" t="str">
            <v>Fineract-CN-mobile</v>
          </cell>
          <cell r="C1374" t="str">
            <v>openMF/Fineract-CN-mobile</v>
          </cell>
          <cell r="D1374" t="str">
            <v>openMF/Fineract-CN-mobile</v>
          </cell>
          <cell r="E1374">
            <v>201</v>
          </cell>
          <cell r="F1374">
            <v>104</v>
          </cell>
          <cell r="G1374">
            <v>5</v>
          </cell>
          <cell r="H1374">
            <v>1067</v>
          </cell>
          <cell r="I1374">
            <v>45</v>
          </cell>
          <cell r="J1374">
            <v>17</v>
          </cell>
          <cell r="K1374">
            <v>72</v>
          </cell>
        </row>
        <row r="1375">
          <cell r="B1375" t="str">
            <v>Android-Carbon-Forum</v>
          </cell>
          <cell r="C1375" t="str">
            <v>lincanbin/Android-Carbon-Forum</v>
          </cell>
          <cell r="D1375" t="str">
            <v>lincanbin/Android-Carbon-Forum</v>
          </cell>
          <cell r="E1375">
            <v>202</v>
          </cell>
          <cell r="F1375">
            <v>1</v>
          </cell>
          <cell r="G1375">
            <v>1</v>
          </cell>
          <cell r="H1375">
            <v>2128</v>
          </cell>
          <cell r="I1375">
            <v>89</v>
          </cell>
          <cell r="J1375">
            <v>251</v>
          </cell>
          <cell r="K1375">
            <v>11</v>
          </cell>
        </row>
        <row r="1376">
          <cell r="B1376" t="str">
            <v>Habot</v>
          </cell>
          <cell r="C1376" t="str">
            <v>CMPUT301F21T24/Habot</v>
          </cell>
          <cell r="D1376" t="str">
            <v>CMPUT301F21T24/Habot</v>
          </cell>
          <cell r="E1376">
            <v>202</v>
          </cell>
          <cell r="F1376">
            <v>11</v>
          </cell>
          <cell r="G1376">
            <v>4</v>
          </cell>
          <cell r="H1376">
            <v>35757</v>
          </cell>
          <cell r="I1376">
            <v>1</v>
          </cell>
          <cell r="J1376">
            <v>3</v>
          </cell>
          <cell r="K1376">
            <v>0</v>
          </cell>
        </row>
        <row r="1377">
          <cell r="B1377" t="str">
            <v>Cosmic-Ide</v>
          </cell>
          <cell r="C1377" t="str">
            <v>Cosmic-Ide/Cosmic-Ide</v>
          </cell>
          <cell r="D1377" t="str">
            <v>Cosmic-Ide/Cosmic-IDE</v>
          </cell>
          <cell r="E1377">
            <v>202</v>
          </cell>
          <cell r="F1377">
            <v>301</v>
          </cell>
          <cell r="G1377">
            <v>9</v>
          </cell>
          <cell r="H1377">
            <v>812288</v>
          </cell>
          <cell r="I1377">
            <v>37</v>
          </cell>
          <cell r="J1377">
            <v>168</v>
          </cell>
          <cell r="K1377">
            <v>7</v>
          </cell>
        </row>
        <row r="1378">
          <cell r="B1378" t="str">
            <v>LinkHub</v>
          </cell>
          <cell r="C1378" t="str">
            <v>AmrDeveloper/LinkHub</v>
          </cell>
          <cell r="D1378" t="str">
            <v>AmrDeveloper/LinkHub</v>
          </cell>
          <cell r="E1378">
            <v>203</v>
          </cell>
          <cell r="F1378">
            <v>15</v>
          </cell>
          <cell r="G1378">
            <v>7</v>
          </cell>
          <cell r="H1378">
            <v>2134</v>
          </cell>
          <cell r="I1378">
            <v>11</v>
          </cell>
          <cell r="J1378">
            <v>88</v>
          </cell>
          <cell r="K1378">
            <v>16</v>
          </cell>
        </row>
        <row r="1379">
          <cell r="B1379" t="str">
            <v>wolmo-cookbook-android</v>
          </cell>
          <cell r="C1379" t="str">
            <v>Wolox/wolmo-cookbook-android</v>
          </cell>
          <cell r="D1379" t="str">
            <v>Wolox/wolmo-cookbook-android</v>
          </cell>
          <cell r="E1379">
            <v>203</v>
          </cell>
          <cell r="F1379">
            <v>44</v>
          </cell>
          <cell r="G1379">
            <v>11</v>
          </cell>
          <cell r="H1379">
            <v>7194</v>
          </cell>
          <cell r="I1379">
            <v>11</v>
          </cell>
          <cell r="J1379">
            <v>8</v>
          </cell>
          <cell r="K1379">
            <v>3</v>
          </cell>
        </row>
        <row r="1380">
          <cell r="B1380" t="str">
            <v>MoreType</v>
          </cell>
          <cell r="C1380" t="str">
            <v>werbhelius/MoreType</v>
          </cell>
          <cell r="D1380" t="str">
            <v>werbhelius/MoreType</v>
          </cell>
          <cell r="E1380">
            <v>204</v>
          </cell>
          <cell r="F1380">
            <v>1</v>
          </cell>
          <cell r="G1380">
            <v>3</v>
          </cell>
          <cell r="H1380">
            <v>1085</v>
          </cell>
          <cell r="I1380">
            <v>22</v>
          </cell>
          <cell r="J1380">
            <v>191</v>
          </cell>
          <cell r="K1380">
            <v>0</v>
          </cell>
        </row>
        <row r="1381">
          <cell r="B1381" t="str">
            <v>UltimateWordFinder</v>
          </cell>
          <cell r="C1381" t="str">
            <v>CCninja86/UltimateWordFinder</v>
          </cell>
          <cell r="D1381" t="str">
            <v>CCninja86/UltimateWordFinder</v>
          </cell>
          <cell r="E1381">
            <v>204</v>
          </cell>
          <cell r="F1381">
            <v>26</v>
          </cell>
          <cell r="G1381">
            <v>2</v>
          </cell>
          <cell r="H1381">
            <v>48043</v>
          </cell>
          <cell r="I1381">
            <v>4</v>
          </cell>
          <cell r="J1381">
            <v>9</v>
          </cell>
          <cell r="K1381">
            <v>3</v>
          </cell>
        </row>
        <row r="1382">
          <cell r="B1382" t="str">
            <v>sweetloc</v>
          </cell>
          <cell r="C1382" t="str">
            <v>aykuttasil/sweetloc</v>
          </cell>
          <cell r="D1382" t="str">
            <v>aykuttasil/sweetloc</v>
          </cell>
          <cell r="E1382">
            <v>205</v>
          </cell>
          <cell r="F1382">
            <v>1</v>
          </cell>
          <cell r="G1382">
            <v>2</v>
          </cell>
          <cell r="H1382">
            <v>1481</v>
          </cell>
          <cell r="I1382">
            <v>2</v>
          </cell>
          <cell r="J1382">
            <v>6</v>
          </cell>
          <cell r="K1382">
            <v>7</v>
          </cell>
        </row>
        <row r="1383">
          <cell r="B1383" t="str">
            <v>CleanToDO</v>
          </cell>
          <cell r="C1383" t="str">
            <v>clean-apps/CleanToDO</v>
          </cell>
          <cell r="D1383" t="str">
            <v>clean-apps/CleanToDO</v>
          </cell>
          <cell r="E1383">
            <v>205</v>
          </cell>
          <cell r="F1383">
            <v>1</v>
          </cell>
          <cell r="G1383">
            <v>1</v>
          </cell>
          <cell r="H1383">
            <v>22444</v>
          </cell>
          <cell r="I1383">
            <v>7</v>
          </cell>
          <cell r="J1383">
            <v>21</v>
          </cell>
          <cell r="K1383">
            <v>4</v>
          </cell>
        </row>
        <row r="1384">
          <cell r="B1384" t="str">
            <v>twist-mobile</v>
          </cell>
          <cell r="C1384" t="str">
            <v>AnimeTwist/twist-mobile</v>
          </cell>
          <cell r="D1384" t="str">
            <v>AnimeTwist/twist-mobile</v>
          </cell>
          <cell r="E1384">
            <v>205</v>
          </cell>
          <cell r="F1384">
            <v>7</v>
          </cell>
          <cell r="G1384">
            <v>5</v>
          </cell>
          <cell r="H1384">
            <v>967</v>
          </cell>
          <cell r="I1384">
            <v>8</v>
          </cell>
          <cell r="J1384">
            <v>31</v>
          </cell>
          <cell r="K1384">
            <v>10</v>
          </cell>
        </row>
        <row r="1385">
          <cell r="B1385" t="str">
            <v>Klooni1010</v>
          </cell>
          <cell r="C1385" t="str">
            <v>LonamiWebs/Klooni1010</v>
          </cell>
          <cell r="D1385" t="str">
            <v>LonamiWebs/Klooni1010</v>
          </cell>
          <cell r="E1385">
            <v>205</v>
          </cell>
          <cell r="F1385">
            <v>25</v>
          </cell>
          <cell r="G1385">
            <v>9</v>
          </cell>
          <cell r="H1385">
            <v>4408</v>
          </cell>
          <cell r="I1385">
            <v>74</v>
          </cell>
          <cell r="J1385">
            <v>218</v>
          </cell>
          <cell r="K1385">
            <v>11</v>
          </cell>
        </row>
        <row r="1386">
          <cell r="B1386" t="str">
            <v>medusa</v>
          </cell>
          <cell r="C1386" t="str">
            <v>Trendyol/medusa</v>
          </cell>
          <cell r="D1386" t="str">
            <v>Trendyol/medusa</v>
          </cell>
          <cell r="E1386">
            <v>205</v>
          </cell>
          <cell r="F1386">
            <v>32</v>
          </cell>
          <cell r="G1386">
            <v>13</v>
          </cell>
          <cell r="H1386">
            <v>645</v>
          </cell>
          <cell r="I1386">
            <v>60</v>
          </cell>
          <cell r="J1386">
            <v>467</v>
          </cell>
          <cell r="K1386">
            <v>11</v>
          </cell>
        </row>
        <row r="1387">
          <cell r="B1387" t="str">
            <v>Troutoss</v>
          </cell>
          <cell r="C1387" t="str">
            <v>tomoya0x00/Troutoss</v>
          </cell>
          <cell r="D1387" t="str">
            <v>tomoya0x00/Troutoss</v>
          </cell>
          <cell r="E1387">
            <v>206</v>
          </cell>
          <cell r="F1387">
            <v>3</v>
          </cell>
          <cell r="G1387">
            <v>1</v>
          </cell>
          <cell r="H1387">
            <v>2607</v>
          </cell>
          <cell r="I1387">
            <v>0</v>
          </cell>
          <cell r="J1387">
            <v>7</v>
          </cell>
          <cell r="K1387">
            <v>68</v>
          </cell>
        </row>
        <row r="1388">
          <cell r="B1388" t="str">
            <v>Wasted</v>
          </cell>
          <cell r="C1388" t="str">
            <v>x13a/Wasted</v>
          </cell>
          <cell r="D1388" t="str">
            <v>x13a/Wasted</v>
          </cell>
          <cell r="E1388">
            <v>206</v>
          </cell>
          <cell r="F1388">
            <v>5</v>
          </cell>
          <cell r="G1388">
            <v>4</v>
          </cell>
          <cell r="H1388">
            <v>3783</v>
          </cell>
          <cell r="I1388">
            <v>20</v>
          </cell>
          <cell r="J1388">
            <v>267</v>
          </cell>
          <cell r="K1388">
            <v>23</v>
          </cell>
        </row>
        <row r="1389">
          <cell r="B1389" t="str">
            <v>ProgressNote</v>
          </cell>
          <cell r="C1389" t="str">
            <v>0Kirby/ProgressNote</v>
          </cell>
          <cell r="D1389" t="str">
            <v>0Kirby/ProgressNote</v>
          </cell>
          <cell r="E1389">
            <v>206</v>
          </cell>
          <cell r="F1389">
            <v>6</v>
          </cell>
          <cell r="G1389">
            <v>3</v>
          </cell>
          <cell r="H1389">
            <v>8791</v>
          </cell>
          <cell r="I1389">
            <v>0</v>
          </cell>
          <cell r="J1389">
            <v>6</v>
          </cell>
          <cell r="K1389">
            <v>0</v>
          </cell>
        </row>
        <row r="1390">
          <cell r="B1390" t="str">
            <v>MaterialWeCenter</v>
          </cell>
          <cell r="C1390" t="str">
            <v>zhenghaoz/MaterialWeCenter</v>
          </cell>
          <cell r="D1390" t="str">
            <v>zhenghaoz/MaterialWeCenter</v>
          </cell>
          <cell r="E1390">
            <v>206</v>
          </cell>
          <cell r="F1390">
            <v>17</v>
          </cell>
          <cell r="G1390">
            <v>5</v>
          </cell>
          <cell r="H1390">
            <v>16609</v>
          </cell>
          <cell r="I1390">
            <v>24</v>
          </cell>
          <cell r="J1390">
            <v>70</v>
          </cell>
          <cell r="K1390">
            <v>0</v>
          </cell>
        </row>
        <row r="1391">
          <cell r="B1391" t="str">
            <v>PresencePublisher</v>
          </cell>
          <cell r="C1391" t="str">
            <v>ostrya/PresencePublisher</v>
          </cell>
          <cell r="D1391" t="str">
            <v>ostrya/PresencePublisher</v>
          </cell>
          <cell r="E1391">
            <v>206</v>
          </cell>
          <cell r="F1391">
            <v>20</v>
          </cell>
          <cell r="G1391">
            <v>4</v>
          </cell>
          <cell r="H1391">
            <v>3111</v>
          </cell>
          <cell r="I1391">
            <v>11</v>
          </cell>
          <cell r="J1391">
            <v>70</v>
          </cell>
          <cell r="K1391">
            <v>9</v>
          </cell>
        </row>
        <row r="1392">
          <cell r="B1392" t="str">
            <v>Blog</v>
          </cell>
          <cell r="C1392" t="str">
            <v>TannerGabriel/Blog</v>
          </cell>
          <cell r="D1392" t="str">
            <v>TannerGabriel/Blog</v>
          </cell>
          <cell r="E1392">
            <v>206</v>
          </cell>
          <cell r="F1392">
            <v>268</v>
          </cell>
          <cell r="G1392">
            <v>5</v>
          </cell>
          <cell r="H1392">
            <v>7389</v>
          </cell>
          <cell r="I1392">
            <v>177</v>
          </cell>
          <cell r="J1392">
            <v>170</v>
          </cell>
          <cell r="K1392">
            <v>23</v>
          </cell>
        </row>
        <row r="1393">
          <cell r="B1393" t="str">
            <v>NoisePercolator</v>
          </cell>
          <cell r="C1393" t="str">
            <v>code-schreiber/NoisePercolator</v>
          </cell>
          <cell r="D1393" t="str">
            <v>code-schreiber/NoisePercolator</v>
          </cell>
          <cell r="E1393">
            <v>207</v>
          </cell>
          <cell r="F1393">
            <v>1</v>
          </cell>
          <cell r="G1393">
            <v>1</v>
          </cell>
          <cell r="H1393">
            <v>689</v>
          </cell>
          <cell r="I1393">
            <v>0</v>
          </cell>
          <cell r="J1393">
            <v>2</v>
          </cell>
          <cell r="K1393">
            <v>0</v>
          </cell>
        </row>
        <row r="1394">
          <cell r="B1394" t="str">
            <v>TextPad</v>
          </cell>
          <cell r="C1394" t="str">
            <v>maxistar/TextPad</v>
          </cell>
          <cell r="D1394" t="str">
            <v>maxistar/TextPad</v>
          </cell>
          <cell r="E1394">
            <v>207</v>
          </cell>
          <cell r="F1394">
            <v>21</v>
          </cell>
          <cell r="G1394">
            <v>9</v>
          </cell>
          <cell r="H1394">
            <v>7401</v>
          </cell>
          <cell r="I1394">
            <v>16</v>
          </cell>
          <cell r="J1394">
            <v>67</v>
          </cell>
          <cell r="K1394">
            <v>44</v>
          </cell>
        </row>
        <row r="1395">
          <cell r="B1395" t="str">
            <v>repeatcard</v>
          </cell>
          <cell r="C1395" t="str">
            <v>ilkeraslan/repeatcard</v>
          </cell>
          <cell r="D1395" t="str">
            <v>ilkeraslan/repeatcard</v>
          </cell>
          <cell r="E1395">
            <v>207</v>
          </cell>
          <cell r="F1395">
            <v>124</v>
          </cell>
          <cell r="G1395">
            <v>8</v>
          </cell>
          <cell r="H1395">
            <v>679</v>
          </cell>
          <cell r="I1395">
            <v>11</v>
          </cell>
          <cell r="J1395">
            <v>15</v>
          </cell>
          <cell r="K1395">
            <v>9</v>
          </cell>
        </row>
        <row r="1396">
          <cell r="B1396" t="str">
            <v>dcipher-app</v>
          </cell>
          <cell r="C1396" t="str">
            <v>adityakamble49/dcipher-app</v>
          </cell>
          <cell r="D1396" t="str">
            <v>adityakamble49/dcipher-app</v>
          </cell>
          <cell r="E1396">
            <v>208</v>
          </cell>
          <cell r="F1396">
            <v>0</v>
          </cell>
          <cell r="G1396">
            <v>1</v>
          </cell>
          <cell r="H1396">
            <v>1087</v>
          </cell>
          <cell r="I1396">
            <v>0</v>
          </cell>
          <cell r="J1396">
            <v>3</v>
          </cell>
          <cell r="K1396">
            <v>1</v>
          </cell>
        </row>
        <row r="1397">
          <cell r="B1397" t="str">
            <v>WeiJu-AndroidClient</v>
          </cell>
          <cell r="C1397" t="str">
            <v>Peng-YM/WeiJu-AndroidClient</v>
          </cell>
          <cell r="D1397" t="str">
            <v>Peng-YM/WeiJu-AndroidClient</v>
          </cell>
          <cell r="E1397">
            <v>208</v>
          </cell>
          <cell r="F1397">
            <v>0</v>
          </cell>
          <cell r="G1397">
            <v>3</v>
          </cell>
          <cell r="H1397">
            <v>46649</v>
          </cell>
          <cell r="I1397">
            <v>1</v>
          </cell>
          <cell r="J1397">
            <v>11</v>
          </cell>
          <cell r="K1397">
            <v>0</v>
          </cell>
        </row>
        <row r="1398">
          <cell r="B1398" t="str">
            <v>feather</v>
          </cell>
          <cell r="C1398" t="str">
            <v>jhomlala/feather</v>
          </cell>
          <cell r="D1398" t="str">
            <v>jhomlala/feather</v>
          </cell>
          <cell r="E1398">
            <v>208</v>
          </cell>
          <cell r="F1398">
            <v>19</v>
          </cell>
          <cell r="G1398">
            <v>2</v>
          </cell>
          <cell r="H1398">
            <v>76905</v>
          </cell>
          <cell r="I1398">
            <v>109</v>
          </cell>
          <cell r="J1398">
            <v>569</v>
          </cell>
          <cell r="K1398">
            <v>0</v>
          </cell>
        </row>
        <row r="1399">
          <cell r="B1399" t="str">
            <v>Travel-Wise</v>
          </cell>
          <cell r="C1399" t="str">
            <v>GOVINDDIXIT/Travel-Wise</v>
          </cell>
          <cell r="D1399" t="str">
            <v>GOVINDDIXIT/Travel-Wise</v>
          </cell>
          <cell r="E1399">
            <v>209</v>
          </cell>
          <cell r="F1399">
            <v>108</v>
          </cell>
          <cell r="G1399">
            <v>4</v>
          </cell>
          <cell r="H1399">
            <v>8791</v>
          </cell>
          <cell r="I1399">
            <v>3</v>
          </cell>
          <cell r="J1399">
            <v>4</v>
          </cell>
          <cell r="K1399">
            <v>7</v>
          </cell>
        </row>
        <row r="1400">
          <cell r="B1400" t="str">
            <v>mobile</v>
          </cell>
          <cell r="C1400" t="str">
            <v>the-orange-alliance/mobile</v>
          </cell>
          <cell r="D1400" t="str">
            <v>the-orange-alliance/mobile</v>
          </cell>
          <cell r="E1400">
            <v>210</v>
          </cell>
          <cell r="F1400">
            <v>20</v>
          </cell>
          <cell r="G1400">
            <v>6</v>
          </cell>
          <cell r="H1400">
            <v>10225</v>
          </cell>
          <cell r="I1400">
            <v>4</v>
          </cell>
          <cell r="J1400">
            <v>10</v>
          </cell>
          <cell r="K1400">
            <v>4</v>
          </cell>
        </row>
        <row r="1401">
          <cell r="B1401" t="str">
            <v>MVI-Dispatcher-KTX</v>
          </cell>
          <cell r="C1401" t="str">
            <v>KunMinX/MVI-Dispatcher-KTX</v>
          </cell>
          <cell r="D1401" t="str">
            <v>KunMinX/MVI-Dispatcher-KTX</v>
          </cell>
          <cell r="E1401">
            <v>211</v>
          </cell>
          <cell r="F1401">
            <v>1</v>
          </cell>
          <cell r="G1401">
            <v>2</v>
          </cell>
          <cell r="H1401">
            <v>684</v>
          </cell>
          <cell r="I1401">
            <v>8</v>
          </cell>
          <cell r="J1401">
            <v>103</v>
          </cell>
          <cell r="K1401">
            <v>2</v>
          </cell>
        </row>
        <row r="1402">
          <cell r="B1402" t="str">
            <v>openblocks-app</v>
          </cell>
          <cell r="C1402" t="str">
            <v>OpenBlocksTeam/openblocks-app</v>
          </cell>
          <cell r="D1402" t="str">
            <v>OpenBlocksTeam/openblocks-app</v>
          </cell>
          <cell r="E1402">
            <v>211</v>
          </cell>
          <cell r="F1402">
            <v>20</v>
          </cell>
          <cell r="G1402">
            <v>4</v>
          </cell>
          <cell r="H1402">
            <v>4579</v>
          </cell>
          <cell r="I1402">
            <v>13</v>
          </cell>
          <cell r="J1402">
            <v>33</v>
          </cell>
          <cell r="K1402">
            <v>3</v>
          </cell>
        </row>
        <row r="1403">
          <cell r="B1403" t="str">
            <v>artiver</v>
          </cell>
          <cell r="C1403" t="str">
            <v>wzslr321/artiver</v>
          </cell>
          <cell r="D1403" t="str">
            <v>wzslr321/artiver</v>
          </cell>
          <cell r="E1403">
            <v>211</v>
          </cell>
          <cell r="F1403">
            <v>25</v>
          </cell>
          <cell r="G1403">
            <v>4</v>
          </cell>
          <cell r="H1403">
            <v>15122</v>
          </cell>
          <cell r="I1403">
            <v>7</v>
          </cell>
          <cell r="J1403">
            <v>22</v>
          </cell>
          <cell r="K1403">
            <v>4</v>
          </cell>
        </row>
        <row r="1404">
          <cell r="B1404" t="str">
            <v>pet-owner-app</v>
          </cell>
          <cell r="C1404" t="str">
            <v>unibuc-cs/pet-owner-app</v>
          </cell>
          <cell r="D1404" t="str">
            <v>unibuc-cs/pet-owner-app</v>
          </cell>
          <cell r="E1404">
            <v>211</v>
          </cell>
          <cell r="F1404">
            <v>33</v>
          </cell>
          <cell r="G1404">
            <v>3</v>
          </cell>
          <cell r="H1404">
            <v>561</v>
          </cell>
          <cell r="I1404">
            <v>0</v>
          </cell>
          <cell r="J1404">
            <v>3</v>
          </cell>
          <cell r="K1404">
            <v>0</v>
          </cell>
        </row>
        <row r="1405">
          <cell r="B1405" t="str">
            <v>freesound-android</v>
          </cell>
          <cell r="C1405" t="str">
            <v>futurice/freesound-android</v>
          </cell>
          <cell r="D1405" t="str">
            <v>futurice/freesound-android</v>
          </cell>
          <cell r="E1405">
            <v>211</v>
          </cell>
          <cell r="F1405">
            <v>130</v>
          </cell>
          <cell r="G1405">
            <v>7</v>
          </cell>
          <cell r="H1405">
            <v>971</v>
          </cell>
          <cell r="I1405">
            <v>17</v>
          </cell>
          <cell r="J1405">
            <v>83</v>
          </cell>
          <cell r="K1405">
            <v>15</v>
          </cell>
        </row>
        <row r="1406">
          <cell r="B1406" t="str">
            <v>Android-Lock9View</v>
          </cell>
          <cell r="C1406" t="str">
            <v>TakWolf/Android-Lock9View</v>
          </cell>
          <cell r="D1406" t="str">
            <v>TakWolf/Android-Lock9View</v>
          </cell>
          <cell r="E1406">
            <v>212</v>
          </cell>
          <cell r="F1406">
            <v>4</v>
          </cell>
          <cell r="G1406">
            <v>2</v>
          </cell>
          <cell r="H1406">
            <v>3054</v>
          </cell>
          <cell r="I1406">
            <v>102</v>
          </cell>
          <cell r="J1406">
            <v>434</v>
          </cell>
          <cell r="K1406">
            <v>3</v>
          </cell>
        </row>
        <row r="1407">
          <cell r="B1407" t="str">
            <v>PaperLaunch</v>
          </cell>
          <cell r="C1407" t="str">
            <v>devmil/PaperLaunch</v>
          </cell>
          <cell r="D1407" t="str">
            <v>devmil/PaperLaunch</v>
          </cell>
          <cell r="E1407">
            <v>212</v>
          </cell>
          <cell r="F1407">
            <v>5</v>
          </cell>
          <cell r="G1407">
            <v>2</v>
          </cell>
          <cell r="H1407">
            <v>9582</v>
          </cell>
          <cell r="I1407">
            <v>3</v>
          </cell>
          <cell r="J1407">
            <v>24</v>
          </cell>
          <cell r="K1407">
            <v>9</v>
          </cell>
        </row>
        <row r="1408">
          <cell r="B1408" t="str">
            <v>DsrWeatherApp</v>
          </cell>
          <cell r="C1408" t="str">
            <v>nadraliev/DsrWeatherApp</v>
          </cell>
          <cell r="D1408" t="str">
            <v>nadraliev/DsrWeatherApp</v>
          </cell>
          <cell r="E1408">
            <v>212</v>
          </cell>
          <cell r="F1408">
            <v>5</v>
          </cell>
          <cell r="G1408">
            <v>1</v>
          </cell>
          <cell r="H1408">
            <v>1993</v>
          </cell>
          <cell r="I1408">
            <v>2</v>
          </cell>
          <cell r="J1408">
            <v>8</v>
          </cell>
          <cell r="K1408">
            <v>0</v>
          </cell>
        </row>
        <row r="1409">
          <cell r="B1409" t="str">
            <v>chainmetric-app</v>
          </cell>
          <cell r="C1409" t="str">
            <v>timoftime/chainmetric-app</v>
          </cell>
          <cell r="D1409" t="str">
            <v>nulltea/chainmetric-app</v>
          </cell>
          <cell r="E1409">
            <v>212</v>
          </cell>
          <cell r="F1409">
            <v>12</v>
          </cell>
          <cell r="G1409">
            <v>1</v>
          </cell>
          <cell r="H1409">
            <v>715326</v>
          </cell>
          <cell r="I1409">
            <v>3</v>
          </cell>
          <cell r="J1409">
            <v>10</v>
          </cell>
          <cell r="K1409">
            <v>0</v>
          </cell>
        </row>
        <row r="1410">
          <cell r="B1410" t="str">
            <v>QMBForm</v>
          </cell>
          <cell r="C1410" t="str">
            <v>quemb/QMBForm</v>
          </cell>
          <cell r="D1410" t="str">
            <v>quemb/QMBForm</v>
          </cell>
          <cell r="E1410">
            <v>213</v>
          </cell>
          <cell r="F1410">
            <v>13</v>
          </cell>
          <cell r="G1410">
            <v>5</v>
          </cell>
          <cell r="H1410">
            <v>1592</v>
          </cell>
          <cell r="I1410">
            <v>44</v>
          </cell>
          <cell r="J1410">
            <v>180</v>
          </cell>
          <cell r="K1410">
            <v>18</v>
          </cell>
        </row>
        <row r="1411">
          <cell r="B1411" t="str">
            <v>ChangeDetection</v>
          </cell>
          <cell r="C1411" t="str">
            <v>bernaferrari/ChangeDetection</v>
          </cell>
          <cell r="D1411" t="str">
            <v>bernaferrari/ChangeDetection</v>
          </cell>
          <cell r="E1411">
            <v>213</v>
          </cell>
          <cell r="F1411">
            <v>14</v>
          </cell>
          <cell r="G1411">
            <v>6</v>
          </cell>
          <cell r="H1411">
            <v>14744</v>
          </cell>
          <cell r="I1411">
            <v>88</v>
          </cell>
          <cell r="J1411">
            <v>654</v>
          </cell>
          <cell r="K1411">
            <v>19</v>
          </cell>
        </row>
        <row r="1412">
          <cell r="B1412" t="str">
            <v>privacy-friendly-sketching</v>
          </cell>
          <cell r="C1412" t="str">
            <v>SecUSo/privacy-friendly-sketching</v>
          </cell>
          <cell r="D1412" t="str">
            <v>SecUSo/privacy-friendly-sketching</v>
          </cell>
          <cell r="E1412">
            <v>214</v>
          </cell>
          <cell r="F1412">
            <v>3</v>
          </cell>
          <cell r="G1412">
            <v>10</v>
          </cell>
          <cell r="H1412">
            <v>1895</v>
          </cell>
          <cell r="I1412">
            <v>8</v>
          </cell>
          <cell r="J1412">
            <v>15</v>
          </cell>
          <cell r="K1412">
            <v>8</v>
          </cell>
        </row>
        <row r="1413">
          <cell r="B1413" t="str">
            <v>gurgle</v>
          </cell>
          <cell r="C1413" t="str">
            <v>billthefarmer/gurgle</v>
          </cell>
          <cell r="D1413" t="str">
            <v>billthefarmer/gurgle</v>
          </cell>
          <cell r="E1413">
            <v>214</v>
          </cell>
          <cell r="F1413">
            <v>11</v>
          </cell>
          <cell r="G1413">
            <v>8</v>
          </cell>
          <cell r="H1413">
            <v>6418</v>
          </cell>
          <cell r="I1413">
            <v>10</v>
          </cell>
          <cell r="J1413">
            <v>33</v>
          </cell>
          <cell r="K1413">
            <v>1</v>
          </cell>
        </row>
        <row r="1414">
          <cell r="B1414" t="str">
            <v>cocoa-android</v>
          </cell>
          <cell r="C1414" t="str">
            <v>keiji/cocoa-android</v>
          </cell>
          <cell r="D1414" t="str">
            <v>keiji/cocoa-android</v>
          </cell>
          <cell r="E1414">
            <v>214</v>
          </cell>
          <cell r="F1414">
            <v>24</v>
          </cell>
          <cell r="G1414">
            <v>1</v>
          </cell>
          <cell r="H1414">
            <v>1179</v>
          </cell>
          <cell r="I1414">
            <v>0</v>
          </cell>
          <cell r="J1414">
            <v>5</v>
          </cell>
          <cell r="K1414">
            <v>1</v>
          </cell>
        </row>
        <row r="1415">
          <cell r="B1415" t="str">
            <v>fling</v>
          </cell>
          <cell r="C1415" t="str">
            <v>garritfra/fling</v>
          </cell>
          <cell r="D1415" t="str">
            <v>garritfra/fling</v>
          </cell>
          <cell r="E1415">
            <v>214</v>
          </cell>
          <cell r="F1415">
            <v>66</v>
          </cell>
          <cell r="G1415">
            <v>2</v>
          </cell>
          <cell r="H1415">
            <v>1415</v>
          </cell>
          <cell r="I1415">
            <v>1</v>
          </cell>
          <cell r="J1415">
            <v>5</v>
          </cell>
          <cell r="K1415">
            <v>15</v>
          </cell>
        </row>
        <row r="1416">
          <cell r="B1416" t="str">
            <v>Kotlin-Pokedex</v>
          </cell>
          <cell r="C1416" t="str">
            <v>mrcsxsiq/Kotlin-Pokedex</v>
          </cell>
          <cell r="D1416" t="str">
            <v>mrcsxsiq/Kotlin-Pokedex</v>
          </cell>
          <cell r="E1416">
            <v>214</v>
          </cell>
          <cell r="F1416">
            <v>158</v>
          </cell>
          <cell r="G1416">
            <v>11</v>
          </cell>
          <cell r="H1416">
            <v>13724</v>
          </cell>
          <cell r="I1416">
            <v>203</v>
          </cell>
          <cell r="J1416">
            <v>1390</v>
          </cell>
          <cell r="K1416">
            <v>27</v>
          </cell>
        </row>
        <row r="1417">
          <cell r="B1417" t="str">
            <v>cartsbusboarding</v>
          </cell>
          <cell r="C1417" t="str">
            <v>carts-uiet/cartsbusboarding</v>
          </cell>
          <cell r="D1417" t="str">
            <v>carts-uiet/cartsbusboarding</v>
          </cell>
          <cell r="E1417">
            <v>216</v>
          </cell>
          <cell r="F1417">
            <v>2</v>
          </cell>
          <cell r="G1417">
            <v>4</v>
          </cell>
          <cell r="H1417">
            <v>1104</v>
          </cell>
          <cell r="I1417">
            <v>1</v>
          </cell>
          <cell r="J1417">
            <v>4</v>
          </cell>
          <cell r="K1417">
            <v>8</v>
          </cell>
        </row>
        <row r="1418">
          <cell r="B1418" t="str">
            <v>SuperImage</v>
          </cell>
          <cell r="C1418" t="str">
            <v>Lucchetto/SuperImage</v>
          </cell>
          <cell r="D1418" t="str">
            <v>Lucchetto/SuperImage</v>
          </cell>
          <cell r="E1418">
            <v>216</v>
          </cell>
          <cell r="F1418">
            <v>13</v>
          </cell>
          <cell r="G1418">
            <v>8</v>
          </cell>
          <cell r="H1418">
            <v>10479</v>
          </cell>
          <cell r="I1418">
            <v>26</v>
          </cell>
          <cell r="J1418">
            <v>575</v>
          </cell>
          <cell r="K1418">
            <v>14</v>
          </cell>
        </row>
        <row r="1419">
          <cell r="B1419" t="str">
            <v>eat-poop-you-cat-android</v>
          </cell>
          <cell r="C1419" t="str">
            <v>JamesOsborn-SE/eat-poop-you-cat-android</v>
          </cell>
          <cell r="D1419" t="str">
            <v>JamesOsborn-SE/eat-poop-you-cat-android</v>
          </cell>
          <cell r="E1419">
            <v>217</v>
          </cell>
          <cell r="F1419">
            <v>0</v>
          </cell>
          <cell r="G1419">
            <v>10</v>
          </cell>
          <cell r="H1419">
            <v>3261</v>
          </cell>
          <cell r="I1419">
            <v>0</v>
          </cell>
          <cell r="J1419">
            <v>6</v>
          </cell>
          <cell r="K1419">
            <v>7</v>
          </cell>
        </row>
        <row r="1420">
          <cell r="B1420" t="str">
            <v>rijks-studio</v>
          </cell>
          <cell r="C1420" t="str">
            <v>kyrillosgait/rijks-studio</v>
          </cell>
          <cell r="D1420" t="str">
            <v>kyrillosgait/rijks-studio</v>
          </cell>
          <cell r="E1420">
            <v>217</v>
          </cell>
          <cell r="F1420">
            <v>0</v>
          </cell>
          <cell r="G1420">
            <v>2</v>
          </cell>
          <cell r="H1420">
            <v>5611</v>
          </cell>
          <cell r="I1420">
            <v>0</v>
          </cell>
          <cell r="J1420">
            <v>3</v>
          </cell>
          <cell r="K1420">
            <v>0</v>
          </cell>
        </row>
        <row r="1421">
          <cell r="B1421" t="str">
            <v>wifi-radar</v>
          </cell>
          <cell r="C1421" t="str">
            <v>korsumaki/wifi-radar</v>
          </cell>
          <cell r="D1421" t="str">
            <v>korsumaki/wifi-radar</v>
          </cell>
          <cell r="E1421">
            <v>217</v>
          </cell>
          <cell r="F1421">
            <v>12</v>
          </cell>
          <cell r="G1421">
            <v>2</v>
          </cell>
          <cell r="H1421">
            <v>459</v>
          </cell>
          <cell r="I1421">
            <v>0</v>
          </cell>
          <cell r="J1421">
            <v>3</v>
          </cell>
          <cell r="K1421">
            <v>0</v>
          </cell>
        </row>
        <row r="1422">
          <cell r="B1422" t="str">
            <v>Cheddar</v>
          </cell>
          <cell r="C1422" t="str">
            <v>adrianblancode/Cheddar</v>
          </cell>
          <cell r="D1422" t="str">
            <v>adrianblancode/Cheddar</v>
          </cell>
          <cell r="E1422">
            <v>217</v>
          </cell>
          <cell r="F1422">
            <v>13</v>
          </cell>
          <cell r="G1422">
            <v>2</v>
          </cell>
          <cell r="H1422">
            <v>71908</v>
          </cell>
          <cell r="I1422">
            <v>13</v>
          </cell>
          <cell r="J1422">
            <v>94</v>
          </cell>
          <cell r="K1422">
            <v>3</v>
          </cell>
        </row>
        <row r="1423">
          <cell r="B1423" t="str">
            <v>familyfinance-android</v>
          </cell>
          <cell r="C1423" t="str">
            <v>zVolt/familyfinance-android</v>
          </cell>
          <cell r="D1423" t="str">
            <v>zVolt/familyfinance-android</v>
          </cell>
          <cell r="E1423">
            <v>217</v>
          </cell>
          <cell r="F1423">
            <v>38</v>
          </cell>
          <cell r="G1423">
            <v>1</v>
          </cell>
          <cell r="H1423">
            <v>24190</v>
          </cell>
          <cell r="I1423">
            <v>0</v>
          </cell>
          <cell r="J1423">
            <v>1</v>
          </cell>
          <cell r="K1423">
            <v>7</v>
          </cell>
        </row>
        <row r="1424">
          <cell r="B1424" t="str">
            <v>movie-app-android</v>
          </cell>
          <cell r="C1424" t="str">
            <v>bigman212/movie-app-android</v>
          </cell>
          <cell r="D1424" t="str">
            <v>bigman212/movie-app-android</v>
          </cell>
          <cell r="E1424">
            <v>218</v>
          </cell>
          <cell r="F1424">
            <v>3</v>
          </cell>
          <cell r="G1424">
            <v>1</v>
          </cell>
          <cell r="H1424">
            <v>872</v>
          </cell>
          <cell r="I1424">
            <v>0</v>
          </cell>
          <cell r="J1424">
            <v>2</v>
          </cell>
          <cell r="K1424">
            <v>0</v>
          </cell>
        </row>
        <row r="1425">
          <cell r="B1425" t="str">
            <v>Delish</v>
          </cell>
          <cell r="C1425" t="str">
            <v>Elbehiry/Delish</v>
          </cell>
          <cell r="D1425" t="str">
            <v>melbehiry/Delish</v>
          </cell>
          <cell r="E1425">
            <v>218</v>
          </cell>
          <cell r="F1425">
            <v>12</v>
          </cell>
          <cell r="G1425">
            <v>2</v>
          </cell>
          <cell r="H1425">
            <v>64696</v>
          </cell>
          <cell r="I1425">
            <v>58</v>
          </cell>
          <cell r="J1425">
            <v>367</v>
          </cell>
          <cell r="K1425">
            <v>0</v>
          </cell>
        </row>
        <row r="1426">
          <cell r="B1426" t="str">
            <v>Cardiac-Zone-Android</v>
          </cell>
          <cell r="C1426" t="str">
            <v>atick-faisal/Cardiac-Zone-Android</v>
          </cell>
          <cell r="D1426" t="str">
            <v>atick-faisal/Real-Time-ECG-Monitoring-Android</v>
          </cell>
          <cell r="E1426">
            <v>218</v>
          </cell>
          <cell r="F1426">
            <v>60</v>
          </cell>
          <cell r="G1426">
            <v>2</v>
          </cell>
          <cell r="H1426">
            <v>12014</v>
          </cell>
          <cell r="I1426">
            <v>0</v>
          </cell>
          <cell r="J1426">
            <v>2</v>
          </cell>
          <cell r="K1426">
            <v>3</v>
          </cell>
        </row>
        <row r="1427">
          <cell r="B1427" t="str">
            <v>octi</v>
          </cell>
          <cell r="C1427" t="str">
            <v>d4rken-org/octi</v>
          </cell>
          <cell r="D1427" t="str">
            <v>d4rken-org/octi</v>
          </cell>
          <cell r="E1427">
            <v>219</v>
          </cell>
          <cell r="F1427">
            <v>9</v>
          </cell>
          <cell r="G1427">
            <v>4</v>
          </cell>
          <cell r="H1427">
            <v>9763</v>
          </cell>
          <cell r="I1427">
            <v>4</v>
          </cell>
          <cell r="J1427">
            <v>118</v>
          </cell>
          <cell r="K1427">
            <v>10</v>
          </cell>
        </row>
        <row r="1428">
          <cell r="B1428" t="str">
            <v>privacy-friendly-pin-mnemonic</v>
          </cell>
          <cell r="C1428" t="str">
            <v>SecUSo/privacy-friendly-pin-mnemonic</v>
          </cell>
          <cell r="D1428" t="str">
            <v>SecUSo/privacy-friendly-pin-mnemonic</v>
          </cell>
          <cell r="E1428">
            <v>220</v>
          </cell>
          <cell r="F1428">
            <v>4</v>
          </cell>
          <cell r="G1428">
            <v>8</v>
          </cell>
          <cell r="H1428">
            <v>1959</v>
          </cell>
          <cell r="I1428">
            <v>10</v>
          </cell>
          <cell r="J1428">
            <v>15</v>
          </cell>
          <cell r="K1428">
            <v>2</v>
          </cell>
        </row>
        <row r="1429">
          <cell r="B1429" t="str">
            <v>eh-redux</v>
          </cell>
          <cell r="C1429" t="str">
            <v>tommy351/eh-redux</v>
          </cell>
          <cell r="D1429" t="str">
            <v>tommy351/eh-redux</v>
          </cell>
          <cell r="E1429">
            <v>220</v>
          </cell>
          <cell r="F1429">
            <v>4</v>
          </cell>
          <cell r="G1429">
            <v>1</v>
          </cell>
          <cell r="H1429">
            <v>2139</v>
          </cell>
          <cell r="I1429">
            <v>11</v>
          </cell>
          <cell r="J1429">
            <v>94</v>
          </cell>
          <cell r="K1429">
            <v>10</v>
          </cell>
        </row>
        <row r="1430">
          <cell r="B1430" t="str">
            <v>one_second_diary</v>
          </cell>
          <cell r="C1430" t="str">
            <v>KyleKun/one_second_diary</v>
          </cell>
          <cell r="D1430" t="str">
            <v>KyleKun/one_second_diary</v>
          </cell>
          <cell r="E1430">
            <v>220</v>
          </cell>
          <cell r="F1430">
            <v>31</v>
          </cell>
          <cell r="G1430">
            <v>9</v>
          </cell>
          <cell r="H1430">
            <v>8093</v>
          </cell>
          <cell r="I1430">
            <v>32</v>
          </cell>
          <cell r="J1430">
            <v>152</v>
          </cell>
          <cell r="K1430">
            <v>13</v>
          </cell>
        </row>
        <row r="1431">
          <cell r="B1431" t="str">
            <v>notes</v>
          </cell>
          <cell r="C1431" t="str">
            <v>rafayali/notes</v>
          </cell>
          <cell r="D1431" t="str">
            <v>rafayali/notes</v>
          </cell>
          <cell r="E1431">
            <v>220</v>
          </cell>
          <cell r="F1431">
            <v>318</v>
          </cell>
          <cell r="G1431">
            <v>3</v>
          </cell>
          <cell r="H1431">
            <v>1071</v>
          </cell>
          <cell r="I1431">
            <v>0</v>
          </cell>
          <cell r="J1431">
            <v>8</v>
          </cell>
          <cell r="K1431">
            <v>10</v>
          </cell>
        </row>
        <row r="1432">
          <cell r="B1432" t="str">
            <v>PWSWatcher</v>
          </cell>
          <cell r="C1432" t="str">
            <v>GiorgioBertolotti/PWSWatcher</v>
          </cell>
          <cell r="D1432" t="str">
            <v>GiorgioBertolotti/PWSWatcher</v>
          </cell>
          <cell r="E1432">
            <v>221</v>
          </cell>
          <cell r="F1432">
            <v>6</v>
          </cell>
          <cell r="G1432">
            <v>3</v>
          </cell>
          <cell r="H1432">
            <v>59210</v>
          </cell>
          <cell r="I1432">
            <v>7</v>
          </cell>
          <cell r="J1432">
            <v>17</v>
          </cell>
          <cell r="K1432">
            <v>6</v>
          </cell>
        </row>
        <row r="1433">
          <cell r="B1433" t="str">
            <v>GJZS</v>
          </cell>
          <cell r="C1433" t="str">
            <v>liuran001/GJZS</v>
          </cell>
          <cell r="D1433" t="str">
            <v>liuran001/GJZS</v>
          </cell>
          <cell r="E1433">
            <v>221</v>
          </cell>
          <cell r="F1433">
            <v>10</v>
          </cell>
          <cell r="G1433">
            <v>4</v>
          </cell>
          <cell r="H1433">
            <v>19631</v>
          </cell>
          <cell r="I1433">
            <v>56</v>
          </cell>
          <cell r="J1433">
            <v>680</v>
          </cell>
          <cell r="K1433">
            <v>1</v>
          </cell>
        </row>
        <row r="1434">
          <cell r="B1434" t="str">
            <v>file.io-Android-Client</v>
          </cell>
          <cell r="C1434" t="str">
            <v>rumaan/file.io-Android-Client</v>
          </cell>
          <cell r="D1434" t="str">
            <v>rumaan/file.io-Android-Client</v>
          </cell>
          <cell r="E1434">
            <v>221</v>
          </cell>
          <cell r="F1434">
            <v>10</v>
          </cell>
          <cell r="G1434">
            <v>3</v>
          </cell>
          <cell r="H1434">
            <v>113649</v>
          </cell>
          <cell r="I1434">
            <v>13</v>
          </cell>
          <cell r="J1434">
            <v>19</v>
          </cell>
          <cell r="K1434">
            <v>3</v>
          </cell>
        </row>
        <row r="1435">
          <cell r="B1435" t="str">
            <v>sliding-puzzle</v>
          </cell>
          <cell r="C1435" t="str">
            <v>memgonzales/sliding-puzzle</v>
          </cell>
          <cell r="D1435" t="str">
            <v>memgonzales/sliding-puzzle</v>
          </cell>
          <cell r="E1435">
            <v>222</v>
          </cell>
          <cell r="F1435">
            <v>0</v>
          </cell>
          <cell r="G1435">
            <v>1</v>
          </cell>
          <cell r="H1435">
            <v>20039</v>
          </cell>
          <cell r="I1435">
            <v>4</v>
          </cell>
          <cell r="J1435">
            <v>3</v>
          </cell>
          <cell r="K1435">
            <v>0</v>
          </cell>
        </row>
        <row r="1436">
          <cell r="B1436" t="str">
            <v>scope</v>
          </cell>
          <cell r="C1436" t="str">
            <v>billthefarmer/scope</v>
          </cell>
          <cell r="D1436" t="str">
            <v>billthefarmer/scope</v>
          </cell>
          <cell r="E1436">
            <v>222</v>
          </cell>
          <cell r="F1436">
            <v>4</v>
          </cell>
          <cell r="G1436">
            <v>3</v>
          </cell>
          <cell r="H1436">
            <v>3199</v>
          </cell>
          <cell r="I1436">
            <v>47</v>
          </cell>
          <cell r="J1436">
            <v>119</v>
          </cell>
          <cell r="K1436">
            <v>0</v>
          </cell>
        </row>
        <row r="1437">
          <cell r="B1437" t="str">
            <v>privacy-friendly-minesweeper</v>
          </cell>
          <cell r="C1437" t="str">
            <v>SecUSo/privacy-friendly-minesweeper</v>
          </cell>
          <cell r="D1437" t="str">
            <v>SecUSo/privacy-friendly-minesweeper</v>
          </cell>
          <cell r="E1437">
            <v>222</v>
          </cell>
          <cell r="F1437">
            <v>13</v>
          </cell>
          <cell r="G1437">
            <v>10</v>
          </cell>
          <cell r="H1437">
            <v>1938</v>
          </cell>
          <cell r="I1437">
            <v>7</v>
          </cell>
          <cell r="J1437">
            <v>17</v>
          </cell>
          <cell r="K1437">
            <v>12</v>
          </cell>
        </row>
        <row r="1438">
          <cell r="B1438" t="str">
            <v>AmiiboWiki</v>
          </cell>
          <cell r="C1438" t="str">
            <v>oscarg798/AmiiboWiki</v>
          </cell>
          <cell r="D1438" t="str">
            <v>oscarg798/AmiiboWiki</v>
          </cell>
          <cell r="E1438">
            <v>222</v>
          </cell>
          <cell r="F1438">
            <v>20</v>
          </cell>
          <cell r="G1438">
            <v>1</v>
          </cell>
          <cell r="H1438">
            <v>143544</v>
          </cell>
          <cell r="I1438">
            <v>3</v>
          </cell>
          <cell r="J1438">
            <v>10</v>
          </cell>
          <cell r="K1438">
            <v>0</v>
          </cell>
        </row>
        <row r="1439">
          <cell r="B1439" t="str">
            <v>Paper</v>
          </cell>
          <cell r="C1439" t="str">
            <v>pilgr/Paper</v>
          </cell>
          <cell r="D1439" t="str">
            <v>pilgr/Paper</v>
          </cell>
          <cell r="E1439">
            <v>222</v>
          </cell>
          <cell r="F1439">
            <v>50</v>
          </cell>
          <cell r="G1439">
            <v>18</v>
          </cell>
          <cell r="H1439">
            <v>386</v>
          </cell>
          <cell r="I1439">
            <v>234</v>
          </cell>
          <cell r="J1439">
            <v>2321</v>
          </cell>
          <cell r="K1439">
            <v>16</v>
          </cell>
        </row>
        <row r="1440">
          <cell r="B1440" t="str">
            <v>EnchantedFortress</v>
          </cell>
          <cell r="C1440" t="str">
            <v>subchannel13/EnchantedFortress</v>
          </cell>
          <cell r="D1440" t="str">
            <v>subchannel13/EnchantedFortress</v>
          </cell>
          <cell r="E1440">
            <v>223</v>
          </cell>
          <cell r="F1440">
            <v>34</v>
          </cell>
          <cell r="G1440">
            <v>8</v>
          </cell>
          <cell r="H1440">
            <v>837</v>
          </cell>
          <cell r="I1440">
            <v>11</v>
          </cell>
          <cell r="J1440">
            <v>56</v>
          </cell>
          <cell r="K1440">
            <v>7</v>
          </cell>
        </row>
        <row r="1441">
          <cell r="B1441" t="str">
            <v>T-Tasks</v>
          </cell>
          <cell r="C1441" t="str">
            <v>teobaranga/T-Tasks</v>
          </cell>
          <cell r="D1441" t="str">
            <v>teobaranga/T-Tasks</v>
          </cell>
          <cell r="E1441">
            <v>224</v>
          </cell>
          <cell r="F1441">
            <v>0</v>
          </cell>
          <cell r="G1441">
            <v>2</v>
          </cell>
          <cell r="H1441">
            <v>10133</v>
          </cell>
          <cell r="I1441">
            <v>3</v>
          </cell>
          <cell r="J1441">
            <v>7</v>
          </cell>
          <cell r="K1441">
            <v>1</v>
          </cell>
        </row>
        <row r="1442">
          <cell r="B1442" t="str">
            <v>patco-today</v>
          </cell>
          <cell r="C1442" t="str">
            <v>davidp799/patco-today</v>
          </cell>
          <cell r="D1442" t="str">
            <v>davidp799/patco-today</v>
          </cell>
          <cell r="E1442">
            <v>224</v>
          </cell>
          <cell r="F1442">
            <v>3</v>
          </cell>
          <cell r="G1442">
            <v>2</v>
          </cell>
          <cell r="H1442">
            <v>4284</v>
          </cell>
          <cell r="I1442">
            <v>1</v>
          </cell>
          <cell r="J1442">
            <v>4</v>
          </cell>
          <cell r="K1442">
            <v>0</v>
          </cell>
        </row>
        <row r="1443">
          <cell r="B1443" t="str">
            <v>sakura-android</v>
          </cell>
          <cell r="C1443" t="str">
            <v>sakura-mobile/sakura-android</v>
          </cell>
          <cell r="D1443" t="str">
            <v>sakura-mobile/sakura-android</v>
          </cell>
          <cell r="E1443">
            <v>225</v>
          </cell>
          <cell r="F1443">
            <v>0</v>
          </cell>
          <cell r="G1443">
            <v>1</v>
          </cell>
          <cell r="H1443">
            <v>46338</v>
          </cell>
          <cell r="I1443">
            <v>3</v>
          </cell>
          <cell r="J1443">
            <v>5</v>
          </cell>
          <cell r="K1443">
            <v>0</v>
          </cell>
        </row>
        <row r="1444">
          <cell r="B1444" t="str">
            <v>MEWconnect-Android</v>
          </cell>
          <cell r="C1444" t="str">
            <v>MyEtherWallet/MEWconnect-Android</v>
          </cell>
          <cell r="D1444" t="str">
            <v>MyEtherWallet/MEWconnect-Android</v>
          </cell>
          <cell r="E1444">
            <v>225</v>
          </cell>
          <cell r="F1444">
            <v>5</v>
          </cell>
          <cell r="G1444">
            <v>4</v>
          </cell>
          <cell r="H1444">
            <v>4722</v>
          </cell>
          <cell r="I1444">
            <v>37</v>
          </cell>
          <cell r="J1444">
            <v>49</v>
          </cell>
          <cell r="K1444">
            <v>7</v>
          </cell>
        </row>
        <row r="1445">
          <cell r="B1445" t="str">
            <v>Hypatia</v>
          </cell>
          <cell r="C1445" t="str">
            <v>Divested-Mobile/Hypatia</v>
          </cell>
          <cell r="D1445" t="str">
            <v>Divested-Mobile/Hypatia</v>
          </cell>
          <cell r="E1445">
            <v>225</v>
          </cell>
          <cell r="F1445">
            <v>14</v>
          </cell>
          <cell r="G1445">
            <v>23</v>
          </cell>
          <cell r="H1445">
            <v>3491</v>
          </cell>
          <cell r="I1445">
            <v>27</v>
          </cell>
          <cell r="J1445">
            <v>233</v>
          </cell>
          <cell r="K1445">
            <v>8</v>
          </cell>
        </row>
        <row r="1446">
          <cell r="B1446" t="str">
            <v>spaceship</v>
          </cell>
          <cell r="C1446" t="str">
            <v>mkeeda/spaceship</v>
          </cell>
          <cell r="D1446" t="str">
            <v>mkeeda/spaceship</v>
          </cell>
          <cell r="E1446">
            <v>225</v>
          </cell>
          <cell r="F1446">
            <v>26</v>
          </cell>
          <cell r="G1446">
            <v>1</v>
          </cell>
          <cell r="H1446">
            <v>504</v>
          </cell>
          <cell r="I1446">
            <v>0</v>
          </cell>
          <cell r="J1446">
            <v>1</v>
          </cell>
          <cell r="K1446">
            <v>4</v>
          </cell>
        </row>
        <row r="1447">
          <cell r="B1447" t="str">
            <v>soundcloud_audio_player</v>
          </cell>
          <cell r="C1447" t="str">
            <v>minikin/soundcloud_audio_player</v>
          </cell>
          <cell r="D1447" t="str">
            <v>minikin/soundcloud_audio_player</v>
          </cell>
          <cell r="E1447">
            <v>225</v>
          </cell>
          <cell r="F1447">
            <v>27</v>
          </cell>
          <cell r="G1447">
            <v>2</v>
          </cell>
          <cell r="H1447">
            <v>11109</v>
          </cell>
          <cell r="I1447">
            <v>14</v>
          </cell>
          <cell r="J1447">
            <v>52</v>
          </cell>
          <cell r="K1447">
            <v>0</v>
          </cell>
        </row>
        <row r="1448">
          <cell r="B1448" t="str">
            <v>ktx</v>
          </cell>
          <cell r="C1448" t="str">
            <v>Ayvytr/ktx</v>
          </cell>
          <cell r="D1448" t="str">
            <v>Ayvytr/ktx</v>
          </cell>
          <cell r="E1448">
            <v>226</v>
          </cell>
          <cell r="F1448">
            <v>0</v>
          </cell>
          <cell r="G1448">
            <v>1</v>
          </cell>
          <cell r="H1448">
            <v>629</v>
          </cell>
          <cell r="I1448">
            <v>3</v>
          </cell>
          <cell r="J1448">
            <v>42</v>
          </cell>
          <cell r="K1448">
            <v>0</v>
          </cell>
        </row>
        <row r="1449">
          <cell r="B1449" t="str">
            <v>NCIHost</v>
          </cell>
          <cell r="C1449" t="str">
            <v>cinit/NCIHost</v>
          </cell>
          <cell r="D1449" t="str">
            <v>cinit/NCIHost</v>
          </cell>
          <cell r="E1449">
            <v>226</v>
          </cell>
          <cell r="F1449">
            <v>0</v>
          </cell>
          <cell r="G1449">
            <v>1</v>
          </cell>
          <cell r="H1449">
            <v>1584</v>
          </cell>
          <cell r="I1449">
            <v>2</v>
          </cell>
          <cell r="J1449">
            <v>7</v>
          </cell>
          <cell r="K1449">
            <v>0</v>
          </cell>
        </row>
        <row r="1450">
          <cell r="B1450" t="str">
            <v>MafQud-Android</v>
          </cell>
          <cell r="C1450" t="str">
            <v>MafQud/MafQud-Android</v>
          </cell>
          <cell r="D1450" t="str">
            <v>MafQud/MafQud-Android</v>
          </cell>
          <cell r="E1450">
            <v>226</v>
          </cell>
          <cell r="F1450">
            <v>0</v>
          </cell>
          <cell r="G1450">
            <v>1</v>
          </cell>
          <cell r="H1450">
            <v>135504</v>
          </cell>
          <cell r="I1450">
            <v>6</v>
          </cell>
          <cell r="J1450">
            <v>34</v>
          </cell>
          <cell r="K1450">
            <v>0</v>
          </cell>
        </row>
        <row r="1451">
          <cell r="B1451" t="str">
            <v>SuperTTTAndroid</v>
          </cell>
          <cell r="C1451" t="str">
            <v>henrykvdb/SuperTTTAndroid</v>
          </cell>
          <cell r="D1451" t="str">
            <v>henrykvdb/UltimateTTTAndroid</v>
          </cell>
          <cell r="E1451">
            <v>226</v>
          </cell>
          <cell r="F1451">
            <v>1</v>
          </cell>
          <cell r="G1451">
            <v>1</v>
          </cell>
          <cell r="H1451">
            <v>1124</v>
          </cell>
          <cell r="I1451">
            <v>4</v>
          </cell>
          <cell r="J1451">
            <v>5</v>
          </cell>
          <cell r="K1451">
            <v>1</v>
          </cell>
        </row>
        <row r="1452">
          <cell r="B1452" t="str">
            <v>GameDealz</v>
          </cell>
          <cell r="C1452" t="str">
            <v>R4md4c/GameDealz</v>
          </cell>
          <cell r="D1452" t="str">
            <v>R4md4c/GameDealz</v>
          </cell>
          <cell r="E1452">
            <v>227</v>
          </cell>
          <cell r="F1452">
            <v>54</v>
          </cell>
          <cell r="G1452">
            <v>1</v>
          </cell>
          <cell r="H1452">
            <v>12651</v>
          </cell>
          <cell r="I1452">
            <v>2</v>
          </cell>
          <cell r="J1452">
            <v>25</v>
          </cell>
          <cell r="K1452">
            <v>4</v>
          </cell>
        </row>
        <row r="1453">
          <cell r="B1453" t="str">
            <v>MET-CS622-ChatBot-Project</v>
          </cell>
          <cell r="C1453" t="str">
            <v>aditmodhvadia/MET-CS622-ChatBot-Project</v>
          </cell>
          <cell r="D1453" t="str">
            <v>aditmodhvadia/MET-CS622-ChatBot-Project</v>
          </cell>
          <cell r="E1453">
            <v>227</v>
          </cell>
          <cell r="F1453">
            <v>107</v>
          </cell>
          <cell r="G1453">
            <v>3</v>
          </cell>
          <cell r="H1453">
            <v>1307</v>
          </cell>
          <cell r="I1453">
            <v>0</v>
          </cell>
          <cell r="J1453">
            <v>2</v>
          </cell>
          <cell r="K1453">
            <v>7</v>
          </cell>
        </row>
        <row r="1454">
          <cell r="B1454" t="str">
            <v>CoinCap</v>
          </cell>
          <cell r="C1454" t="str">
            <v>LinX64/CoinCap</v>
          </cell>
          <cell r="D1454" t="str">
            <v>LinX64/CoinCap</v>
          </cell>
          <cell r="E1454">
            <v>227</v>
          </cell>
          <cell r="F1454">
            <v>124</v>
          </cell>
          <cell r="G1454">
            <v>3</v>
          </cell>
          <cell r="H1454">
            <v>488</v>
          </cell>
          <cell r="I1454">
            <v>1</v>
          </cell>
          <cell r="J1454">
            <v>19</v>
          </cell>
          <cell r="K1454">
            <v>4</v>
          </cell>
        </row>
        <row r="1455">
          <cell r="B1455" t="str">
            <v>c3nav-android</v>
          </cell>
          <cell r="C1455" t="str">
            <v>c3nav/c3nav-android</v>
          </cell>
          <cell r="D1455" t="str">
            <v>c3nav/c3nav-android</v>
          </cell>
          <cell r="E1455">
            <v>228</v>
          </cell>
          <cell r="F1455">
            <v>4</v>
          </cell>
          <cell r="G1455">
            <v>8</v>
          </cell>
          <cell r="H1455">
            <v>25379</v>
          </cell>
          <cell r="I1455">
            <v>7</v>
          </cell>
          <cell r="J1455">
            <v>22</v>
          </cell>
          <cell r="K1455">
            <v>1</v>
          </cell>
        </row>
        <row r="1456">
          <cell r="B1456" t="str">
            <v>lunar-launcher</v>
          </cell>
          <cell r="C1456" t="str">
            <v>iamrasel/lunar-launcher</v>
          </cell>
          <cell r="D1456" t="str">
            <v>iamrasel/lunar-launcher</v>
          </cell>
          <cell r="E1456">
            <v>228</v>
          </cell>
          <cell r="F1456">
            <v>13</v>
          </cell>
          <cell r="G1456">
            <v>17</v>
          </cell>
          <cell r="H1456">
            <v>1751</v>
          </cell>
          <cell r="I1456">
            <v>10</v>
          </cell>
          <cell r="J1456">
            <v>161</v>
          </cell>
          <cell r="K1456">
            <v>12</v>
          </cell>
        </row>
        <row r="1457">
          <cell r="B1457" t="str">
            <v>shouko</v>
          </cell>
          <cell r="C1457" t="str">
            <v>ivaniskandar/shouko</v>
          </cell>
          <cell r="D1457" t="str">
            <v>ivaniskandar/shouko</v>
          </cell>
          <cell r="E1457">
            <v>228</v>
          </cell>
          <cell r="F1457">
            <v>13</v>
          </cell>
          <cell r="G1457">
            <v>8</v>
          </cell>
          <cell r="H1457">
            <v>660</v>
          </cell>
          <cell r="I1457">
            <v>21</v>
          </cell>
          <cell r="J1457">
            <v>132</v>
          </cell>
          <cell r="K1457">
            <v>13</v>
          </cell>
        </row>
        <row r="1458">
          <cell r="B1458" t="str">
            <v>cafe-payment-system</v>
          </cell>
          <cell r="C1458" t="str">
            <v>arop/cafe-payment-system</v>
          </cell>
          <cell r="D1458" t="str">
            <v>arop/cafe-payment-system</v>
          </cell>
          <cell r="E1458">
            <v>229</v>
          </cell>
          <cell r="F1458">
            <v>0</v>
          </cell>
          <cell r="G1458">
            <v>2</v>
          </cell>
          <cell r="H1458">
            <v>6913</v>
          </cell>
          <cell r="I1458">
            <v>19</v>
          </cell>
          <cell r="J1458">
            <v>15</v>
          </cell>
          <cell r="K1458">
            <v>0</v>
          </cell>
        </row>
        <row r="1459">
          <cell r="B1459" t="str">
            <v>picasso</v>
          </cell>
          <cell r="C1459" t="str">
            <v>onecoolx/picasso</v>
          </cell>
          <cell r="D1459" t="str">
            <v>onecoolx/picasso</v>
          </cell>
          <cell r="E1459">
            <v>229</v>
          </cell>
          <cell r="F1459">
            <v>9</v>
          </cell>
          <cell r="G1459">
            <v>3</v>
          </cell>
          <cell r="H1459">
            <v>12441</v>
          </cell>
          <cell r="I1459">
            <v>39</v>
          </cell>
          <cell r="J1459">
            <v>287</v>
          </cell>
          <cell r="K1459">
            <v>0</v>
          </cell>
        </row>
        <row r="1460">
          <cell r="B1460" t="str">
            <v>AppOpsX</v>
          </cell>
          <cell r="C1460" t="str">
            <v>8enet/AppOpsX</v>
          </cell>
          <cell r="D1460" t="str">
            <v>8enet/AppOpsX</v>
          </cell>
          <cell r="E1460">
            <v>229</v>
          </cell>
          <cell r="F1460">
            <v>10</v>
          </cell>
          <cell r="G1460">
            <v>4</v>
          </cell>
          <cell r="H1460">
            <v>1395</v>
          </cell>
          <cell r="I1460">
            <v>78</v>
          </cell>
          <cell r="J1460">
            <v>469</v>
          </cell>
          <cell r="K1460">
            <v>30</v>
          </cell>
        </row>
        <row r="1461">
          <cell r="B1461" t="str">
            <v>OttoDIYApp</v>
          </cell>
          <cell r="C1461" t="str">
            <v>OttoDIY/OttoDIYApp</v>
          </cell>
          <cell r="D1461" t="str">
            <v>OttoDIY/OttoDIYApp</v>
          </cell>
          <cell r="E1461">
            <v>229</v>
          </cell>
          <cell r="F1461">
            <v>84</v>
          </cell>
          <cell r="G1461">
            <v>4</v>
          </cell>
          <cell r="H1461">
            <v>57262</v>
          </cell>
          <cell r="I1461">
            <v>15</v>
          </cell>
          <cell r="J1461">
            <v>19</v>
          </cell>
          <cell r="K1461">
            <v>36</v>
          </cell>
        </row>
        <row r="1462">
          <cell r="B1462" t="str">
            <v>noefinderlein_flutter</v>
          </cell>
          <cell r="C1462" t="str">
            <v>finderlein/noefinderlein_flutter</v>
          </cell>
          <cell r="D1462" t="str">
            <v>finderlein/noefinderlein_flutter</v>
          </cell>
          <cell r="E1462">
            <v>230</v>
          </cell>
          <cell r="F1462">
            <v>2</v>
          </cell>
          <cell r="G1462">
            <v>3</v>
          </cell>
          <cell r="H1462">
            <v>4671</v>
          </cell>
          <cell r="I1462">
            <v>0</v>
          </cell>
          <cell r="J1462">
            <v>1</v>
          </cell>
          <cell r="K1462">
            <v>1</v>
          </cell>
        </row>
        <row r="1463">
          <cell r="B1463" t="str">
            <v>dodroid</v>
          </cell>
          <cell r="C1463" t="str">
            <v>mgolokhov/dodroid</v>
          </cell>
          <cell r="D1463" t="str">
            <v>mgolokhov/dodroid</v>
          </cell>
          <cell r="E1463">
            <v>230</v>
          </cell>
          <cell r="F1463">
            <v>44</v>
          </cell>
          <cell r="G1463">
            <v>5</v>
          </cell>
          <cell r="H1463">
            <v>6101</v>
          </cell>
          <cell r="I1463">
            <v>12</v>
          </cell>
          <cell r="J1463">
            <v>20</v>
          </cell>
          <cell r="K1463">
            <v>36</v>
          </cell>
        </row>
        <row r="1464">
          <cell r="B1464" t="str">
            <v>tv-launcher</v>
          </cell>
          <cell r="C1464" t="str">
            <v>nielsvanvelzen/tv-launcher</v>
          </cell>
          <cell r="D1464" t="str">
            <v>nielsvanvelzen/tv-launcher</v>
          </cell>
          <cell r="E1464">
            <v>230</v>
          </cell>
          <cell r="F1464">
            <v>113</v>
          </cell>
          <cell r="G1464">
            <v>4</v>
          </cell>
          <cell r="H1464">
            <v>479</v>
          </cell>
          <cell r="I1464">
            <v>25</v>
          </cell>
          <cell r="J1464">
            <v>123</v>
          </cell>
          <cell r="K1464">
            <v>8</v>
          </cell>
        </row>
        <row r="1465">
          <cell r="B1465" t="str">
            <v>sentry-mobile-release-health-app</v>
          </cell>
          <cell r="C1465" t="str">
            <v>getsentry/sentry-mobile-release-health-app</v>
          </cell>
          <cell r="D1465" t="str">
            <v>getsentry/sentry-mobile-release-health-app</v>
          </cell>
          <cell r="E1465">
            <v>230</v>
          </cell>
          <cell r="F1465">
            <v>128</v>
          </cell>
          <cell r="G1465">
            <v>9</v>
          </cell>
          <cell r="H1465">
            <v>3006</v>
          </cell>
          <cell r="I1465">
            <v>5</v>
          </cell>
          <cell r="J1465">
            <v>39</v>
          </cell>
          <cell r="K1465">
            <v>23</v>
          </cell>
        </row>
        <row r="1466">
          <cell r="B1466" t="str">
            <v>simple_app_blocker</v>
          </cell>
          <cell r="C1466" t="str">
            <v>CASL0/simple_app_blocker</v>
          </cell>
          <cell r="D1466" t="str">
            <v>CASL0/simple_app_blocker</v>
          </cell>
          <cell r="E1466">
            <v>231</v>
          </cell>
          <cell r="F1466">
            <v>0</v>
          </cell>
          <cell r="G1466">
            <v>1</v>
          </cell>
          <cell r="H1466">
            <v>24009</v>
          </cell>
          <cell r="I1466">
            <v>2</v>
          </cell>
          <cell r="J1466">
            <v>6</v>
          </cell>
          <cell r="K1466">
            <v>1</v>
          </cell>
        </row>
        <row r="1467">
          <cell r="B1467" t="str">
            <v>BartRunnerAndroid</v>
          </cell>
          <cell r="C1467" t="str">
            <v>dougkeen/BartRunnerAndroid</v>
          </cell>
          <cell r="D1467" t="str">
            <v>dougkeen/BartRunnerAndroid</v>
          </cell>
          <cell r="E1467">
            <v>231</v>
          </cell>
          <cell r="F1467">
            <v>9</v>
          </cell>
          <cell r="G1467">
            <v>4</v>
          </cell>
          <cell r="H1467">
            <v>31664</v>
          </cell>
          <cell r="I1467">
            <v>19</v>
          </cell>
          <cell r="J1467">
            <v>46</v>
          </cell>
          <cell r="K1467">
            <v>10</v>
          </cell>
        </row>
        <row r="1468">
          <cell r="B1468" t="str">
            <v>flutter_callkit_incoming</v>
          </cell>
          <cell r="C1468" t="str">
            <v>hiennguyen92/flutter_callkit_incoming</v>
          </cell>
          <cell r="D1468" t="str">
            <v>hiennguyen92/flutter_callkit_incoming</v>
          </cell>
          <cell r="E1468">
            <v>231</v>
          </cell>
          <cell r="F1468">
            <v>43</v>
          </cell>
          <cell r="G1468">
            <v>26</v>
          </cell>
          <cell r="H1468">
            <v>5528</v>
          </cell>
          <cell r="I1468">
            <v>132</v>
          </cell>
          <cell r="J1468">
            <v>84</v>
          </cell>
          <cell r="K1468">
            <v>62</v>
          </cell>
        </row>
        <row r="1469">
          <cell r="B1469" t="str">
            <v>nativescript-inappbrowser</v>
          </cell>
          <cell r="C1469" t="str">
            <v>proyecto26/nativescript-inappbrowser</v>
          </cell>
          <cell r="D1469" t="str">
            <v>proyecto26/nativescript-inappbrowser</v>
          </cell>
          <cell r="E1469">
            <v>231</v>
          </cell>
          <cell r="F1469">
            <v>47</v>
          </cell>
          <cell r="G1469">
            <v>11</v>
          </cell>
          <cell r="H1469">
            <v>5486</v>
          </cell>
          <cell r="I1469">
            <v>21</v>
          </cell>
          <cell r="J1469">
            <v>71</v>
          </cell>
          <cell r="K1469">
            <v>5</v>
          </cell>
        </row>
        <row r="1470">
          <cell r="B1470" t="str">
            <v>BirthdayCalendar</v>
          </cell>
          <cell r="C1470" t="str">
            <v>saschpe/BirthdayCalendar</v>
          </cell>
          <cell r="D1470" t="str">
            <v>saschpe/BirthdayCalendar</v>
          </cell>
          <cell r="E1470">
            <v>232</v>
          </cell>
          <cell r="F1470">
            <v>11</v>
          </cell>
          <cell r="G1470">
            <v>5</v>
          </cell>
          <cell r="H1470">
            <v>19805</v>
          </cell>
          <cell r="I1470">
            <v>20</v>
          </cell>
          <cell r="J1470">
            <v>70</v>
          </cell>
          <cell r="K1470">
            <v>12</v>
          </cell>
        </row>
        <row r="1471">
          <cell r="B1471" t="str">
            <v>open_edisu</v>
          </cell>
          <cell r="C1471" t="str">
            <v>ilovelinux/open_edisu</v>
          </cell>
          <cell r="D1471" t="str">
            <v>ilovelinux/open_edisu</v>
          </cell>
          <cell r="E1471">
            <v>233</v>
          </cell>
          <cell r="F1471">
            <v>4</v>
          </cell>
          <cell r="G1471">
            <v>3</v>
          </cell>
          <cell r="H1471">
            <v>1217</v>
          </cell>
          <cell r="I1471">
            <v>0</v>
          </cell>
          <cell r="J1471">
            <v>8</v>
          </cell>
          <cell r="K1471">
            <v>4</v>
          </cell>
        </row>
        <row r="1472">
          <cell r="B1472" t="str">
            <v>MoneyBook</v>
          </cell>
          <cell r="C1472" t="str">
            <v>guger/MoneyBook</v>
          </cell>
          <cell r="D1472" t="str">
            <v>guger/MoneyBook</v>
          </cell>
          <cell r="E1472">
            <v>233</v>
          </cell>
          <cell r="F1472">
            <v>6</v>
          </cell>
          <cell r="G1472">
            <v>1</v>
          </cell>
          <cell r="H1472">
            <v>3034</v>
          </cell>
          <cell r="I1472">
            <v>1</v>
          </cell>
          <cell r="J1472">
            <v>13</v>
          </cell>
          <cell r="K1472">
            <v>17</v>
          </cell>
        </row>
        <row r="1473">
          <cell r="B1473" t="str">
            <v>space-trashman-blues</v>
          </cell>
          <cell r="C1473" t="str">
            <v>TheFakeMontyOnTheRun/space-trashman-blues</v>
          </cell>
          <cell r="D1473" t="str">
            <v>TheFakeMontyOnTheRun/space-trashman-blues</v>
          </cell>
          <cell r="E1473">
            <v>233</v>
          </cell>
          <cell r="F1473">
            <v>84</v>
          </cell>
          <cell r="G1473">
            <v>1</v>
          </cell>
          <cell r="H1473">
            <v>21069</v>
          </cell>
          <cell r="I1473">
            <v>0</v>
          </cell>
          <cell r="J1473">
            <v>6</v>
          </cell>
          <cell r="K1473">
            <v>16</v>
          </cell>
        </row>
        <row r="1474">
          <cell r="B1474" t="str">
            <v>mtmods4android</v>
          </cell>
          <cell r="C1474" t="str">
            <v>rubenwardy/mtmods4android</v>
          </cell>
          <cell r="D1474" t="str">
            <v>rubenwardy/mtmods4android</v>
          </cell>
          <cell r="E1474">
            <v>234</v>
          </cell>
          <cell r="F1474">
            <v>2</v>
          </cell>
          <cell r="G1474">
            <v>6</v>
          </cell>
          <cell r="H1474">
            <v>3075</v>
          </cell>
          <cell r="I1474">
            <v>6</v>
          </cell>
          <cell r="J1474">
            <v>16</v>
          </cell>
          <cell r="K1474">
            <v>0</v>
          </cell>
        </row>
        <row r="1475">
          <cell r="B1475" t="str">
            <v>ToGoZip</v>
          </cell>
          <cell r="C1475" t="str">
            <v>k3b/ToGoZip</v>
          </cell>
          <cell r="D1475" t="str">
            <v>k3b/ToGoZip</v>
          </cell>
          <cell r="E1475">
            <v>234</v>
          </cell>
          <cell r="F1475">
            <v>5</v>
          </cell>
          <cell r="G1475">
            <v>6</v>
          </cell>
          <cell r="H1475">
            <v>1156</v>
          </cell>
          <cell r="I1475">
            <v>23</v>
          </cell>
          <cell r="J1475">
            <v>53</v>
          </cell>
          <cell r="K1475">
            <v>8</v>
          </cell>
        </row>
        <row r="1476">
          <cell r="B1476" t="str">
            <v>pikapika</v>
          </cell>
          <cell r="C1476" t="str">
            <v>niuhuan/pikapika</v>
          </cell>
          <cell r="D1476" t="str">
            <v>niuhuan/pikapika</v>
          </cell>
          <cell r="E1476">
            <v>234</v>
          </cell>
          <cell r="F1476">
            <v>5</v>
          </cell>
          <cell r="G1476">
            <v>1</v>
          </cell>
          <cell r="H1476">
            <v>4371</v>
          </cell>
          <cell r="I1476">
            <v>248</v>
          </cell>
          <cell r="J1476">
            <v>3427</v>
          </cell>
          <cell r="K1476">
            <v>32</v>
          </cell>
        </row>
        <row r="1477">
          <cell r="B1477" t="str">
            <v>nonocross</v>
          </cell>
          <cell r="C1477" t="str">
            <v>jaredforrest/nonocross</v>
          </cell>
          <cell r="D1477" t="str">
            <v>jaredforrest/nonocross</v>
          </cell>
          <cell r="E1477">
            <v>234</v>
          </cell>
          <cell r="F1477">
            <v>35</v>
          </cell>
          <cell r="G1477">
            <v>5</v>
          </cell>
          <cell r="H1477">
            <v>777</v>
          </cell>
          <cell r="I1477">
            <v>6</v>
          </cell>
          <cell r="J1477">
            <v>26</v>
          </cell>
          <cell r="K1477">
            <v>9</v>
          </cell>
        </row>
        <row r="1478">
          <cell r="B1478" t="str">
            <v>ActivityLauncher</v>
          </cell>
          <cell r="C1478" t="str">
            <v>butzist/ActivityLauncher</v>
          </cell>
          <cell r="D1478" t="str">
            <v>butzist/ActivityLauncher</v>
          </cell>
          <cell r="E1478">
            <v>234</v>
          </cell>
          <cell r="F1478">
            <v>58</v>
          </cell>
          <cell r="G1478">
            <v>20</v>
          </cell>
          <cell r="H1478">
            <v>953</v>
          </cell>
          <cell r="I1478">
            <v>123</v>
          </cell>
          <cell r="J1478">
            <v>488</v>
          </cell>
          <cell r="K1478">
            <v>16</v>
          </cell>
        </row>
        <row r="1479">
          <cell r="B1479" t="str">
            <v>ReminderPro</v>
          </cell>
          <cell r="C1479" t="str">
            <v>FarshidRoohi/ReminderPro</v>
          </cell>
          <cell r="D1479" t="str">
            <v>FarshidRoohi/ReminderPro</v>
          </cell>
          <cell r="E1479">
            <v>235</v>
          </cell>
          <cell r="F1479">
            <v>11</v>
          </cell>
          <cell r="G1479">
            <v>1</v>
          </cell>
          <cell r="H1479">
            <v>1038</v>
          </cell>
          <cell r="I1479">
            <v>7</v>
          </cell>
          <cell r="J1479">
            <v>31</v>
          </cell>
          <cell r="K1479">
            <v>9</v>
          </cell>
        </row>
        <row r="1480">
          <cell r="B1480" t="str">
            <v>phone-saver</v>
          </cell>
          <cell r="C1480" t="str">
            <v>ScreamingHawk/phone-saver</v>
          </cell>
          <cell r="D1480" t="str">
            <v>ScreamingHawk/phone-saver</v>
          </cell>
          <cell r="E1480">
            <v>235</v>
          </cell>
          <cell r="F1480">
            <v>12</v>
          </cell>
          <cell r="G1480">
            <v>9</v>
          </cell>
          <cell r="H1480">
            <v>2259</v>
          </cell>
          <cell r="I1480">
            <v>10</v>
          </cell>
          <cell r="J1480">
            <v>48</v>
          </cell>
          <cell r="K1480">
            <v>15</v>
          </cell>
        </row>
        <row r="1481">
          <cell r="B1481" t="str">
            <v>ATimeTracker</v>
          </cell>
          <cell r="C1481" t="str">
            <v>netmackan/ATimeTracker</v>
          </cell>
          <cell r="D1481" t="str">
            <v>netmackan/ATimeTracker</v>
          </cell>
          <cell r="E1481">
            <v>235</v>
          </cell>
          <cell r="F1481">
            <v>24</v>
          </cell>
          <cell r="G1481">
            <v>13</v>
          </cell>
          <cell r="H1481">
            <v>2315</v>
          </cell>
          <cell r="I1481">
            <v>55</v>
          </cell>
          <cell r="J1481">
            <v>117</v>
          </cell>
          <cell r="K1481">
            <v>78</v>
          </cell>
        </row>
        <row r="1482">
          <cell r="B1482" t="str">
            <v>leon</v>
          </cell>
          <cell r="C1482" t="str">
            <v>svenjacobs/leon</v>
          </cell>
          <cell r="D1482" t="str">
            <v>leon-cleaning-services/leon</v>
          </cell>
          <cell r="E1482">
            <v>235</v>
          </cell>
          <cell r="F1482">
            <v>107</v>
          </cell>
          <cell r="G1482">
            <v>12</v>
          </cell>
          <cell r="H1482">
            <v>2055</v>
          </cell>
          <cell r="I1482">
            <v>7</v>
          </cell>
          <cell r="J1482">
            <v>94</v>
          </cell>
          <cell r="K1482">
            <v>13</v>
          </cell>
        </row>
        <row r="1483">
          <cell r="B1483" t="str">
            <v>LineFlag</v>
          </cell>
          <cell r="C1483" t="str">
            <v>AdamLBS/LineFlag</v>
          </cell>
          <cell r="D1483" t="str">
            <v>AdamLBS/LineFlag</v>
          </cell>
          <cell r="E1483">
            <v>235</v>
          </cell>
          <cell r="F1483">
            <v>168</v>
          </cell>
          <cell r="G1483">
            <v>4</v>
          </cell>
          <cell r="H1483">
            <v>55244</v>
          </cell>
          <cell r="I1483">
            <v>1</v>
          </cell>
          <cell r="J1483">
            <v>2</v>
          </cell>
          <cell r="K1483">
            <v>10</v>
          </cell>
        </row>
        <row r="1484">
          <cell r="B1484" t="str">
            <v>octo4a</v>
          </cell>
          <cell r="C1484" t="str">
            <v>feelfreelinux/octo4a</v>
          </cell>
          <cell r="D1484" t="str">
            <v>feelfreelinux/octo4a</v>
          </cell>
          <cell r="E1484">
            <v>236</v>
          </cell>
          <cell r="F1484">
            <v>17</v>
          </cell>
          <cell r="G1484">
            <v>11</v>
          </cell>
          <cell r="H1484">
            <v>1127565</v>
          </cell>
          <cell r="I1484">
            <v>107</v>
          </cell>
          <cell r="J1484">
            <v>1145</v>
          </cell>
          <cell r="K1484">
            <v>144</v>
          </cell>
        </row>
        <row r="1485">
          <cell r="B1485" t="str">
            <v>client-android</v>
          </cell>
          <cell r="C1485" t="str">
            <v>PhotoBackup/client-android</v>
          </cell>
          <cell r="D1485" t="str">
            <v>PhotoBackup/client-android</v>
          </cell>
          <cell r="E1485">
            <v>238</v>
          </cell>
          <cell r="F1485">
            <v>54</v>
          </cell>
          <cell r="G1485">
            <v>8</v>
          </cell>
          <cell r="H1485">
            <v>453</v>
          </cell>
          <cell r="I1485">
            <v>15</v>
          </cell>
          <cell r="J1485">
            <v>46</v>
          </cell>
          <cell r="K1485">
            <v>21</v>
          </cell>
        </row>
        <row r="1486">
          <cell r="B1486" t="str">
            <v>WhatsAppBetaUpdater</v>
          </cell>
          <cell r="C1486" t="str">
            <v>javiersantos/WhatsAppBetaUpdater</v>
          </cell>
          <cell r="D1486" t="str">
            <v>javiersantos/WhatsAppBetaUpdater</v>
          </cell>
          <cell r="E1486">
            <v>239</v>
          </cell>
          <cell r="F1486">
            <v>16</v>
          </cell>
          <cell r="G1486">
            <v>6</v>
          </cell>
          <cell r="H1486">
            <v>3235</v>
          </cell>
          <cell r="I1486">
            <v>56</v>
          </cell>
          <cell r="J1486">
            <v>190</v>
          </cell>
          <cell r="K1486">
            <v>7</v>
          </cell>
        </row>
        <row r="1487">
          <cell r="B1487" t="str">
            <v>Stato_COVID19_Italia_Android</v>
          </cell>
          <cell r="C1487" t="str">
            <v>SimoneTinella/Stato_COVID19_Italia_Android</v>
          </cell>
          <cell r="D1487" t="str">
            <v>SimoneTinella/Stato_COVID19_Italia_Android</v>
          </cell>
          <cell r="E1487">
            <v>240</v>
          </cell>
          <cell r="F1487">
            <v>12</v>
          </cell>
          <cell r="G1487">
            <v>3</v>
          </cell>
          <cell r="H1487">
            <v>144810</v>
          </cell>
          <cell r="I1487">
            <v>6</v>
          </cell>
          <cell r="J1487">
            <v>24</v>
          </cell>
          <cell r="K1487">
            <v>2</v>
          </cell>
        </row>
        <row r="1488">
          <cell r="B1488" t="str">
            <v>Halma</v>
          </cell>
          <cell r="C1488" t="str">
            <v>Crazy-Marvin/Halma</v>
          </cell>
          <cell r="D1488" t="str">
            <v>Crazy-Marvin/Halma</v>
          </cell>
          <cell r="E1488">
            <v>240</v>
          </cell>
          <cell r="F1488">
            <v>59</v>
          </cell>
          <cell r="G1488">
            <v>21</v>
          </cell>
          <cell r="H1488">
            <v>32660</v>
          </cell>
          <cell r="I1488">
            <v>11</v>
          </cell>
          <cell r="J1488">
            <v>26</v>
          </cell>
          <cell r="K1488">
            <v>6</v>
          </cell>
        </row>
        <row r="1489">
          <cell r="B1489" t="str">
            <v>Momentum</v>
          </cell>
          <cell r="C1489" t="str">
            <v>CMPUT301F21T37/Momentum</v>
          </cell>
          <cell r="D1489" t="str">
            <v>CMPUT301F21T37/Momentum</v>
          </cell>
          <cell r="E1489">
            <v>240</v>
          </cell>
          <cell r="F1489">
            <v>69</v>
          </cell>
          <cell r="G1489">
            <v>5</v>
          </cell>
          <cell r="H1489">
            <v>973</v>
          </cell>
          <cell r="I1489">
            <v>0</v>
          </cell>
          <cell r="J1489">
            <v>2</v>
          </cell>
          <cell r="K1489">
            <v>0</v>
          </cell>
        </row>
        <row r="1490">
          <cell r="B1490" t="str">
            <v>reddit-android-appstore</v>
          </cell>
          <cell r="C1490" t="str">
            <v>d4rken-org/reddit-android-appstore</v>
          </cell>
          <cell r="D1490" t="str">
            <v>d4rken-org/reddit-android-appstore</v>
          </cell>
          <cell r="E1490">
            <v>240</v>
          </cell>
          <cell r="F1490">
            <v>77</v>
          </cell>
          <cell r="G1490">
            <v>17</v>
          </cell>
          <cell r="H1490">
            <v>2060</v>
          </cell>
          <cell r="I1490">
            <v>66</v>
          </cell>
          <cell r="J1490">
            <v>339</v>
          </cell>
          <cell r="K1490">
            <v>13</v>
          </cell>
        </row>
        <row r="1491">
          <cell r="B1491" t="str">
            <v>plasma</v>
          </cell>
          <cell r="C1491" t="str">
            <v>plasma-social/plasma</v>
          </cell>
          <cell r="D1491" t="str">
            <v>plasma-social/plasma</v>
          </cell>
          <cell r="E1491">
            <v>240</v>
          </cell>
          <cell r="F1491">
            <v>202</v>
          </cell>
          <cell r="G1491">
            <v>4</v>
          </cell>
          <cell r="H1491">
            <v>3602</v>
          </cell>
          <cell r="I1491">
            <v>3</v>
          </cell>
          <cell r="J1491">
            <v>27</v>
          </cell>
          <cell r="K1491">
            <v>29</v>
          </cell>
        </row>
        <row r="1492">
          <cell r="B1492" t="str">
            <v>IITP-Connect</v>
          </cell>
          <cell r="C1492" t="str">
            <v>Njack-IITP/IITP-Connect</v>
          </cell>
          <cell r="D1492" t="str">
            <v>Njack-IITP/IITP-Connect</v>
          </cell>
          <cell r="E1492">
            <v>240</v>
          </cell>
          <cell r="F1492">
            <v>417</v>
          </cell>
          <cell r="G1492">
            <v>22</v>
          </cell>
          <cell r="H1492">
            <v>1524</v>
          </cell>
          <cell r="I1492">
            <v>53</v>
          </cell>
          <cell r="J1492">
            <v>22</v>
          </cell>
          <cell r="K1492">
            <v>21</v>
          </cell>
        </row>
        <row r="1493">
          <cell r="B1493" t="str">
            <v>GreenCloud</v>
          </cell>
          <cell r="C1493" t="str">
            <v>Green-Cloud-Project/GreenCloud</v>
          </cell>
          <cell r="D1493" t="str">
            <v>Green-Cloud-Project/GreenCloud</v>
          </cell>
          <cell r="E1493">
            <v>241</v>
          </cell>
          <cell r="F1493">
            <v>43</v>
          </cell>
          <cell r="G1493">
            <v>1</v>
          </cell>
          <cell r="H1493">
            <v>5736</v>
          </cell>
          <cell r="I1493">
            <v>0</v>
          </cell>
          <cell r="J1493">
            <v>2</v>
          </cell>
          <cell r="K1493">
            <v>1</v>
          </cell>
        </row>
        <row r="1494">
          <cell r="B1494" t="str">
            <v>EasyBangumi</v>
          </cell>
          <cell r="C1494" t="str">
            <v>easybangumiorg/EasyBangumi</v>
          </cell>
          <cell r="D1494" t="str">
            <v>easybangumiorg/EasyBangumi</v>
          </cell>
          <cell r="E1494">
            <v>242</v>
          </cell>
          <cell r="F1494">
            <v>4</v>
          </cell>
          <cell r="G1494">
            <v>5</v>
          </cell>
          <cell r="H1494">
            <v>67366</v>
          </cell>
          <cell r="I1494">
            <v>9</v>
          </cell>
          <cell r="J1494">
            <v>395</v>
          </cell>
          <cell r="K1494">
            <v>4</v>
          </cell>
        </row>
        <row r="1495">
          <cell r="B1495" t="str">
            <v>shake-it-android</v>
          </cell>
          <cell r="C1495" t="str">
            <v>shake-it-shake/shake-it-android</v>
          </cell>
          <cell r="D1495" t="str">
            <v>shake-it-shake/shake-it-android</v>
          </cell>
          <cell r="E1495">
            <v>242</v>
          </cell>
          <cell r="F1495">
            <v>31</v>
          </cell>
          <cell r="G1495">
            <v>1</v>
          </cell>
          <cell r="H1495">
            <v>347</v>
          </cell>
          <cell r="I1495">
            <v>0</v>
          </cell>
          <cell r="J1495">
            <v>4</v>
          </cell>
          <cell r="K1495">
            <v>0</v>
          </cell>
        </row>
        <row r="1496">
          <cell r="B1496" t="str">
            <v>messenger-android</v>
          </cell>
          <cell r="C1496" t="str">
            <v>michaljaz/messenger-android</v>
          </cell>
          <cell r="D1496" t="str">
            <v>michaljaz/messenger-android</v>
          </cell>
          <cell r="E1496">
            <v>243</v>
          </cell>
          <cell r="F1496">
            <v>1</v>
          </cell>
          <cell r="G1496">
            <v>1</v>
          </cell>
          <cell r="H1496">
            <v>731</v>
          </cell>
          <cell r="I1496">
            <v>1</v>
          </cell>
          <cell r="J1496">
            <v>3</v>
          </cell>
          <cell r="K1496">
            <v>10</v>
          </cell>
        </row>
        <row r="1497">
          <cell r="B1497" t="str">
            <v>coordinatejoker</v>
          </cell>
          <cell r="C1497" t="str">
            <v>siggel/coordinatejoker</v>
          </cell>
          <cell r="D1497" t="str">
            <v>siggel/coordinatejoker</v>
          </cell>
          <cell r="E1497">
            <v>243</v>
          </cell>
          <cell r="F1497">
            <v>3</v>
          </cell>
          <cell r="G1497">
            <v>5</v>
          </cell>
          <cell r="H1497">
            <v>9338</v>
          </cell>
          <cell r="I1497">
            <v>3</v>
          </cell>
          <cell r="J1497">
            <v>4</v>
          </cell>
          <cell r="K1497">
            <v>10</v>
          </cell>
        </row>
        <row r="1498">
          <cell r="B1498" t="str">
            <v>BikeShare</v>
          </cell>
          <cell r="C1498" t="str">
            <v>joreilly/BikeShare</v>
          </cell>
          <cell r="D1498" t="str">
            <v>joreilly/BikeShare</v>
          </cell>
          <cell r="E1498">
            <v>243</v>
          </cell>
          <cell r="F1498">
            <v>58</v>
          </cell>
          <cell r="G1498">
            <v>5</v>
          </cell>
          <cell r="H1498">
            <v>8021</v>
          </cell>
          <cell r="I1498">
            <v>42</v>
          </cell>
          <cell r="J1498">
            <v>474</v>
          </cell>
          <cell r="K1498">
            <v>2</v>
          </cell>
        </row>
        <row r="1499">
          <cell r="B1499" t="str">
            <v>greenpass-android</v>
          </cell>
          <cell r="C1499" t="str">
            <v>michaeltroger/greenpass-android</v>
          </cell>
          <cell r="D1499" t="str">
            <v>michaeltroger/pdfwallet-android</v>
          </cell>
          <cell r="E1499">
            <v>243</v>
          </cell>
          <cell r="F1499">
            <v>110</v>
          </cell>
          <cell r="G1499">
            <v>2</v>
          </cell>
          <cell r="H1499">
            <v>9423</v>
          </cell>
          <cell r="I1499">
            <v>2</v>
          </cell>
          <cell r="J1499">
            <v>34</v>
          </cell>
          <cell r="K1499">
            <v>11</v>
          </cell>
        </row>
        <row r="1500">
          <cell r="B1500" t="str">
            <v>three-days-android</v>
          </cell>
          <cell r="C1500" t="str">
            <v>depromeet12th/three-days-android</v>
          </cell>
          <cell r="D1500" t="str">
            <v>depromeet12th/three-days-android</v>
          </cell>
          <cell r="E1500">
            <v>243</v>
          </cell>
          <cell r="F1500">
            <v>213</v>
          </cell>
          <cell r="G1500">
            <v>4</v>
          </cell>
          <cell r="H1500">
            <v>9064</v>
          </cell>
          <cell r="I1500">
            <v>1</v>
          </cell>
          <cell r="J1500">
            <v>12</v>
          </cell>
          <cell r="K1500">
            <v>0</v>
          </cell>
        </row>
        <row r="1501">
          <cell r="B1501" t="str">
            <v>safe</v>
          </cell>
          <cell r="C1501" t="str">
            <v>openintents/safe</v>
          </cell>
          <cell r="D1501" t="str">
            <v>openintents/safe</v>
          </cell>
          <cell r="E1501">
            <v>245</v>
          </cell>
          <cell r="F1501">
            <v>9</v>
          </cell>
          <cell r="G1501">
            <v>6</v>
          </cell>
          <cell r="H1501">
            <v>2532</v>
          </cell>
          <cell r="I1501">
            <v>23</v>
          </cell>
          <cell r="J1501">
            <v>46</v>
          </cell>
          <cell r="K1501">
            <v>16</v>
          </cell>
        </row>
        <row r="1502">
          <cell r="B1502" t="str">
            <v>banjen</v>
          </cell>
          <cell r="C1502" t="str">
            <v>MakinGiants/banjen</v>
          </cell>
          <cell r="D1502" t="str">
            <v>MakinGiants/banjen</v>
          </cell>
          <cell r="E1502">
            <v>246</v>
          </cell>
          <cell r="F1502">
            <v>60</v>
          </cell>
          <cell r="G1502">
            <v>2</v>
          </cell>
          <cell r="H1502">
            <v>9587</v>
          </cell>
          <cell r="I1502">
            <v>5</v>
          </cell>
          <cell r="J1502">
            <v>10</v>
          </cell>
          <cell r="K1502">
            <v>9</v>
          </cell>
        </row>
        <row r="1503">
          <cell r="B1503" t="str">
            <v>Whooby</v>
          </cell>
          <cell r="C1503" t="str">
            <v>Philotes-exceptus/Whooby</v>
          </cell>
          <cell r="D1503" t="str">
            <v>Philotes-exceptus/Whooby</v>
          </cell>
          <cell r="E1503">
            <v>246</v>
          </cell>
          <cell r="F1503">
            <v>64</v>
          </cell>
          <cell r="G1503">
            <v>6</v>
          </cell>
          <cell r="H1503">
            <v>97372</v>
          </cell>
          <cell r="I1503">
            <v>6</v>
          </cell>
          <cell r="J1503">
            <v>40</v>
          </cell>
          <cell r="K1503">
            <v>2</v>
          </cell>
        </row>
        <row r="1504">
          <cell r="B1504" t="str">
            <v>MovieDB</v>
          </cell>
          <cell r="C1504" t="str">
            <v>haroldadmin/MovieDB</v>
          </cell>
          <cell r="D1504" t="str">
            <v>haroldadmin/MovieDB</v>
          </cell>
          <cell r="E1504">
            <v>247</v>
          </cell>
          <cell r="F1504">
            <v>1</v>
          </cell>
          <cell r="G1504">
            <v>1</v>
          </cell>
          <cell r="H1504">
            <v>1424</v>
          </cell>
          <cell r="I1504">
            <v>27</v>
          </cell>
          <cell r="J1504">
            <v>124</v>
          </cell>
          <cell r="K1504">
            <v>4</v>
          </cell>
        </row>
        <row r="1505">
          <cell r="B1505" t="str">
            <v>demixr-app</v>
          </cell>
          <cell r="C1505" t="str">
            <v>demixr/demixr-app</v>
          </cell>
          <cell r="D1505" t="str">
            <v>demixr/demixr-app</v>
          </cell>
          <cell r="E1505">
            <v>247</v>
          </cell>
          <cell r="F1505">
            <v>19</v>
          </cell>
          <cell r="G1505">
            <v>4</v>
          </cell>
          <cell r="H1505">
            <v>37752</v>
          </cell>
          <cell r="I1505">
            <v>2</v>
          </cell>
          <cell r="J1505">
            <v>42</v>
          </cell>
          <cell r="K1505">
            <v>7</v>
          </cell>
        </row>
        <row r="1506">
          <cell r="B1506" t="str">
            <v>Hishoot2i</v>
          </cell>
          <cell r="C1506" t="str">
            <v>hishoot2i/Hishoot2i</v>
          </cell>
          <cell r="D1506" t="str">
            <v>hishoot2i/Hishoot2i</v>
          </cell>
          <cell r="E1506">
            <v>248</v>
          </cell>
          <cell r="F1506">
            <v>3</v>
          </cell>
          <cell r="G1506">
            <v>1</v>
          </cell>
          <cell r="H1506">
            <v>8225</v>
          </cell>
          <cell r="I1506">
            <v>28</v>
          </cell>
          <cell r="J1506">
            <v>157</v>
          </cell>
          <cell r="K1506">
            <v>0</v>
          </cell>
        </row>
        <row r="1507">
          <cell r="B1507" t="str">
            <v>aztube-app</v>
          </cell>
          <cell r="C1507" t="str">
            <v>Abstractolotl/aztube-app</v>
          </cell>
          <cell r="D1507" t="str">
            <v>Abstractolotl/aztube-app</v>
          </cell>
          <cell r="E1507">
            <v>248</v>
          </cell>
          <cell r="F1507">
            <v>5</v>
          </cell>
          <cell r="G1507">
            <v>3</v>
          </cell>
          <cell r="H1507">
            <v>1088</v>
          </cell>
          <cell r="I1507">
            <v>0</v>
          </cell>
          <cell r="J1507">
            <v>3</v>
          </cell>
          <cell r="K1507">
            <v>1</v>
          </cell>
        </row>
        <row r="1508">
          <cell r="B1508" t="str">
            <v>frinder-app</v>
          </cell>
          <cell r="C1508" t="str">
            <v>frinder/frinder-app</v>
          </cell>
          <cell r="D1508" t="str">
            <v>frinder/frinder-app</v>
          </cell>
          <cell r="E1508">
            <v>248</v>
          </cell>
          <cell r="F1508">
            <v>78</v>
          </cell>
          <cell r="G1508">
            <v>2</v>
          </cell>
          <cell r="H1508">
            <v>2878</v>
          </cell>
          <cell r="I1508">
            <v>16</v>
          </cell>
          <cell r="J1508">
            <v>17</v>
          </cell>
          <cell r="K1508">
            <v>16</v>
          </cell>
        </row>
        <row r="1509">
          <cell r="B1509" t="str">
            <v>CsdnBlog</v>
          </cell>
          <cell r="C1509" t="str">
            <v>kylingo/CsdnBlog</v>
          </cell>
          <cell r="D1509" t="str">
            <v>kylingo/CsdnBlog</v>
          </cell>
          <cell r="E1509">
            <v>249</v>
          </cell>
          <cell r="F1509">
            <v>1</v>
          </cell>
          <cell r="G1509">
            <v>1</v>
          </cell>
          <cell r="H1509">
            <v>22424</v>
          </cell>
          <cell r="I1509">
            <v>26</v>
          </cell>
          <cell r="J1509">
            <v>45</v>
          </cell>
          <cell r="K1509">
            <v>0</v>
          </cell>
        </row>
        <row r="1510">
          <cell r="B1510" t="str">
            <v>tailor_made</v>
          </cell>
          <cell r="C1510" t="str">
            <v>jogboms/tailor_made</v>
          </cell>
          <cell r="D1510" t="str">
            <v>jogboms/tailor_made</v>
          </cell>
          <cell r="E1510">
            <v>250</v>
          </cell>
          <cell r="F1510">
            <v>97</v>
          </cell>
          <cell r="G1510">
            <v>2</v>
          </cell>
          <cell r="H1510">
            <v>9112</v>
          </cell>
          <cell r="I1510">
            <v>116</v>
          </cell>
          <cell r="J1510">
            <v>290</v>
          </cell>
          <cell r="K1510">
            <v>3</v>
          </cell>
        </row>
        <row r="1511">
          <cell r="B1511" t="str">
            <v>android-image-picker</v>
          </cell>
          <cell r="C1511" t="str">
            <v>esafirm/android-image-picker</v>
          </cell>
          <cell r="D1511" t="str">
            <v>esafirm/android-image-picker</v>
          </cell>
          <cell r="E1511">
            <v>250</v>
          </cell>
          <cell r="F1511">
            <v>122</v>
          </cell>
          <cell r="G1511">
            <v>47</v>
          </cell>
          <cell r="H1511">
            <v>1009</v>
          </cell>
          <cell r="I1511">
            <v>311</v>
          </cell>
          <cell r="J1511">
            <v>1031</v>
          </cell>
          <cell r="K1511">
            <v>52</v>
          </cell>
        </row>
        <row r="1512">
          <cell r="B1512" t="str">
            <v>Tacere</v>
          </cell>
          <cell r="C1512" t="str">
            <v>ciasaboark/Tacere</v>
          </cell>
          <cell r="D1512" t="str">
            <v>ciasaboark/Tacere</v>
          </cell>
          <cell r="E1512">
            <v>251</v>
          </cell>
          <cell r="F1512">
            <v>1</v>
          </cell>
          <cell r="G1512">
            <v>2</v>
          </cell>
          <cell r="H1512">
            <v>37379</v>
          </cell>
          <cell r="I1512">
            <v>1</v>
          </cell>
          <cell r="J1512">
            <v>9</v>
          </cell>
          <cell r="K1512">
            <v>19</v>
          </cell>
        </row>
        <row r="1513">
          <cell r="B1513" t="str">
            <v>Gymaths</v>
          </cell>
          <cell r="C1513" t="str">
            <v>TheBoje/Gymaths</v>
          </cell>
          <cell r="D1513" t="str">
            <v>TheBoje/Gymaths</v>
          </cell>
          <cell r="E1513">
            <v>251</v>
          </cell>
          <cell r="F1513">
            <v>2</v>
          </cell>
          <cell r="G1513">
            <v>5</v>
          </cell>
          <cell r="H1513">
            <v>142399</v>
          </cell>
          <cell r="I1513">
            <v>1</v>
          </cell>
          <cell r="J1513">
            <v>2</v>
          </cell>
          <cell r="K1513">
            <v>0</v>
          </cell>
        </row>
        <row r="1514">
          <cell r="B1514" t="str">
            <v>cone</v>
          </cell>
          <cell r="C1514" t="str">
            <v>bradyt/cone</v>
          </cell>
          <cell r="D1514" t="str">
            <v>bradyt/cone</v>
          </cell>
          <cell r="E1514">
            <v>251</v>
          </cell>
          <cell r="F1514">
            <v>5</v>
          </cell>
          <cell r="G1514">
            <v>4</v>
          </cell>
          <cell r="H1514">
            <v>2104</v>
          </cell>
          <cell r="I1514">
            <v>3</v>
          </cell>
          <cell r="J1514">
            <v>3</v>
          </cell>
          <cell r="K1514">
            <v>29</v>
          </cell>
        </row>
        <row r="1515">
          <cell r="B1515" t="str">
            <v>ReGalAndroid</v>
          </cell>
          <cell r="C1515" t="str">
            <v>anthonydahanne/ReGalAndroid</v>
          </cell>
          <cell r="D1515" t="str">
            <v>anthonydahanne/ReGalAndroid</v>
          </cell>
          <cell r="E1515">
            <v>251</v>
          </cell>
          <cell r="F1515">
            <v>10</v>
          </cell>
          <cell r="G1515">
            <v>4</v>
          </cell>
          <cell r="H1515">
            <v>7611</v>
          </cell>
          <cell r="I1515">
            <v>20</v>
          </cell>
          <cell r="J1515">
            <v>30</v>
          </cell>
          <cell r="K1515">
            <v>7</v>
          </cell>
        </row>
        <row r="1516">
          <cell r="B1516" t="str">
            <v>FucksGiven</v>
          </cell>
          <cell r="C1516" t="str">
            <v>Crazy-Marvin/FucksGiven</v>
          </cell>
          <cell r="D1516" t="str">
            <v>Crazy-Marvin/FucksGiven</v>
          </cell>
          <cell r="E1516">
            <v>251</v>
          </cell>
          <cell r="F1516">
            <v>52</v>
          </cell>
          <cell r="G1516">
            <v>31</v>
          </cell>
          <cell r="H1516">
            <v>82092</v>
          </cell>
          <cell r="I1516">
            <v>4</v>
          </cell>
          <cell r="J1516">
            <v>16</v>
          </cell>
          <cell r="K1516">
            <v>3</v>
          </cell>
        </row>
        <row r="1517">
          <cell r="B1517" t="str">
            <v>grblcontroller</v>
          </cell>
          <cell r="C1517" t="str">
            <v>zeevy/grblcontroller</v>
          </cell>
          <cell r="D1517" t="str">
            <v>zeevy/grblcontroller</v>
          </cell>
          <cell r="E1517">
            <v>252</v>
          </cell>
          <cell r="F1517">
            <v>7</v>
          </cell>
          <cell r="G1517">
            <v>4</v>
          </cell>
          <cell r="H1517">
            <v>7003</v>
          </cell>
          <cell r="I1517">
            <v>60</v>
          </cell>
          <cell r="J1517">
            <v>169</v>
          </cell>
          <cell r="K1517">
            <v>8</v>
          </cell>
        </row>
        <row r="1518">
          <cell r="B1518" t="str">
            <v>cpu-info</v>
          </cell>
          <cell r="C1518" t="str">
            <v>kamgurgul/cpu-info</v>
          </cell>
          <cell r="D1518" t="str">
            <v>kamgurgul/cpu-info</v>
          </cell>
          <cell r="E1518">
            <v>252</v>
          </cell>
          <cell r="F1518">
            <v>21</v>
          </cell>
          <cell r="G1518">
            <v>10</v>
          </cell>
          <cell r="H1518">
            <v>3206</v>
          </cell>
          <cell r="I1518">
            <v>77</v>
          </cell>
          <cell r="J1518">
            <v>381</v>
          </cell>
          <cell r="K1518">
            <v>22</v>
          </cell>
        </row>
        <row r="1519">
          <cell r="B1519" t="str">
            <v>otl-app</v>
          </cell>
          <cell r="C1519" t="str">
            <v>sparcs-kaist/otl-app</v>
          </cell>
          <cell r="D1519" t="str">
            <v>sparcs-kaist/otlplus-app</v>
          </cell>
          <cell r="E1519">
            <v>252</v>
          </cell>
          <cell r="F1519">
            <v>56</v>
          </cell>
          <cell r="G1519">
            <v>14</v>
          </cell>
          <cell r="H1519">
            <v>25172</v>
          </cell>
          <cell r="I1519">
            <v>0</v>
          </cell>
          <cell r="J1519">
            <v>5</v>
          </cell>
          <cell r="K1519">
            <v>6</v>
          </cell>
        </row>
        <row r="1520">
          <cell r="B1520" t="str">
            <v>DiscordJetpackCompose</v>
          </cell>
          <cell r="C1520" t="str">
            <v>oianmol/DiscordJetpackCompose</v>
          </cell>
          <cell r="D1520" t="str">
            <v>oianmol/DiscordJetpackCompose</v>
          </cell>
          <cell r="E1520">
            <v>254</v>
          </cell>
          <cell r="F1520">
            <v>47</v>
          </cell>
          <cell r="G1520">
            <v>7</v>
          </cell>
          <cell r="H1520">
            <v>38315</v>
          </cell>
          <cell r="I1520">
            <v>9</v>
          </cell>
          <cell r="J1520">
            <v>165</v>
          </cell>
          <cell r="K1520">
            <v>8</v>
          </cell>
        </row>
        <row r="1521">
          <cell r="B1521" t="str">
            <v>jReader</v>
          </cell>
          <cell r="C1521" t="str">
            <v>alinbabu2010/jReader</v>
          </cell>
          <cell r="D1521" t="str">
            <v>alinbabu2010/jReader</v>
          </cell>
          <cell r="E1521">
            <v>255</v>
          </cell>
          <cell r="F1521">
            <v>0</v>
          </cell>
          <cell r="G1521">
            <v>1</v>
          </cell>
          <cell r="H1521">
            <v>563</v>
          </cell>
          <cell r="I1521">
            <v>0</v>
          </cell>
          <cell r="J1521">
            <v>1</v>
          </cell>
          <cell r="K1521">
            <v>0</v>
          </cell>
        </row>
        <row r="1522">
          <cell r="B1522" t="str">
            <v>FancyShowCaseView</v>
          </cell>
          <cell r="C1522" t="str">
            <v>faruktoptas/FancyShowCaseView</v>
          </cell>
          <cell r="D1522" t="str">
            <v>faruktoptas/FancyShowCaseView</v>
          </cell>
          <cell r="E1522">
            <v>255</v>
          </cell>
          <cell r="F1522">
            <v>72</v>
          </cell>
          <cell r="G1522">
            <v>32</v>
          </cell>
          <cell r="H1522">
            <v>4621</v>
          </cell>
          <cell r="I1522">
            <v>271</v>
          </cell>
          <cell r="J1522">
            <v>1815</v>
          </cell>
          <cell r="K1522">
            <v>16</v>
          </cell>
        </row>
        <row r="1523">
          <cell r="B1523" t="str">
            <v>ItalianFiscalCodeCalculatorApp</v>
          </cell>
          <cell r="C1523" t="str">
            <v>martapanc/ItalianFiscalCodeCalculatorApp</v>
          </cell>
          <cell r="D1523" t="str">
            <v>martapanc/ItalianFiscalCodeCalculatorApp</v>
          </cell>
          <cell r="E1523">
            <v>256</v>
          </cell>
          <cell r="F1523">
            <v>22</v>
          </cell>
          <cell r="G1523">
            <v>1</v>
          </cell>
          <cell r="H1523">
            <v>5401</v>
          </cell>
          <cell r="I1523">
            <v>0</v>
          </cell>
          <cell r="J1523">
            <v>1</v>
          </cell>
          <cell r="K1523">
            <v>0</v>
          </cell>
        </row>
        <row r="1524">
          <cell r="B1524" t="str">
            <v>pomodoro-timer</v>
          </cell>
          <cell r="C1524" t="str">
            <v>emenjivar/pomodoro-timer</v>
          </cell>
          <cell r="D1524" t="str">
            <v>emenjivar/pomodoro-timer</v>
          </cell>
          <cell r="E1524">
            <v>256</v>
          </cell>
          <cell r="F1524">
            <v>33</v>
          </cell>
          <cell r="G1524">
            <v>1</v>
          </cell>
          <cell r="H1524">
            <v>1565</v>
          </cell>
          <cell r="I1524">
            <v>0</v>
          </cell>
          <cell r="J1524">
            <v>10</v>
          </cell>
          <cell r="K1524">
            <v>5</v>
          </cell>
        </row>
        <row r="1525">
          <cell r="B1525" t="str">
            <v>Notes</v>
          </cell>
          <cell r="C1525" t="str">
            <v>WhosNickDoglio/Notes</v>
          </cell>
          <cell r="D1525" t="str">
            <v>WhosNickDoglio/Notes</v>
          </cell>
          <cell r="E1525">
            <v>257</v>
          </cell>
          <cell r="F1525">
            <v>24</v>
          </cell>
          <cell r="G1525">
            <v>2</v>
          </cell>
          <cell r="H1525">
            <v>4279</v>
          </cell>
          <cell r="I1525">
            <v>1</v>
          </cell>
          <cell r="J1525">
            <v>4</v>
          </cell>
          <cell r="K1525">
            <v>14</v>
          </cell>
        </row>
        <row r="1526">
          <cell r="B1526" t="str">
            <v>ana</v>
          </cell>
          <cell r="C1526" t="str">
            <v>kolserdav/ana</v>
          </cell>
          <cell r="D1526" t="str">
            <v>kolserdav/ana</v>
          </cell>
          <cell r="E1526">
            <v>258</v>
          </cell>
          <cell r="F1526">
            <v>2</v>
          </cell>
          <cell r="G1526">
            <v>2</v>
          </cell>
          <cell r="H1526">
            <v>23758</v>
          </cell>
          <cell r="I1526">
            <v>0</v>
          </cell>
          <cell r="J1526">
            <v>7</v>
          </cell>
          <cell r="K1526">
            <v>0</v>
          </cell>
        </row>
        <row r="1527">
          <cell r="B1527" t="str">
            <v>translator</v>
          </cell>
          <cell r="C1527" t="str">
            <v>E2517/translator</v>
          </cell>
          <cell r="D1527" t="str">
            <v>E2517/translator</v>
          </cell>
          <cell r="E1527">
            <v>258</v>
          </cell>
          <cell r="F1527">
            <v>3</v>
          </cell>
          <cell r="G1527">
            <v>1</v>
          </cell>
          <cell r="H1527">
            <v>1728</v>
          </cell>
          <cell r="I1527">
            <v>4</v>
          </cell>
          <cell r="J1527">
            <v>8</v>
          </cell>
          <cell r="K1527">
            <v>0</v>
          </cell>
        </row>
        <row r="1528">
          <cell r="B1528" t="str">
            <v>sustcast-android-app-v1</v>
          </cell>
          <cell r="C1528" t="str">
            <v>sustcast/sustcast-android-app-v1</v>
          </cell>
          <cell r="D1528" t="str">
            <v>sustcast/sustcast-android-app-v1</v>
          </cell>
          <cell r="E1528">
            <v>258</v>
          </cell>
          <cell r="F1528">
            <v>12</v>
          </cell>
          <cell r="G1528">
            <v>4</v>
          </cell>
          <cell r="H1528">
            <v>1961</v>
          </cell>
          <cell r="I1528">
            <v>6</v>
          </cell>
          <cell r="J1528">
            <v>13</v>
          </cell>
          <cell r="K1528">
            <v>6</v>
          </cell>
        </row>
        <row r="1529">
          <cell r="B1529" t="str">
            <v>farebot</v>
          </cell>
          <cell r="C1529" t="str">
            <v>codebutler/farebot</v>
          </cell>
          <cell r="D1529" t="str">
            <v>codebutler/farebot</v>
          </cell>
          <cell r="E1529">
            <v>258</v>
          </cell>
          <cell r="F1529">
            <v>88</v>
          </cell>
          <cell r="G1529">
            <v>28</v>
          </cell>
          <cell r="H1529">
            <v>17003</v>
          </cell>
          <cell r="I1529">
            <v>271</v>
          </cell>
          <cell r="J1529">
            <v>939</v>
          </cell>
          <cell r="K1529">
            <v>60</v>
          </cell>
        </row>
        <row r="1530">
          <cell r="B1530" t="str">
            <v>redgram-for-reddit</v>
          </cell>
          <cell r="C1530" t="str">
            <v>Redgram/redgram-for-reddit</v>
          </cell>
          <cell r="D1530" t="str">
            <v>Redgram/redgram-for-reddit</v>
          </cell>
          <cell r="E1530">
            <v>259</v>
          </cell>
          <cell r="F1530">
            <v>13</v>
          </cell>
          <cell r="G1530">
            <v>3</v>
          </cell>
          <cell r="H1530">
            <v>3404</v>
          </cell>
          <cell r="I1530">
            <v>19</v>
          </cell>
          <cell r="J1530">
            <v>104</v>
          </cell>
          <cell r="K1530">
            <v>31</v>
          </cell>
        </row>
        <row r="1531">
          <cell r="B1531" t="str">
            <v>Macrozilla</v>
          </cell>
          <cell r="C1531" t="str">
            <v>stylianosnicoletti/Macrozilla</v>
          </cell>
          <cell r="D1531" t="str">
            <v>stylianosnicoletti/Macrozilla</v>
          </cell>
          <cell r="E1531">
            <v>260</v>
          </cell>
          <cell r="F1531">
            <v>9</v>
          </cell>
          <cell r="G1531">
            <v>1</v>
          </cell>
          <cell r="H1531">
            <v>1920</v>
          </cell>
          <cell r="I1531">
            <v>0</v>
          </cell>
          <cell r="J1531">
            <v>1</v>
          </cell>
          <cell r="K1531">
            <v>11</v>
          </cell>
        </row>
        <row r="1532">
          <cell r="B1532" t="str">
            <v>antimalwareapp</v>
          </cell>
          <cell r="C1532" t="str">
            <v>projectmatris/antimalwareapp</v>
          </cell>
          <cell r="D1532" t="str">
            <v>projectmatris/antimalwareapp</v>
          </cell>
          <cell r="E1532">
            <v>260</v>
          </cell>
          <cell r="F1532">
            <v>21</v>
          </cell>
          <cell r="G1532">
            <v>4</v>
          </cell>
          <cell r="H1532">
            <v>11453</v>
          </cell>
          <cell r="I1532">
            <v>25</v>
          </cell>
          <cell r="J1532">
            <v>214</v>
          </cell>
          <cell r="K1532">
            <v>18</v>
          </cell>
        </row>
        <row r="1533">
          <cell r="B1533" t="str">
            <v>Moviesy</v>
          </cell>
          <cell r="C1533" t="str">
            <v>KaustubhPatange/Moviesy</v>
          </cell>
          <cell r="D1533" t="str">
            <v>KaustubhPatange/Moviesy</v>
          </cell>
          <cell r="E1533">
            <v>261</v>
          </cell>
          <cell r="F1533">
            <v>3</v>
          </cell>
          <cell r="G1533">
            <v>1</v>
          </cell>
          <cell r="H1533">
            <v>126437</v>
          </cell>
          <cell r="I1533">
            <v>32</v>
          </cell>
          <cell r="J1533">
            <v>196</v>
          </cell>
          <cell r="K1533">
            <v>3</v>
          </cell>
        </row>
        <row r="1534">
          <cell r="B1534" t="str">
            <v>SauceNAO</v>
          </cell>
          <cell r="C1534" t="str">
            <v>luk1337/SauceNAO</v>
          </cell>
          <cell r="D1534" t="str">
            <v>luk1337/SauceNAO</v>
          </cell>
          <cell r="E1534">
            <v>261</v>
          </cell>
          <cell r="F1534">
            <v>22</v>
          </cell>
          <cell r="G1534">
            <v>7</v>
          </cell>
          <cell r="H1534">
            <v>6418</v>
          </cell>
          <cell r="I1534">
            <v>3</v>
          </cell>
          <cell r="J1534">
            <v>71</v>
          </cell>
          <cell r="K1534">
            <v>0</v>
          </cell>
        </row>
        <row r="1535">
          <cell r="B1535" t="str">
            <v>Guide7</v>
          </cell>
          <cell r="C1535" t="str">
            <v>Fachschaft07/Guide7</v>
          </cell>
          <cell r="D1535" t="str">
            <v>Fachschaft07/Guide7</v>
          </cell>
          <cell r="E1535">
            <v>261</v>
          </cell>
          <cell r="F1535">
            <v>31</v>
          </cell>
          <cell r="G1535">
            <v>4</v>
          </cell>
          <cell r="H1535">
            <v>44494</v>
          </cell>
          <cell r="I1535">
            <v>4</v>
          </cell>
          <cell r="J1535">
            <v>9</v>
          </cell>
          <cell r="K1535">
            <v>18</v>
          </cell>
        </row>
        <row r="1536">
          <cell r="B1536" t="str">
            <v>privacy-friendly-food-tracker</v>
          </cell>
          <cell r="C1536" t="str">
            <v>SecUSo/privacy-friendly-food-tracker</v>
          </cell>
          <cell r="D1536" t="str">
            <v>SecUSo/privacy-friendly-food-tracker</v>
          </cell>
          <cell r="E1536">
            <v>261</v>
          </cell>
          <cell r="F1536">
            <v>51</v>
          </cell>
          <cell r="G1536">
            <v>11</v>
          </cell>
          <cell r="H1536">
            <v>1826</v>
          </cell>
          <cell r="I1536">
            <v>18</v>
          </cell>
          <cell r="J1536">
            <v>45</v>
          </cell>
          <cell r="K1536">
            <v>29</v>
          </cell>
        </row>
        <row r="1537">
          <cell r="B1537" t="str">
            <v>TinyLisp</v>
          </cell>
          <cell r="C1537" t="str">
            <v>amake/TinyLisp</v>
          </cell>
          <cell r="D1537" t="str">
            <v>amake/TinyLisp</v>
          </cell>
          <cell r="E1537">
            <v>262</v>
          </cell>
          <cell r="F1537">
            <v>0</v>
          </cell>
          <cell r="G1537">
            <v>1</v>
          </cell>
          <cell r="H1537">
            <v>418</v>
          </cell>
          <cell r="I1537">
            <v>1</v>
          </cell>
          <cell r="J1537">
            <v>4</v>
          </cell>
          <cell r="K1537">
            <v>1</v>
          </cell>
        </row>
        <row r="1538">
          <cell r="B1538" t="str">
            <v>my-special-way-android</v>
          </cell>
          <cell r="C1538" t="str">
            <v>myspecialway/my-special-way-android</v>
          </cell>
          <cell r="D1538" t="str">
            <v>myspecialway/my-special-way-android</v>
          </cell>
          <cell r="E1538">
            <v>262</v>
          </cell>
          <cell r="F1538">
            <v>93</v>
          </cell>
          <cell r="G1538">
            <v>15</v>
          </cell>
          <cell r="H1538">
            <v>4087</v>
          </cell>
          <cell r="I1538">
            <v>6</v>
          </cell>
          <cell r="J1538">
            <v>3</v>
          </cell>
          <cell r="K1538">
            <v>20</v>
          </cell>
        </row>
        <row r="1539">
          <cell r="B1539" t="str">
            <v>Notre-Dame</v>
          </cell>
          <cell r="C1539" t="str">
            <v>ApplETS/Notre-Dame</v>
          </cell>
          <cell r="D1539" t="str">
            <v>ApplETS/Notre-Dame</v>
          </cell>
          <cell r="E1539">
            <v>262</v>
          </cell>
          <cell r="F1539">
            <v>265</v>
          </cell>
          <cell r="G1539">
            <v>35</v>
          </cell>
          <cell r="H1539">
            <v>57258</v>
          </cell>
          <cell r="I1539">
            <v>6</v>
          </cell>
          <cell r="J1539">
            <v>25</v>
          </cell>
          <cell r="K1539">
            <v>70</v>
          </cell>
        </row>
        <row r="1540">
          <cell r="B1540" t="str">
            <v>Bible</v>
          </cell>
          <cell r="C1540" t="str">
            <v>barnhill/Bible</v>
          </cell>
          <cell r="D1540" t="str">
            <v>barnhill/Bible</v>
          </cell>
          <cell r="E1540">
            <v>263</v>
          </cell>
          <cell r="F1540">
            <v>8</v>
          </cell>
          <cell r="G1540">
            <v>1</v>
          </cell>
          <cell r="H1540">
            <v>2408</v>
          </cell>
          <cell r="I1540">
            <v>3</v>
          </cell>
          <cell r="J1540">
            <v>15</v>
          </cell>
          <cell r="K1540">
            <v>0</v>
          </cell>
        </row>
        <row r="1541">
          <cell r="B1541" t="str">
            <v>Amarok-Hider</v>
          </cell>
          <cell r="C1541" t="str">
            <v>deltazefiro/Amarok-Hider</v>
          </cell>
          <cell r="D1541" t="str">
            <v>deltazefiro/Amarok-Hider</v>
          </cell>
          <cell r="E1541">
            <v>263</v>
          </cell>
          <cell r="F1541">
            <v>22</v>
          </cell>
          <cell r="G1541">
            <v>16</v>
          </cell>
          <cell r="H1541">
            <v>3900</v>
          </cell>
          <cell r="I1541">
            <v>24</v>
          </cell>
          <cell r="J1541">
            <v>426</v>
          </cell>
          <cell r="K1541">
            <v>16</v>
          </cell>
        </row>
        <row r="1542">
          <cell r="B1542" t="str">
            <v>Canteen_App</v>
          </cell>
          <cell r="C1542" t="str">
            <v>aditmodhvadia/Canteen_App</v>
          </cell>
          <cell r="D1542" t="str">
            <v>aditmodhvadia/Canteen_App</v>
          </cell>
          <cell r="E1542">
            <v>264</v>
          </cell>
          <cell r="F1542">
            <v>15</v>
          </cell>
          <cell r="G1542">
            <v>2</v>
          </cell>
          <cell r="H1542">
            <v>7097</v>
          </cell>
          <cell r="I1542">
            <v>4</v>
          </cell>
          <cell r="J1542">
            <v>18</v>
          </cell>
          <cell r="K1542">
            <v>3</v>
          </cell>
        </row>
        <row r="1543">
          <cell r="B1543" t="str">
            <v>privacy-friendly-solitaire</v>
          </cell>
          <cell r="C1543" t="str">
            <v>SecUSo/privacy-friendly-solitaire</v>
          </cell>
          <cell r="D1543" t="str">
            <v>SecUSo/privacy-friendly-solitaire</v>
          </cell>
          <cell r="E1543">
            <v>266</v>
          </cell>
          <cell r="F1543">
            <v>1</v>
          </cell>
          <cell r="G1543">
            <v>9</v>
          </cell>
          <cell r="H1543">
            <v>5690</v>
          </cell>
          <cell r="I1543">
            <v>10</v>
          </cell>
          <cell r="J1543">
            <v>17</v>
          </cell>
          <cell r="K1543">
            <v>13</v>
          </cell>
        </row>
        <row r="1544">
          <cell r="B1544" t="str">
            <v>itc-lms-unofficial</v>
          </cell>
          <cell r="C1544" t="str">
            <v>kyori19/itc-lms-unofficial</v>
          </cell>
          <cell r="D1544" t="str">
            <v>kyori19/itc-lms-unofficial</v>
          </cell>
          <cell r="E1544">
            <v>266</v>
          </cell>
          <cell r="F1544">
            <v>1</v>
          </cell>
          <cell r="G1544">
            <v>2</v>
          </cell>
          <cell r="H1544">
            <v>684</v>
          </cell>
          <cell r="I1544">
            <v>1</v>
          </cell>
          <cell r="J1544">
            <v>2</v>
          </cell>
          <cell r="K1544">
            <v>4</v>
          </cell>
        </row>
        <row r="1545">
          <cell r="B1545" t="str">
            <v>KotlinLogger</v>
          </cell>
          <cell r="C1545" t="str">
            <v>Qase/KotlinLogger</v>
          </cell>
          <cell r="D1545" t="str">
            <v>Qase/KotlinLogger</v>
          </cell>
          <cell r="E1545">
            <v>266</v>
          </cell>
          <cell r="F1545">
            <v>27</v>
          </cell>
          <cell r="G1545">
            <v>8</v>
          </cell>
          <cell r="H1545">
            <v>624</v>
          </cell>
          <cell r="I1545">
            <v>3</v>
          </cell>
          <cell r="J1545">
            <v>6</v>
          </cell>
          <cell r="K1545">
            <v>2</v>
          </cell>
        </row>
        <row r="1546">
          <cell r="B1546" t="str">
            <v>WHS</v>
          </cell>
          <cell r="C1546" t="str">
            <v>Li357/WHS</v>
          </cell>
          <cell r="D1546" t="str">
            <v>Li357/WHS</v>
          </cell>
          <cell r="E1546">
            <v>266</v>
          </cell>
          <cell r="F1546">
            <v>86</v>
          </cell>
          <cell r="G1546">
            <v>2</v>
          </cell>
          <cell r="H1546">
            <v>7780</v>
          </cell>
          <cell r="I1546">
            <v>0</v>
          </cell>
          <cell r="J1546">
            <v>5</v>
          </cell>
          <cell r="K1546">
            <v>40</v>
          </cell>
        </row>
        <row r="1547">
          <cell r="B1547" t="str">
            <v>MyntraTinder</v>
          </cell>
          <cell r="C1547" t="str">
            <v>syllogismos/MyntraTinder</v>
          </cell>
          <cell r="D1547" t="str">
            <v>syllogismos/MyntraTinder</v>
          </cell>
          <cell r="E1547">
            <v>267</v>
          </cell>
          <cell r="F1547">
            <v>2</v>
          </cell>
          <cell r="G1547">
            <v>2</v>
          </cell>
          <cell r="H1547">
            <v>8288</v>
          </cell>
          <cell r="I1547">
            <v>28</v>
          </cell>
          <cell r="J1547">
            <v>45</v>
          </cell>
          <cell r="K1547">
            <v>2</v>
          </cell>
        </row>
        <row r="1548">
          <cell r="B1548" t="str">
            <v>writeily-pro</v>
          </cell>
          <cell r="C1548" t="str">
            <v>plafue/writeily-pro</v>
          </cell>
          <cell r="D1548" t="str">
            <v>plafue/writeily-pro</v>
          </cell>
          <cell r="E1548">
            <v>267</v>
          </cell>
          <cell r="F1548">
            <v>38</v>
          </cell>
          <cell r="G1548">
            <v>8</v>
          </cell>
          <cell r="H1548">
            <v>7582</v>
          </cell>
          <cell r="I1548">
            <v>60</v>
          </cell>
          <cell r="J1548">
            <v>246</v>
          </cell>
          <cell r="K1548">
            <v>59</v>
          </cell>
        </row>
        <row r="1549">
          <cell r="B1549" t="str">
            <v>UnicodePad</v>
          </cell>
          <cell r="C1549" t="str">
            <v>Ryosuke839/UnicodePad</v>
          </cell>
          <cell r="D1549" t="str">
            <v>Ryosuke839/UnicodePad</v>
          </cell>
          <cell r="E1549">
            <v>268</v>
          </cell>
          <cell r="F1549">
            <v>75</v>
          </cell>
          <cell r="G1549">
            <v>13</v>
          </cell>
          <cell r="H1549">
            <v>6539</v>
          </cell>
          <cell r="I1549">
            <v>30</v>
          </cell>
          <cell r="J1549">
            <v>230</v>
          </cell>
          <cell r="K1549">
            <v>26</v>
          </cell>
        </row>
        <row r="1550">
          <cell r="B1550" t="str">
            <v>exodus-android-app</v>
          </cell>
          <cell r="C1550" t="str">
            <v>Exodus-Privacy/exodus-android-app</v>
          </cell>
          <cell r="D1550" t="str">
            <v>Exodus-Privacy/exodus-android-app</v>
          </cell>
          <cell r="E1550">
            <v>268</v>
          </cell>
          <cell r="F1550">
            <v>131</v>
          </cell>
          <cell r="G1550">
            <v>35</v>
          </cell>
          <cell r="H1550">
            <v>7985</v>
          </cell>
          <cell r="I1550">
            <v>42</v>
          </cell>
          <cell r="J1550">
            <v>317</v>
          </cell>
          <cell r="K1550">
            <v>43</v>
          </cell>
        </row>
        <row r="1551">
          <cell r="B1551" t="str">
            <v>DeepLAndroid</v>
          </cell>
          <cell r="C1551" t="str">
            <v>sakusaku3939/DeepLAndroid</v>
          </cell>
          <cell r="D1551" t="str">
            <v>sakusaku3939/DeepLAndroid</v>
          </cell>
          <cell r="E1551">
            <v>269</v>
          </cell>
          <cell r="F1551">
            <v>31</v>
          </cell>
          <cell r="G1551">
            <v>17</v>
          </cell>
          <cell r="H1551">
            <v>1954</v>
          </cell>
          <cell r="I1551">
            <v>19</v>
          </cell>
          <cell r="J1551">
            <v>297</v>
          </cell>
          <cell r="K1551">
            <v>9</v>
          </cell>
        </row>
        <row r="1552">
          <cell r="B1552" t="str">
            <v>SimpleMarkdown</v>
          </cell>
          <cell r="C1552" t="str">
            <v>wbrawner/SimpleMarkdown</v>
          </cell>
          <cell r="D1552" t="str">
            <v>wbrawner/SimpleMarkdown</v>
          </cell>
          <cell r="E1552">
            <v>269</v>
          </cell>
          <cell r="F1552">
            <v>31</v>
          </cell>
          <cell r="G1552">
            <v>4</v>
          </cell>
          <cell r="H1552">
            <v>1987</v>
          </cell>
          <cell r="I1552">
            <v>15</v>
          </cell>
          <cell r="J1552">
            <v>100</v>
          </cell>
          <cell r="K1552">
            <v>19</v>
          </cell>
        </row>
        <row r="1553">
          <cell r="B1553" t="str">
            <v>hello-java-android</v>
          </cell>
          <cell r="C1553" t="str">
            <v>compscidr/hello-java-android</v>
          </cell>
          <cell r="D1553" t="str">
            <v>compscidr/hello-java-android</v>
          </cell>
          <cell r="E1553">
            <v>269</v>
          </cell>
          <cell r="F1553">
            <v>111</v>
          </cell>
          <cell r="G1553">
            <v>3</v>
          </cell>
          <cell r="H1553">
            <v>362</v>
          </cell>
          <cell r="I1553">
            <v>0</v>
          </cell>
          <cell r="J1553">
            <v>2</v>
          </cell>
          <cell r="K1553">
            <v>8</v>
          </cell>
        </row>
        <row r="1554">
          <cell r="B1554" t="str">
            <v>logmein-android</v>
          </cell>
          <cell r="C1554" t="str">
            <v>DevelopFreedom/logmein-android</v>
          </cell>
          <cell r="D1554" t="str">
            <v>DevelopFreedom/logmein-android</v>
          </cell>
          <cell r="E1554">
            <v>270</v>
          </cell>
          <cell r="F1554">
            <v>9</v>
          </cell>
          <cell r="G1554">
            <v>6</v>
          </cell>
          <cell r="H1554">
            <v>3894</v>
          </cell>
          <cell r="I1554">
            <v>11</v>
          </cell>
          <cell r="J1554">
            <v>14</v>
          </cell>
          <cell r="K1554">
            <v>9</v>
          </cell>
        </row>
        <row r="1555">
          <cell r="B1555" t="str">
            <v>vulkan_best_practice_for_mobile_developers</v>
          </cell>
          <cell r="C1555" t="str">
            <v>ARM-software/vulkan_best_practice_for_mobile_developers</v>
          </cell>
          <cell r="D1555" t="str">
            <v>ARM-software/vulkan_best_practice_for_mobile_developers</v>
          </cell>
          <cell r="E1555">
            <v>270</v>
          </cell>
          <cell r="F1555">
            <v>30</v>
          </cell>
          <cell r="G1555">
            <v>10</v>
          </cell>
          <cell r="H1555">
            <v>96705</v>
          </cell>
          <cell r="I1555">
            <v>61</v>
          </cell>
          <cell r="J1555">
            <v>544</v>
          </cell>
          <cell r="K1555">
            <v>0</v>
          </cell>
        </row>
        <row r="1556">
          <cell r="B1556" t="str">
            <v>PrepaidBalance</v>
          </cell>
          <cell r="C1556" t="str">
            <v>mueller-ma/PrepaidBalance</v>
          </cell>
          <cell r="D1556" t="str">
            <v>mueller-ma/PrepaidBalance</v>
          </cell>
          <cell r="E1556">
            <v>270</v>
          </cell>
          <cell r="F1556">
            <v>160</v>
          </cell>
          <cell r="G1556">
            <v>15</v>
          </cell>
          <cell r="H1556">
            <v>2183</v>
          </cell>
          <cell r="I1556">
            <v>11</v>
          </cell>
          <cell r="J1556">
            <v>28</v>
          </cell>
          <cell r="K1556">
            <v>14</v>
          </cell>
        </row>
        <row r="1557">
          <cell r="B1557" t="str">
            <v>HouseParty</v>
          </cell>
          <cell r="C1557" t="str">
            <v>eitan12345om/HouseParty</v>
          </cell>
          <cell r="D1557" t="str">
            <v>eitan12345om/HouseParty</v>
          </cell>
          <cell r="E1557">
            <v>271</v>
          </cell>
          <cell r="F1557">
            <v>5</v>
          </cell>
          <cell r="G1557">
            <v>7</v>
          </cell>
          <cell r="H1557">
            <v>19371</v>
          </cell>
          <cell r="I1557">
            <v>1</v>
          </cell>
          <cell r="J1557">
            <v>1</v>
          </cell>
          <cell r="K1557">
            <v>40</v>
          </cell>
        </row>
        <row r="1558">
          <cell r="B1558" t="str">
            <v>battle-ships</v>
          </cell>
          <cell r="C1558" t="str">
            <v>lpapailiou/battle-ships</v>
          </cell>
          <cell r="D1558" t="str">
            <v>lpapailiou/battle-ships</v>
          </cell>
          <cell r="E1558">
            <v>272</v>
          </cell>
          <cell r="F1558">
            <v>0</v>
          </cell>
          <cell r="G1558">
            <v>4</v>
          </cell>
          <cell r="H1558">
            <v>7763</v>
          </cell>
          <cell r="I1558">
            <v>1</v>
          </cell>
          <cell r="J1558">
            <v>2</v>
          </cell>
          <cell r="K1558">
            <v>0</v>
          </cell>
        </row>
        <row r="1559">
          <cell r="B1559" t="str">
            <v>Didaktikapp</v>
          </cell>
          <cell r="C1559" t="str">
            <v>ralonsobeas/Didaktikapp</v>
          </cell>
          <cell r="D1559" t="str">
            <v>ralonsobeas/Didaktikapp</v>
          </cell>
          <cell r="E1559">
            <v>272</v>
          </cell>
          <cell r="F1559">
            <v>10</v>
          </cell>
          <cell r="G1559">
            <v>4</v>
          </cell>
          <cell r="H1559">
            <v>101926</v>
          </cell>
          <cell r="I1559">
            <v>1</v>
          </cell>
          <cell r="J1559">
            <v>5</v>
          </cell>
          <cell r="K1559">
            <v>0</v>
          </cell>
        </row>
        <row r="1560">
          <cell r="B1560" t="str">
            <v>UInspector</v>
          </cell>
          <cell r="C1560" t="str">
            <v>YvesCheung/UInspector</v>
          </cell>
          <cell r="D1560" t="str">
            <v>YvesCheung/UInspector</v>
          </cell>
          <cell r="E1560">
            <v>273</v>
          </cell>
          <cell r="F1560">
            <v>1</v>
          </cell>
          <cell r="G1560">
            <v>3</v>
          </cell>
          <cell r="H1560">
            <v>5318</v>
          </cell>
          <cell r="I1560">
            <v>22</v>
          </cell>
          <cell r="J1560">
            <v>187</v>
          </cell>
          <cell r="K1560">
            <v>1</v>
          </cell>
        </row>
        <row r="1561">
          <cell r="B1561" t="str">
            <v>RLAD</v>
          </cell>
          <cell r="C1561" t="str">
            <v>adamdanielczyk/RLAD</v>
          </cell>
          <cell r="D1561" t="str">
            <v>adamdanielczyk/RLAD</v>
          </cell>
          <cell r="E1561">
            <v>273</v>
          </cell>
          <cell r="F1561">
            <v>37</v>
          </cell>
          <cell r="G1561">
            <v>2</v>
          </cell>
          <cell r="H1561">
            <v>917</v>
          </cell>
          <cell r="I1561">
            <v>0</v>
          </cell>
          <cell r="J1561">
            <v>1</v>
          </cell>
          <cell r="K1561">
            <v>6</v>
          </cell>
        </row>
        <row r="1562">
          <cell r="B1562" t="str">
            <v>NY-Times-Popular-Articles</v>
          </cell>
          <cell r="C1562" t="str">
            <v>Siddhant23/NY-Times-Popular-Articles</v>
          </cell>
          <cell r="D1562" t="str">
            <v>Siddhant23/NY-Times-Popular-Articles</v>
          </cell>
          <cell r="E1562">
            <v>274</v>
          </cell>
          <cell r="F1562">
            <v>103</v>
          </cell>
          <cell r="G1562">
            <v>2</v>
          </cell>
          <cell r="H1562">
            <v>355</v>
          </cell>
          <cell r="I1562">
            <v>1</v>
          </cell>
          <cell r="J1562">
            <v>3</v>
          </cell>
          <cell r="K1562">
            <v>4</v>
          </cell>
        </row>
        <row r="1563">
          <cell r="B1563" t="str">
            <v>Metro-Compose</v>
          </cell>
          <cell r="C1563" t="str">
            <v>louis993546/Metro-Compose</v>
          </cell>
          <cell r="D1563" t="str">
            <v>louis993546/Metro-Compose</v>
          </cell>
          <cell r="E1563">
            <v>274</v>
          </cell>
          <cell r="F1563">
            <v>172</v>
          </cell>
          <cell r="G1563">
            <v>4</v>
          </cell>
          <cell r="H1563">
            <v>14284</v>
          </cell>
          <cell r="I1563">
            <v>1</v>
          </cell>
          <cell r="J1563">
            <v>2</v>
          </cell>
          <cell r="K1563">
            <v>22</v>
          </cell>
        </row>
        <row r="1564">
          <cell r="B1564" t="str">
            <v>player</v>
          </cell>
          <cell r="C1564" t="str">
            <v>koel/player</v>
          </cell>
          <cell r="D1564" t="str">
            <v>koel/player</v>
          </cell>
          <cell r="E1564">
            <v>275</v>
          </cell>
          <cell r="F1564">
            <v>21</v>
          </cell>
          <cell r="G1564">
            <v>4</v>
          </cell>
          <cell r="H1564">
            <v>1013</v>
          </cell>
          <cell r="I1564">
            <v>78</v>
          </cell>
          <cell r="J1564">
            <v>265</v>
          </cell>
          <cell r="K1564">
            <v>31</v>
          </cell>
        </row>
        <row r="1565">
          <cell r="B1565" t="str">
            <v>MemeCreator</v>
          </cell>
          <cell r="C1565" t="str">
            <v>jasonycw/MemeCreator</v>
          </cell>
          <cell r="D1565" t="str">
            <v>jasonycw/MemeCreator</v>
          </cell>
          <cell r="E1565">
            <v>276</v>
          </cell>
          <cell r="F1565">
            <v>2</v>
          </cell>
          <cell r="G1565">
            <v>3</v>
          </cell>
          <cell r="H1565">
            <v>88528</v>
          </cell>
          <cell r="I1565">
            <v>16</v>
          </cell>
          <cell r="J1565">
            <v>57</v>
          </cell>
          <cell r="K1565">
            <v>11</v>
          </cell>
        </row>
        <row r="1566">
          <cell r="B1566" t="str">
            <v>secure-storage-android</v>
          </cell>
          <cell r="C1566" t="str">
            <v>adorsys/secure-storage-android</v>
          </cell>
          <cell r="D1566" t="str">
            <v>adorsys/secure-storage-android</v>
          </cell>
          <cell r="E1566">
            <v>276</v>
          </cell>
          <cell r="F1566">
            <v>46</v>
          </cell>
          <cell r="G1566">
            <v>7</v>
          </cell>
          <cell r="H1566">
            <v>4248</v>
          </cell>
          <cell r="I1566">
            <v>55</v>
          </cell>
          <cell r="J1566">
            <v>357</v>
          </cell>
          <cell r="K1566">
            <v>16</v>
          </cell>
        </row>
        <row r="1567">
          <cell r="B1567" t="str">
            <v>DistantWorlds-Muzei</v>
          </cell>
          <cell r="C1567" t="str">
            <v>cmargonis/DistantWorlds-Muzei</v>
          </cell>
          <cell r="D1567" t="str">
            <v>cmargonis/DistantWorlds-Muzei</v>
          </cell>
          <cell r="E1567">
            <v>277</v>
          </cell>
          <cell r="F1567">
            <v>18</v>
          </cell>
          <cell r="G1567">
            <v>4</v>
          </cell>
          <cell r="H1567">
            <v>6482</v>
          </cell>
          <cell r="I1567">
            <v>2</v>
          </cell>
          <cell r="J1567">
            <v>4</v>
          </cell>
          <cell r="K1567">
            <v>1</v>
          </cell>
        </row>
        <row r="1568">
          <cell r="B1568" t="str">
            <v>APNG4Android</v>
          </cell>
          <cell r="C1568" t="str">
            <v>penfeizhou/APNG4Android</v>
          </cell>
          <cell r="D1568" t="str">
            <v>penfeizhou/APNG4Android</v>
          </cell>
          <cell r="E1568">
            <v>277</v>
          </cell>
          <cell r="F1568">
            <v>29</v>
          </cell>
          <cell r="G1568">
            <v>9</v>
          </cell>
          <cell r="H1568">
            <v>32103</v>
          </cell>
          <cell r="I1568">
            <v>58</v>
          </cell>
          <cell r="J1568">
            <v>438</v>
          </cell>
          <cell r="K1568">
            <v>3</v>
          </cell>
        </row>
        <row r="1569">
          <cell r="B1569" t="str">
            <v>corona-warn-companion-android</v>
          </cell>
          <cell r="C1569" t="str">
            <v>mh-/corona-warn-companion-android</v>
          </cell>
          <cell r="D1569" t="str">
            <v>mh-/corona-warn-companion-android</v>
          </cell>
          <cell r="E1569">
            <v>277</v>
          </cell>
          <cell r="F1569">
            <v>33</v>
          </cell>
          <cell r="G1569">
            <v>10</v>
          </cell>
          <cell r="H1569">
            <v>4161</v>
          </cell>
          <cell r="I1569">
            <v>21</v>
          </cell>
          <cell r="J1569">
            <v>132</v>
          </cell>
          <cell r="K1569">
            <v>28</v>
          </cell>
        </row>
        <row r="1570">
          <cell r="B1570" t="str">
            <v>Moveery</v>
          </cell>
          <cell r="C1570" t="str">
            <v>Fbada006/Moveery</v>
          </cell>
          <cell r="D1570" t="str">
            <v>Fbada006/Moveery</v>
          </cell>
          <cell r="E1570">
            <v>279</v>
          </cell>
          <cell r="F1570">
            <v>9</v>
          </cell>
          <cell r="G1570">
            <v>1</v>
          </cell>
          <cell r="H1570">
            <v>1623</v>
          </cell>
          <cell r="I1570">
            <v>0</v>
          </cell>
          <cell r="J1570">
            <v>2</v>
          </cell>
          <cell r="K1570">
            <v>0</v>
          </cell>
        </row>
        <row r="1571">
          <cell r="B1571" t="str">
            <v>o-fish-android</v>
          </cell>
          <cell r="C1571" t="str">
            <v>WildAid/o-fish-android</v>
          </cell>
          <cell r="D1571" t="str">
            <v>WildAid/o-fish-android</v>
          </cell>
          <cell r="E1571">
            <v>279</v>
          </cell>
          <cell r="F1571">
            <v>276</v>
          </cell>
          <cell r="G1571">
            <v>23</v>
          </cell>
          <cell r="H1571">
            <v>17594</v>
          </cell>
          <cell r="I1571">
            <v>26</v>
          </cell>
          <cell r="J1571">
            <v>20</v>
          </cell>
          <cell r="K1571">
            <v>9</v>
          </cell>
        </row>
        <row r="1572">
          <cell r="B1572" t="str">
            <v>auto-fi</v>
          </cell>
          <cell r="C1572" t="str">
            <v>lkorth/auto-fi</v>
          </cell>
          <cell r="D1572" t="str">
            <v>lkorth/auto-fi</v>
          </cell>
          <cell r="E1572">
            <v>280</v>
          </cell>
          <cell r="F1572">
            <v>0</v>
          </cell>
          <cell r="G1572">
            <v>1</v>
          </cell>
          <cell r="H1572">
            <v>33868</v>
          </cell>
          <cell r="I1572">
            <v>6</v>
          </cell>
          <cell r="J1572">
            <v>23</v>
          </cell>
          <cell r="K1572">
            <v>1</v>
          </cell>
        </row>
        <row r="1573">
          <cell r="B1573" t="str">
            <v>Diary</v>
          </cell>
          <cell r="C1573" t="str">
            <v>SirionRazzer/Diary</v>
          </cell>
          <cell r="D1573" t="str">
            <v>SirionRazzer/Diary</v>
          </cell>
          <cell r="E1573">
            <v>280</v>
          </cell>
          <cell r="F1573">
            <v>2</v>
          </cell>
          <cell r="G1573">
            <v>4</v>
          </cell>
          <cell r="H1573">
            <v>29060</v>
          </cell>
          <cell r="I1573">
            <v>10</v>
          </cell>
          <cell r="J1573">
            <v>14</v>
          </cell>
          <cell r="K1573">
            <v>0</v>
          </cell>
        </row>
        <row r="1574">
          <cell r="B1574" t="str">
            <v>Light-Controller</v>
          </cell>
          <cell r="C1574" t="str">
            <v>eliotstocker/Light-Controller</v>
          </cell>
          <cell r="D1574" t="str">
            <v>eliotstocker/Light-Controller</v>
          </cell>
          <cell r="E1574">
            <v>280</v>
          </cell>
          <cell r="F1574">
            <v>11</v>
          </cell>
          <cell r="G1574">
            <v>3</v>
          </cell>
          <cell r="H1574">
            <v>18270</v>
          </cell>
          <cell r="I1574">
            <v>24</v>
          </cell>
          <cell r="J1574">
            <v>60</v>
          </cell>
          <cell r="K1574">
            <v>23</v>
          </cell>
        </row>
        <row r="1575">
          <cell r="B1575" t="str">
            <v>FunctionalAndroidReference</v>
          </cell>
          <cell r="C1575" t="str">
            <v>pakoito/FunctionalAndroidReference</v>
          </cell>
          <cell r="D1575" t="str">
            <v>pakoito/FunctionalAndroidReference</v>
          </cell>
          <cell r="E1575">
            <v>281</v>
          </cell>
          <cell r="F1575">
            <v>0</v>
          </cell>
          <cell r="G1575">
            <v>1</v>
          </cell>
          <cell r="H1575">
            <v>489</v>
          </cell>
          <cell r="I1575">
            <v>16</v>
          </cell>
          <cell r="J1575">
            <v>277</v>
          </cell>
          <cell r="K1575">
            <v>0</v>
          </cell>
        </row>
        <row r="1576">
          <cell r="B1576" t="str">
            <v>droidinfo</v>
          </cell>
          <cell r="C1576" t="str">
            <v>cappee/droidinfo</v>
          </cell>
          <cell r="D1576" t="str">
            <v>cappee/droidinfo</v>
          </cell>
          <cell r="E1576">
            <v>281</v>
          </cell>
          <cell r="F1576">
            <v>1</v>
          </cell>
          <cell r="G1576">
            <v>3</v>
          </cell>
          <cell r="H1576">
            <v>108017</v>
          </cell>
          <cell r="I1576">
            <v>2</v>
          </cell>
          <cell r="J1576">
            <v>7</v>
          </cell>
          <cell r="K1576">
            <v>0</v>
          </cell>
        </row>
        <row r="1577">
          <cell r="B1577" t="str">
            <v>dart-jobs</v>
          </cell>
          <cell r="C1577" t="str">
            <v>PlugFox/dart-jobs</v>
          </cell>
          <cell r="D1577" t="str">
            <v>PlugFox/dart-jobs</v>
          </cell>
          <cell r="E1577">
            <v>281</v>
          </cell>
          <cell r="F1577">
            <v>25</v>
          </cell>
          <cell r="G1577">
            <v>1</v>
          </cell>
          <cell r="H1577">
            <v>2374</v>
          </cell>
          <cell r="I1577">
            <v>5</v>
          </cell>
          <cell r="J1577">
            <v>25</v>
          </cell>
          <cell r="K1577">
            <v>22</v>
          </cell>
        </row>
        <row r="1578">
          <cell r="B1578" t="str">
            <v>FastShopping</v>
          </cell>
          <cell r="C1578" t="str">
            <v>Albert221/FastShopping</v>
          </cell>
          <cell r="D1578" t="str">
            <v>Albert221/FastShopping</v>
          </cell>
          <cell r="E1578">
            <v>281</v>
          </cell>
          <cell r="F1578">
            <v>37</v>
          </cell>
          <cell r="G1578">
            <v>5</v>
          </cell>
          <cell r="H1578">
            <v>78355</v>
          </cell>
          <cell r="I1578">
            <v>75</v>
          </cell>
          <cell r="J1578">
            <v>215</v>
          </cell>
          <cell r="K1578">
            <v>27</v>
          </cell>
        </row>
        <row r="1579">
          <cell r="B1579" t="str">
            <v>android-ponewheel</v>
          </cell>
          <cell r="C1579" t="str">
            <v>ponewheel/android-ponewheel</v>
          </cell>
          <cell r="D1579" t="str">
            <v>ponewheel/android-ponewheel</v>
          </cell>
          <cell r="E1579">
            <v>281</v>
          </cell>
          <cell r="F1579">
            <v>62</v>
          </cell>
          <cell r="G1579">
            <v>8</v>
          </cell>
          <cell r="H1579">
            <v>18918</v>
          </cell>
          <cell r="I1579">
            <v>26</v>
          </cell>
          <cell r="J1579">
            <v>67</v>
          </cell>
          <cell r="K1579">
            <v>23</v>
          </cell>
        </row>
        <row r="1580">
          <cell r="B1580" t="str">
            <v>UnifiedNlp</v>
          </cell>
          <cell r="C1580" t="str">
            <v>microg/UnifiedNlp</v>
          </cell>
          <cell r="D1580" t="str">
            <v>microg/UnifiedNlp</v>
          </cell>
          <cell r="E1580">
            <v>281</v>
          </cell>
          <cell r="F1580">
            <v>63</v>
          </cell>
          <cell r="G1580">
            <v>24</v>
          </cell>
          <cell r="H1580">
            <v>921</v>
          </cell>
          <cell r="I1580">
            <v>208</v>
          </cell>
          <cell r="J1580">
            <v>841</v>
          </cell>
          <cell r="K1580">
            <v>90</v>
          </cell>
        </row>
        <row r="1581">
          <cell r="B1581" t="str">
            <v>ruslin-android</v>
          </cell>
          <cell r="C1581" t="str">
            <v>ruslin-note/ruslin-android</v>
          </cell>
          <cell r="D1581" t="str">
            <v>ruslin-note/ruslin-android</v>
          </cell>
          <cell r="E1581">
            <v>283</v>
          </cell>
          <cell r="F1581">
            <v>38</v>
          </cell>
          <cell r="G1581">
            <v>4</v>
          </cell>
          <cell r="H1581">
            <v>1002</v>
          </cell>
          <cell r="I1581">
            <v>1</v>
          </cell>
          <cell r="J1581">
            <v>56</v>
          </cell>
          <cell r="K1581">
            <v>6</v>
          </cell>
        </row>
        <row r="1582">
          <cell r="B1582" t="str">
            <v>Edokuri</v>
          </cell>
          <cell r="C1582" t="str">
            <v>Relorer/Edokuri</v>
          </cell>
          <cell r="D1582" t="str">
            <v>Relorer/Edokuri</v>
          </cell>
          <cell r="E1582">
            <v>283</v>
          </cell>
          <cell r="F1582">
            <v>71</v>
          </cell>
          <cell r="G1582">
            <v>4</v>
          </cell>
          <cell r="H1582">
            <v>9705</v>
          </cell>
          <cell r="I1582">
            <v>0</v>
          </cell>
          <cell r="J1582">
            <v>1</v>
          </cell>
          <cell r="K1582">
            <v>14</v>
          </cell>
        </row>
        <row r="1583">
          <cell r="B1583" t="str">
            <v>Frames</v>
          </cell>
          <cell r="C1583" t="str">
            <v>jahirfiquitiva/Frames</v>
          </cell>
          <cell r="D1583" t="str">
            <v>jahirfiquitiva/Frames</v>
          </cell>
          <cell r="E1583">
            <v>283</v>
          </cell>
          <cell r="F1583">
            <v>130</v>
          </cell>
          <cell r="G1583">
            <v>1</v>
          </cell>
          <cell r="H1583">
            <v>49005</v>
          </cell>
          <cell r="I1583">
            <v>121</v>
          </cell>
          <cell r="J1583">
            <v>514</v>
          </cell>
          <cell r="K1583">
            <v>2</v>
          </cell>
        </row>
        <row r="1584">
          <cell r="B1584" t="str">
            <v>SimpleAccounting</v>
          </cell>
          <cell r="C1584" t="str">
            <v>SkywalkerDarren/SimpleAccounting</v>
          </cell>
          <cell r="D1584" t="str">
            <v>SkywalkerDarren/SimpleAccounting</v>
          </cell>
          <cell r="E1584">
            <v>284</v>
          </cell>
          <cell r="F1584">
            <v>0</v>
          </cell>
          <cell r="G1584">
            <v>1</v>
          </cell>
          <cell r="H1584">
            <v>5417</v>
          </cell>
          <cell r="I1584">
            <v>4</v>
          </cell>
          <cell r="J1584">
            <v>9</v>
          </cell>
          <cell r="K1584">
            <v>2</v>
          </cell>
        </row>
        <row r="1585">
          <cell r="B1585" t="str">
            <v>android</v>
          </cell>
          <cell r="C1585" t="str">
            <v>ZNotify/android</v>
          </cell>
          <cell r="D1585" t="str">
            <v>ZNotify/android</v>
          </cell>
          <cell r="E1585">
            <v>284</v>
          </cell>
          <cell r="F1585">
            <v>37</v>
          </cell>
          <cell r="G1585">
            <v>2</v>
          </cell>
          <cell r="H1585">
            <v>3742</v>
          </cell>
          <cell r="I1585">
            <v>3</v>
          </cell>
          <cell r="J1585">
            <v>11</v>
          </cell>
          <cell r="K1585">
            <v>5</v>
          </cell>
        </row>
        <row r="1586">
          <cell r="B1586" t="str">
            <v>BrassExcerpts</v>
          </cell>
          <cell r="C1586" t="str">
            <v>aburdiss/BrassExcerpts</v>
          </cell>
          <cell r="D1586" t="str">
            <v>aburdiss/BrassExcerpts</v>
          </cell>
          <cell r="E1586">
            <v>285</v>
          </cell>
          <cell r="F1586">
            <v>20</v>
          </cell>
          <cell r="G1586">
            <v>2</v>
          </cell>
          <cell r="H1586">
            <v>458095</v>
          </cell>
          <cell r="I1586">
            <v>0</v>
          </cell>
          <cell r="J1586">
            <v>4</v>
          </cell>
          <cell r="K1586">
            <v>7</v>
          </cell>
        </row>
        <row r="1587">
          <cell r="B1587" t="str">
            <v>Shipr-Community-Android</v>
          </cell>
          <cell r="C1587" t="str">
            <v>Shipr-Hub/Shipr-Community-Android</v>
          </cell>
          <cell r="D1587" t="str">
            <v>Shipr-Hub/Shipr-Community-Android</v>
          </cell>
          <cell r="E1587">
            <v>285</v>
          </cell>
          <cell r="F1587">
            <v>27</v>
          </cell>
          <cell r="G1587">
            <v>9</v>
          </cell>
          <cell r="H1587">
            <v>71362</v>
          </cell>
          <cell r="I1587">
            <v>17</v>
          </cell>
          <cell r="J1587">
            <v>21</v>
          </cell>
          <cell r="K1587">
            <v>25</v>
          </cell>
        </row>
        <row r="1588">
          <cell r="B1588" t="str">
            <v>ghala-android</v>
          </cell>
          <cell r="C1588" t="str">
            <v>Ultra-Techies/ghala-android</v>
          </cell>
          <cell r="D1588" t="str">
            <v>Ultra-Techies/ghala-android</v>
          </cell>
          <cell r="E1588">
            <v>285</v>
          </cell>
          <cell r="F1588">
            <v>41</v>
          </cell>
          <cell r="G1588">
            <v>2</v>
          </cell>
          <cell r="H1588">
            <v>892</v>
          </cell>
          <cell r="I1588">
            <v>1</v>
          </cell>
          <cell r="J1588">
            <v>1</v>
          </cell>
          <cell r="K1588">
            <v>0</v>
          </cell>
        </row>
        <row r="1589">
          <cell r="B1589" t="str">
            <v>sleep-cycle-alarm</v>
          </cell>
          <cell r="C1589" t="str">
            <v>letelete/sleep-cycle-alarm</v>
          </cell>
          <cell r="D1589" t="str">
            <v>letelete/sleep-cycle-alarm</v>
          </cell>
          <cell r="E1589">
            <v>285</v>
          </cell>
          <cell r="F1589">
            <v>74</v>
          </cell>
          <cell r="G1589">
            <v>6</v>
          </cell>
          <cell r="H1589">
            <v>49938</v>
          </cell>
          <cell r="I1589">
            <v>22</v>
          </cell>
          <cell r="J1589">
            <v>50</v>
          </cell>
          <cell r="K1589">
            <v>7</v>
          </cell>
        </row>
        <row r="1590">
          <cell r="B1590" t="str">
            <v>itracing2</v>
          </cell>
          <cell r="C1590" t="str">
            <v>sylvek/itracing2</v>
          </cell>
          <cell r="D1590" t="str">
            <v>sylvek/itracing2</v>
          </cell>
          <cell r="E1590">
            <v>286</v>
          </cell>
          <cell r="F1590">
            <v>41</v>
          </cell>
          <cell r="G1590">
            <v>17</v>
          </cell>
          <cell r="H1590">
            <v>1678</v>
          </cell>
          <cell r="I1590">
            <v>64</v>
          </cell>
          <cell r="J1590">
            <v>191</v>
          </cell>
          <cell r="K1590">
            <v>2</v>
          </cell>
        </row>
        <row r="1591">
          <cell r="B1591" t="str">
            <v>project-avocado</v>
          </cell>
          <cell r="C1591" t="str">
            <v>dscnitrourkela/project-avocado</v>
          </cell>
          <cell r="D1591" t="str">
            <v>dscnitrourkela/project-avocado</v>
          </cell>
          <cell r="E1591">
            <v>286</v>
          </cell>
          <cell r="F1591">
            <v>177</v>
          </cell>
          <cell r="G1591">
            <v>20</v>
          </cell>
          <cell r="H1591">
            <v>6093</v>
          </cell>
          <cell r="I1591">
            <v>41</v>
          </cell>
          <cell r="J1591">
            <v>122</v>
          </cell>
          <cell r="K1591">
            <v>23</v>
          </cell>
        </row>
        <row r="1592">
          <cell r="B1592" t="str">
            <v>StormAppUser2020</v>
          </cell>
          <cell r="C1592" t="str">
            <v>2729StormRobotics/StormAppUser2020</v>
          </cell>
          <cell r="D1592" t="str">
            <v>2729StormRobotics/StormAppUser2020</v>
          </cell>
          <cell r="E1592">
            <v>286</v>
          </cell>
          <cell r="F1592">
            <v>185</v>
          </cell>
          <cell r="G1592">
            <v>12</v>
          </cell>
          <cell r="H1592">
            <v>14104</v>
          </cell>
          <cell r="I1592">
            <v>2</v>
          </cell>
          <cell r="J1592">
            <v>1</v>
          </cell>
          <cell r="K1592">
            <v>13</v>
          </cell>
        </row>
        <row r="1593">
          <cell r="B1593" t="str">
            <v>Bixer-btc-app-</v>
          </cell>
          <cell r="C1593" t="str">
            <v>vladdossik/Bixer-btc-app-</v>
          </cell>
          <cell r="D1593" t="str">
            <v>vladdossik/Bixer-btc-app-</v>
          </cell>
          <cell r="E1593">
            <v>288</v>
          </cell>
          <cell r="F1593">
            <v>1</v>
          </cell>
          <cell r="G1593">
            <v>1</v>
          </cell>
          <cell r="H1593">
            <v>5179</v>
          </cell>
          <cell r="I1593">
            <v>0</v>
          </cell>
          <cell r="J1593">
            <v>2</v>
          </cell>
          <cell r="K1593">
            <v>0</v>
          </cell>
        </row>
        <row r="1594">
          <cell r="B1594" t="str">
            <v>android-proguards</v>
          </cell>
          <cell r="C1594" t="str">
            <v>yongjhih/android-proguards</v>
          </cell>
          <cell r="D1594" t="str">
            <v>yongjhih/android-proguards</v>
          </cell>
          <cell r="E1594">
            <v>288</v>
          </cell>
          <cell r="F1594">
            <v>2</v>
          </cell>
          <cell r="G1594">
            <v>50</v>
          </cell>
          <cell r="H1594">
            <v>2692</v>
          </cell>
          <cell r="I1594">
            <v>76</v>
          </cell>
          <cell r="J1594">
            <v>763</v>
          </cell>
          <cell r="K1594">
            <v>2</v>
          </cell>
        </row>
        <row r="1595">
          <cell r="B1595" t="str">
            <v>WiFi-Automatic</v>
          </cell>
          <cell r="C1595" t="str">
            <v>j4velin/WiFi-Automatic</v>
          </cell>
          <cell r="D1595" t="str">
            <v>j4velin/WiFi-Automatic</v>
          </cell>
          <cell r="E1595">
            <v>288</v>
          </cell>
          <cell r="F1595">
            <v>15</v>
          </cell>
          <cell r="G1595">
            <v>8</v>
          </cell>
          <cell r="H1595">
            <v>699</v>
          </cell>
          <cell r="I1595">
            <v>31</v>
          </cell>
          <cell r="J1595">
            <v>70</v>
          </cell>
          <cell r="K1595">
            <v>23</v>
          </cell>
        </row>
        <row r="1596">
          <cell r="B1596" t="str">
            <v>Sobriety</v>
          </cell>
          <cell r="C1596" t="str">
            <v>KiARC/Sobriety</v>
          </cell>
          <cell r="D1596" t="str">
            <v>KiARC/Sobriety</v>
          </cell>
          <cell r="E1596">
            <v>288</v>
          </cell>
          <cell r="F1596">
            <v>53</v>
          </cell>
          <cell r="G1596">
            <v>9</v>
          </cell>
          <cell r="H1596">
            <v>4899</v>
          </cell>
          <cell r="I1596">
            <v>3</v>
          </cell>
          <cell r="J1596">
            <v>39</v>
          </cell>
          <cell r="K1596">
            <v>10</v>
          </cell>
        </row>
        <row r="1597">
          <cell r="B1597" t="str">
            <v>DNSHero</v>
          </cell>
          <cell r="C1597" t="str">
            <v>devgianlu/DNSHero</v>
          </cell>
          <cell r="D1597" t="str">
            <v>devgianlu/DNSHero</v>
          </cell>
          <cell r="E1597">
            <v>289</v>
          </cell>
          <cell r="F1597">
            <v>116</v>
          </cell>
          <cell r="G1597">
            <v>4</v>
          </cell>
          <cell r="H1597">
            <v>30793</v>
          </cell>
          <cell r="I1597">
            <v>13</v>
          </cell>
          <cell r="J1597">
            <v>66</v>
          </cell>
          <cell r="K1597">
            <v>8</v>
          </cell>
        </row>
        <row r="1598">
          <cell r="B1598" t="str">
            <v>TootApp</v>
          </cell>
          <cell r="C1598" t="str">
            <v>gsora/TootApp</v>
          </cell>
          <cell r="D1598" t="str">
            <v>gsora/TootApp</v>
          </cell>
          <cell r="E1598">
            <v>290</v>
          </cell>
          <cell r="F1598">
            <v>1</v>
          </cell>
          <cell r="G1598">
            <v>1</v>
          </cell>
          <cell r="H1598">
            <v>533</v>
          </cell>
          <cell r="I1598">
            <v>1</v>
          </cell>
          <cell r="J1598">
            <v>3</v>
          </cell>
          <cell r="K1598">
            <v>1</v>
          </cell>
        </row>
        <row r="1599">
          <cell r="B1599" t="str">
            <v>starlord</v>
          </cell>
          <cell r="C1599" t="str">
            <v>suhocki/starlord</v>
          </cell>
          <cell r="D1599" t="str">
            <v>suhocki/Onliner-Android-Baraholka</v>
          </cell>
          <cell r="E1599">
            <v>290</v>
          </cell>
          <cell r="F1599">
            <v>68</v>
          </cell>
          <cell r="G1599">
            <v>6</v>
          </cell>
          <cell r="H1599">
            <v>2914</v>
          </cell>
          <cell r="I1599">
            <v>0</v>
          </cell>
          <cell r="J1599">
            <v>1</v>
          </cell>
          <cell r="K1599">
            <v>19</v>
          </cell>
        </row>
        <row r="1600">
          <cell r="B1600" t="str">
            <v>Better-Internet-Tiles</v>
          </cell>
          <cell r="C1600" t="str">
            <v>CasperVerswijvelt/Better-Internet-Tiles</v>
          </cell>
          <cell r="D1600" t="str">
            <v>CasperVerswijvelt/Better-Internet-Tiles</v>
          </cell>
          <cell r="E1600">
            <v>291</v>
          </cell>
          <cell r="F1600">
            <v>12</v>
          </cell>
          <cell r="G1600">
            <v>27</v>
          </cell>
          <cell r="H1600">
            <v>1086</v>
          </cell>
          <cell r="I1600">
            <v>7</v>
          </cell>
          <cell r="J1600">
            <v>73</v>
          </cell>
          <cell r="K1600">
            <v>12</v>
          </cell>
        </row>
        <row r="1601">
          <cell r="B1601" t="str">
            <v>otter</v>
          </cell>
          <cell r="C1601" t="str">
            <v>apognu/otter</v>
          </cell>
          <cell r="D1601" t="str">
            <v>apognu/otter</v>
          </cell>
          <cell r="E1601">
            <v>292</v>
          </cell>
          <cell r="F1601">
            <v>7</v>
          </cell>
          <cell r="G1601">
            <v>22</v>
          </cell>
          <cell r="H1601">
            <v>24628</v>
          </cell>
          <cell r="I1601">
            <v>20</v>
          </cell>
          <cell r="J1601">
            <v>203</v>
          </cell>
          <cell r="K1601">
            <v>50</v>
          </cell>
        </row>
        <row r="1602">
          <cell r="B1602" t="str">
            <v>VocableTrainer-Android</v>
          </cell>
          <cell r="C1602" t="str">
            <v>0xpr03/VocableTrainer-Android</v>
          </cell>
          <cell r="D1602" t="str">
            <v>0xpr03/VocableTrainer-Android</v>
          </cell>
          <cell r="E1602">
            <v>292</v>
          </cell>
          <cell r="F1602">
            <v>23</v>
          </cell>
          <cell r="G1602">
            <v>4</v>
          </cell>
          <cell r="H1602">
            <v>4575</v>
          </cell>
          <cell r="I1602">
            <v>10</v>
          </cell>
          <cell r="J1602">
            <v>27</v>
          </cell>
          <cell r="K1602">
            <v>32</v>
          </cell>
        </row>
        <row r="1603">
          <cell r="B1603" t="str">
            <v>Burning-Series</v>
          </cell>
          <cell r="C1603" t="str">
            <v>DATL4G/Burning-Series</v>
          </cell>
          <cell r="D1603" t="str">
            <v>DatL4g/Burning-Series</v>
          </cell>
          <cell r="E1603">
            <v>293</v>
          </cell>
          <cell r="F1603">
            <v>2</v>
          </cell>
          <cell r="G1603">
            <v>2</v>
          </cell>
          <cell r="H1603">
            <v>78953</v>
          </cell>
          <cell r="I1603">
            <v>5</v>
          </cell>
          <cell r="J1603">
            <v>56</v>
          </cell>
          <cell r="K1603">
            <v>1</v>
          </cell>
        </row>
        <row r="1604">
          <cell r="B1604" t="str">
            <v>feed-watcher</v>
          </cell>
          <cell r="C1604" t="str">
            <v>zouroboros/feed-watcher</v>
          </cell>
          <cell r="D1604" t="str">
            <v>zouroboros/feed-watcher</v>
          </cell>
          <cell r="E1604">
            <v>294</v>
          </cell>
          <cell r="F1604">
            <v>7</v>
          </cell>
          <cell r="G1604">
            <v>3</v>
          </cell>
          <cell r="H1604">
            <v>924</v>
          </cell>
          <cell r="I1604">
            <v>4</v>
          </cell>
          <cell r="J1604">
            <v>13</v>
          </cell>
          <cell r="K1604">
            <v>13</v>
          </cell>
        </row>
        <row r="1605">
          <cell r="B1605" t="str">
            <v>sercommH300sVoipCredentialsRecovery</v>
          </cell>
          <cell r="C1605" t="str">
            <v>pc-magas/sercommH300sVoipCredentialsRecovery</v>
          </cell>
          <cell r="D1605" t="str">
            <v>pc-magas/sercommH300sVoipCredentialsRecovery</v>
          </cell>
          <cell r="E1605">
            <v>294</v>
          </cell>
          <cell r="F1605">
            <v>10</v>
          </cell>
          <cell r="G1605">
            <v>2</v>
          </cell>
          <cell r="H1605">
            <v>1402</v>
          </cell>
          <cell r="I1605">
            <v>1</v>
          </cell>
          <cell r="J1605">
            <v>7</v>
          </cell>
          <cell r="K1605">
            <v>0</v>
          </cell>
        </row>
        <row r="1606">
          <cell r="B1606" t="str">
            <v>android-app</v>
          </cell>
          <cell r="C1606" t="str">
            <v>Text-Mining/android-app</v>
          </cell>
          <cell r="D1606" t="str">
            <v>Text-Mining/android-app</v>
          </cell>
          <cell r="E1606">
            <v>295</v>
          </cell>
          <cell r="F1606">
            <v>8</v>
          </cell>
          <cell r="G1606">
            <v>2</v>
          </cell>
          <cell r="H1606">
            <v>1082</v>
          </cell>
          <cell r="I1606">
            <v>4</v>
          </cell>
          <cell r="J1606">
            <v>24</v>
          </cell>
          <cell r="K1606">
            <v>1</v>
          </cell>
        </row>
        <row r="1607">
          <cell r="B1607" t="str">
            <v>Whats-Nearby</v>
          </cell>
          <cell r="C1607" t="str">
            <v>Teester/Whats-Nearby</v>
          </cell>
          <cell r="D1607" t="str">
            <v>Teester/Whats-Nearby</v>
          </cell>
          <cell r="E1607">
            <v>295</v>
          </cell>
          <cell r="F1607">
            <v>20</v>
          </cell>
          <cell r="G1607">
            <v>2</v>
          </cell>
          <cell r="H1607">
            <v>11803</v>
          </cell>
          <cell r="I1607">
            <v>2</v>
          </cell>
          <cell r="J1607">
            <v>13</v>
          </cell>
          <cell r="K1607">
            <v>14</v>
          </cell>
        </row>
        <row r="1608">
          <cell r="B1608" t="str">
            <v>counter</v>
          </cell>
          <cell r="C1608" t="str">
            <v>gentlecat/counter</v>
          </cell>
          <cell r="D1608" t="str">
            <v>gentlecat/counter</v>
          </cell>
          <cell r="E1608">
            <v>295</v>
          </cell>
          <cell r="F1608">
            <v>38</v>
          </cell>
          <cell r="G1608">
            <v>12</v>
          </cell>
          <cell r="H1608">
            <v>4227</v>
          </cell>
          <cell r="I1608">
            <v>48</v>
          </cell>
          <cell r="J1608">
            <v>92</v>
          </cell>
          <cell r="K1608">
            <v>20</v>
          </cell>
        </row>
        <row r="1609">
          <cell r="B1609" t="str">
            <v>abcore</v>
          </cell>
          <cell r="C1609" t="str">
            <v>greenaddress/abcore</v>
          </cell>
          <cell r="D1609" t="str">
            <v>greenaddress/abcore</v>
          </cell>
          <cell r="E1609">
            <v>295</v>
          </cell>
          <cell r="F1609">
            <v>40</v>
          </cell>
          <cell r="G1609">
            <v>7</v>
          </cell>
          <cell r="H1609">
            <v>11346</v>
          </cell>
          <cell r="I1609">
            <v>61</v>
          </cell>
          <cell r="J1609">
            <v>155</v>
          </cell>
          <cell r="K1609">
            <v>42</v>
          </cell>
        </row>
        <row r="1610">
          <cell r="B1610" t="str">
            <v>tensor</v>
          </cell>
          <cell r="C1610" t="str">
            <v>davidar/tensor</v>
          </cell>
          <cell r="D1610" t="str">
            <v>davidar/tensor</v>
          </cell>
          <cell r="E1610">
            <v>296</v>
          </cell>
          <cell r="F1610">
            <v>9</v>
          </cell>
          <cell r="G1610">
            <v>6</v>
          </cell>
          <cell r="H1610">
            <v>5505</v>
          </cell>
          <cell r="I1610">
            <v>23</v>
          </cell>
          <cell r="J1610">
            <v>151</v>
          </cell>
          <cell r="K1610">
            <v>5</v>
          </cell>
        </row>
        <row r="1611">
          <cell r="B1611" t="str">
            <v>brethap</v>
          </cell>
          <cell r="C1611" t="str">
            <v>jithware/brethap</v>
          </cell>
          <cell r="D1611" t="str">
            <v>jithware/brethap</v>
          </cell>
          <cell r="E1611">
            <v>296</v>
          </cell>
          <cell r="F1611">
            <v>16</v>
          </cell>
          <cell r="G1611">
            <v>7</v>
          </cell>
          <cell r="H1611">
            <v>215945</v>
          </cell>
          <cell r="I1611">
            <v>9</v>
          </cell>
          <cell r="J1611">
            <v>40</v>
          </cell>
          <cell r="K1611">
            <v>0</v>
          </cell>
        </row>
        <row r="1612">
          <cell r="B1612" t="str">
            <v>privacy-friendly-qr-scanner</v>
          </cell>
          <cell r="C1612" t="str">
            <v>SecUSo/privacy-friendly-qr-scanner</v>
          </cell>
          <cell r="D1612" t="str">
            <v>SecUSo/privacy-friendly-qr-scanner</v>
          </cell>
          <cell r="E1612">
            <v>296</v>
          </cell>
          <cell r="F1612">
            <v>48</v>
          </cell>
          <cell r="G1612">
            <v>46</v>
          </cell>
          <cell r="H1612">
            <v>42911</v>
          </cell>
          <cell r="I1612">
            <v>43</v>
          </cell>
          <cell r="J1612">
            <v>222</v>
          </cell>
          <cell r="K1612">
            <v>39</v>
          </cell>
        </row>
        <row r="1613">
          <cell r="B1613" t="str">
            <v>android-wisefy</v>
          </cell>
          <cell r="C1613" t="str">
            <v>isuPatches/android-wisefy</v>
          </cell>
          <cell r="D1613" t="str">
            <v>isuPatches/android-wisefy</v>
          </cell>
          <cell r="E1613">
            <v>296</v>
          </cell>
          <cell r="F1613">
            <v>48</v>
          </cell>
          <cell r="G1613">
            <v>4</v>
          </cell>
          <cell r="H1613">
            <v>2581</v>
          </cell>
          <cell r="I1613">
            <v>35</v>
          </cell>
          <cell r="J1613">
            <v>299</v>
          </cell>
          <cell r="K1613">
            <v>11</v>
          </cell>
        </row>
        <row r="1614">
          <cell r="B1614" t="str">
            <v>todozy</v>
          </cell>
          <cell r="C1614" t="str">
            <v>brayan/todozy</v>
          </cell>
          <cell r="D1614" t="str">
            <v>brayan/todozy</v>
          </cell>
          <cell r="E1614">
            <v>297</v>
          </cell>
          <cell r="F1614">
            <v>0</v>
          </cell>
          <cell r="G1614">
            <v>1</v>
          </cell>
          <cell r="H1614">
            <v>1471</v>
          </cell>
          <cell r="I1614">
            <v>0</v>
          </cell>
          <cell r="J1614">
            <v>1</v>
          </cell>
          <cell r="K1614">
            <v>0</v>
          </cell>
        </row>
        <row r="1615">
          <cell r="B1615" t="str">
            <v>Tiles-For-Developers</v>
          </cell>
          <cell r="C1615" t="str">
            <v>simonpham/Tiles-For-Developers</v>
          </cell>
          <cell r="D1615" t="str">
            <v>simonpham/Tiles-For-Developers</v>
          </cell>
          <cell r="E1615">
            <v>297</v>
          </cell>
          <cell r="F1615">
            <v>31</v>
          </cell>
          <cell r="G1615">
            <v>1</v>
          </cell>
          <cell r="H1615">
            <v>19116</v>
          </cell>
          <cell r="I1615">
            <v>2</v>
          </cell>
          <cell r="J1615">
            <v>4</v>
          </cell>
          <cell r="K1615">
            <v>5</v>
          </cell>
        </row>
        <row r="1616">
          <cell r="B1616" t="str">
            <v>PlanningPoker</v>
          </cell>
          <cell r="C1616" t="str">
            <v>saschpe/PlanningPoker</v>
          </cell>
          <cell r="D1616" t="str">
            <v>saschpe/PlanningPoker</v>
          </cell>
          <cell r="E1616">
            <v>298</v>
          </cell>
          <cell r="F1616">
            <v>13</v>
          </cell>
          <cell r="G1616">
            <v>4</v>
          </cell>
          <cell r="H1616">
            <v>10098</v>
          </cell>
          <cell r="I1616">
            <v>21</v>
          </cell>
          <cell r="J1616">
            <v>67</v>
          </cell>
          <cell r="K1616">
            <v>2</v>
          </cell>
        </row>
        <row r="1617">
          <cell r="B1617" t="str">
            <v>ColorOSNotifyIcon</v>
          </cell>
          <cell r="C1617" t="str">
            <v>fankes/ColorOSNotifyIcon</v>
          </cell>
          <cell r="D1617" t="str">
            <v>fankes/ColorOSNotifyIcon</v>
          </cell>
          <cell r="E1617">
            <v>299</v>
          </cell>
          <cell r="F1617">
            <v>2</v>
          </cell>
          <cell r="G1617">
            <v>4</v>
          </cell>
          <cell r="H1617">
            <v>918</v>
          </cell>
          <cell r="I1617">
            <v>1</v>
          </cell>
          <cell r="J1617">
            <v>40</v>
          </cell>
          <cell r="K1617">
            <v>0</v>
          </cell>
        </row>
        <row r="1618">
          <cell r="B1618" t="str">
            <v>stopstalk-android</v>
          </cell>
          <cell r="C1618" t="str">
            <v>stopstalk/stopstalk-android</v>
          </cell>
          <cell r="D1618" t="str">
            <v>stopstalk/stopstalk-android</v>
          </cell>
          <cell r="E1618">
            <v>299</v>
          </cell>
          <cell r="F1618">
            <v>5</v>
          </cell>
          <cell r="G1618">
            <v>6</v>
          </cell>
          <cell r="H1618">
            <v>3487</v>
          </cell>
          <cell r="I1618">
            <v>11</v>
          </cell>
          <cell r="J1618">
            <v>7</v>
          </cell>
          <cell r="K1618">
            <v>0</v>
          </cell>
        </row>
        <row r="1619">
          <cell r="B1619" t="str">
            <v>laverna-android</v>
          </cell>
          <cell r="C1619" t="str">
            <v>aint/laverna-android</v>
          </cell>
          <cell r="D1619" t="str">
            <v>aint/laverna-android</v>
          </cell>
          <cell r="E1619">
            <v>299</v>
          </cell>
          <cell r="F1619">
            <v>13</v>
          </cell>
          <cell r="G1619">
            <v>5</v>
          </cell>
          <cell r="H1619">
            <v>2557</v>
          </cell>
          <cell r="I1619">
            <v>5</v>
          </cell>
          <cell r="J1619">
            <v>60</v>
          </cell>
          <cell r="K1619">
            <v>16</v>
          </cell>
        </row>
        <row r="1620">
          <cell r="B1620" t="str">
            <v>Manga2Kindle</v>
          </cell>
          <cell r="C1620" t="str">
            <v>EduFdezSoy/Manga2Kindle</v>
          </cell>
          <cell r="D1620" t="str">
            <v>EduFdezSoy/Manga2Kindle</v>
          </cell>
          <cell r="E1620">
            <v>299</v>
          </cell>
          <cell r="F1620">
            <v>27</v>
          </cell>
          <cell r="G1620">
            <v>2</v>
          </cell>
          <cell r="H1620">
            <v>2009</v>
          </cell>
          <cell r="I1620">
            <v>1</v>
          </cell>
          <cell r="J1620">
            <v>10</v>
          </cell>
          <cell r="K1620">
            <v>27</v>
          </cell>
        </row>
        <row r="1621">
          <cell r="B1621" t="str">
            <v>android-appcachecleaner</v>
          </cell>
          <cell r="C1621" t="str">
            <v>bmx666/android-appcachecleaner</v>
          </cell>
          <cell r="D1621" t="str">
            <v>bmx666/android-appcachecleaner</v>
          </cell>
          <cell r="E1621">
            <v>299</v>
          </cell>
          <cell r="F1621">
            <v>60</v>
          </cell>
          <cell r="G1621">
            <v>6</v>
          </cell>
          <cell r="H1621">
            <v>1927</v>
          </cell>
          <cell r="I1621">
            <v>15</v>
          </cell>
          <cell r="J1621">
            <v>170</v>
          </cell>
          <cell r="K1621">
            <v>6</v>
          </cell>
        </row>
        <row r="1622">
          <cell r="B1622" t="str">
            <v>ndx</v>
          </cell>
          <cell r="C1622" t="str">
            <v>sal0max/ndx</v>
          </cell>
          <cell r="D1622" t="str">
            <v>sal0max/ndx</v>
          </cell>
          <cell r="E1622">
            <v>300</v>
          </cell>
          <cell r="F1622">
            <v>0</v>
          </cell>
          <cell r="G1622">
            <v>1</v>
          </cell>
          <cell r="H1622">
            <v>3345</v>
          </cell>
          <cell r="I1622">
            <v>0</v>
          </cell>
          <cell r="J1622">
            <v>5</v>
          </cell>
          <cell r="K1622">
            <v>0</v>
          </cell>
        </row>
        <row r="1623">
          <cell r="B1623" t="str">
            <v>nitroshare-android</v>
          </cell>
          <cell r="C1623" t="str">
            <v>nitroshare/nitroshare-android</v>
          </cell>
          <cell r="D1623" t="str">
            <v>nitroshare/nitroshare-android</v>
          </cell>
          <cell r="E1623">
            <v>300</v>
          </cell>
          <cell r="F1623">
            <v>17</v>
          </cell>
          <cell r="G1623">
            <v>6</v>
          </cell>
          <cell r="H1623">
            <v>10859</v>
          </cell>
          <cell r="I1623">
            <v>49</v>
          </cell>
          <cell r="J1623">
            <v>190</v>
          </cell>
          <cell r="K1623">
            <v>51</v>
          </cell>
        </row>
        <row r="1624">
          <cell r="B1624" t="str">
            <v>PicardBarcodeScanner</v>
          </cell>
          <cell r="C1624" t="str">
            <v>phw/PicardBarcodeScanner</v>
          </cell>
          <cell r="D1624" t="str">
            <v>phw/PicardBarcodeScanner</v>
          </cell>
          <cell r="E1624">
            <v>300</v>
          </cell>
          <cell r="F1624">
            <v>22</v>
          </cell>
          <cell r="G1624">
            <v>11</v>
          </cell>
          <cell r="H1624">
            <v>2733</v>
          </cell>
          <cell r="I1624">
            <v>5</v>
          </cell>
          <cell r="J1624">
            <v>14</v>
          </cell>
          <cell r="K1624">
            <v>1</v>
          </cell>
        </row>
        <row r="1625">
          <cell r="B1625" t="str">
            <v>Cattle</v>
          </cell>
          <cell r="C1625" t="str">
            <v>Anthonyeef/Cattle</v>
          </cell>
          <cell r="D1625" t="str">
            <v>Anthonyeef/Cattle</v>
          </cell>
          <cell r="E1625">
            <v>300</v>
          </cell>
          <cell r="F1625">
            <v>65</v>
          </cell>
          <cell r="G1625">
            <v>1</v>
          </cell>
          <cell r="H1625">
            <v>17583</v>
          </cell>
          <cell r="I1625">
            <v>1</v>
          </cell>
          <cell r="J1625">
            <v>6</v>
          </cell>
          <cell r="K1625">
            <v>3</v>
          </cell>
        </row>
        <row r="1626">
          <cell r="B1626" t="str">
            <v>trickytripper</v>
          </cell>
          <cell r="C1626" t="str">
            <v>koelleChristian/trickytripper</v>
          </cell>
          <cell r="D1626" t="str">
            <v>koelleChristian/trickytripper</v>
          </cell>
          <cell r="E1626">
            <v>301</v>
          </cell>
          <cell r="F1626">
            <v>14</v>
          </cell>
          <cell r="G1626">
            <v>6</v>
          </cell>
          <cell r="H1626">
            <v>30533</v>
          </cell>
          <cell r="I1626">
            <v>15</v>
          </cell>
          <cell r="J1626">
            <v>45</v>
          </cell>
          <cell r="K1626">
            <v>22</v>
          </cell>
        </row>
        <row r="1627">
          <cell r="B1627" t="str">
            <v>kyouen-android</v>
          </cell>
          <cell r="C1627" t="str">
            <v>noboru-i/kyouen-android</v>
          </cell>
          <cell r="D1627" t="str">
            <v>noboru-i/kyouen-android</v>
          </cell>
          <cell r="E1627">
            <v>301</v>
          </cell>
          <cell r="F1627">
            <v>64</v>
          </cell>
          <cell r="G1627">
            <v>1</v>
          </cell>
          <cell r="H1627">
            <v>2810</v>
          </cell>
          <cell r="I1627">
            <v>0</v>
          </cell>
          <cell r="J1627">
            <v>1</v>
          </cell>
          <cell r="K1627">
            <v>11</v>
          </cell>
        </row>
        <row r="1628">
          <cell r="B1628" t="str">
            <v>webmon</v>
          </cell>
          <cell r="C1628" t="str">
            <v>theAkito/webmon</v>
          </cell>
          <cell r="D1628" t="str">
            <v>theAkito/webmon</v>
          </cell>
          <cell r="E1628">
            <v>302</v>
          </cell>
          <cell r="F1628">
            <v>4</v>
          </cell>
          <cell r="G1628">
            <v>4</v>
          </cell>
          <cell r="H1628">
            <v>25480</v>
          </cell>
          <cell r="I1628">
            <v>5</v>
          </cell>
          <cell r="J1628">
            <v>36</v>
          </cell>
          <cell r="K1628">
            <v>11</v>
          </cell>
        </row>
        <row r="1629">
          <cell r="B1629" t="str">
            <v>MLManager</v>
          </cell>
          <cell r="C1629" t="str">
            <v>javiersantos/MLManager</v>
          </cell>
          <cell r="D1629" t="str">
            <v>javiersantos/MLManager</v>
          </cell>
          <cell r="E1629">
            <v>303</v>
          </cell>
          <cell r="F1629">
            <v>12</v>
          </cell>
          <cell r="G1629">
            <v>2</v>
          </cell>
          <cell r="H1629">
            <v>5712</v>
          </cell>
          <cell r="I1629">
            <v>410</v>
          </cell>
          <cell r="J1629">
            <v>1170</v>
          </cell>
          <cell r="K1629">
            <v>7</v>
          </cell>
        </row>
        <row r="1630">
          <cell r="B1630" t="str">
            <v>Coffee</v>
          </cell>
          <cell r="C1630" t="str">
            <v>mueller-ma/Coffee</v>
          </cell>
          <cell r="D1630" t="str">
            <v>mueller-ma/Coffee</v>
          </cell>
          <cell r="E1630">
            <v>303</v>
          </cell>
          <cell r="F1630">
            <v>186</v>
          </cell>
          <cell r="G1630">
            <v>20</v>
          </cell>
          <cell r="H1630">
            <v>1602</v>
          </cell>
          <cell r="I1630">
            <v>21</v>
          </cell>
          <cell r="J1630">
            <v>176</v>
          </cell>
          <cell r="K1630">
            <v>7</v>
          </cell>
        </row>
        <row r="1631">
          <cell r="B1631" t="str">
            <v>soTired</v>
          </cell>
          <cell r="C1631" t="str">
            <v>teamulster2/soTired</v>
          </cell>
          <cell r="D1631" t="str">
            <v>teamulster2/soTired</v>
          </cell>
          <cell r="E1631">
            <v>304</v>
          </cell>
          <cell r="F1631">
            <v>43</v>
          </cell>
          <cell r="G1631">
            <v>5</v>
          </cell>
          <cell r="H1631">
            <v>11491</v>
          </cell>
          <cell r="I1631">
            <v>1</v>
          </cell>
          <cell r="J1631">
            <v>5</v>
          </cell>
          <cell r="K1631">
            <v>6</v>
          </cell>
        </row>
        <row r="1632">
          <cell r="B1632" t="str">
            <v>Symbol</v>
          </cell>
          <cell r="C1632" t="str">
            <v>mingli1/Symbol</v>
          </cell>
          <cell r="D1632" t="str">
            <v>mingli1/Symbol</v>
          </cell>
          <cell r="E1632">
            <v>307</v>
          </cell>
          <cell r="F1632">
            <v>4</v>
          </cell>
          <cell r="G1632">
            <v>1</v>
          </cell>
          <cell r="H1632">
            <v>4298</v>
          </cell>
          <cell r="I1632">
            <v>1</v>
          </cell>
          <cell r="J1632">
            <v>6</v>
          </cell>
          <cell r="K1632">
            <v>10</v>
          </cell>
        </row>
        <row r="1633">
          <cell r="B1633" t="str">
            <v>Sallefy</v>
          </cell>
          <cell r="C1633" t="str">
            <v>FerranMontoliu/Sallefy</v>
          </cell>
          <cell r="D1633" t="str">
            <v>FerranMontoliu/Sallefy</v>
          </cell>
          <cell r="E1633">
            <v>307</v>
          </cell>
          <cell r="F1633">
            <v>64</v>
          </cell>
          <cell r="G1633">
            <v>5</v>
          </cell>
          <cell r="H1633">
            <v>909</v>
          </cell>
          <cell r="I1633">
            <v>0</v>
          </cell>
          <cell r="J1633">
            <v>1</v>
          </cell>
          <cell r="K1633">
            <v>0</v>
          </cell>
        </row>
        <row r="1634">
          <cell r="B1634" t="str">
            <v>ArpavBTS</v>
          </cell>
          <cell r="C1634" t="str">
            <v>Alberto97/ArpavBTS</v>
          </cell>
          <cell r="D1634" t="str">
            <v>Alberto97/ArpavBTS</v>
          </cell>
          <cell r="E1634">
            <v>307</v>
          </cell>
          <cell r="F1634">
            <v>102</v>
          </cell>
          <cell r="G1634">
            <v>2</v>
          </cell>
          <cell r="H1634">
            <v>759</v>
          </cell>
          <cell r="I1634">
            <v>0</v>
          </cell>
          <cell r="J1634">
            <v>1</v>
          </cell>
          <cell r="K1634">
            <v>1</v>
          </cell>
        </row>
        <row r="1635">
          <cell r="B1635" t="str">
            <v>PixImagePicker</v>
          </cell>
          <cell r="C1635" t="str">
            <v>akshay2211/PixImagePicker</v>
          </cell>
          <cell r="D1635" t="str">
            <v>akshay2211/PixImagePicker</v>
          </cell>
          <cell r="E1635">
            <v>308</v>
          </cell>
          <cell r="F1635">
            <v>50</v>
          </cell>
          <cell r="G1635">
            <v>13</v>
          </cell>
          <cell r="H1635">
            <v>16888</v>
          </cell>
          <cell r="I1635">
            <v>204</v>
          </cell>
          <cell r="J1635">
            <v>758</v>
          </cell>
          <cell r="K1635">
            <v>12</v>
          </cell>
        </row>
        <row r="1636">
          <cell r="B1636" t="str">
            <v>webaudio-spectrum-analyser</v>
          </cell>
          <cell r="C1636" t="str">
            <v>dead-beef/webaudio-spectrum-analyser</v>
          </cell>
          <cell r="D1636" t="str">
            <v>dead-beef/webaudio-spectrum-analyser</v>
          </cell>
          <cell r="E1636">
            <v>308</v>
          </cell>
          <cell r="F1636">
            <v>64</v>
          </cell>
          <cell r="G1636">
            <v>3</v>
          </cell>
          <cell r="H1636">
            <v>8569</v>
          </cell>
          <cell r="I1636">
            <v>4</v>
          </cell>
          <cell r="J1636">
            <v>7</v>
          </cell>
          <cell r="K1636">
            <v>10</v>
          </cell>
        </row>
        <row r="1637">
          <cell r="B1637" t="str">
            <v>Tinfoil-Facebook</v>
          </cell>
          <cell r="C1637" t="str">
            <v>velazcod/Tinfoil-Facebook</v>
          </cell>
          <cell r="D1637" t="str">
            <v>velazcod/Tinfoil-Facebook</v>
          </cell>
          <cell r="E1637">
            <v>309</v>
          </cell>
          <cell r="F1637">
            <v>23</v>
          </cell>
          <cell r="G1637">
            <v>11</v>
          </cell>
          <cell r="H1637">
            <v>32503</v>
          </cell>
          <cell r="I1637">
            <v>63</v>
          </cell>
          <cell r="J1637">
            <v>246</v>
          </cell>
          <cell r="K1637">
            <v>71</v>
          </cell>
        </row>
        <row r="1638">
          <cell r="B1638" t="str">
            <v>pretixprint-android</v>
          </cell>
          <cell r="C1638" t="str">
            <v>pretix/pretixprint-android</v>
          </cell>
          <cell r="D1638" t="str">
            <v>pretix/pretixprint-android</v>
          </cell>
          <cell r="E1638">
            <v>309</v>
          </cell>
          <cell r="F1638">
            <v>44</v>
          </cell>
          <cell r="G1638">
            <v>4</v>
          </cell>
          <cell r="H1638">
            <v>16882</v>
          </cell>
          <cell r="I1638">
            <v>6</v>
          </cell>
          <cell r="J1638">
            <v>2</v>
          </cell>
          <cell r="K1638">
            <v>11</v>
          </cell>
        </row>
        <row r="1639">
          <cell r="B1639" t="str">
            <v>Onesentence</v>
          </cell>
          <cell r="C1639" t="str">
            <v>KenMizz/Onesentence</v>
          </cell>
          <cell r="D1639" t="str">
            <v>KenMizz/Onesentence</v>
          </cell>
          <cell r="E1639">
            <v>309</v>
          </cell>
          <cell r="F1639">
            <v>66</v>
          </cell>
          <cell r="G1639">
            <v>4</v>
          </cell>
          <cell r="H1639">
            <v>1212</v>
          </cell>
          <cell r="I1639">
            <v>1</v>
          </cell>
          <cell r="J1639">
            <v>2</v>
          </cell>
          <cell r="K1639">
            <v>9</v>
          </cell>
        </row>
        <row r="1640">
          <cell r="B1640" t="str">
            <v>Scoreboard</v>
          </cell>
          <cell r="C1640" t="str">
            <v>vatbub/Scoreboard</v>
          </cell>
          <cell r="D1640" t="str">
            <v>vatbub/Scoreboard</v>
          </cell>
          <cell r="E1640">
            <v>309</v>
          </cell>
          <cell r="F1640">
            <v>163</v>
          </cell>
          <cell r="G1640">
            <v>3</v>
          </cell>
          <cell r="H1640">
            <v>4547</v>
          </cell>
          <cell r="I1640">
            <v>0</v>
          </cell>
          <cell r="J1640">
            <v>7</v>
          </cell>
          <cell r="K1640">
            <v>15</v>
          </cell>
        </row>
        <row r="1641">
          <cell r="B1641" t="str">
            <v>student_app</v>
          </cell>
          <cell r="C1641" t="str">
            <v>CSEKINGS/student_app</v>
          </cell>
          <cell r="D1641" t="str">
            <v>CSEKINGS/student_app</v>
          </cell>
          <cell r="E1641">
            <v>310</v>
          </cell>
          <cell r="F1641">
            <v>20</v>
          </cell>
          <cell r="G1641">
            <v>9</v>
          </cell>
          <cell r="H1641">
            <v>25015</v>
          </cell>
          <cell r="I1641">
            <v>16</v>
          </cell>
          <cell r="J1641">
            <v>18</v>
          </cell>
          <cell r="K1641">
            <v>12</v>
          </cell>
        </row>
        <row r="1642">
          <cell r="B1642" t="str">
            <v>Last-Launcher</v>
          </cell>
          <cell r="C1642" t="str">
            <v>SubhamTyagi/Last-Launcher</v>
          </cell>
          <cell r="D1642" t="str">
            <v>SubhamTyagi/Last-Launcher</v>
          </cell>
          <cell r="E1642">
            <v>310</v>
          </cell>
          <cell r="F1642">
            <v>89</v>
          </cell>
          <cell r="G1642">
            <v>33</v>
          </cell>
          <cell r="H1642">
            <v>10403</v>
          </cell>
          <cell r="I1642">
            <v>47</v>
          </cell>
          <cell r="J1642">
            <v>159</v>
          </cell>
          <cell r="K1642">
            <v>70</v>
          </cell>
        </row>
        <row r="1643">
          <cell r="B1643" t="str">
            <v>privacy-friendly-passwordgenerator</v>
          </cell>
          <cell r="C1643" t="str">
            <v>SecUSo/privacy-friendly-passwordgenerator</v>
          </cell>
          <cell r="D1643" t="str">
            <v>SecUSo/privacy-friendly-passwordgenerator</v>
          </cell>
          <cell r="E1643">
            <v>311</v>
          </cell>
          <cell r="F1643">
            <v>10</v>
          </cell>
          <cell r="G1643">
            <v>9</v>
          </cell>
          <cell r="H1643">
            <v>1743</v>
          </cell>
          <cell r="I1643">
            <v>14</v>
          </cell>
          <cell r="J1643">
            <v>38</v>
          </cell>
          <cell r="K1643">
            <v>26</v>
          </cell>
        </row>
        <row r="1644">
          <cell r="B1644" t="str">
            <v>Anecdote</v>
          </cell>
          <cell r="C1644" t="str">
            <v>HugoGresse/Anecdote</v>
          </cell>
          <cell r="D1644" t="str">
            <v>HugoGresse/Anecdote</v>
          </cell>
          <cell r="E1644">
            <v>311</v>
          </cell>
          <cell r="F1644">
            <v>39</v>
          </cell>
          <cell r="G1644">
            <v>5</v>
          </cell>
          <cell r="H1644">
            <v>7867</v>
          </cell>
          <cell r="I1644">
            <v>13</v>
          </cell>
          <cell r="J1644">
            <v>35</v>
          </cell>
          <cell r="K1644">
            <v>10</v>
          </cell>
        </row>
        <row r="1645">
          <cell r="B1645" t="str">
            <v>android-ocr</v>
          </cell>
          <cell r="C1645" t="str">
            <v>SubhamTyagi/android-ocr</v>
          </cell>
          <cell r="D1645" t="str">
            <v>SubhamTyagi/android-ocr</v>
          </cell>
          <cell r="E1645">
            <v>311</v>
          </cell>
          <cell r="F1645">
            <v>60</v>
          </cell>
          <cell r="G1645">
            <v>68</v>
          </cell>
          <cell r="H1645">
            <v>19801</v>
          </cell>
          <cell r="I1645">
            <v>41</v>
          </cell>
          <cell r="J1645">
            <v>206</v>
          </cell>
          <cell r="K1645">
            <v>23</v>
          </cell>
        </row>
        <row r="1646">
          <cell r="B1646" t="str">
            <v>amirisback_frogo-admob</v>
          </cell>
          <cell r="C1646" t="str">
            <v>actions-marketplace-validations/amirisback_frogo-admob</v>
          </cell>
          <cell r="D1646" t="str">
            <v>actions-marketplace-validations/amirisback_frogo-admob</v>
          </cell>
          <cell r="E1646">
            <v>312</v>
          </cell>
          <cell r="F1646">
            <v>0</v>
          </cell>
          <cell r="G1646">
            <v>1</v>
          </cell>
          <cell r="H1646">
            <v>3207</v>
          </cell>
          <cell r="I1646">
            <v>0</v>
          </cell>
          <cell r="J1646">
            <v>1</v>
          </cell>
          <cell r="K1646">
            <v>0</v>
          </cell>
        </row>
        <row r="1647">
          <cell r="B1647" t="str">
            <v>hrv-band</v>
          </cell>
          <cell r="C1647" t="str">
            <v>HRVBand/hrv-band</v>
          </cell>
          <cell r="D1647" t="str">
            <v>HRVBand/hrv-band</v>
          </cell>
          <cell r="E1647">
            <v>313</v>
          </cell>
          <cell r="F1647">
            <v>4</v>
          </cell>
          <cell r="G1647">
            <v>2</v>
          </cell>
          <cell r="H1647">
            <v>28680</v>
          </cell>
          <cell r="I1647">
            <v>2</v>
          </cell>
          <cell r="J1647">
            <v>20</v>
          </cell>
          <cell r="K1647">
            <v>40</v>
          </cell>
        </row>
        <row r="1648">
          <cell r="B1648" t="str">
            <v>sph-planner</v>
          </cell>
          <cell r="C1648" t="str">
            <v>koenidv/sph-planner</v>
          </cell>
          <cell r="D1648" t="str">
            <v>koenidv/sph-planner</v>
          </cell>
          <cell r="E1648">
            <v>313</v>
          </cell>
          <cell r="F1648">
            <v>12</v>
          </cell>
          <cell r="G1648">
            <v>4</v>
          </cell>
          <cell r="H1648">
            <v>11853</v>
          </cell>
          <cell r="I1648">
            <v>2</v>
          </cell>
          <cell r="J1648">
            <v>9</v>
          </cell>
          <cell r="K1648">
            <v>17</v>
          </cell>
        </row>
        <row r="1649">
          <cell r="B1649" t="str">
            <v>drawa-android</v>
          </cell>
          <cell r="C1649" t="str">
            <v>solkin/drawa-android</v>
          </cell>
          <cell r="D1649" t="str">
            <v>solkin/drawa-android</v>
          </cell>
          <cell r="E1649">
            <v>314</v>
          </cell>
          <cell r="F1649">
            <v>0</v>
          </cell>
          <cell r="G1649">
            <v>1</v>
          </cell>
          <cell r="H1649">
            <v>5038</v>
          </cell>
          <cell r="I1649">
            <v>6</v>
          </cell>
          <cell r="J1649">
            <v>17</v>
          </cell>
          <cell r="K1649">
            <v>0</v>
          </cell>
        </row>
        <row r="1650">
          <cell r="B1650" t="str">
            <v>ChatifyApp-flutter</v>
          </cell>
          <cell r="C1650" t="str">
            <v>edilsonmatola/ChatifyApp-flutter</v>
          </cell>
          <cell r="D1650" t="str">
            <v>edilsonmatola/ChatifyApp-flutter</v>
          </cell>
          <cell r="E1650">
            <v>314</v>
          </cell>
          <cell r="F1650">
            <v>43</v>
          </cell>
          <cell r="G1650">
            <v>2</v>
          </cell>
          <cell r="H1650">
            <v>3551</v>
          </cell>
          <cell r="I1650">
            <v>4</v>
          </cell>
          <cell r="J1650">
            <v>7</v>
          </cell>
          <cell r="K1650">
            <v>1</v>
          </cell>
        </row>
        <row r="1651">
          <cell r="B1651" t="str">
            <v>cheers-li-app</v>
          </cell>
          <cell r="C1651" t="str">
            <v>cheers-li/cheers-li-app</v>
          </cell>
          <cell r="D1651" t="str">
            <v>cheers-li/cheers-li-app</v>
          </cell>
          <cell r="E1651">
            <v>314</v>
          </cell>
          <cell r="F1651">
            <v>61</v>
          </cell>
          <cell r="G1651">
            <v>4</v>
          </cell>
          <cell r="H1651">
            <v>14807</v>
          </cell>
          <cell r="I1651">
            <v>3</v>
          </cell>
          <cell r="J1651">
            <v>14</v>
          </cell>
          <cell r="K1651">
            <v>9</v>
          </cell>
        </row>
        <row r="1652">
          <cell r="B1652" t="str">
            <v>Permission-Nanny</v>
          </cell>
          <cell r="C1652" t="str">
            <v>littledot/Permission-Nanny</v>
          </cell>
          <cell r="D1652" t="str">
            <v>littledot/Permission-Nanny</v>
          </cell>
          <cell r="E1652">
            <v>315</v>
          </cell>
          <cell r="F1652">
            <v>1</v>
          </cell>
          <cell r="G1652">
            <v>2</v>
          </cell>
          <cell r="H1652">
            <v>1048</v>
          </cell>
          <cell r="I1652">
            <v>10</v>
          </cell>
          <cell r="J1652">
            <v>21</v>
          </cell>
          <cell r="K1652">
            <v>0</v>
          </cell>
        </row>
        <row r="1653">
          <cell r="B1653" t="str">
            <v>AnyLayer</v>
          </cell>
          <cell r="C1653" t="str">
            <v>goweii/AnyLayer</v>
          </cell>
          <cell r="D1653" t="str">
            <v>goweii/AnyLayer</v>
          </cell>
          <cell r="E1653">
            <v>316</v>
          </cell>
          <cell r="F1653">
            <v>2</v>
          </cell>
          <cell r="G1653">
            <v>2</v>
          </cell>
          <cell r="H1653">
            <v>65689</v>
          </cell>
          <cell r="I1653">
            <v>110</v>
          </cell>
          <cell r="J1653">
            <v>975</v>
          </cell>
          <cell r="K1653">
            <v>6</v>
          </cell>
        </row>
        <row r="1654">
          <cell r="B1654" t="str">
            <v>TuCanMobile</v>
          </cell>
          <cell r="C1654" t="str">
            <v>Tyde/TuCanMobile</v>
          </cell>
          <cell r="D1654" t="str">
            <v>Tyde/TuCanMobile</v>
          </cell>
          <cell r="E1654">
            <v>316</v>
          </cell>
          <cell r="F1654">
            <v>13</v>
          </cell>
          <cell r="G1654">
            <v>4</v>
          </cell>
          <cell r="H1654">
            <v>14483</v>
          </cell>
          <cell r="I1654">
            <v>2</v>
          </cell>
          <cell r="J1654">
            <v>10</v>
          </cell>
          <cell r="K1654">
            <v>11</v>
          </cell>
        </row>
        <row r="1655">
          <cell r="B1655" t="str">
            <v>mate_app</v>
          </cell>
          <cell r="C1655" t="str">
            <v>mate-app/mate_app</v>
          </cell>
          <cell r="D1655" t="str">
            <v>mate-app/mate_app</v>
          </cell>
          <cell r="E1655">
            <v>318</v>
          </cell>
          <cell r="F1655">
            <v>8</v>
          </cell>
          <cell r="G1655">
            <v>2</v>
          </cell>
          <cell r="H1655">
            <v>1501</v>
          </cell>
          <cell r="I1655">
            <v>0</v>
          </cell>
          <cell r="J1655">
            <v>2</v>
          </cell>
          <cell r="K1655">
            <v>5</v>
          </cell>
        </row>
        <row r="1656">
          <cell r="B1656" t="str">
            <v>SeviBus</v>
          </cell>
          <cell r="C1656" t="str">
            <v>Sloy/SeviBus</v>
          </cell>
          <cell r="D1656" t="str">
            <v>Sloy/SeviBus</v>
          </cell>
          <cell r="E1656">
            <v>318</v>
          </cell>
          <cell r="F1656">
            <v>26</v>
          </cell>
          <cell r="G1656">
            <v>1</v>
          </cell>
          <cell r="H1656">
            <v>3373</v>
          </cell>
          <cell r="I1656">
            <v>7</v>
          </cell>
          <cell r="J1656">
            <v>17</v>
          </cell>
          <cell r="K1656">
            <v>10</v>
          </cell>
        </row>
        <row r="1657">
          <cell r="B1657" t="str">
            <v>any</v>
          </cell>
          <cell r="C1657" t="str">
            <v>dokar3/any</v>
          </cell>
          <cell r="D1657" t="str">
            <v>dokar3/any</v>
          </cell>
          <cell r="E1657">
            <v>318</v>
          </cell>
          <cell r="F1657">
            <v>96</v>
          </cell>
          <cell r="G1657">
            <v>2</v>
          </cell>
          <cell r="H1657">
            <v>3715</v>
          </cell>
          <cell r="I1657">
            <v>0</v>
          </cell>
          <cell r="J1657">
            <v>7</v>
          </cell>
          <cell r="K1657">
            <v>2</v>
          </cell>
        </row>
        <row r="1658">
          <cell r="B1658" t="str">
            <v>passwd</v>
          </cell>
          <cell r="C1658" t="str">
            <v>passwdapp/passwd</v>
          </cell>
          <cell r="D1658" t="str">
            <v>passwdapp/passwd</v>
          </cell>
          <cell r="E1658">
            <v>320</v>
          </cell>
          <cell r="F1658">
            <v>5</v>
          </cell>
          <cell r="G1658">
            <v>3</v>
          </cell>
          <cell r="H1658">
            <v>9610</v>
          </cell>
          <cell r="I1658">
            <v>20</v>
          </cell>
          <cell r="J1658">
            <v>148</v>
          </cell>
          <cell r="K1658">
            <v>11</v>
          </cell>
        </row>
        <row r="1659">
          <cell r="B1659" t="str">
            <v>oRing_Reminder</v>
          </cell>
          <cell r="C1659" t="str">
            <v>lubenard/oRing_Reminder</v>
          </cell>
          <cell r="D1659" t="str">
            <v>lubenard/oRing_Reminder</v>
          </cell>
          <cell r="E1659">
            <v>320</v>
          </cell>
          <cell r="F1659">
            <v>7</v>
          </cell>
          <cell r="G1659">
            <v>5</v>
          </cell>
          <cell r="H1659">
            <v>2205</v>
          </cell>
          <cell r="I1659">
            <v>6</v>
          </cell>
          <cell r="J1659">
            <v>8</v>
          </cell>
          <cell r="K1659">
            <v>2</v>
          </cell>
        </row>
        <row r="1660">
          <cell r="B1660" t="str">
            <v>ddcc-validator</v>
          </cell>
          <cell r="C1660" t="str">
            <v>WorldHealthOrganization/ddcc-validator</v>
          </cell>
          <cell r="D1660" t="str">
            <v>WorldHealthOrganization/ddcc-validator</v>
          </cell>
          <cell r="E1660">
            <v>322</v>
          </cell>
          <cell r="F1660">
            <v>0</v>
          </cell>
          <cell r="G1660">
            <v>2</v>
          </cell>
          <cell r="H1660">
            <v>11104</v>
          </cell>
          <cell r="I1660">
            <v>0</v>
          </cell>
          <cell r="J1660">
            <v>8</v>
          </cell>
          <cell r="K1660">
            <v>0</v>
          </cell>
        </row>
        <row r="1661">
          <cell r="B1661" t="str">
            <v>just_another_workout_timer</v>
          </cell>
          <cell r="C1661" t="str">
            <v>blockbasti/just_another_workout_timer</v>
          </cell>
          <cell r="D1661" t="str">
            <v>blockbasti/just_another_workout_timer</v>
          </cell>
          <cell r="E1661">
            <v>322</v>
          </cell>
          <cell r="F1661">
            <v>77</v>
          </cell>
          <cell r="G1661">
            <v>7</v>
          </cell>
          <cell r="H1661">
            <v>1934</v>
          </cell>
          <cell r="I1661">
            <v>15</v>
          </cell>
          <cell r="J1661">
            <v>83</v>
          </cell>
          <cell r="K1661">
            <v>24</v>
          </cell>
        </row>
        <row r="1662">
          <cell r="B1662" t="str">
            <v>1Rramp-Android</v>
          </cell>
          <cell r="C1662" t="str">
            <v>hapramp/1Rramp-Android</v>
          </cell>
          <cell r="D1662" t="str">
            <v>hapramp/1Rramp-Android</v>
          </cell>
          <cell r="E1662">
            <v>322</v>
          </cell>
          <cell r="F1662">
            <v>173</v>
          </cell>
          <cell r="G1662">
            <v>3</v>
          </cell>
          <cell r="H1662">
            <v>17261</v>
          </cell>
          <cell r="I1662">
            <v>7</v>
          </cell>
          <cell r="J1662">
            <v>26</v>
          </cell>
          <cell r="K1662">
            <v>24</v>
          </cell>
        </row>
        <row r="1663">
          <cell r="B1663" t="str">
            <v>Flashy</v>
          </cell>
          <cell r="C1663" t="str">
            <v>Crazy-Marvin/Flashy</v>
          </cell>
          <cell r="D1663" t="str">
            <v>Crazy-Marvin/Flashy</v>
          </cell>
          <cell r="E1663">
            <v>323</v>
          </cell>
          <cell r="F1663">
            <v>120</v>
          </cell>
          <cell r="G1663">
            <v>49</v>
          </cell>
          <cell r="H1663">
            <v>1204</v>
          </cell>
          <cell r="I1663">
            <v>21</v>
          </cell>
          <cell r="J1663">
            <v>65</v>
          </cell>
          <cell r="K1663">
            <v>7</v>
          </cell>
        </row>
        <row r="1664">
          <cell r="B1664" t="str">
            <v>ParisTransportTraffic</v>
          </cell>
          <cell r="C1664" t="str">
            <v>corenting/ParisTransportTraffic</v>
          </cell>
          <cell r="D1664" t="str">
            <v>corenting/ParisTransportTraffic</v>
          </cell>
          <cell r="E1664">
            <v>324</v>
          </cell>
          <cell r="F1664">
            <v>242</v>
          </cell>
          <cell r="G1664">
            <v>4</v>
          </cell>
          <cell r="H1664">
            <v>1705</v>
          </cell>
          <cell r="I1664">
            <v>1</v>
          </cell>
          <cell r="J1664">
            <v>10</v>
          </cell>
          <cell r="K1664">
            <v>2</v>
          </cell>
        </row>
        <row r="1665">
          <cell r="B1665" t="str">
            <v>DRIVER-Android</v>
          </cell>
          <cell r="C1665" t="str">
            <v>WorldBank-Transport/DRIVER-Android</v>
          </cell>
          <cell r="D1665" t="str">
            <v>WorldBank-Transport/DRIVER-Android</v>
          </cell>
          <cell r="E1665">
            <v>325</v>
          </cell>
          <cell r="F1665">
            <v>59</v>
          </cell>
          <cell r="G1665">
            <v>5</v>
          </cell>
          <cell r="H1665">
            <v>2405</v>
          </cell>
          <cell r="I1665">
            <v>7</v>
          </cell>
          <cell r="J1665">
            <v>4</v>
          </cell>
          <cell r="K1665">
            <v>4</v>
          </cell>
        </row>
        <row r="1666">
          <cell r="B1666" t="str">
            <v>Monster-Compendium</v>
          </cell>
          <cell r="C1666" t="str">
            <v>alexandregpereira/Monster-Compendium</v>
          </cell>
          <cell r="D1666" t="str">
            <v>alexandregpereira/Monster-Compendium</v>
          </cell>
          <cell r="E1666">
            <v>325</v>
          </cell>
          <cell r="F1666">
            <v>161</v>
          </cell>
          <cell r="G1666">
            <v>2</v>
          </cell>
          <cell r="H1666">
            <v>911158</v>
          </cell>
          <cell r="I1666">
            <v>4</v>
          </cell>
          <cell r="J1666">
            <v>68</v>
          </cell>
          <cell r="K1666">
            <v>2</v>
          </cell>
        </row>
        <row r="1667">
          <cell r="B1667" t="str">
            <v>resync</v>
          </cell>
          <cell r="C1667" t="str">
            <v>fmonniot/resync</v>
          </cell>
          <cell r="D1667" t="str">
            <v>fmonniot/resync</v>
          </cell>
          <cell r="E1667">
            <v>325</v>
          </cell>
          <cell r="F1667">
            <v>290</v>
          </cell>
          <cell r="G1667">
            <v>2</v>
          </cell>
          <cell r="H1667">
            <v>683</v>
          </cell>
          <cell r="I1667">
            <v>0</v>
          </cell>
          <cell r="J1667">
            <v>2</v>
          </cell>
          <cell r="K1667">
            <v>6</v>
          </cell>
        </row>
        <row r="1668">
          <cell r="B1668" t="str">
            <v>AtmosWeather</v>
          </cell>
          <cell r="C1668" t="str">
            <v>atticuscornett/AtmosWeather</v>
          </cell>
          <cell r="D1668" t="str">
            <v>atticuscornett/AtmosWeather</v>
          </cell>
          <cell r="E1668">
            <v>326</v>
          </cell>
          <cell r="F1668">
            <v>3</v>
          </cell>
          <cell r="G1668">
            <v>4</v>
          </cell>
          <cell r="H1668">
            <v>749966</v>
          </cell>
          <cell r="I1668">
            <v>2</v>
          </cell>
          <cell r="J1668">
            <v>5</v>
          </cell>
          <cell r="K1668">
            <v>1</v>
          </cell>
        </row>
        <row r="1669">
          <cell r="B1669" t="str">
            <v>Flowit</v>
          </cell>
          <cell r="C1669" t="str">
            <v>Flowit-Game/Flowit</v>
          </cell>
          <cell r="D1669" t="str">
            <v>Flowit-Game/Flowit</v>
          </cell>
          <cell r="E1669">
            <v>326</v>
          </cell>
          <cell r="F1669">
            <v>13</v>
          </cell>
          <cell r="G1669">
            <v>6</v>
          </cell>
          <cell r="H1669">
            <v>21672</v>
          </cell>
          <cell r="I1669">
            <v>4</v>
          </cell>
          <cell r="J1669">
            <v>49</v>
          </cell>
          <cell r="K1669">
            <v>8</v>
          </cell>
        </row>
        <row r="1670">
          <cell r="B1670" t="str">
            <v>Youkai</v>
          </cell>
          <cell r="C1670" t="str">
            <v>youkai-app/Youkai</v>
          </cell>
          <cell r="D1670" t="str">
            <v>youkai-app/Youkai</v>
          </cell>
          <cell r="E1670">
            <v>326</v>
          </cell>
          <cell r="F1670">
            <v>16</v>
          </cell>
          <cell r="G1670">
            <v>3</v>
          </cell>
          <cell r="H1670">
            <v>830</v>
          </cell>
          <cell r="I1670">
            <v>4</v>
          </cell>
          <cell r="J1670">
            <v>26</v>
          </cell>
          <cell r="K1670">
            <v>2</v>
          </cell>
        </row>
        <row r="1671">
          <cell r="B1671" t="str">
            <v>SlideAndDragListView</v>
          </cell>
          <cell r="C1671" t="str">
            <v>yydcdut/SlideAndDragListView</v>
          </cell>
          <cell r="D1671" t="str">
            <v>yydcdut/SlideAndDragListView</v>
          </cell>
          <cell r="E1671">
            <v>327</v>
          </cell>
          <cell r="F1671">
            <v>4</v>
          </cell>
          <cell r="G1671">
            <v>3</v>
          </cell>
          <cell r="H1671">
            <v>38402</v>
          </cell>
          <cell r="I1671">
            <v>194</v>
          </cell>
          <cell r="J1671">
            <v>518</v>
          </cell>
          <cell r="K1671">
            <v>6</v>
          </cell>
        </row>
        <row r="1672">
          <cell r="B1672" t="str">
            <v>PdfViewer</v>
          </cell>
          <cell r="C1672" t="str">
            <v>GrapheneOS/PdfViewer</v>
          </cell>
          <cell r="D1672" t="str">
            <v>GrapheneOS/PdfViewer</v>
          </cell>
          <cell r="E1672">
            <v>327</v>
          </cell>
          <cell r="F1672">
            <v>146</v>
          </cell>
          <cell r="G1672">
            <v>21</v>
          </cell>
          <cell r="H1672">
            <v>1889</v>
          </cell>
          <cell r="I1672">
            <v>69</v>
          </cell>
          <cell r="J1672">
            <v>347</v>
          </cell>
          <cell r="K1672">
            <v>35</v>
          </cell>
        </row>
        <row r="1673">
          <cell r="B1673" t="str">
            <v>osmin</v>
          </cell>
          <cell r="C1673" t="str">
            <v>janbar/osmin</v>
          </cell>
          <cell r="D1673" t="str">
            <v>janbar/osmin</v>
          </cell>
          <cell r="E1673">
            <v>328</v>
          </cell>
          <cell r="F1673">
            <v>5</v>
          </cell>
          <cell r="G1673">
            <v>7</v>
          </cell>
          <cell r="H1673">
            <v>49996</v>
          </cell>
          <cell r="I1673">
            <v>7</v>
          </cell>
          <cell r="J1673">
            <v>41</v>
          </cell>
          <cell r="K1673">
            <v>25</v>
          </cell>
        </row>
        <row r="1674">
          <cell r="B1674" t="str">
            <v>privacy-friendly-todo-list</v>
          </cell>
          <cell r="C1674" t="str">
            <v>SecUSo/privacy-friendly-todo-list</v>
          </cell>
          <cell r="D1674" t="str">
            <v>SecUSo/privacy-friendly-todo-list</v>
          </cell>
          <cell r="E1674">
            <v>328</v>
          </cell>
          <cell r="F1674">
            <v>15</v>
          </cell>
          <cell r="G1674">
            <v>15</v>
          </cell>
          <cell r="H1674">
            <v>56850</v>
          </cell>
          <cell r="I1674">
            <v>42</v>
          </cell>
          <cell r="J1674">
            <v>81</v>
          </cell>
          <cell r="K1674">
            <v>42</v>
          </cell>
        </row>
        <row r="1675">
          <cell r="B1675" t="str">
            <v>hash-checker</v>
          </cell>
          <cell r="C1675" t="str">
            <v>hash-checker/hash-checker</v>
          </cell>
          <cell r="D1675" t="str">
            <v>hash-checker/hash-checker</v>
          </cell>
          <cell r="E1675">
            <v>328</v>
          </cell>
          <cell r="F1675">
            <v>96</v>
          </cell>
          <cell r="G1675">
            <v>10</v>
          </cell>
          <cell r="H1675">
            <v>27719</v>
          </cell>
          <cell r="I1675">
            <v>35</v>
          </cell>
          <cell r="J1675">
            <v>93</v>
          </cell>
          <cell r="K1675">
            <v>19</v>
          </cell>
        </row>
        <row r="1676">
          <cell r="B1676" t="str">
            <v>gomobile-ipfs</v>
          </cell>
          <cell r="C1676" t="str">
            <v>ipfs-shipyard/gomobile-ipfs</v>
          </cell>
          <cell r="D1676" t="str">
            <v>ipfs-shipyard/gomobile-ipfs</v>
          </cell>
          <cell r="E1676">
            <v>328</v>
          </cell>
          <cell r="F1676">
            <v>97</v>
          </cell>
          <cell r="G1676">
            <v>13</v>
          </cell>
          <cell r="H1676">
            <v>4468</v>
          </cell>
          <cell r="I1676">
            <v>64</v>
          </cell>
          <cell r="J1676">
            <v>262</v>
          </cell>
          <cell r="K1676">
            <v>39</v>
          </cell>
        </row>
        <row r="1677">
          <cell r="B1677" t="str">
            <v>quake</v>
          </cell>
          <cell r="C1677" t="str">
            <v>veetaw/quake</v>
          </cell>
          <cell r="D1677" t="str">
            <v>veetaw/quake</v>
          </cell>
          <cell r="E1677">
            <v>329</v>
          </cell>
          <cell r="F1677">
            <v>3</v>
          </cell>
          <cell r="G1677">
            <v>3</v>
          </cell>
          <cell r="H1677">
            <v>1105</v>
          </cell>
          <cell r="I1677">
            <v>7</v>
          </cell>
          <cell r="J1677">
            <v>38</v>
          </cell>
          <cell r="K1677">
            <v>3</v>
          </cell>
        </row>
        <row r="1678">
          <cell r="B1678" t="str">
            <v>pokedex</v>
          </cell>
          <cell r="C1678" t="str">
            <v>alanlgoncalves/pokedex</v>
          </cell>
          <cell r="D1678" t="str">
            <v>alanlgoncalves/pokedex</v>
          </cell>
          <cell r="E1678">
            <v>329</v>
          </cell>
          <cell r="F1678">
            <v>8</v>
          </cell>
          <cell r="G1678">
            <v>1</v>
          </cell>
          <cell r="H1678">
            <v>6522</v>
          </cell>
          <cell r="I1678">
            <v>10</v>
          </cell>
          <cell r="J1678">
            <v>49</v>
          </cell>
          <cell r="K1678">
            <v>3</v>
          </cell>
        </row>
        <row r="1679">
          <cell r="B1679" t="str">
            <v>twilio-video-app-android</v>
          </cell>
          <cell r="C1679" t="str">
            <v>twilio/twilio-video-app-android</v>
          </cell>
          <cell r="D1679" t="str">
            <v>twilio/twilio-video-app-android</v>
          </cell>
          <cell r="E1679">
            <v>329</v>
          </cell>
          <cell r="F1679">
            <v>201</v>
          </cell>
          <cell r="G1679">
            <v>10</v>
          </cell>
          <cell r="H1679">
            <v>70434</v>
          </cell>
          <cell r="I1679">
            <v>97</v>
          </cell>
          <cell r="J1679">
            <v>225</v>
          </cell>
          <cell r="K1679">
            <v>16</v>
          </cell>
        </row>
        <row r="1680">
          <cell r="B1680" t="str">
            <v>word-list</v>
          </cell>
          <cell r="C1680" t="str">
            <v>adityakamble49/word-list</v>
          </cell>
          <cell r="D1680" t="str">
            <v>adityakamble49/word-list</v>
          </cell>
          <cell r="E1680">
            <v>330</v>
          </cell>
          <cell r="F1680">
            <v>0</v>
          </cell>
          <cell r="G1680">
            <v>1</v>
          </cell>
          <cell r="H1680">
            <v>1605</v>
          </cell>
          <cell r="I1680">
            <v>0</v>
          </cell>
          <cell r="J1680">
            <v>2</v>
          </cell>
          <cell r="K1680">
            <v>2</v>
          </cell>
        </row>
        <row r="1681">
          <cell r="B1681" t="str">
            <v>file-android</v>
          </cell>
          <cell r="C1681" t="str">
            <v>Mercandj/file-android</v>
          </cell>
          <cell r="D1681" t="str">
            <v>Mercandj/file-android</v>
          </cell>
          <cell r="E1681">
            <v>330</v>
          </cell>
          <cell r="F1681">
            <v>2</v>
          </cell>
          <cell r="G1681">
            <v>2</v>
          </cell>
          <cell r="H1681">
            <v>2514</v>
          </cell>
          <cell r="I1681">
            <v>9</v>
          </cell>
          <cell r="J1681">
            <v>47</v>
          </cell>
          <cell r="K1681">
            <v>1</v>
          </cell>
        </row>
        <row r="1682">
          <cell r="B1682" t="str">
            <v>mentorship-android</v>
          </cell>
          <cell r="C1682" t="str">
            <v>anitab-org/mentorship-android</v>
          </cell>
          <cell r="D1682" t="str">
            <v>anitab-org/mentorship-android</v>
          </cell>
          <cell r="E1682">
            <v>330</v>
          </cell>
          <cell r="F1682">
            <v>760</v>
          </cell>
          <cell r="G1682">
            <v>115</v>
          </cell>
          <cell r="H1682">
            <v>233869</v>
          </cell>
          <cell r="I1682">
            <v>380</v>
          </cell>
          <cell r="J1682">
            <v>156</v>
          </cell>
          <cell r="K1682">
            <v>124</v>
          </cell>
        </row>
        <row r="1683">
          <cell r="B1683" t="str">
            <v>icsx5</v>
          </cell>
          <cell r="C1683" t="str">
            <v>bitfireAT/icsx5</v>
          </cell>
          <cell r="D1683" t="str">
            <v>bitfireAT/icsx5</v>
          </cell>
          <cell r="E1683">
            <v>331</v>
          </cell>
          <cell r="F1683">
            <v>48</v>
          </cell>
          <cell r="G1683">
            <v>7</v>
          </cell>
          <cell r="H1683">
            <v>1453</v>
          </cell>
          <cell r="I1683">
            <v>7</v>
          </cell>
          <cell r="J1683">
            <v>93</v>
          </cell>
          <cell r="K1683">
            <v>9</v>
          </cell>
        </row>
        <row r="1684">
          <cell r="B1684" t="str">
            <v>memetastic</v>
          </cell>
          <cell r="C1684" t="str">
            <v>gsantner/memetastic</v>
          </cell>
          <cell r="D1684" t="str">
            <v>gsantner/memetastic</v>
          </cell>
          <cell r="E1684">
            <v>333</v>
          </cell>
          <cell r="F1684">
            <v>154</v>
          </cell>
          <cell r="G1684">
            <v>31</v>
          </cell>
          <cell r="H1684">
            <v>27899</v>
          </cell>
          <cell r="I1684">
            <v>122</v>
          </cell>
          <cell r="J1684">
            <v>280</v>
          </cell>
          <cell r="K1684">
            <v>13</v>
          </cell>
        </row>
        <row r="1685">
          <cell r="B1685" t="str">
            <v>FakeStandby</v>
          </cell>
          <cell r="C1685" t="str">
            <v>JonasBernard/FakeStandby</v>
          </cell>
          <cell r="D1685" t="str">
            <v>JonasBernard/FakeStandby</v>
          </cell>
          <cell r="E1685">
            <v>335</v>
          </cell>
          <cell r="F1685">
            <v>13</v>
          </cell>
          <cell r="G1685">
            <v>5</v>
          </cell>
          <cell r="H1685">
            <v>24907</v>
          </cell>
          <cell r="I1685">
            <v>16</v>
          </cell>
          <cell r="J1685">
            <v>233</v>
          </cell>
          <cell r="K1685">
            <v>34</v>
          </cell>
        </row>
        <row r="1686">
          <cell r="B1686" t="str">
            <v>calendar-import-export</v>
          </cell>
          <cell r="C1686" t="str">
            <v>SufficientlySecure/calendar-import-export</v>
          </cell>
          <cell r="D1686" t="str">
            <v>SufficientlySecure/calendar-import-export</v>
          </cell>
          <cell r="E1686">
            <v>335</v>
          </cell>
          <cell r="F1686">
            <v>14</v>
          </cell>
          <cell r="G1686">
            <v>7</v>
          </cell>
          <cell r="H1686">
            <v>16858</v>
          </cell>
          <cell r="I1686">
            <v>25</v>
          </cell>
          <cell r="J1686">
            <v>70</v>
          </cell>
          <cell r="K1686">
            <v>43</v>
          </cell>
        </row>
        <row r="1687">
          <cell r="B1687" t="str">
            <v>relaynet-gateway-android</v>
          </cell>
          <cell r="C1687" t="str">
            <v>relaycorp/relaynet-gateway-android</v>
          </cell>
          <cell r="D1687" t="str">
            <v>relaycorp/relaynet-gateway-android</v>
          </cell>
          <cell r="E1687">
            <v>335</v>
          </cell>
          <cell r="F1687">
            <v>638</v>
          </cell>
          <cell r="G1687">
            <v>6</v>
          </cell>
          <cell r="H1687">
            <v>3688</v>
          </cell>
          <cell r="I1687">
            <v>0</v>
          </cell>
          <cell r="J1687">
            <v>8</v>
          </cell>
          <cell r="K1687">
            <v>36</v>
          </cell>
        </row>
        <row r="1688">
          <cell r="B1688" t="str">
            <v>mucke</v>
          </cell>
          <cell r="C1688" t="str">
            <v>moritz-weber/mucke</v>
          </cell>
          <cell r="D1688" t="str">
            <v>moritz-weber/mucke</v>
          </cell>
          <cell r="E1688">
            <v>336</v>
          </cell>
          <cell r="F1688">
            <v>23</v>
          </cell>
          <cell r="G1688">
            <v>4</v>
          </cell>
          <cell r="H1688">
            <v>18809</v>
          </cell>
          <cell r="I1688">
            <v>2</v>
          </cell>
          <cell r="J1688">
            <v>44</v>
          </cell>
          <cell r="K1688">
            <v>18</v>
          </cell>
        </row>
        <row r="1689">
          <cell r="B1689" t="str">
            <v>Koffeemate</v>
          </cell>
          <cell r="C1689" t="str">
            <v>CodemateLtd/Koffeemate</v>
          </cell>
          <cell r="D1689" t="str">
            <v>CodemateLtd/Koffeemate</v>
          </cell>
          <cell r="E1689">
            <v>337</v>
          </cell>
          <cell r="F1689">
            <v>5</v>
          </cell>
          <cell r="G1689">
            <v>1</v>
          </cell>
          <cell r="H1689">
            <v>9646</v>
          </cell>
          <cell r="I1689">
            <v>7</v>
          </cell>
          <cell r="J1689">
            <v>36</v>
          </cell>
          <cell r="K1689">
            <v>9</v>
          </cell>
        </row>
        <row r="1690">
          <cell r="B1690" t="str">
            <v>OpenNoteScanner</v>
          </cell>
          <cell r="C1690" t="str">
            <v>allgood/OpenNoteScanner</v>
          </cell>
          <cell r="D1690" t="str">
            <v>allgood/OpenNoteScanner</v>
          </cell>
          <cell r="E1690">
            <v>337</v>
          </cell>
          <cell r="F1690">
            <v>159</v>
          </cell>
          <cell r="G1690">
            <v>40</v>
          </cell>
          <cell r="H1690">
            <v>3539</v>
          </cell>
          <cell r="I1690">
            <v>269</v>
          </cell>
          <cell r="J1690">
            <v>1228</v>
          </cell>
          <cell r="K1690">
            <v>93</v>
          </cell>
        </row>
        <row r="1691">
          <cell r="B1691" t="str">
            <v>flutter_server_box</v>
          </cell>
          <cell r="C1691" t="str">
            <v>lollipopkit/flutter_server_box</v>
          </cell>
          <cell r="D1691" t="str">
            <v>lollipopkit/flutter_server_box</v>
          </cell>
          <cell r="E1691">
            <v>338</v>
          </cell>
          <cell r="F1691">
            <v>6</v>
          </cell>
          <cell r="G1691">
            <v>23</v>
          </cell>
          <cell r="H1691">
            <v>9656</v>
          </cell>
          <cell r="I1691">
            <v>9</v>
          </cell>
          <cell r="J1691">
            <v>75</v>
          </cell>
          <cell r="K1691">
            <v>5</v>
          </cell>
        </row>
        <row r="1692">
          <cell r="B1692" t="str">
            <v>MetadataRemover</v>
          </cell>
          <cell r="C1692" t="str">
            <v>Crazy-Marvin/MetadataRemover</v>
          </cell>
          <cell r="D1692" t="str">
            <v>Crazy-Marvin/MetadataRemover</v>
          </cell>
          <cell r="E1692">
            <v>338</v>
          </cell>
          <cell r="F1692">
            <v>20</v>
          </cell>
          <cell r="G1692">
            <v>31</v>
          </cell>
          <cell r="H1692">
            <v>51095</v>
          </cell>
          <cell r="I1692">
            <v>11</v>
          </cell>
          <cell r="J1692">
            <v>52</v>
          </cell>
          <cell r="K1692">
            <v>8</v>
          </cell>
        </row>
        <row r="1693">
          <cell r="B1693" t="str">
            <v>app</v>
          </cell>
          <cell r="C1693" t="str">
            <v>egendata/app</v>
          </cell>
          <cell r="D1693" t="str">
            <v>egendata/app</v>
          </cell>
          <cell r="E1693">
            <v>338</v>
          </cell>
          <cell r="F1693">
            <v>89</v>
          </cell>
          <cell r="G1693">
            <v>9</v>
          </cell>
          <cell r="H1693">
            <v>20733</v>
          </cell>
          <cell r="I1693">
            <v>2</v>
          </cell>
          <cell r="J1693">
            <v>1</v>
          </cell>
          <cell r="K1693">
            <v>26</v>
          </cell>
        </row>
        <row r="1694">
          <cell r="B1694" t="str">
            <v>photochat</v>
          </cell>
          <cell r="C1694" t="str">
            <v>tianhaoz95/photochat</v>
          </cell>
          <cell r="D1694" t="str">
            <v>tianhaoz95/photochat</v>
          </cell>
          <cell r="E1694">
            <v>339</v>
          </cell>
          <cell r="F1694">
            <v>263</v>
          </cell>
          <cell r="G1694">
            <v>4</v>
          </cell>
          <cell r="H1694">
            <v>30963</v>
          </cell>
          <cell r="I1694">
            <v>17</v>
          </cell>
          <cell r="J1694">
            <v>42</v>
          </cell>
          <cell r="K1694">
            <v>34</v>
          </cell>
        </row>
        <row r="1695">
          <cell r="B1695" t="str">
            <v>neurolab-android</v>
          </cell>
          <cell r="C1695" t="str">
            <v>fossasia/neurolab-android</v>
          </cell>
          <cell r="D1695" t="str">
            <v>fossasia/neurolab-android</v>
          </cell>
          <cell r="E1695">
            <v>339</v>
          </cell>
          <cell r="F1695">
            <v>410</v>
          </cell>
          <cell r="G1695">
            <v>32</v>
          </cell>
          <cell r="H1695">
            <v>140393</v>
          </cell>
          <cell r="I1695">
            <v>446</v>
          </cell>
          <cell r="J1695">
            <v>1693</v>
          </cell>
          <cell r="K1695">
            <v>70</v>
          </cell>
        </row>
        <row r="1696">
          <cell r="B1696" t="str">
            <v>DAQs</v>
          </cell>
          <cell r="C1696" t="str">
            <v>denisacostaq/DAQs</v>
          </cell>
          <cell r="D1696" t="str">
            <v>denisacostaq/DAQs</v>
          </cell>
          <cell r="E1696">
            <v>340</v>
          </cell>
          <cell r="F1696">
            <v>31</v>
          </cell>
          <cell r="G1696">
            <v>1</v>
          </cell>
          <cell r="H1696">
            <v>2729</v>
          </cell>
          <cell r="I1696">
            <v>0</v>
          </cell>
          <cell r="J1696">
            <v>2</v>
          </cell>
          <cell r="K1696">
            <v>13</v>
          </cell>
        </row>
        <row r="1697">
          <cell r="B1697" t="str">
            <v>ReadYou</v>
          </cell>
          <cell r="C1697" t="str">
            <v>Ashinch/ReadYou</v>
          </cell>
          <cell r="D1697" t="str">
            <v>Ashinch/ReadYou</v>
          </cell>
          <cell r="E1697">
            <v>340</v>
          </cell>
          <cell r="F1697">
            <v>139</v>
          </cell>
          <cell r="G1697">
            <v>48</v>
          </cell>
          <cell r="H1697">
            <v>6357</v>
          </cell>
          <cell r="I1697">
            <v>110</v>
          </cell>
          <cell r="J1697">
            <v>2723</v>
          </cell>
          <cell r="K1697">
            <v>190</v>
          </cell>
        </row>
        <row r="1698">
          <cell r="B1698" t="str">
            <v>privacy-friendly-notes</v>
          </cell>
          <cell r="C1698" t="str">
            <v>SecUSo/privacy-friendly-notes</v>
          </cell>
          <cell r="D1698" t="str">
            <v>SecUSo/privacy-friendly-notes</v>
          </cell>
          <cell r="E1698">
            <v>341</v>
          </cell>
          <cell r="F1698">
            <v>30</v>
          </cell>
          <cell r="G1698">
            <v>11</v>
          </cell>
          <cell r="H1698">
            <v>1700</v>
          </cell>
          <cell r="I1698">
            <v>20</v>
          </cell>
          <cell r="J1698">
            <v>77</v>
          </cell>
          <cell r="K1698">
            <v>47</v>
          </cell>
        </row>
        <row r="1699">
          <cell r="B1699" t="str">
            <v>Movies</v>
          </cell>
          <cell r="C1699" t="str">
            <v>Kirchhoff-/Movies</v>
          </cell>
          <cell r="D1699" t="str">
            <v>Kirchhoff-/Movies</v>
          </cell>
          <cell r="E1699">
            <v>342</v>
          </cell>
          <cell r="F1699">
            <v>223</v>
          </cell>
          <cell r="G1699">
            <v>1</v>
          </cell>
          <cell r="H1699">
            <v>676</v>
          </cell>
          <cell r="I1699">
            <v>0</v>
          </cell>
          <cell r="J1699">
            <v>3</v>
          </cell>
          <cell r="K1699">
            <v>46</v>
          </cell>
        </row>
        <row r="1700">
          <cell r="B1700" t="str">
            <v>Vueddit</v>
          </cell>
          <cell r="C1700" t="str">
            <v>maxroehrl/Vueddit</v>
          </cell>
          <cell r="D1700" t="str">
            <v>maxroehrl/Vueddit</v>
          </cell>
          <cell r="E1700">
            <v>343</v>
          </cell>
          <cell r="F1700">
            <v>5</v>
          </cell>
          <cell r="G1700">
            <v>1</v>
          </cell>
          <cell r="H1700">
            <v>3633</v>
          </cell>
          <cell r="I1700">
            <v>1</v>
          </cell>
          <cell r="J1700">
            <v>8</v>
          </cell>
          <cell r="K1700">
            <v>1</v>
          </cell>
        </row>
        <row r="1701">
          <cell r="B1701" t="str">
            <v>athelite</v>
          </cell>
          <cell r="C1701" t="str">
            <v>james-woo/athelite</v>
          </cell>
          <cell r="D1701" t="str">
            <v>james-woo/athelite</v>
          </cell>
          <cell r="E1701">
            <v>343</v>
          </cell>
          <cell r="F1701">
            <v>5</v>
          </cell>
          <cell r="G1701">
            <v>2</v>
          </cell>
          <cell r="H1701">
            <v>15836</v>
          </cell>
          <cell r="I1701">
            <v>1</v>
          </cell>
          <cell r="J1701">
            <v>3</v>
          </cell>
          <cell r="K1701">
            <v>2</v>
          </cell>
        </row>
        <row r="1702">
          <cell r="B1702" t="str">
            <v>MovieDatabase</v>
          </cell>
          <cell r="C1702" t="str">
            <v>hide1202/MovieDatabase</v>
          </cell>
          <cell r="D1702" t="str">
            <v>hide1202/MovieDatabase</v>
          </cell>
          <cell r="E1702">
            <v>343</v>
          </cell>
          <cell r="F1702">
            <v>92</v>
          </cell>
          <cell r="G1702">
            <v>1</v>
          </cell>
          <cell r="H1702">
            <v>1045</v>
          </cell>
          <cell r="I1702">
            <v>4</v>
          </cell>
          <cell r="J1702">
            <v>6</v>
          </cell>
          <cell r="K1702">
            <v>4</v>
          </cell>
        </row>
        <row r="1703">
          <cell r="B1703" t="str">
            <v>trip-o-meter</v>
          </cell>
          <cell r="C1703" t="str">
            <v>midhunhk/trip-o-meter</v>
          </cell>
          <cell r="D1703" t="str">
            <v>midhunhk/trip-o-meter</v>
          </cell>
          <cell r="E1703">
            <v>344</v>
          </cell>
          <cell r="F1703">
            <v>10</v>
          </cell>
          <cell r="G1703">
            <v>3</v>
          </cell>
          <cell r="H1703">
            <v>5914</v>
          </cell>
          <cell r="I1703">
            <v>7</v>
          </cell>
          <cell r="J1703">
            <v>12</v>
          </cell>
          <cell r="K1703">
            <v>4</v>
          </cell>
        </row>
        <row r="1704">
          <cell r="B1704" t="str">
            <v>ToDoList-React-Native</v>
          </cell>
          <cell r="C1704" t="str">
            <v>ssivenkov/ToDoList-React-Native</v>
          </cell>
          <cell r="D1704" t="str">
            <v>ssivenkov/ToDoList-React-Native</v>
          </cell>
          <cell r="E1704">
            <v>344</v>
          </cell>
          <cell r="F1704">
            <v>32</v>
          </cell>
          <cell r="G1704">
            <v>1</v>
          </cell>
          <cell r="H1704">
            <v>4750</v>
          </cell>
          <cell r="I1704">
            <v>0</v>
          </cell>
          <cell r="J1704">
            <v>2</v>
          </cell>
          <cell r="K1704">
            <v>0</v>
          </cell>
        </row>
        <row r="1705">
          <cell r="B1705" t="str">
            <v>babydots</v>
          </cell>
          <cell r="C1705" t="str">
            <v>babydots/babydots</v>
          </cell>
          <cell r="D1705" t="str">
            <v>babydots/babydots</v>
          </cell>
          <cell r="E1705">
            <v>344</v>
          </cell>
          <cell r="F1705">
            <v>52</v>
          </cell>
          <cell r="G1705">
            <v>29</v>
          </cell>
          <cell r="H1705">
            <v>24701</v>
          </cell>
          <cell r="I1705">
            <v>10</v>
          </cell>
          <cell r="J1705">
            <v>31</v>
          </cell>
          <cell r="K1705">
            <v>4</v>
          </cell>
        </row>
        <row r="1706">
          <cell r="B1706" t="str">
            <v>permission-pilot</v>
          </cell>
          <cell r="C1706" t="str">
            <v>d4rken-org/permission-pilot</v>
          </cell>
          <cell r="D1706" t="str">
            <v>d4rken-org/permission-pilot</v>
          </cell>
          <cell r="E1706">
            <v>345</v>
          </cell>
          <cell r="F1706">
            <v>38</v>
          </cell>
          <cell r="G1706">
            <v>8</v>
          </cell>
          <cell r="H1706">
            <v>3672</v>
          </cell>
          <cell r="I1706">
            <v>19</v>
          </cell>
          <cell r="J1706">
            <v>190</v>
          </cell>
          <cell r="K1706">
            <v>36</v>
          </cell>
        </row>
        <row r="1707">
          <cell r="B1707" t="str">
            <v>Android-Helium</v>
          </cell>
          <cell r="C1707" t="str">
            <v>gfx/Android-Helium</v>
          </cell>
          <cell r="D1707" t="str">
            <v>gfx/Android-Helium</v>
          </cell>
          <cell r="E1707">
            <v>345</v>
          </cell>
          <cell r="F1707">
            <v>45</v>
          </cell>
          <cell r="G1707">
            <v>2</v>
          </cell>
          <cell r="H1707">
            <v>2494</v>
          </cell>
          <cell r="I1707">
            <v>9</v>
          </cell>
          <cell r="J1707">
            <v>68</v>
          </cell>
          <cell r="K1707">
            <v>4</v>
          </cell>
        </row>
        <row r="1708">
          <cell r="B1708" t="str">
            <v>COMP0016_2020_21_Team26</v>
          </cell>
          <cell r="C1708" t="str">
            <v>UCLComputerScience/COMP0016_2020_21_Team26</v>
          </cell>
          <cell r="D1708" t="str">
            <v>UCLComputerScience/COMP0016_2020_21_Team26</v>
          </cell>
          <cell r="E1708">
            <v>345</v>
          </cell>
          <cell r="F1708">
            <v>111</v>
          </cell>
          <cell r="G1708">
            <v>2</v>
          </cell>
          <cell r="H1708">
            <v>6278</v>
          </cell>
          <cell r="I1708">
            <v>0</v>
          </cell>
          <cell r="J1708">
            <v>2</v>
          </cell>
          <cell r="K1708">
            <v>0</v>
          </cell>
        </row>
        <row r="1709">
          <cell r="B1709" t="str">
            <v>zandy</v>
          </cell>
          <cell r="C1709" t="str">
            <v>avram/zandy</v>
          </cell>
          <cell r="D1709" t="str">
            <v>avram/zandy</v>
          </cell>
          <cell r="E1709">
            <v>346</v>
          </cell>
          <cell r="F1709">
            <v>25</v>
          </cell>
          <cell r="G1709">
            <v>7</v>
          </cell>
          <cell r="H1709">
            <v>1747</v>
          </cell>
          <cell r="I1709">
            <v>28</v>
          </cell>
          <cell r="J1709">
            <v>133</v>
          </cell>
          <cell r="K1709">
            <v>32</v>
          </cell>
        </row>
        <row r="1710">
          <cell r="B1710" t="str">
            <v>FuelUp</v>
          </cell>
          <cell r="C1710" t="str">
            <v>piskula/FuelUp</v>
          </cell>
          <cell r="D1710" t="str">
            <v>piskula/FuelUp</v>
          </cell>
          <cell r="E1710">
            <v>347</v>
          </cell>
          <cell r="F1710">
            <v>1</v>
          </cell>
          <cell r="G1710">
            <v>1</v>
          </cell>
          <cell r="H1710">
            <v>21328</v>
          </cell>
          <cell r="I1710">
            <v>1</v>
          </cell>
          <cell r="J1710">
            <v>3</v>
          </cell>
          <cell r="K1710">
            <v>4</v>
          </cell>
        </row>
        <row r="1711">
          <cell r="B1711" t="str">
            <v>cythara</v>
          </cell>
          <cell r="C1711" t="str">
            <v>gstraube/cythara</v>
          </cell>
          <cell r="D1711" t="str">
            <v>gstraube/cythara</v>
          </cell>
          <cell r="E1711">
            <v>348</v>
          </cell>
          <cell r="F1711">
            <v>21</v>
          </cell>
          <cell r="G1711">
            <v>11</v>
          </cell>
          <cell r="H1711">
            <v>2644</v>
          </cell>
          <cell r="I1711">
            <v>27</v>
          </cell>
          <cell r="J1711">
            <v>115</v>
          </cell>
          <cell r="K1711">
            <v>0</v>
          </cell>
        </row>
        <row r="1712">
          <cell r="B1712" t="str">
            <v>irl-link</v>
          </cell>
          <cell r="C1712" t="str">
            <v>LezdCS/irl-link</v>
          </cell>
          <cell r="D1712" t="str">
            <v>LezdCS/irl-link</v>
          </cell>
          <cell r="E1712">
            <v>348</v>
          </cell>
          <cell r="F1712">
            <v>51</v>
          </cell>
          <cell r="G1712">
            <v>8</v>
          </cell>
          <cell r="H1712">
            <v>2091</v>
          </cell>
          <cell r="I1712">
            <v>0</v>
          </cell>
          <cell r="J1712">
            <v>4</v>
          </cell>
          <cell r="K1712">
            <v>0</v>
          </cell>
        </row>
        <row r="1713">
          <cell r="B1713" t="str">
            <v>Jisort</v>
          </cell>
          <cell r="C1713" t="str">
            <v>mozilla/Jisort</v>
          </cell>
          <cell r="D1713" t="str">
            <v>mozilla/Jisort</v>
          </cell>
          <cell r="E1713">
            <v>348</v>
          </cell>
          <cell r="F1713">
            <v>116</v>
          </cell>
          <cell r="G1713">
            <v>7</v>
          </cell>
          <cell r="H1713">
            <v>27181</v>
          </cell>
          <cell r="I1713">
            <v>12</v>
          </cell>
          <cell r="J1713">
            <v>10</v>
          </cell>
          <cell r="K1713">
            <v>4</v>
          </cell>
        </row>
        <row r="1714">
          <cell r="B1714" t="str">
            <v>wollok-mobile</v>
          </cell>
          <cell r="C1714" t="str">
            <v>uqbar-project/wollok-mobile</v>
          </cell>
          <cell r="D1714" t="str">
            <v>uqbar-project/wollok-mobile</v>
          </cell>
          <cell r="E1714">
            <v>350</v>
          </cell>
          <cell r="F1714">
            <v>39</v>
          </cell>
          <cell r="G1714">
            <v>5</v>
          </cell>
          <cell r="H1714">
            <v>3809</v>
          </cell>
          <cell r="I1714">
            <v>0</v>
          </cell>
          <cell r="J1714">
            <v>8</v>
          </cell>
          <cell r="K1714">
            <v>40</v>
          </cell>
        </row>
        <row r="1715">
          <cell r="B1715" t="str">
            <v>MoonShot</v>
          </cell>
          <cell r="C1715" t="str">
            <v>haroldadmin/MoonShot</v>
          </cell>
          <cell r="D1715" t="str">
            <v>haroldadmin/MoonShot</v>
          </cell>
          <cell r="E1715">
            <v>351</v>
          </cell>
          <cell r="F1715">
            <v>8</v>
          </cell>
          <cell r="G1715">
            <v>4</v>
          </cell>
          <cell r="H1715">
            <v>1769</v>
          </cell>
          <cell r="I1715">
            <v>18</v>
          </cell>
          <cell r="J1715">
            <v>161</v>
          </cell>
          <cell r="K1715">
            <v>7</v>
          </cell>
        </row>
        <row r="1716">
          <cell r="B1716" t="str">
            <v>Daedalus</v>
          </cell>
          <cell r="C1716" t="str">
            <v>iTXTech/Daedalus</v>
          </cell>
          <cell r="D1716" t="str">
            <v>iTXTech/Daedalus</v>
          </cell>
          <cell r="E1716">
            <v>351</v>
          </cell>
          <cell r="F1716">
            <v>11</v>
          </cell>
          <cell r="G1716">
            <v>6</v>
          </cell>
          <cell r="H1716">
            <v>1767</v>
          </cell>
          <cell r="I1716">
            <v>209</v>
          </cell>
          <cell r="J1716">
            <v>1338</v>
          </cell>
          <cell r="K1716">
            <v>10</v>
          </cell>
        </row>
        <row r="1717">
          <cell r="B1717" t="str">
            <v>psm-mobile-app</v>
          </cell>
          <cell r="C1717" t="str">
            <v>icrc/psm-mobile-app</v>
          </cell>
          <cell r="D1717" t="str">
            <v>icrc/psm-mobile-app</v>
          </cell>
          <cell r="E1717">
            <v>352</v>
          </cell>
          <cell r="F1717">
            <v>2</v>
          </cell>
          <cell r="G1717">
            <v>3</v>
          </cell>
          <cell r="H1717">
            <v>1186</v>
          </cell>
          <cell r="I1717">
            <v>4</v>
          </cell>
          <cell r="J1717">
            <v>3</v>
          </cell>
          <cell r="K1717">
            <v>1</v>
          </cell>
        </row>
        <row r="1718">
          <cell r="B1718" t="str">
            <v>dui-android</v>
          </cell>
          <cell r="C1718" t="str">
            <v>Team-B1ND/dui-android</v>
          </cell>
          <cell r="D1718" t="str">
            <v>Team-B1ND/dui-android</v>
          </cell>
          <cell r="E1718">
            <v>353</v>
          </cell>
          <cell r="F1718">
            <v>54</v>
          </cell>
          <cell r="G1718">
            <v>3</v>
          </cell>
          <cell r="H1718">
            <v>30968</v>
          </cell>
          <cell r="I1718">
            <v>0</v>
          </cell>
          <cell r="J1718">
            <v>23</v>
          </cell>
          <cell r="K1718">
            <v>0</v>
          </cell>
        </row>
        <row r="1719">
          <cell r="B1719" t="str">
            <v>mobile</v>
          </cell>
          <cell r="C1719" t="str">
            <v>odota/mobile</v>
          </cell>
          <cell r="D1719" t="str">
            <v>odota/mobile</v>
          </cell>
          <cell r="E1719">
            <v>353</v>
          </cell>
          <cell r="F1719">
            <v>96</v>
          </cell>
          <cell r="G1719">
            <v>19</v>
          </cell>
          <cell r="H1719">
            <v>90977</v>
          </cell>
          <cell r="I1719">
            <v>42</v>
          </cell>
          <cell r="J1719">
            <v>137</v>
          </cell>
          <cell r="K1719">
            <v>9</v>
          </cell>
        </row>
        <row r="1720">
          <cell r="B1720" t="str">
            <v>Hail</v>
          </cell>
          <cell r="C1720" t="str">
            <v>aistra0528/Hail</v>
          </cell>
          <cell r="D1720" t="str">
            <v>aistra0528/Hail</v>
          </cell>
          <cell r="E1720">
            <v>354</v>
          </cell>
          <cell r="F1720">
            <v>47</v>
          </cell>
          <cell r="G1720">
            <v>66</v>
          </cell>
          <cell r="H1720">
            <v>1957</v>
          </cell>
          <cell r="I1720">
            <v>35</v>
          </cell>
          <cell r="J1720">
            <v>542</v>
          </cell>
          <cell r="K1720">
            <v>9</v>
          </cell>
        </row>
        <row r="1721">
          <cell r="B1721" t="str">
            <v>keibai-android</v>
          </cell>
          <cell r="C1721" t="str">
            <v>keibai/keibai-android</v>
          </cell>
          <cell r="D1721" t="str">
            <v>keibai/keibai-android</v>
          </cell>
          <cell r="E1721">
            <v>354</v>
          </cell>
          <cell r="F1721">
            <v>84</v>
          </cell>
          <cell r="G1721">
            <v>5</v>
          </cell>
          <cell r="H1721">
            <v>926</v>
          </cell>
          <cell r="I1721">
            <v>1</v>
          </cell>
          <cell r="J1721">
            <v>2</v>
          </cell>
          <cell r="K1721">
            <v>0</v>
          </cell>
        </row>
        <row r="1722">
          <cell r="B1722" t="str">
            <v>android</v>
          </cell>
          <cell r="C1722" t="str">
            <v>gotify/android</v>
          </cell>
          <cell r="D1722" t="str">
            <v>gotify/android</v>
          </cell>
          <cell r="E1722">
            <v>354</v>
          </cell>
          <cell r="F1722">
            <v>109</v>
          </cell>
          <cell r="G1722">
            <v>21</v>
          </cell>
          <cell r="H1722">
            <v>3741</v>
          </cell>
          <cell r="I1722">
            <v>119</v>
          </cell>
          <cell r="J1722">
            <v>598</v>
          </cell>
          <cell r="K1722">
            <v>30</v>
          </cell>
        </row>
        <row r="1723">
          <cell r="B1723" t="str">
            <v>ARK-Navigator</v>
          </cell>
          <cell r="C1723" t="str">
            <v>ARK-Builders/ARK-Navigator</v>
          </cell>
          <cell r="D1723" t="str">
            <v>ARK-Builders/ARK-Navigator</v>
          </cell>
          <cell r="E1723">
            <v>354</v>
          </cell>
          <cell r="F1723">
            <v>130</v>
          </cell>
          <cell r="G1723">
            <v>18</v>
          </cell>
          <cell r="H1723">
            <v>5948</v>
          </cell>
          <cell r="I1723">
            <v>13</v>
          </cell>
          <cell r="J1723">
            <v>11</v>
          </cell>
          <cell r="K1723">
            <v>96</v>
          </cell>
        </row>
        <row r="1724">
          <cell r="B1724" t="str">
            <v>SerialPortAssistant</v>
          </cell>
          <cell r="C1724" t="str">
            <v>KangLin/SerialPortAssistant</v>
          </cell>
          <cell r="D1724" t="str">
            <v>KangLin/SerialPortAssistant</v>
          </cell>
          <cell r="E1724">
            <v>355</v>
          </cell>
          <cell r="F1724">
            <v>2</v>
          </cell>
          <cell r="G1724">
            <v>1</v>
          </cell>
          <cell r="H1724">
            <v>1934</v>
          </cell>
          <cell r="I1724">
            <v>36</v>
          </cell>
          <cell r="J1724">
            <v>75</v>
          </cell>
          <cell r="K1724">
            <v>1</v>
          </cell>
        </row>
        <row r="1725">
          <cell r="B1725" t="str">
            <v>SpaceXFollower</v>
          </cell>
          <cell r="C1725" t="str">
            <v>OMIsie11/SpaceXFollower</v>
          </cell>
          <cell r="D1725" t="str">
            <v>OMIsie11/SpaceXFollower</v>
          </cell>
          <cell r="E1725">
            <v>356</v>
          </cell>
          <cell r="F1725">
            <v>5</v>
          </cell>
          <cell r="G1725">
            <v>4</v>
          </cell>
          <cell r="H1725">
            <v>10492</v>
          </cell>
          <cell r="I1725">
            <v>9</v>
          </cell>
          <cell r="J1725">
            <v>45</v>
          </cell>
          <cell r="K1725">
            <v>1</v>
          </cell>
        </row>
        <row r="1726">
          <cell r="B1726" t="str">
            <v>bookdash-android-app</v>
          </cell>
          <cell r="C1726" t="str">
            <v>bookdash/bookdash-android-app</v>
          </cell>
          <cell r="D1726" t="str">
            <v>bookdash/bookdash-android-app</v>
          </cell>
          <cell r="E1726">
            <v>356</v>
          </cell>
          <cell r="F1726">
            <v>26</v>
          </cell>
          <cell r="G1726">
            <v>13</v>
          </cell>
          <cell r="H1726">
            <v>46521</v>
          </cell>
          <cell r="I1726">
            <v>261</v>
          </cell>
          <cell r="J1726">
            <v>687</v>
          </cell>
          <cell r="K1726">
            <v>11</v>
          </cell>
        </row>
        <row r="1727">
          <cell r="B1727" t="str">
            <v>group-05</v>
          </cell>
          <cell r="C1727" t="str">
            <v>DIT112-V19/group-05</v>
          </cell>
          <cell r="D1727" t="str">
            <v>DIT112-V19/group-05</v>
          </cell>
          <cell r="E1727">
            <v>356</v>
          </cell>
          <cell r="F1727">
            <v>63</v>
          </cell>
          <cell r="G1727">
            <v>7</v>
          </cell>
          <cell r="H1727">
            <v>4781</v>
          </cell>
          <cell r="I1727">
            <v>4</v>
          </cell>
          <cell r="J1727">
            <v>2</v>
          </cell>
          <cell r="K1727">
            <v>0</v>
          </cell>
        </row>
        <row r="1728">
          <cell r="B1728" t="str">
            <v>seiun</v>
          </cell>
          <cell r="C1728" t="str">
            <v>akiomik/seiun</v>
          </cell>
          <cell r="D1728" t="str">
            <v>akiomik/seiun</v>
          </cell>
          <cell r="E1728">
            <v>356</v>
          </cell>
          <cell r="F1728">
            <v>82</v>
          </cell>
          <cell r="G1728">
            <v>5</v>
          </cell>
          <cell r="H1728">
            <v>4551</v>
          </cell>
          <cell r="I1728">
            <v>4</v>
          </cell>
          <cell r="J1728">
            <v>22</v>
          </cell>
          <cell r="K1728">
            <v>4</v>
          </cell>
        </row>
        <row r="1729">
          <cell r="B1729" t="str">
            <v>bluelineconsole</v>
          </cell>
          <cell r="C1729" t="str">
            <v>nhirokinet/bluelineconsole</v>
          </cell>
          <cell r="D1729" t="str">
            <v>nhirokinet/bluelineconsole</v>
          </cell>
          <cell r="E1729">
            <v>356</v>
          </cell>
          <cell r="F1729">
            <v>226</v>
          </cell>
          <cell r="G1729">
            <v>7</v>
          </cell>
          <cell r="H1729">
            <v>7854</v>
          </cell>
          <cell r="I1729">
            <v>13</v>
          </cell>
          <cell r="J1729">
            <v>130</v>
          </cell>
          <cell r="K1729">
            <v>37</v>
          </cell>
        </row>
        <row r="1730">
          <cell r="B1730" t="str">
            <v>android-slideshow</v>
          </cell>
          <cell r="C1730" t="str">
            <v>ScreamingHawk/android-slideshow</v>
          </cell>
          <cell r="D1730" t="str">
            <v>ScreamingHawk/android-slideshow</v>
          </cell>
          <cell r="E1730">
            <v>357</v>
          </cell>
          <cell r="F1730">
            <v>62</v>
          </cell>
          <cell r="G1730">
            <v>29</v>
          </cell>
          <cell r="H1730">
            <v>4142</v>
          </cell>
          <cell r="I1730">
            <v>44</v>
          </cell>
          <cell r="J1730">
            <v>40</v>
          </cell>
          <cell r="K1730">
            <v>28</v>
          </cell>
        </row>
        <row r="1731">
          <cell r="B1731" t="str">
            <v>sNotz</v>
          </cell>
          <cell r="C1731" t="str">
            <v>sunilpaulmathew/sNotz</v>
          </cell>
          <cell r="D1731" t="str">
            <v>sunilpaulmathew/sNotz</v>
          </cell>
          <cell r="E1731">
            <v>358</v>
          </cell>
          <cell r="F1731">
            <v>5</v>
          </cell>
          <cell r="G1731">
            <v>7</v>
          </cell>
          <cell r="H1731">
            <v>21553</v>
          </cell>
          <cell r="I1731">
            <v>8</v>
          </cell>
          <cell r="J1731">
            <v>53</v>
          </cell>
          <cell r="K1731">
            <v>10</v>
          </cell>
        </row>
        <row r="1732">
          <cell r="B1732" t="str">
            <v>wtcounter</v>
          </cell>
          <cell r="C1732" t="str">
            <v>wtcounter/wtcounter</v>
          </cell>
          <cell r="D1732" t="str">
            <v>wtcounter/wtcounter</v>
          </cell>
          <cell r="E1732">
            <v>358</v>
          </cell>
          <cell r="F1732">
            <v>77</v>
          </cell>
          <cell r="G1732">
            <v>3</v>
          </cell>
          <cell r="H1732">
            <v>5755</v>
          </cell>
          <cell r="I1732">
            <v>1</v>
          </cell>
          <cell r="J1732">
            <v>9</v>
          </cell>
          <cell r="K1732">
            <v>4</v>
          </cell>
        </row>
        <row r="1733">
          <cell r="B1733" t="str">
            <v>smartdock</v>
          </cell>
          <cell r="C1733" t="str">
            <v>axel358/smartdock</v>
          </cell>
          <cell r="D1733" t="str">
            <v>axel358/smartdock</v>
          </cell>
          <cell r="E1733">
            <v>359</v>
          </cell>
          <cell r="F1733">
            <v>21</v>
          </cell>
          <cell r="G1733">
            <v>11</v>
          </cell>
          <cell r="H1733">
            <v>3339</v>
          </cell>
          <cell r="I1733">
            <v>23</v>
          </cell>
          <cell r="J1733">
            <v>282</v>
          </cell>
          <cell r="K1733">
            <v>16</v>
          </cell>
        </row>
        <row r="1734">
          <cell r="B1734" t="str">
            <v>Calculator</v>
          </cell>
          <cell r="C1734" t="str">
            <v>ARTI1208/Calculator</v>
          </cell>
          <cell r="D1734" t="str">
            <v>ARTI1208/RTCalculator</v>
          </cell>
          <cell r="E1734">
            <v>359</v>
          </cell>
          <cell r="F1734">
            <v>108</v>
          </cell>
          <cell r="G1734">
            <v>3</v>
          </cell>
          <cell r="H1734">
            <v>2528</v>
          </cell>
          <cell r="I1734">
            <v>0</v>
          </cell>
          <cell r="J1734">
            <v>3</v>
          </cell>
          <cell r="K1734">
            <v>25</v>
          </cell>
        </row>
        <row r="1735">
          <cell r="B1735" t="str">
            <v>WebsiteRSS</v>
          </cell>
          <cell r="C1735" t="str">
            <v>damiengo/WebsiteRSS</v>
          </cell>
          <cell r="D1735" t="str">
            <v>damiengo/WebsiteRSS</v>
          </cell>
          <cell r="E1735">
            <v>361</v>
          </cell>
          <cell r="F1735">
            <v>0</v>
          </cell>
          <cell r="G1735">
            <v>1</v>
          </cell>
          <cell r="H1735">
            <v>3802</v>
          </cell>
          <cell r="I1735">
            <v>2</v>
          </cell>
          <cell r="J1735">
            <v>4</v>
          </cell>
          <cell r="K1735">
            <v>0</v>
          </cell>
        </row>
        <row r="1736">
          <cell r="B1736" t="str">
            <v>virtual_traveller_flutter</v>
          </cell>
          <cell r="C1736" t="str">
            <v>mzdm/virtual_traveller_flutter</v>
          </cell>
          <cell r="D1736" t="str">
            <v>mzdm/virtual_traveller_flutter</v>
          </cell>
          <cell r="E1736">
            <v>361</v>
          </cell>
          <cell r="F1736">
            <v>3</v>
          </cell>
          <cell r="G1736">
            <v>2</v>
          </cell>
          <cell r="H1736">
            <v>7741</v>
          </cell>
          <cell r="I1736">
            <v>2</v>
          </cell>
          <cell r="J1736">
            <v>15</v>
          </cell>
          <cell r="K1736">
            <v>0</v>
          </cell>
        </row>
        <row r="1737">
          <cell r="B1737" t="str">
            <v>snapdroid</v>
          </cell>
          <cell r="C1737" t="str">
            <v>badaix/snapdroid</v>
          </cell>
          <cell r="D1737" t="str">
            <v>badaix/snapdroid</v>
          </cell>
          <cell r="E1737">
            <v>361</v>
          </cell>
          <cell r="F1737">
            <v>8</v>
          </cell>
          <cell r="G1737">
            <v>14</v>
          </cell>
          <cell r="H1737">
            <v>52266</v>
          </cell>
          <cell r="I1737">
            <v>19</v>
          </cell>
          <cell r="J1737">
            <v>97</v>
          </cell>
          <cell r="K1737">
            <v>19</v>
          </cell>
        </row>
        <row r="1738">
          <cell r="B1738" t="str">
            <v>privacy-friendly-pedometer</v>
          </cell>
          <cell r="C1738" t="str">
            <v>SecUSo/privacy-friendly-pedometer</v>
          </cell>
          <cell r="D1738" t="str">
            <v>SecUSo/privacy-friendly-pedometer</v>
          </cell>
          <cell r="E1738">
            <v>361</v>
          </cell>
          <cell r="F1738">
            <v>29</v>
          </cell>
          <cell r="G1738">
            <v>20</v>
          </cell>
          <cell r="H1738">
            <v>18911</v>
          </cell>
          <cell r="I1738">
            <v>47</v>
          </cell>
          <cell r="J1738">
            <v>152</v>
          </cell>
          <cell r="K1738">
            <v>31</v>
          </cell>
        </row>
        <row r="1739">
          <cell r="B1739" t="str">
            <v>apcupsd-monitor</v>
          </cell>
          <cell r="C1739" t="str">
            <v>norkator/apcupsd-monitor</v>
          </cell>
          <cell r="D1739" t="str">
            <v>norkator/apcupsd-monitor</v>
          </cell>
          <cell r="E1739">
            <v>361</v>
          </cell>
          <cell r="F1739">
            <v>121</v>
          </cell>
          <cell r="G1739">
            <v>4</v>
          </cell>
          <cell r="H1739">
            <v>4905</v>
          </cell>
          <cell r="I1739">
            <v>2</v>
          </cell>
          <cell r="J1739">
            <v>10</v>
          </cell>
          <cell r="K1739">
            <v>6</v>
          </cell>
        </row>
        <row r="1740">
          <cell r="B1740" t="str">
            <v>truck-me-android</v>
          </cell>
          <cell r="C1740" t="str">
            <v>forceporquillo/truck-me-android</v>
          </cell>
          <cell r="D1740" t="str">
            <v>forceporquillo/truck-me-android</v>
          </cell>
          <cell r="E1740">
            <v>362</v>
          </cell>
          <cell r="F1740">
            <v>42</v>
          </cell>
          <cell r="G1740">
            <v>1</v>
          </cell>
          <cell r="H1740">
            <v>1586</v>
          </cell>
          <cell r="I1740">
            <v>1</v>
          </cell>
          <cell r="J1740">
            <v>2</v>
          </cell>
          <cell r="K1740">
            <v>0</v>
          </cell>
        </row>
        <row r="1741">
          <cell r="B1741" t="str">
            <v>cineaste-android</v>
          </cell>
          <cell r="C1741" t="str">
            <v>spacepandas/cineaste-android</v>
          </cell>
          <cell r="D1741" t="str">
            <v>spacepandas/cineaste-android</v>
          </cell>
          <cell r="E1741">
            <v>363</v>
          </cell>
          <cell r="F1741">
            <v>16</v>
          </cell>
          <cell r="G1741">
            <v>3</v>
          </cell>
          <cell r="H1741">
            <v>2553</v>
          </cell>
          <cell r="I1741">
            <v>2</v>
          </cell>
          <cell r="J1741">
            <v>9</v>
          </cell>
          <cell r="K1741">
            <v>4</v>
          </cell>
        </row>
        <row r="1742">
          <cell r="B1742" t="str">
            <v>File-Explorer</v>
          </cell>
          <cell r="C1742" t="str">
            <v>Raival-e/File-Explorer</v>
          </cell>
          <cell r="D1742" t="str">
            <v>Raival-e/File-Explorer</v>
          </cell>
          <cell r="E1742">
            <v>363</v>
          </cell>
          <cell r="F1742">
            <v>20</v>
          </cell>
          <cell r="G1742">
            <v>4</v>
          </cell>
          <cell r="H1742">
            <v>209918</v>
          </cell>
          <cell r="I1742">
            <v>22</v>
          </cell>
          <cell r="J1742">
            <v>158</v>
          </cell>
          <cell r="K1742">
            <v>16</v>
          </cell>
        </row>
        <row r="1743">
          <cell r="B1743" t="str">
            <v>Simple-Login-Android</v>
          </cell>
          <cell r="C1743" t="str">
            <v>simple-login/Simple-Login-Android</v>
          </cell>
          <cell r="D1743" t="str">
            <v>simple-login/Simple-Login-Android</v>
          </cell>
          <cell r="E1743">
            <v>363</v>
          </cell>
          <cell r="F1743">
            <v>47</v>
          </cell>
          <cell r="G1743">
            <v>9</v>
          </cell>
          <cell r="H1743">
            <v>30687</v>
          </cell>
          <cell r="I1743">
            <v>28</v>
          </cell>
          <cell r="J1743">
            <v>247</v>
          </cell>
          <cell r="K1743">
            <v>20</v>
          </cell>
        </row>
        <row r="1744">
          <cell r="B1744" t="str">
            <v>tuner</v>
          </cell>
          <cell r="C1744" t="str">
            <v>billthefarmer/tuner</v>
          </cell>
          <cell r="D1744" t="str">
            <v>billthefarmer/tuner</v>
          </cell>
          <cell r="E1744">
            <v>364</v>
          </cell>
          <cell r="F1744">
            <v>20</v>
          </cell>
          <cell r="G1744">
            <v>11</v>
          </cell>
          <cell r="H1744">
            <v>9192</v>
          </cell>
          <cell r="I1744">
            <v>51</v>
          </cell>
          <cell r="J1744">
            <v>148</v>
          </cell>
          <cell r="K1744">
            <v>1</v>
          </cell>
        </row>
        <row r="1745">
          <cell r="B1745" t="str">
            <v>COMP0016_2020_21_Team25</v>
          </cell>
          <cell r="C1745" t="str">
            <v>UCLComputerScience/COMP0016_2020_21_Team25</v>
          </cell>
          <cell r="D1745" t="str">
            <v>UCLComputerScience/COMP0016_2020_21_Team25</v>
          </cell>
          <cell r="E1745">
            <v>365</v>
          </cell>
          <cell r="F1745">
            <v>8</v>
          </cell>
          <cell r="G1745">
            <v>3</v>
          </cell>
          <cell r="H1745">
            <v>234711</v>
          </cell>
          <cell r="I1745">
            <v>1</v>
          </cell>
          <cell r="J1745">
            <v>2</v>
          </cell>
          <cell r="K1745">
            <v>0</v>
          </cell>
        </row>
        <row r="1746">
          <cell r="B1746" t="str">
            <v>dns66</v>
          </cell>
          <cell r="C1746" t="str">
            <v>julian-klode/dns66</v>
          </cell>
          <cell r="D1746" t="str">
            <v>julian-klode/dns66</v>
          </cell>
          <cell r="E1746">
            <v>365</v>
          </cell>
          <cell r="F1746">
            <v>59</v>
          </cell>
          <cell r="G1746">
            <v>18</v>
          </cell>
          <cell r="H1746">
            <v>821</v>
          </cell>
          <cell r="I1746">
            <v>196</v>
          </cell>
          <cell r="J1746">
            <v>1952</v>
          </cell>
          <cell r="K1746">
            <v>87</v>
          </cell>
        </row>
        <row r="1747">
          <cell r="B1747" t="str">
            <v>MicroPinner</v>
          </cell>
          <cell r="C1747" t="str">
            <v>dotWee/MicroPinner</v>
          </cell>
          <cell r="D1747" t="str">
            <v>dotWee/MicroPinner</v>
          </cell>
          <cell r="E1747">
            <v>367</v>
          </cell>
          <cell r="F1747">
            <v>12</v>
          </cell>
          <cell r="G1747">
            <v>6</v>
          </cell>
          <cell r="H1747">
            <v>16536</v>
          </cell>
          <cell r="I1747">
            <v>22</v>
          </cell>
          <cell r="J1747">
            <v>40</v>
          </cell>
          <cell r="K1747">
            <v>11</v>
          </cell>
        </row>
        <row r="1748">
          <cell r="B1748" t="str">
            <v>akvo-rsr-up</v>
          </cell>
          <cell r="C1748" t="str">
            <v>akvo/akvo-rsr-up</v>
          </cell>
          <cell r="D1748" t="str">
            <v>akvo/akvo-rsr-up</v>
          </cell>
          <cell r="E1748">
            <v>367</v>
          </cell>
          <cell r="F1748">
            <v>29</v>
          </cell>
          <cell r="G1748">
            <v>10</v>
          </cell>
          <cell r="H1748">
            <v>5072</v>
          </cell>
          <cell r="I1748">
            <v>3</v>
          </cell>
          <cell r="J1748">
            <v>3</v>
          </cell>
          <cell r="K1748">
            <v>0</v>
          </cell>
        </row>
        <row r="1749">
          <cell r="B1749" t="str">
            <v>generika_android</v>
          </cell>
          <cell r="C1749" t="str">
            <v>zdavatz/generika_android</v>
          </cell>
          <cell r="D1749" t="str">
            <v>zdavatz/generika_android</v>
          </cell>
          <cell r="E1749">
            <v>369</v>
          </cell>
          <cell r="F1749">
            <v>6</v>
          </cell>
          <cell r="G1749">
            <v>3</v>
          </cell>
          <cell r="H1749">
            <v>1782</v>
          </cell>
          <cell r="I1749">
            <v>2</v>
          </cell>
          <cell r="J1749">
            <v>3</v>
          </cell>
          <cell r="K1749">
            <v>3</v>
          </cell>
        </row>
        <row r="1750">
          <cell r="B1750" t="str">
            <v>Pushie</v>
          </cell>
          <cell r="C1750" t="str">
            <v>Chesire/Pushie</v>
          </cell>
          <cell r="D1750" t="str">
            <v>Chesire/Pushie</v>
          </cell>
          <cell r="E1750">
            <v>369</v>
          </cell>
          <cell r="F1750">
            <v>338</v>
          </cell>
          <cell r="G1750">
            <v>4</v>
          </cell>
          <cell r="H1750">
            <v>1399</v>
          </cell>
          <cell r="I1750">
            <v>4</v>
          </cell>
          <cell r="J1750">
            <v>9</v>
          </cell>
          <cell r="K1750">
            <v>15</v>
          </cell>
        </row>
        <row r="1751">
          <cell r="B1751" t="str">
            <v>ghini.pocket</v>
          </cell>
          <cell r="C1751" t="str">
            <v>Ghini/ghini.pocket</v>
          </cell>
          <cell r="D1751" t="str">
            <v>Ghini/ghini.pocket</v>
          </cell>
          <cell r="E1751">
            <v>370</v>
          </cell>
          <cell r="F1751">
            <v>1</v>
          </cell>
          <cell r="G1751">
            <v>14</v>
          </cell>
          <cell r="H1751">
            <v>6619</v>
          </cell>
          <cell r="I1751">
            <v>3</v>
          </cell>
          <cell r="J1751">
            <v>3</v>
          </cell>
          <cell r="K1751">
            <v>9</v>
          </cell>
        </row>
        <row r="1752">
          <cell r="B1752" t="str">
            <v>Pokedex</v>
          </cell>
          <cell r="C1752" t="str">
            <v>skydoves/Pokedex</v>
          </cell>
          <cell r="D1752" t="str">
            <v>skydoves/Pokedex</v>
          </cell>
          <cell r="E1752">
            <v>371</v>
          </cell>
          <cell r="F1752">
            <v>53</v>
          </cell>
          <cell r="G1752">
            <v>18</v>
          </cell>
          <cell r="H1752">
            <v>15154</v>
          </cell>
          <cell r="I1752">
            <v>827</v>
          </cell>
          <cell r="J1752">
            <v>6417</v>
          </cell>
          <cell r="K1752">
            <v>8</v>
          </cell>
        </row>
        <row r="1753">
          <cell r="B1753" t="str">
            <v>SuperQuiz</v>
          </cell>
          <cell r="C1753" t="str">
            <v>piriurna/SuperQuiz</v>
          </cell>
          <cell r="D1753" t="str">
            <v>piriurna/SuperQuiz</v>
          </cell>
          <cell r="E1753">
            <v>372</v>
          </cell>
          <cell r="F1753">
            <v>18</v>
          </cell>
          <cell r="G1753">
            <v>2</v>
          </cell>
          <cell r="H1753">
            <v>9457</v>
          </cell>
          <cell r="I1753">
            <v>0</v>
          </cell>
          <cell r="J1753">
            <v>1</v>
          </cell>
          <cell r="K1753">
            <v>0</v>
          </cell>
        </row>
        <row r="1754">
          <cell r="B1754" t="str">
            <v>binocularss</v>
          </cell>
          <cell r="C1754" t="str">
            <v>tminions/binocularss</v>
          </cell>
          <cell r="D1754" t="str">
            <v>tminions/binocularss</v>
          </cell>
          <cell r="E1754">
            <v>372</v>
          </cell>
          <cell r="F1754">
            <v>36</v>
          </cell>
          <cell r="G1754">
            <v>8</v>
          </cell>
          <cell r="H1754">
            <v>2831</v>
          </cell>
          <cell r="I1754">
            <v>1</v>
          </cell>
          <cell r="J1754">
            <v>13</v>
          </cell>
          <cell r="K1754">
            <v>1</v>
          </cell>
        </row>
        <row r="1755">
          <cell r="B1755" t="str">
            <v>photon</v>
          </cell>
          <cell r="C1755" t="str">
            <v>abhi16180/photon</v>
          </cell>
          <cell r="D1755" t="str">
            <v>abhi16180/photon</v>
          </cell>
          <cell r="E1755">
            <v>372</v>
          </cell>
          <cell r="F1755">
            <v>45</v>
          </cell>
          <cell r="G1755">
            <v>3</v>
          </cell>
          <cell r="H1755">
            <v>4724</v>
          </cell>
          <cell r="I1755">
            <v>29</v>
          </cell>
          <cell r="J1755">
            <v>301</v>
          </cell>
          <cell r="K1755">
            <v>14</v>
          </cell>
        </row>
        <row r="1756">
          <cell r="B1756" t="str">
            <v>phphub-android</v>
          </cell>
          <cell r="C1756" t="str">
            <v>CycloneAxe/phphub-android</v>
          </cell>
          <cell r="D1756" t="str">
            <v>CycloneAxe/phphub-android</v>
          </cell>
          <cell r="E1756">
            <v>373</v>
          </cell>
          <cell r="F1756">
            <v>5</v>
          </cell>
          <cell r="G1756">
            <v>7</v>
          </cell>
          <cell r="H1756">
            <v>3210</v>
          </cell>
          <cell r="I1756">
            <v>286</v>
          </cell>
          <cell r="J1756">
            <v>957</v>
          </cell>
          <cell r="K1756">
            <v>5</v>
          </cell>
        </row>
        <row r="1757">
          <cell r="B1757" t="str">
            <v>ididit</v>
          </cell>
          <cell r="C1757" t="str">
            <v>doablespace/ididit</v>
          </cell>
          <cell r="D1757" t="str">
            <v>doablespace/ididit</v>
          </cell>
          <cell r="E1757">
            <v>375</v>
          </cell>
          <cell r="F1757">
            <v>4</v>
          </cell>
          <cell r="G1757">
            <v>3</v>
          </cell>
          <cell r="H1757">
            <v>2483</v>
          </cell>
          <cell r="I1757">
            <v>0</v>
          </cell>
          <cell r="J1757">
            <v>1</v>
          </cell>
          <cell r="K1757">
            <v>1</v>
          </cell>
        </row>
        <row r="1758">
          <cell r="B1758" t="str">
            <v>ProExpense</v>
          </cell>
          <cell r="C1758" t="str">
            <v>arduia/ProExpense</v>
          </cell>
          <cell r="D1758" t="str">
            <v>arduia/ProExpense</v>
          </cell>
          <cell r="E1758">
            <v>375</v>
          </cell>
          <cell r="F1758">
            <v>32</v>
          </cell>
          <cell r="G1758">
            <v>5</v>
          </cell>
          <cell r="H1758">
            <v>4070</v>
          </cell>
          <cell r="I1758">
            <v>17</v>
          </cell>
          <cell r="J1758">
            <v>79</v>
          </cell>
          <cell r="K1758">
            <v>24</v>
          </cell>
        </row>
        <row r="1759">
          <cell r="B1759" t="str">
            <v>nuwm-frontend</v>
          </cell>
          <cell r="C1759" t="str">
            <v>dooptha/nuwm-frontend</v>
          </cell>
          <cell r="D1759" t="str">
            <v>dooptha/nuwm-frontend</v>
          </cell>
          <cell r="E1759">
            <v>375</v>
          </cell>
          <cell r="F1759">
            <v>48</v>
          </cell>
          <cell r="G1759">
            <v>4</v>
          </cell>
          <cell r="H1759">
            <v>6031</v>
          </cell>
          <cell r="I1759">
            <v>1</v>
          </cell>
          <cell r="J1759">
            <v>3</v>
          </cell>
          <cell r="K1759">
            <v>27</v>
          </cell>
        </row>
        <row r="1760">
          <cell r="B1760" t="str">
            <v>DagashiApp</v>
          </cell>
          <cell r="C1760" t="str">
            <v>STAR-ZERO/DagashiApp</v>
          </cell>
          <cell r="D1760" t="str">
            <v>STAR-ZERO/DagashiApp</v>
          </cell>
          <cell r="E1760">
            <v>375</v>
          </cell>
          <cell r="F1760">
            <v>134</v>
          </cell>
          <cell r="G1760">
            <v>3</v>
          </cell>
          <cell r="H1760">
            <v>26438</v>
          </cell>
          <cell r="I1760">
            <v>2</v>
          </cell>
          <cell r="J1760">
            <v>33</v>
          </cell>
          <cell r="K1760">
            <v>21</v>
          </cell>
        </row>
        <row r="1761">
          <cell r="B1761" t="str">
            <v>BalanduinoAndroidApp</v>
          </cell>
          <cell r="C1761" t="str">
            <v>TKJElectronics/BalanduinoAndroidApp</v>
          </cell>
          <cell r="D1761" t="str">
            <v>TKJElectronics/BalanduinoAndroidApp</v>
          </cell>
          <cell r="E1761">
            <v>376</v>
          </cell>
          <cell r="F1761">
            <v>5</v>
          </cell>
          <cell r="G1761">
            <v>2</v>
          </cell>
          <cell r="H1761">
            <v>11888</v>
          </cell>
          <cell r="I1761">
            <v>27</v>
          </cell>
          <cell r="J1761">
            <v>35</v>
          </cell>
          <cell r="K1761">
            <v>3</v>
          </cell>
        </row>
        <row r="1762">
          <cell r="B1762" t="str">
            <v>Ehviewer_CN_SXJ</v>
          </cell>
          <cell r="C1762" t="str">
            <v>xiaojieonly/Ehviewer_CN_SXJ</v>
          </cell>
          <cell r="D1762" t="str">
            <v>xiaojieonly/Ehviewer_CN_SXJ</v>
          </cell>
          <cell r="E1762">
            <v>376</v>
          </cell>
          <cell r="F1762">
            <v>10</v>
          </cell>
          <cell r="G1762">
            <v>12</v>
          </cell>
          <cell r="H1762">
            <v>4368</v>
          </cell>
          <cell r="I1762">
            <v>232</v>
          </cell>
          <cell r="J1762">
            <v>5755</v>
          </cell>
          <cell r="K1762">
            <v>174</v>
          </cell>
        </row>
        <row r="1763">
          <cell r="B1763" t="str">
            <v>15Puzzle</v>
          </cell>
          <cell r="C1763" t="str">
            <v>italankin/15Puzzle</v>
          </cell>
          <cell r="D1763" t="str">
            <v>italankin/15Puzzle</v>
          </cell>
          <cell r="E1763">
            <v>377</v>
          </cell>
          <cell r="F1763">
            <v>9</v>
          </cell>
          <cell r="G1763">
            <v>2</v>
          </cell>
          <cell r="H1763">
            <v>6100</v>
          </cell>
          <cell r="I1763">
            <v>9</v>
          </cell>
          <cell r="J1763">
            <v>26</v>
          </cell>
          <cell r="K1763">
            <v>0</v>
          </cell>
        </row>
        <row r="1764">
          <cell r="B1764" t="str">
            <v>khel-ke-baat-karen</v>
          </cell>
          <cell r="C1764" t="str">
            <v>piyush97/khel-ke-baat-karen</v>
          </cell>
          <cell r="D1764" t="str">
            <v>piyush97/khel-ke-baat-karen</v>
          </cell>
          <cell r="E1764">
            <v>377</v>
          </cell>
          <cell r="F1764">
            <v>15</v>
          </cell>
          <cell r="G1764">
            <v>2</v>
          </cell>
          <cell r="H1764">
            <v>2723</v>
          </cell>
          <cell r="I1764">
            <v>0</v>
          </cell>
          <cell r="J1764">
            <v>5</v>
          </cell>
          <cell r="K1764">
            <v>6</v>
          </cell>
        </row>
        <row r="1765">
          <cell r="B1765" t="str">
            <v>woolly-app</v>
          </cell>
          <cell r="C1765" t="str">
            <v>outadoc/woolly-app</v>
          </cell>
          <cell r="D1765" t="str">
            <v>outadoc/woolly-app</v>
          </cell>
          <cell r="E1765">
            <v>378</v>
          </cell>
          <cell r="F1765">
            <v>17</v>
          </cell>
          <cell r="G1765">
            <v>1</v>
          </cell>
          <cell r="H1765">
            <v>873</v>
          </cell>
          <cell r="I1765">
            <v>0</v>
          </cell>
          <cell r="J1765">
            <v>6</v>
          </cell>
          <cell r="K1765">
            <v>1</v>
          </cell>
        </row>
        <row r="1766">
          <cell r="B1766" t="str">
            <v>white-noise-player</v>
          </cell>
          <cell r="C1766" t="str">
            <v>beomjo/white-noise-player</v>
          </cell>
          <cell r="D1766" t="str">
            <v>beomjo/white-noise-player</v>
          </cell>
          <cell r="E1766">
            <v>378</v>
          </cell>
          <cell r="F1766">
            <v>24</v>
          </cell>
          <cell r="G1766">
            <v>1</v>
          </cell>
          <cell r="H1766">
            <v>10227</v>
          </cell>
          <cell r="I1766">
            <v>0</v>
          </cell>
          <cell r="J1766">
            <v>7</v>
          </cell>
          <cell r="K1766">
            <v>6</v>
          </cell>
        </row>
        <row r="1767">
          <cell r="B1767" t="str">
            <v>video-transcoder</v>
          </cell>
          <cell r="C1767" t="str">
            <v>brarcher/video-transcoder</v>
          </cell>
          <cell r="D1767" t="str">
            <v>brarcher/video-transcoder</v>
          </cell>
          <cell r="E1767">
            <v>378</v>
          </cell>
          <cell r="F1767">
            <v>94</v>
          </cell>
          <cell r="G1767">
            <v>5</v>
          </cell>
          <cell r="H1767">
            <v>44518</v>
          </cell>
          <cell r="I1767">
            <v>56</v>
          </cell>
          <cell r="J1767">
            <v>377</v>
          </cell>
          <cell r="K1767">
            <v>66</v>
          </cell>
        </row>
        <row r="1768">
          <cell r="B1768" t="str">
            <v>croma</v>
          </cell>
          <cell r="C1768" t="str">
            <v>croma-app/croma</v>
          </cell>
          <cell r="D1768" t="str">
            <v>croma-app/huehive-mobile-app</v>
          </cell>
          <cell r="E1768">
            <v>379</v>
          </cell>
          <cell r="F1768">
            <v>139</v>
          </cell>
          <cell r="G1768">
            <v>9</v>
          </cell>
          <cell r="H1768">
            <v>135460</v>
          </cell>
          <cell r="I1768">
            <v>14</v>
          </cell>
          <cell r="J1768">
            <v>37</v>
          </cell>
          <cell r="K1768">
            <v>32</v>
          </cell>
        </row>
        <row r="1769">
          <cell r="B1769" t="str">
            <v>pandemia</v>
          </cell>
          <cell r="C1769" t="str">
            <v>pandemia-app/pandemia</v>
          </cell>
          <cell r="D1769" t="str">
            <v>pandemia-app/pandemia</v>
          </cell>
          <cell r="E1769">
            <v>380</v>
          </cell>
          <cell r="F1769">
            <v>28</v>
          </cell>
          <cell r="G1769">
            <v>7</v>
          </cell>
          <cell r="H1769">
            <v>982</v>
          </cell>
          <cell r="I1769">
            <v>6</v>
          </cell>
          <cell r="J1769">
            <v>6</v>
          </cell>
          <cell r="K1769">
            <v>5</v>
          </cell>
        </row>
        <row r="1770">
          <cell r="B1770" t="str">
            <v>StarkeVerben</v>
          </cell>
          <cell r="C1770" t="str">
            <v>Sw24Softwares/StarkeVerben</v>
          </cell>
          <cell r="D1770" t="str">
            <v>Sw24Softwares/StarkeVerben</v>
          </cell>
          <cell r="E1770">
            <v>382</v>
          </cell>
          <cell r="F1770">
            <v>9</v>
          </cell>
          <cell r="G1770">
            <v>31</v>
          </cell>
          <cell r="H1770">
            <v>5861</v>
          </cell>
          <cell r="I1770">
            <v>6</v>
          </cell>
          <cell r="J1770">
            <v>14</v>
          </cell>
          <cell r="K1770">
            <v>6</v>
          </cell>
        </row>
        <row r="1771">
          <cell r="B1771" t="str">
            <v>AirGuard</v>
          </cell>
          <cell r="C1771" t="str">
            <v>seemoo-lab/AirGuard</v>
          </cell>
          <cell r="D1771" t="str">
            <v>seemoo-lab/AirGuard</v>
          </cell>
          <cell r="E1771">
            <v>382</v>
          </cell>
          <cell r="F1771">
            <v>32</v>
          </cell>
          <cell r="G1771">
            <v>15</v>
          </cell>
          <cell r="H1771">
            <v>15784</v>
          </cell>
          <cell r="I1771">
            <v>85</v>
          </cell>
          <cell r="J1771">
            <v>1623</v>
          </cell>
          <cell r="K1771">
            <v>13</v>
          </cell>
        </row>
        <row r="1772">
          <cell r="B1772" t="str">
            <v>code-scanner</v>
          </cell>
          <cell r="C1772" t="str">
            <v>czlucius/code-scanner</v>
          </cell>
          <cell r="D1772" t="str">
            <v>czlucius/code-scanner</v>
          </cell>
          <cell r="E1772">
            <v>383</v>
          </cell>
          <cell r="F1772">
            <v>17</v>
          </cell>
          <cell r="G1772">
            <v>20</v>
          </cell>
          <cell r="H1772">
            <v>12584</v>
          </cell>
          <cell r="I1772">
            <v>16</v>
          </cell>
          <cell r="J1772">
            <v>22</v>
          </cell>
          <cell r="K1772">
            <v>11</v>
          </cell>
        </row>
        <row r="1773">
          <cell r="B1773" t="str">
            <v>translate</v>
          </cell>
          <cell r="C1773" t="str">
            <v>sign/translate</v>
          </cell>
          <cell r="D1773" t="str">
            <v>sign/translate</v>
          </cell>
          <cell r="E1773">
            <v>383</v>
          </cell>
          <cell r="F1773">
            <v>26</v>
          </cell>
          <cell r="G1773">
            <v>3</v>
          </cell>
          <cell r="H1773">
            <v>1051413</v>
          </cell>
          <cell r="I1773">
            <v>16</v>
          </cell>
          <cell r="J1773">
            <v>94</v>
          </cell>
          <cell r="K1773">
            <v>30</v>
          </cell>
        </row>
        <row r="1774">
          <cell r="B1774" t="str">
            <v>paperless-mobile</v>
          </cell>
          <cell r="C1774" t="str">
            <v>astubenbord/paperless-mobile</v>
          </cell>
          <cell r="D1774" t="str">
            <v>astubenbord/paperless-mobile</v>
          </cell>
          <cell r="E1774">
            <v>383</v>
          </cell>
          <cell r="F1774">
            <v>37</v>
          </cell>
          <cell r="G1774">
            <v>13</v>
          </cell>
          <cell r="H1774">
            <v>17039</v>
          </cell>
          <cell r="I1774">
            <v>9</v>
          </cell>
          <cell r="J1774">
            <v>134</v>
          </cell>
          <cell r="K1774">
            <v>6</v>
          </cell>
        </row>
        <row r="1775">
          <cell r="B1775" t="str">
            <v>AndroidEasterEggs</v>
          </cell>
          <cell r="C1775" t="str">
            <v>hushenghao/AndroidEasterEggs</v>
          </cell>
          <cell r="D1775" t="str">
            <v>hushenghao/AndroidEasterEggs</v>
          </cell>
          <cell r="E1775">
            <v>385</v>
          </cell>
          <cell r="F1775">
            <v>3</v>
          </cell>
          <cell r="G1775">
            <v>10</v>
          </cell>
          <cell r="H1775">
            <v>53010</v>
          </cell>
          <cell r="I1775">
            <v>5</v>
          </cell>
          <cell r="J1775">
            <v>89</v>
          </cell>
          <cell r="K1775">
            <v>3</v>
          </cell>
        </row>
        <row r="1776">
          <cell r="B1776" t="str">
            <v>beat-feet</v>
          </cell>
          <cell r="C1776" t="str">
            <v>beat-feet/beat-feet</v>
          </cell>
          <cell r="D1776" t="str">
            <v>beat-feet/beat-feet</v>
          </cell>
          <cell r="E1776">
            <v>385</v>
          </cell>
          <cell r="F1776">
            <v>28</v>
          </cell>
          <cell r="G1776">
            <v>30</v>
          </cell>
          <cell r="H1776">
            <v>381917</v>
          </cell>
          <cell r="I1776">
            <v>6</v>
          </cell>
          <cell r="J1776">
            <v>50</v>
          </cell>
          <cell r="K1776">
            <v>12</v>
          </cell>
        </row>
        <row r="1777">
          <cell r="B1777" t="str">
            <v>conning_tower</v>
          </cell>
          <cell r="C1777" t="str">
            <v>andychucs/conning_tower</v>
          </cell>
          <cell r="D1777" t="str">
            <v>andychucs/conning_tower</v>
          </cell>
          <cell r="E1777">
            <v>386</v>
          </cell>
          <cell r="F1777">
            <v>87</v>
          </cell>
          <cell r="G1777">
            <v>5</v>
          </cell>
          <cell r="H1777">
            <v>857</v>
          </cell>
          <cell r="I1777">
            <v>2</v>
          </cell>
          <cell r="J1777">
            <v>33</v>
          </cell>
          <cell r="K1777">
            <v>4</v>
          </cell>
        </row>
        <row r="1778">
          <cell r="B1778" t="str">
            <v>jellyfin-audio-player</v>
          </cell>
          <cell r="C1778" t="str">
            <v>leinelissen/jellyfin-audio-player</v>
          </cell>
          <cell r="D1778" t="str">
            <v>leinelissen/jellyfin-audio-player</v>
          </cell>
          <cell r="E1778">
            <v>387</v>
          </cell>
          <cell r="F1778">
            <v>46</v>
          </cell>
          <cell r="G1778">
            <v>26</v>
          </cell>
          <cell r="H1778">
            <v>24593</v>
          </cell>
          <cell r="I1778">
            <v>14</v>
          </cell>
          <cell r="J1778">
            <v>409</v>
          </cell>
          <cell r="K1778">
            <v>45</v>
          </cell>
        </row>
        <row r="1779">
          <cell r="B1779" t="str">
            <v>secure-sms-proxy</v>
          </cell>
          <cell r="C1779" t="str">
            <v>frimtec/secure-sms-proxy</v>
          </cell>
          <cell r="D1779" t="str">
            <v>frimtec/secure-sms-proxy</v>
          </cell>
          <cell r="E1779">
            <v>387</v>
          </cell>
          <cell r="F1779">
            <v>218</v>
          </cell>
          <cell r="G1779">
            <v>5</v>
          </cell>
          <cell r="H1779">
            <v>1624</v>
          </cell>
          <cell r="I1779">
            <v>1</v>
          </cell>
          <cell r="J1779">
            <v>12</v>
          </cell>
          <cell r="K1779">
            <v>0</v>
          </cell>
        </row>
        <row r="1780">
          <cell r="B1780" t="str">
            <v>ShoppingList</v>
          </cell>
          <cell r="C1780" t="str">
            <v>Abrynos/ShoppingList</v>
          </cell>
          <cell r="D1780" t="str">
            <v>Abrynos/ShoppingList</v>
          </cell>
          <cell r="E1780">
            <v>389</v>
          </cell>
          <cell r="F1780">
            <v>50</v>
          </cell>
          <cell r="G1780">
            <v>10</v>
          </cell>
          <cell r="H1780">
            <v>3905</v>
          </cell>
          <cell r="I1780">
            <v>2</v>
          </cell>
          <cell r="J1780">
            <v>14</v>
          </cell>
          <cell r="K1780">
            <v>0</v>
          </cell>
        </row>
        <row r="1781">
          <cell r="B1781" t="str">
            <v>android-base</v>
          </cell>
          <cell r="C1781" t="str">
            <v>fs/android-base</v>
          </cell>
          <cell r="D1781" t="str">
            <v>fs/android-base</v>
          </cell>
          <cell r="E1781">
            <v>389</v>
          </cell>
          <cell r="F1781">
            <v>52</v>
          </cell>
          <cell r="G1781">
            <v>8</v>
          </cell>
          <cell r="H1781">
            <v>1845</v>
          </cell>
          <cell r="I1781">
            <v>18</v>
          </cell>
          <cell r="J1781">
            <v>74</v>
          </cell>
          <cell r="K1781">
            <v>8</v>
          </cell>
        </row>
        <row r="1782">
          <cell r="B1782" t="str">
            <v>Bus-When-Twin-Cities</v>
          </cell>
          <cell r="C1782" t="str">
            <v>sweetiepiggy/Bus-When-Twin-Cities</v>
          </cell>
          <cell r="D1782" t="str">
            <v>sweetiepiggy/Bus-When-Twin-Cities</v>
          </cell>
          <cell r="E1782">
            <v>390</v>
          </cell>
          <cell r="F1782">
            <v>1</v>
          </cell>
          <cell r="G1782">
            <v>2</v>
          </cell>
          <cell r="H1782">
            <v>7895</v>
          </cell>
          <cell r="I1782">
            <v>0</v>
          </cell>
          <cell r="J1782">
            <v>2</v>
          </cell>
          <cell r="K1782">
            <v>3</v>
          </cell>
        </row>
        <row r="1783">
          <cell r="B1783" t="str">
            <v>mmdb</v>
          </cell>
          <cell r="C1783" t="str">
            <v>raxden/mmdb</v>
          </cell>
          <cell r="D1783" t="str">
            <v>raxden/mmdb</v>
          </cell>
          <cell r="E1783">
            <v>390</v>
          </cell>
          <cell r="F1783">
            <v>162</v>
          </cell>
          <cell r="G1783">
            <v>3</v>
          </cell>
          <cell r="H1783">
            <v>9435</v>
          </cell>
          <cell r="I1783">
            <v>1</v>
          </cell>
          <cell r="J1783">
            <v>3</v>
          </cell>
          <cell r="K1783">
            <v>0</v>
          </cell>
        </row>
        <row r="1784">
          <cell r="B1784" t="str">
            <v>Photos</v>
          </cell>
          <cell r="C1784" t="str">
            <v>SIKV/Photos</v>
          </cell>
          <cell r="D1784" t="str">
            <v>SIKV/Photos</v>
          </cell>
          <cell r="E1784">
            <v>391</v>
          </cell>
          <cell r="F1784">
            <v>70</v>
          </cell>
          <cell r="G1784">
            <v>2</v>
          </cell>
          <cell r="H1784">
            <v>34129</v>
          </cell>
          <cell r="I1784">
            <v>15</v>
          </cell>
          <cell r="J1784">
            <v>76</v>
          </cell>
          <cell r="K1784">
            <v>5</v>
          </cell>
        </row>
        <row r="1785">
          <cell r="B1785" t="str">
            <v>Forage</v>
          </cell>
          <cell r="C1785" t="str">
            <v>Plastix/Forage</v>
          </cell>
          <cell r="D1785" t="str">
            <v>Plastix/Forage</v>
          </cell>
          <cell r="E1785">
            <v>393</v>
          </cell>
          <cell r="F1785">
            <v>0</v>
          </cell>
          <cell r="G1785">
            <v>1</v>
          </cell>
          <cell r="H1785">
            <v>6960</v>
          </cell>
          <cell r="I1785">
            <v>13</v>
          </cell>
          <cell r="J1785">
            <v>74</v>
          </cell>
          <cell r="K1785">
            <v>3</v>
          </cell>
        </row>
        <row r="1786">
          <cell r="B1786" t="str">
            <v>vlilleChecker</v>
          </cell>
          <cell r="C1786" t="str">
            <v>ojacquemart/vlilleChecker</v>
          </cell>
          <cell r="D1786" t="str">
            <v>ojacquemart/vlilleChecker</v>
          </cell>
          <cell r="E1786">
            <v>393</v>
          </cell>
          <cell r="F1786">
            <v>14</v>
          </cell>
          <cell r="G1786">
            <v>1</v>
          </cell>
          <cell r="H1786">
            <v>14281</v>
          </cell>
          <cell r="I1786">
            <v>12</v>
          </cell>
          <cell r="J1786">
            <v>13</v>
          </cell>
          <cell r="K1786">
            <v>10</v>
          </cell>
        </row>
        <row r="1787">
          <cell r="B1787" t="str">
            <v>VacationDays</v>
          </cell>
          <cell r="C1787" t="str">
            <v>Crazy-Marvin/VacationDays</v>
          </cell>
          <cell r="D1787" t="str">
            <v>Crazy-Marvin/VacationDays</v>
          </cell>
          <cell r="E1787">
            <v>393</v>
          </cell>
          <cell r="F1787">
            <v>121</v>
          </cell>
          <cell r="G1787">
            <v>24</v>
          </cell>
          <cell r="H1787">
            <v>6417</v>
          </cell>
          <cell r="I1787">
            <v>8</v>
          </cell>
          <cell r="J1787">
            <v>32</v>
          </cell>
          <cell r="K1787">
            <v>11</v>
          </cell>
        </row>
        <row r="1788">
          <cell r="B1788" t="str">
            <v>Axion-Technologies-HnH</v>
          </cell>
          <cell r="C1788" t="str">
            <v>ShadyBoukhary/Axion-Technologies-HnH</v>
          </cell>
          <cell r="D1788" t="str">
            <v>ShadyBoukhary/Axion-Technologies-HnH</v>
          </cell>
          <cell r="E1788">
            <v>394</v>
          </cell>
          <cell r="F1788">
            <v>77</v>
          </cell>
          <cell r="G1788">
            <v>4</v>
          </cell>
          <cell r="H1788">
            <v>13822</v>
          </cell>
          <cell r="I1788">
            <v>61</v>
          </cell>
          <cell r="J1788">
            <v>223</v>
          </cell>
          <cell r="K1788">
            <v>5</v>
          </cell>
        </row>
        <row r="1789">
          <cell r="B1789" t="str">
            <v>speedrun-browser-android</v>
          </cell>
          <cell r="C1789" t="str">
            <v>dl00/speedrun-browser-android</v>
          </cell>
          <cell r="D1789" t="str">
            <v>dl00/speedrun-browser-android</v>
          </cell>
          <cell r="E1789">
            <v>396</v>
          </cell>
          <cell r="F1789">
            <v>2</v>
          </cell>
          <cell r="G1789">
            <v>2</v>
          </cell>
          <cell r="H1789">
            <v>2350</v>
          </cell>
          <cell r="I1789">
            <v>2</v>
          </cell>
          <cell r="J1789">
            <v>4</v>
          </cell>
          <cell r="K1789">
            <v>4</v>
          </cell>
        </row>
        <row r="1790">
          <cell r="B1790" t="str">
            <v>ueno</v>
          </cell>
          <cell r="C1790" t="str">
            <v>tramlinehq/ueno</v>
          </cell>
          <cell r="D1790" t="str">
            <v>tramlinehq/ueno</v>
          </cell>
          <cell r="E1790">
            <v>396</v>
          </cell>
          <cell r="F1790">
            <v>196</v>
          </cell>
          <cell r="G1790">
            <v>9</v>
          </cell>
          <cell r="H1790">
            <v>39109</v>
          </cell>
          <cell r="I1790">
            <v>1</v>
          </cell>
          <cell r="J1790">
            <v>3</v>
          </cell>
          <cell r="K1790">
            <v>0</v>
          </cell>
        </row>
        <row r="1791">
          <cell r="B1791" t="str">
            <v>bundel</v>
          </cell>
          <cell r="C1791" t="str">
            <v>code-with-the-italians/bundel</v>
          </cell>
          <cell r="D1791" t="str">
            <v>code-with-the-italians/bundel</v>
          </cell>
          <cell r="E1791">
            <v>397</v>
          </cell>
          <cell r="F1791">
            <v>22</v>
          </cell>
          <cell r="G1791">
            <v>11</v>
          </cell>
          <cell r="H1791">
            <v>1467</v>
          </cell>
          <cell r="I1791">
            <v>21</v>
          </cell>
          <cell r="J1791">
            <v>246</v>
          </cell>
          <cell r="K1791">
            <v>4</v>
          </cell>
        </row>
        <row r="1792">
          <cell r="B1792" t="str">
            <v>compose-material-dialogs</v>
          </cell>
          <cell r="C1792" t="str">
            <v>vanpra/compose-material-dialogs</v>
          </cell>
          <cell r="D1792" t="str">
            <v>PranavMaganti/compose-material-dialogs</v>
          </cell>
          <cell r="E1792">
            <v>397</v>
          </cell>
          <cell r="F1792">
            <v>77</v>
          </cell>
          <cell r="G1792">
            <v>20</v>
          </cell>
          <cell r="H1792">
            <v>115925</v>
          </cell>
          <cell r="I1792">
            <v>68</v>
          </cell>
          <cell r="J1792">
            <v>466</v>
          </cell>
          <cell r="K1792">
            <v>18</v>
          </cell>
        </row>
        <row r="1793">
          <cell r="B1793" t="str">
            <v>curriculumvitae</v>
          </cell>
          <cell r="C1793" t="str">
            <v>chrimaeon/curriculumvitae</v>
          </cell>
          <cell r="D1793" t="str">
            <v>chrimaeon/curriculumvitae</v>
          </cell>
          <cell r="E1793">
            <v>398</v>
          </cell>
          <cell r="F1793">
            <v>10</v>
          </cell>
          <cell r="G1793">
            <v>2</v>
          </cell>
          <cell r="H1793">
            <v>10378</v>
          </cell>
          <cell r="I1793">
            <v>1</v>
          </cell>
          <cell r="J1793">
            <v>5</v>
          </cell>
          <cell r="K1793">
            <v>1</v>
          </cell>
        </row>
        <row r="1794">
          <cell r="B1794" t="str">
            <v>subtracks</v>
          </cell>
          <cell r="C1794" t="str">
            <v>austinried/subtracks</v>
          </cell>
          <cell r="D1794" t="str">
            <v>austinried/subtracks</v>
          </cell>
          <cell r="E1794">
            <v>398</v>
          </cell>
          <cell r="F1794">
            <v>64</v>
          </cell>
          <cell r="G1794">
            <v>26</v>
          </cell>
          <cell r="H1794">
            <v>13186</v>
          </cell>
          <cell r="I1794">
            <v>20</v>
          </cell>
          <cell r="J1794">
            <v>519</v>
          </cell>
          <cell r="K1794">
            <v>41</v>
          </cell>
        </row>
        <row r="1795">
          <cell r="B1795" t="str">
            <v>OpenCord</v>
          </cell>
          <cell r="C1795" t="str">
            <v>MateriiApps/OpenCord</v>
          </cell>
          <cell r="D1795" t="str">
            <v>MateriiApps/OpenCord</v>
          </cell>
          <cell r="E1795">
            <v>399</v>
          </cell>
          <cell r="F1795">
            <v>81</v>
          </cell>
          <cell r="G1795">
            <v>6</v>
          </cell>
          <cell r="H1795">
            <v>5748</v>
          </cell>
          <cell r="I1795">
            <v>45</v>
          </cell>
          <cell r="J1795">
            <v>693</v>
          </cell>
          <cell r="K1795">
            <v>8</v>
          </cell>
        </row>
        <row r="1796">
          <cell r="B1796" t="str">
            <v>khumu-android</v>
          </cell>
          <cell r="C1796" t="str">
            <v>khu-dev/khumu-android</v>
          </cell>
          <cell r="D1796" t="str">
            <v>khu-dev/khumu-android</v>
          </cell>
          <cell r="E1796">
            <v>400</v>
          </cell>
          <cell r="F1796">
            <v>18</v>
          </cell>
          <cell r="G1796">
            <v>2</v>
          </cell>
          <cell r="H1796">
            <v>2601</v>
          </cell>
          <cell r="I1796">
            <v>2</v>
          </cell>
          <cell r="J1796">
            <v>4</v>
          </cell>
          <cell r="K1796">
            <v>5</v>
          </cell>
        </row>
        <row r="1797">
          <cell r="B1797" t="str">
            <v>hid-barcode-scanner</v>
          </cell>
          <cell r="C1797" t="str">
            <v>Fabi019/hid-barcode-scanner</v>
          </cell>
          <cell r="D1797" t="str">
            <v>Fabi019/hid-barcode-scanner</v>
          </cell>
          <cell r="E1797">
            <v>401</v>
          </cell>
          <cell r="F1797">
            <v>73</v>
          </cell>
          <cell r="G1797">
            <v>5</v>
          </cell>
          <cell r="H1797">
            <v>3495</v>
          </cell>
          <cell r="I1797">
            <v>1</v>
          </cell>
          <cell r="J1797">
            <v>6</v>
          </cell>
          <cell r="K1797">
            <v>3</v>
          </cell>
        </row>
        <row r="1798">
          <cell r="B1798" t="str">
            <v>DiscuzHub</v>
          </cell>
          <cell r="C1798" t="str">
            <v>kidozh/DiscuzHub</v>
          </cell>
          <cell r="D1798" t="str">
            <v>kidozh/DiscuzHub</v>
          </cell>
          <cell r="E1798">
            <v>402</v>
          </cell>
          <cell r="F1798">
            <v>4</v>
          </cell>
          <cell r="G1798">
            <v>2</v>
          </cell>
          <cell r="H1798">
            <v>4759</v>
          </cell>
          <cell r="I1798">
            <v>26</v>
          </cell>
          <cell r="J1798">
            <v>75</v>
          </cell>
          <cell r="K1798">
            <v>1</v>
          </cell>
        </row>
        <row r="1799">
          <cell r="B1799" t="str">
            <v>roboclub-flutter</v>
          </cell>
          <cell r="C1799" t="str">
            <v>open-roboclub/roboclub-flutter</v>
          </cell>
          <cell r="D1799" t="str">
            <v>open-roboclub/roboclub-flutter</v>
          </cell>
          <cell r="E1799">
            <v>402</v>
          </cell>
          <cell r="F1799">
            <v>50</v>
          </cell>
          <cell r="G1799">
            <v>7</v>
          </cell>
          <cell r="H1799">
            <v>12583</v>
          </cell>
          <cell r="I1799">
            <v>8</v>
          </cell>
          <cell r="J1799">
            <v>10</v>
          </cell>
          <cell r="K1799">
            <v>3</v>
          </cell>
        </row>
        <row r="1800">
          <cell r="B1800" t="str">
            <v>OpenBikeSharing</v>
          </cell>
          <cell r="C1800" t="str">
            <v>bparmentier/OpenBikeSharing</v>
          </cell>
          <cell r="D1800" t="str">
            <v>bparmentier/OpenBikeSharing</v>
          </cell>
          <cell r="E1800">
            <v>403</v>
          </cell>
          <cell r="F1800">
            <v>12</v>
          </cell>
          <cell r="G1800">
            <v>30</v>
          </cell>
          <cell r="H1800">
            <v>16320</v>
          </cell>
          <cell r="I1800">
            <v>55</v>
          </cell>
          <cell r="J1800">
            <v>63</v>
          </cell>
          <cell r="K1800">
            <v>26</v>
          </cell>
        </row>
        <row r="1801">
          <cell r="B1801" t="str">
            <v>glowing-potato</v>
          </cell>
          <cell r="C1801" t="str">
            <v>SenorPez/glowing-potato</v>
          </cell>
          <cell r="D1801" t="str">
            <v>SenorPez/glowing-potato</v>
          </cell>
          <cell r="E1801">
            <v>403</v>
          </cell>
          <cell r="F1801">
            <v>20</v>
          </cell>
          <cell r="G1801">
            <v>1</v>
          </cell>
          <cell r="H1801">
            <v>2585</v>
          </cell>
          <cell r="I1801">
            <v>0</v>
          </cell>
          <cell r="J1801">
            <v>1</v>
          </cell>
          <cell r="K1801">
            <v>10</v>
          </cell>
        </row>
        <row r="1802">
          <cell r="B1802" t="str">
            <v>Equate</v>
          </cell>
          <cell r="C1802" t="str">
            <v>EvanRespaut/Equate</v>
          </cell>
          <cell r="D1802" t="str">
            <v>EvanRespaut/Equate</v>
          </cell>
          <cell r="E1802">
            <v>406</v>
          </cell>
          <cell r="F1802">
            <v>7</v>
          </cell>
          <cell r="G1802">
            <v>2</v>
          </cell>
          <cell r="H1802">
            <v>2516</v>
          </cell>
          <cell r="I1802">
            <v>17</v>
          </cell>
          <cell r="J1802">
            <v>61</v>
          </cell>
          <cell r="K1802">
            <v>41</v>
          </cell>
        </row>
        <row r="1803">
          <cell r="B1803" t="str">
            <v>AffinidiID</v>
          </cell>
          <cell r="C1803" t="str">
            <v>alexandr7035/AffinidiID</v>
          </cell>
          <cell r="D1803" t="str">
            <v>alexandr7035/AffinidiID</v>
          </cell>
          <cell r="E1803">
            <v>406</v>
          </cell>
          <cell r="F1803">
            <v>13</v>
          </cell>
          <cell r="G1803">
            <v>1</v>
          </cell>
          <cell r="H1803">
            <v>1965</v>
          </cell>
          <cell r="I1803">
            <v>0</v>
          </cell>
          <cell r="J1803">
            <v>3</v>
          </cell>
          <cell r="K1803">
            <v>31</v>
          </cell>
        </row>
        <row r="1804">
          <cell r="B1804" t="str">
            <v>discusim</v>
          </cell>
          <cell r="C1804" t="str">
            <v>akhbulatov/discusim</v>
          </cell>
          <cell r="D1804" t="str">
            <v>akhbulatov/discusim</v>
          </cell>
          <cell r="E1804">
            <v>406</v>
          </cell>
          <cell r="F1804">
            <v>66</v>
          </cell>
          <cell r="G1804">
            <v>1</v>
          </cell>
          <cell r="H1804">
            <v>1078</v>
          </cell>
          <cell r="I1804">
            <v>1</v>
          </cell>
          <cell r="J1804">
            <v>5</v>
          </cell>
          <cell r="K1804">
            <v>0</v>
          </cell>
        </row>
        <row r="1805">
          <cell r="B1805" t="str">
            <v>android</v>
          </cell>
          <cell r="C1805" t="str">
            <v>vadret/android</v>
          </cell>
          <cell r="D1805" t="str">
            <v>vadret/android</v>
          </cell>
          <cell r="E1805">
            <v>406</v>
          </cell>
          <cell r="F1805">
            <v>160</v>
          </cell>
          <cell r="G1805">
            <v>2</v>
          </cell>
          <cell r="H1805">
            <v>7792</v>
          </cell>
          <cell r="I1805">
            <v>3</v>
          </cell>
          <cell r="J1805">
            <v>17</v>
          </cell>
          <cell r="K1805">
            <v>14</v>
          </cell>
        </row>
        <row r="1806">
          <cell r="B1806" t="str">
            <v>jazz2-native</v>
          </cell>
          <cell r="C1806" t="str">
            <v>deathkiller/jazz2-native</v>
          </cell>
          <cell r="D1806" t="str">
            <v>deathkiller/jazz2-native</v>
          </cell>
          <cell r="E1806">
            <v>408</v>
          </cell>
          <cell r="F1806">
            <v>7</v>
          </cell>
          <cell r="G1806">
            <v>10</v>
          </cell>
          <cell r="H1806">
            <v>6424</v>
          </cell>
          <cell r="I1806">
            <v>14</v>
          </cell>
          <cell r="J1806">
            <v>101</v>
          </cell>
          <cell r="K1806">
            <v>2</v>
          </cell>
        </row>
        <row r="1807">
          <cell r="B1807" t="str">
            <v>WanAndroid</v>
          </cell>
          <cell r="C1807" t="str">
            <v>iceCola7/WanAndroid</v>
          </cell>
          <cell r="D1807" t="str">
            <v>iceCola7/WanAndroid</v>
          </cell>
          <cell r="E1807">
            <v>408</v>
          </cell>
          <cell r="F1807">
            <v>8</v>
          </cell>
          <cell r="G1807">
            <v>1</v>
          </cell>
          <cell r="H1807">
            <v>91563</v>
          </cell>
          <cell r="I1807">
            <v>323</v>
          </cell>
          <cell r="J1807">
            <v>1612</v>
          </cell>
          <cell r="K1807">
            <v>6</v>
          </cell>
        </row>
        <row r="1808">
          <cell r="B1808" t="str">
            <v>pretixscan-android</v>
          </cell>
          <cell r="C1808" t="str">
            <v>pretix/pretixscan-android</v>
          </cell>
          <cell r="D1808" t="str">
            <v>pretix/pretixscan-android</v>
          </cell>
          <cell r="E1808">
            <v>410</v>
          </cell>
          <cell r="F1808">
            <v>44</v>
          </cell>
          <cell r="G1808">
            <v>29</v>
          </cell>
          <cell r="H1808">
            <v>911</v>
          </cell>
          <cell r="I1808">
            <v>14</v>
          </cell>
          <cell r="J1808">
            <v>16</v>
          </cell>
          <cell r="K1808">
            <v>13</v>
          </cell>
        </row>
        <row r="1809">
          <cell r="B1809" t="str">
            <v>nfsee</v>
          </cell>
          <cell r="C1809" t="str">
            <v>nfcim/nfsee</v>
          </cell>
          <cell r="D1809" t="str">
            <v>nfcim/nfsee</v>
          </cell>
          <cell r="E1809">
            <v>412</v>
          </cell>
          <cell r="F1809">
            <v>7</v>
          </cell>
          <cell r="G1809">
            <v>9</v>
          </cell>
          <cell r="H1809">
            <v>3869</v>
          </cell>
          <cell r="I1809">
            <v>15</v>
          </cell>
          <cell r="J1809">
            <v>101</v>
          </cell>
          <cell r="K1809">
            <v>7</v>
          </cell>
        </row>
        <row r="1810">
          <cell r="B1810" t="str">
            <v>chatwoot-mobile-app</v>
          </cell>
          <cell r="C1810" t="str">
            <v>chatwoot/chatwoot-mobile-app</v>
          </cell>
          <cell r="D1810" t="str">
            <v>chatwoot/chatwoot-mobile-app</v>
          </cell>
          <cell r="E1810">
            <v>412</v>
          </cell>
          <cell r="F1810">
            <v>385</v>
          </cell>
          <cell r="G1810">
            <v>18</v>
          </cell>
          <cell r="H1810">
            <v>22357</v>
          </cell>
          <cell r="I1810">
            <v>171</v>
          </cell>
          <cell r="J1810">
            <v>411</v>
          </cell>
          <cell r="K1810">
            <v>48</v>
          </cell>
        </row>
        <row r="1811">
          <cell r="B1811" t="str">
            <v>termux-api</v>
          </cell>
          <cell r="C1811" t="str">
            <v>termux/termux-api</v>
          </cell>
          <cell r="D1811" t="str">
            <v>termux/termux-api</v>
          </cell>
          <cell r="E1811">
            <v>413</v>
          </cell>
          <cell r="F1811">
            <v>142</v>
          </cell>
          <cell r="G1811">
            <v>49</v>
          </cell>
          <cell r="H1811">
            <v>1202</v>
          </cell>
          <cell r="I1811">
            <v>363</v>
          </cell>
          <cell r="J1811">
            <v>1485</v>
          </cell>
          <cell r="K1811">
            <v>202</v>
          </cell>
        </row>
        <row r="1812">
          <cell r="B1812" t="str">
            <v>deep-link-launcher</v>
          </cell>
          <cell r="C1812" t="str">
            <v>wispborne/deep-link-launcher</v>
          </cell>
          <cell r="D1812" t="str">
            <v>wispborne/deep-link-launcher</v>
          </cell>
          <cell r="E1812">
            <v>414</v>
          </cell>
          <cell r="F1812">
            <v>1</v>
          </cell>
          <cell r="G1812">
            <v>2</v>
          </cell>
          <cell r="H1812">
            <v>2273</v>
          </cell>
          <cell r="I1812">
            <v>1</v>
          </cell>
          <cell r="J1812">
            <v>23</v>
          </cell>
          <cell r="K1812">
            <v>4</v>
          </cell>
        </row>
        <row r="1813">
          <cell r="B1813" t="str">
            <v>apps-android-wikiedudashboard</v>
          </cell>
          <cell r="C1813" t="str">
            <v>WikiEducationFoundation/apps-android-wikiedudashboard</v>
          </cell>
          <cell r="D1813" t="str">
            <v>WikiEducationFoundation/apps-android-wikiedudashboard</v>
          </cell>
          <cell r="E1813">
            <v>414</v>
          </cell>
          <cell r="F1813">
            <v>251</v>
          </cell>
          <cell r="G1813">
            <v>22</v>
          </cell>
          <cell r="H1813">
            <v>56550</v>
          </cell>
          <cell r="I1813">
            <v>54</v>
          </cell>
          <cell r="J1813">
            <v>22</v>
          </cell>
          <cell r="K1813">
            <v>42</v>
          </cell>
        </row>
        <row r="1814">
          <cell r="B1814" t="str">
            <v>ValenBisi</v>
          </cell>
          <cell r="C1814" t="str">
            <v>systemallica/ValenBisi</v>
          </cell>
          <cell r="D1814" t="str">
            <v>systemallica/ValenBisi</v>
          </cell>
          <cell r="E1814">
            <v>416</v>
          </cell>
          <cell r="F1814">
            <v>5</v>
          </cell>
          <cell r="G1814">
            <v>2</v>
          </cell>
          <cell r="H1814">
            <v>13173</v>
          </cell>
          <cell r="I1814">
            <v>2</v>
          </cell>
          <cell r="J1814">
            <v>6</v>
          </cell>
          <cell r="K1814">
            <v>0</v>
          </cell>
        </row>
        <row r="1815">
          <cell r="B1815" t="str">
            <v>OUILookup</v>
          </cell>
          <cell r="C1815" t="str">
            <v>Alberto97/OUILookup</v>
          </cell>
          <cell r="D1815" t="str">
            <v>Alberto97/OUILookup</v>
          </cell>
          <cell r="E1815">
            <v>416</v>
          </cell>
          <cell r="F1815">
            <v>204</v>
          </cell>
          <cell r="G1815">
            <v>4</v>
          </cell>
          <cell r="H1815">
            <v>5342</v>
          </cell>
          <cell r="I1815">
            <v>3</v>
          </cell>
          <cell r="J1815">
            <v>22</v>
          </cell>
          <cell r="K1815">
            <v>1</v>
          </cell>
        </row>
        <row r="1816">
          <cell r="B1816" t="str">
            <v>MapNotes</v>
          </cell>
          <cell r="C1816" t="str">
            <v>AlexZhukovich/MapNotes</v>
          </cell>
          <cell r="D1816" t="str">
            <v>AlexZhukovich/MapNotes</v>
          </cell>
          <cell r="E1816">
            <v>419</v>
          </cell>
          <cell r="F1816">
            <v>39</v>
          </cell>
          <cell r="G1816">
            <v>1</v>
          </cell>
          <cell r="H1816">
            <v>1104</v>
          </cell>
          <cell r="I1816">
            <v>7</v>
          </cell>
          <cell r="J1816">
            <v>31</v>
          </cell>
          <cell r="K1816">
            <v>3</v>
          </cell>
        </row>
        <row r="1817">
          <cell r="B1817" t="str">
            <v>Sonofy</v>
          </cell>
          <cell r="C1817" t="str">
            <v>SefkanTas/Sonofy</v>
          </cell>
          <cell r="D1817" t="str">
            <v>SefkanTas/Sonofy</v>
          </cell>
          <cell r="E1817">
            <v>419</v>
          </cell>
          <cell r="F1817">
            <v>76</v>
          </cell>
          <cell r="G1817">
            <v>4</v>
          </cell>
          <cell r="H1817">
            <v>31739</v>
          </cell>
          <cell r="I1817">
            <v>4</v>
          </cell>
          <cell r="J1817">
            <v>2</v>
          </cell>
          <cell r="K1817">
            <v>12</v>
          </cell>
        </row>
        <row r="1818">
          <cell r="B1818" t="str">
            <v>meteroid</v>
          </cell>
          <cell r="C1818" t="str">
            <v>chaosdorf/meteroid</v>
          </cell>
          <cell r="D1818" t="str">
            <v>chaosdorf/meteroid</v>
          </cell>
          <cell r="E1818">
            <v>422</v>
          </cell>
          <cell r="F1818">
            <v>2</v>
          </cell>
          <cell r="G1818">
            <v>5</v>
          </cell>
          <cell r="H1818">
            <v>8576</v>
          </cell>
          <cell r="I1818">
            <v>8</v>
          </cell>
          <cell r="J1818">
            <v>8</v>
          </cell>
          <cell r="K1818">
            <v>7</v>
          </cell>
        </row>
        <row r="1819">
          <cell r="B1819" t="str">
            <v>soHappy</v>
          </cell>
          <cell r="C1819" t="str">
            <v>teamulster/soHappy</v>
          </cell>
          <cell r="D1819" t="str">
            <v>teamulster/soHappy</v>
          </cell>
          <cell r="E1819">
            <v>422</v>
          </cell>
          <cell r="F1819">
            <v>67</v>
          </cell>
          <cell r="G1819">
            <v>5</v>
          </cell>
          <cell r="H1819">
            <v>45485</v>
          </cell>
          <cell r="I1819">
            <v>0</v>
          </cell>
          <cell r="J1819">
            <v>9</v>
          </cell>
          <cell r="K1819">
            <v>0</v>
          </cell>
        </row>
        <row r="1820">
          <cell r="B1820" t="str">
            <v>drinkable</v>
          </cell>
          <cell r="C1820" t="str">
            <v>MOIMOB/drinkable</v>
          </cell>
          <cell r="D1820" t="str">
            <v>MOIMOB/drinkable</v>
          </cell>
          <cell r="E1820">
            <v>422</v>
          </cell>
          <cell r="F1820">
            <v>257</v>
          </cell>
          <cell r="G1820">
            <v>29</v>
          </cell>
          <cell r="H1820">
            <v>36844</v>
          </cell>
          <cell r="I1820">
            <v>7</v>
          </cell>
          <cell r="J1820">
            <v>44</v>
          </cell>
          <cell r="K1820">
            <v>11</v>
          </cell>
        </row>
        <row r="1821">
          <cell r="B1821" t="str">
            <v>ad-free</v>
          </cell>
          <cell r="C1821" t="str">
            <v>abertschi/ad-free</v>
          </cell>
          <cell r="D1821" t="str">
            <v>abertschi/ad-free</v>
          </cell>
          <cell r="E1821">
            <v>423</v>
          </cell>
          <cell r="F1821">
            <v>18</v>
          </cell>
          <cell r="G1821">
            <v>3</v>
          </cell>
          <cell r="H1821">
            <v>10848</v>
          </cell>
          <cell r="I1821">
            <v>21</v>
          </cell>
          <cell r="J1821">
            <v>228</v>
          </cell>
          <cell r="K1821">
            <v>22</v>
          </cell>
        </row>
        <row r="1822">
          <cell r="B1822" t="str">
            <v>radar-covid-android</v>
          </cell>
          <cell r="C1822" t="str">
            <v>RadarCOVID/radar-covid-android</v>
          </cell>
          <cell r="D1822" t="str">
            <v>RadarCOVID/radar-covid-android</v>
          </cell>
          <cell r="E1822">
            <v>425</v>
          </cell>
          <cell r="F1822">
            <v>17</v>
          </cell>
          <cell r="G1822">
            <v>9</v>
          </cell>
          <cell r="H1822">
            <v>41074</v>
          </cell>
          <cell r="I1822">
            <v>86</v>
          </cell>
          <cell r="J1822">
            <v>392</v>
          </cell>
          <cell r="K1822">
            <v>7</v>
          </cell>
        </row>
        <row r="1823">
          <cell r="B1823" t="str">
            <v>Kandroid</v>
          </cell>
          <cell r="C1823" t="str">
            <v>andresth/Kandroid</v>
          </cell>
          <cell r="D1823" t="str">
            <v>andresth/Kandroid</v>
          </cell>
          <cell r="E1823">
            <v>426</v>
          </cell>
          <cell r="F1823">
            <v>8</v>
          </cell>
          <cell r="G1823">
            <v>6</v>
          </cell>
          <cell r="H1823">
            <v>6385</v>
          </cell>
          <cell r="I1823">
            <v>23</v>
          </cell>
          <cell r="J1823">
            <v>101</v>
          </cell>
          <cell r="K1823">
            <v>28</v>
          </cell>
        </row>
        <row r="1824">
          <cell r="B1824" t="str">
            <v>ChatSE</v>
          </cell>
          <cell r="C1824" t="str">
            <v>room-15/ChatSE</v>
          </cell>
          <cell r="D1824" t="str">
            <v>room-15/ChatSE</v>
          </cell>
          <cell r="E1824">
            <v>426</v>
          </cell>
          <cell r="F1824">
            <v>35</v>
          </cell>
          <cell r="G1824">
            <v>8</v>
          </cell>
          <cell r="H1824">
            <v>11650</v>
          </cell>
          <cell r="I1824">
            <v>18</v>
          </cell>
          <cell r="J1824">
            <v>22</v>
          </cell>
          <cell r="K1824">
            <v>18</v>
          </cell>
        </row>
        <row r="1825">
          <cell r="B1825" t="str">
            <v>UsbSerial</v>
          </cell>
          <cell r="C1825" t="str">
            <v>felHR85/UsbSerial</v>
          </cell>
          <cell r="D1825" t="str">
            <v>felHR85/UsbSerial</v>
          </cell>
          <cell r="E1825">
            <v>426</v>
          </cell>
          <cell r="F1825">
            <v>86</v>
          </cell>
          <cell r="G1825">
            <v>25</v>
          </cell>
          <cell r="H1825">
            <v>2017</v>
          </cell>
          <cell r="I1825">
            <v>548</v>
          </cell>
          <cell r="J1825">
            <v>1603</v>
          </cell>
          <cell r="K1825">
            <v>117</v>
          </cell>
        </row>
        <row r="1826">
          <cell r="B1826" t="str">
            <v>safenotes</v>
          </cell>
          <cell r="C1826" t="str">
            <v>keshav-space/safenotes</v>
          </cell>
          <cell r="D1826" t="str">
            <v>keshav-space/safenotes</v>
          </cell>
          <cell r="E1826">
            <v>427</v>
          </cell>
          <cell r="F1826">
            <v>69</v>
          </cell>
          <cell r="G1826">
            <v>25</v>
          </cell>
          <cell r="H1826">
            <v>9984</v>
          </cell>
          <cell r="I1826">
            <v>20</v>
          </cell>
          <cell r="J1826">
            <v>167</v>
          </cell>
          <cell r="K1826">
            <v>35</v>
          </cell>
        </row>
        <row r="1827">
          <cell r="B1827" t="str">
            <v>NeoTerm</v>
          </cell>
          <cell r="C1827" t="str">
            <v>NeoTerrm/NeoTerm</v>
          </cell>
          <cell r="D1827" t="str">
            <v>NeoTerrm/NeoTerm</v>
          </cell>
          <cell r="E1827">
            <v>428</v>
          </cell>
          <cell r="F1827">
            <v>9</v>
          </cell>
          <cell r="G1827">
            <v>5</v>
          </cell>
          <cell r="H1827">
            <v>7732</v>
          </cell>
          <cell r="I1827">
            <v>77</v>
          </cell>
          <cell r="J1827">
            <v>607</v>
          </cell>
          <cell r="K1827">
            <v>31</v>
          </cell>
        </row>
        <row r="1828">
          <cell r="B1828" t="str">
            <v>MyHackerspace</v>
          </cell>
          <cell r="C1828" t="str">
            <v>fixme-lausanne/MyHackerspace</v>
          </cell>
          <cell r="D1828" t="str">
            <v>fixme-lausanne/MyHackerspace</v>
          </cell>
          <cell r="E1828">
            <v>428</v>
          </cell>
          <cell r="F1828">
            <v>37</v>
          </cell>
          <cell r="G1828">
            <v>9</v>
          </cell>
          <cell r="H1828">
            <v>1257</v>
          </cell>
          <cell r="I1828">
            <v>30</v>
          </cell>
          <cell r="J1828">
            <v>42</v>
          </cell>
          <cell r="K1828">
            <v>26</v>
          </cell>
        </row>
        <row r="1829">
          <cell r="B1829" t="str">
            <v>simaromur</v>
          </cell>
          <cell r="C1829" t="str">
            <v>grammatek/simaromur</v>
          </cell>
          <cell r="D1829" t="str">
            <v>grammatek/simaromur</v>
          </cell>
          <cell r="E1829">
            <v>428</v>
          </cell>
          <cell r="F1829">
            <v>91</v>
          </cell>
          <cell r="G1829">
            <v>3</v>
          </cell>
          <cell r="H1829">
            <v>39196</v>
          </cell>
          <cell r="I1829">
            <v>1</v>
          </cell>
          <cell r="J1829">
            <v>6</v>
          </cell>
          <cell r="K1829">
            <v>12</v>
          </cell>
        </row>
        <row r="1830">
          <cell r="B1830" t="str">
            <v>privacy-friendly-shopping-list</v>
          </cell>
          <cell r="C1830" t="str">
            <v>SecUSo/privacy-friendly-shopping-list</v>
          </cell>
          <cell r="D1830" t="str">
            <v>SecUSo/privacy-friendly-shopping-list</v>
          </cell>
          <cell r="E1830">
            <v>431</v>
          </cell>
          <cell r="F1830">
            <v>22</v>
          </cell>
          <cell r="G1830">
            <v>16</v>
          </cell>
          <cell r="H1830">
            <v>3338</v>
          </cell>
          <cell r="I1830">
            <v>36</v>
          </cell>
          <cell r="J1830">
            <v>59</v>
          </cell>
          <cell r="K1830">
            <v>57</v>
          </cell>
        </row>
        <row r="1831">
          <cell r="B1831" t="str">
            <v>GeometricWeather</v>
          </cell>
          <cell r="C1831" t="str">
            <v>WangDaYeeeeee/GeometricWeather</v>
          </cell>
          <cell r="D1831" t="str">
            <v>WangDaYeeeeee/GeometricWeather</v>
          </cell>
          <cell r="E1831">
            <v>431</v>
          </cell>
          <cell r="F1831">
            <v>100</v>
          </cell>
          <cell r="G1831">
            <v>15</v>
          </cell>
          <cell r="H1831">
            <v>986612</v>
          </cell>
          <cell r="I1831">
            <v>184</v>
          </cell>
          <cell r="J1831">
            <v>2015</v>
          </cell>
          <cell r="K1831">
            <v>284</v>
          </cell>
        </row>
        <row r="1832">
          <cell r="B1832" t="str">
            <v>btcmap-android</v>
          </cell>
          <cell r="C1832" t="str">
            <v>teambtcmap/btcmap-android</v>
          </cell>
          <cell r="D1832" t="str">
            <v>teambtcmap/btcmap-android</v>
          </cell>
          <cell r="E1832">
            <v>432</v>
          </cell>
          <cell r="F1832">
            <v>9</v>
          </cell>
          <cell r="G1832">
            <v>16</v>
          </cell>
          <cell r="H1832">
            <v>25231</v>
          </cell>
          <cell r="I1832">
            <v>22</v>
          </cell>
          <cell r="J1832">
            <v>44</v>
          </cell>
          <cell r="K1832">
            <v>0</v>
          </cell>
        </row>
        <row r="1833">
          <cell r="B1833" t="str">
            <v>EasyWatermark</v>
          </cell>
          <cell r="C1833" t="str">
            <v>rosuH/EasyWatermark</v>
          </cell>
          <cell r="D1833" t="str">
            <v>rosuH/EasyWatermark</v>
          </cell>
          <cell r="E1833">
            <v>434</v>
          </cell>
          <cell r="F1833">
            <v>243</v>
          </cell>
          <cell r="G1833">
            <v>13</v>
          </cell>
          <cell r="H1833">
            <v>36278</v>
          </cell>
          <cell r="I1833">
            <v>108</v>
          </cell>
          <cell r="J1833">
            <v>1102</v>
          </cell>
          <cell r="K1833">
            <v>17</v>
          </cell>
        </row>
        <row r="1834">
          <cell r="B1834" t="str">
            <v>ExploreRN</v>
          </cell>
          <cell r="C1834" t="str">
            <v>supervons/ExploreRN</v>
          </cell>
          <cell r="D1834" t="str">
            <v>supervons/ExploreRN</v>
          </cell>
          <cell r="E1834">
            <v>435</v>
          </cell>
          <cell r="F1834">
            <v>27</v>
          </cell>
          <cell r="G1834">
            <v>2</v>
          </cell>
          <cell r="H1834">
            <v>8794</v>
          </cell>
          <cell r="I1834">
            <v>11</v>
          </cell>
          <cell r="J1834">
            <v>133</v>
          </cell>
          <cell r="K1834">
            <v>0</v>
          </cell>
        </row>
        <row r="1835">
          <cell r="B1835" t="str">
            <v>mobile-app</v>
          </cell>
          <cell r="C1835" t="str">
            <v>helpwave/mobile-app</v>
          </cell>
          <cell r="D1835" t="str">
            <v>helpwave/mobile-app</v>
          </cell>
          <cell r="E1835">
            <v>435</v>
          </cell>
          <cell r="F1835">
            <v>113</v>
          </cell>
          <cell r="G1835">
            <v>6</v>
          </cell>
          <cell r="H1835">
            <v>1720</v>
          </cell>
          <cell r="I1835">
            <v>1</v>
          </cell>
          <cell r="J1835">
            <v>4</v>
          </cell>
          <cell r="K1835">
            <v>25</v>
          </cell>
        </row>
        <row r="1836">
          <cell r="B1836" t="str">
            <v>android</v>
          </cell>
          <cell r="C1836" t="str">
            <v>LiveTL/android</v>
          </cell>
          <cell r="D1836" t="str">
            <v>LiveTL/android</v>
          </cell>
          <cell r="E1836">
            <v>436</v>
          </cell>
          <cell r="F1836">
            <v>6</v>
          </cell>
          <cell r="G1836">
            <v>3</v>
          </cell>
          <cell r="H1836">
            <v>916</v>
          </cell>
          <cell r="I1836">
            <v>1</v>
          </cell>
          <cell r="J1836">
            <v>28</v>
          </cell>
          <cell r="K1836">
            <v>8</v>
          </cell>
        </row>
        <row r="1837">
          <cell r="B1837" t="str">
            <v>mVoterAndroid</v>
          </cell>
          <cell r="C1837" t="str">
            <v>PopStackHack/mVoterAndroid</v>
          </cell>
          <cell r="D1837" t="str">
            <v>PopStackHack/mVoterAndroid</v>
          </cell>
          <cell r="E1837">
            <v>436</v>
          </cell>
          <cell r="F1837">
            <v>10</v>
          </cell>
          <cell r="G1837">
            <v>3</v>
          </cell>
          <cell r="H1837">
            <v>2592</v>
          </cell>
          <cell r="I1837">
            <v>12</v>
          </cell>
          <cell r="J1837">
            <v>45</v>
          </cell>
          <cell r="K1837">
            <v>1</v>
          </cell>
        </row>
        <row r="1838">
          <cell r="B1838" t="str">
            <v>ktrip</v>
          </cell>
          <cell r="C1838" t="str">
            <v>KDE/ktrip</v>
          </cell>
          <cell r="D1838" t="str">
            <v>KDE/ktrip</v>
          </cell>
          <cell r="E1838">
            <v>437</v>
          </cell>
          <cell r="F1838">
            <v>0</v>
          </cell>
          <cell r="G1838">
            <v>23</v>
          </cell>
          <cell r="H1838">
            <v>707</v>
          </cell>
          <cell r="I1838">
            <v>2</v>
          </cell>
          <cell r="J1838">
            <v>8</v>
          </cell>
          <cell r="K1838">
            <v>0</v>
          </cell>
        </row>
        <row r="1839">
          <cell r="B1839" t="str">
            <v>mss</v>
          </cell>
          <cell r="C1839" t="str">
            <v>serguun42/mss</v>
          </cell>
          <cell r="D1839" t="str">
            <v>serguun42/mss</v>
          </cell>
          <cell r="E1839">
            <v>438</v>
          </cell>
          <cell r="F1839">
            <v>198</v>
          </cell>
          <cell r="G1839">
            <v>2</v>
          </cell>
          <cell r="H1839">
            <v>12069</v>
          </cell>
          <cell r="I1839">
            <v>1</v>
          </cell>
          <cell r="J1839">
            <v>10</v>
          </cell>
          <cell r="K1839">
            <v>0</v>
          </cell>
        </row>
        <row r="1840">
          <cell r="B1840" t="str">
            <v>mitsumine</v>
          </cell>
          <cell r="C1840" t="str">
            <v>kirimin/mitsumine</v>
          </cell>
          <cell r="D1840" t="str">
            <v>kirimin/mitsumine</v>
          </cell>
          <cell r="E1840">
            <v>439</v>
          </cell>
          <cell r="F1840">
            <v>23</v>
          </cell>
          <cell r="G1840">
            <v>1</v>
          </cell>
          <cell r="H1840">
            <v>1064</v>
          </cell>
          <cell r="I1840">
            <v>5</v>
          </cell>
          <cell r="J1840">
            <v>39</v>
          </cell>
          <cell r="K1840">
            <v>10</v>
          </cell>
        </row>
        <row r="1841">
          <cell r="B1841" t="str">
            <v>Red-Calorie</v>
          </cell>
          <cell r="C1841" t="str">
            <v>st1hy/Red-Calorie</v>
          </cell>
          <cell r="D1841" t="str">
            <v>st1hy/Red-Calorie</v>
          </cell>
          <cell r="E1841">
            <v>441</v>
          </cell>
          <cell r="F1841">
            <v>0</v>
          </cell>
          <cell r="G1841">
            <v>1</v>
          </cell>
          <cell r="H1841">
            <v>3417</v>
          </cell>
          <cell r="I1841">
            <v>0</v>
          </cell>
          <cell r="J1841">
            <v>2</v>
          </cell>
          <cell r="K1841">
            <v>10</v>
          </cell>
        </row>
        <row r="1842">
          <cell r="B1842" t="str">
            <v>nCine</v>
          </cell>
          <cell r="C1842" t="str">
            <v>nCine/nCine</v>
          </cell>
          <cell r="D1842" t="str">
            <v>nCine/nCine</v>
          </cell>
          <cell r="E1842">
            <v>441</v>
          </cell>
          <cell r="F1842">
            <v>1</v>
          </cell>
          <cell r="G1842">
            <v>1</v>
          </cell>
          <cell r="H1842">
            <v>3555</v>
          </cell>
          <cell r="I1842">
            <v>54</v>
          </cell>
          <cell r="J1842">
            <v>807</v>
          </cell>
          <cell r="K1842">
            <v>1</v>
          </cell>
        </row>
        <row r="1843">
          <cell r="B1843" t="str">
            <v>scaleway-manager</v>
          </cell>
          <cell r="C1843" t="str">
            <v>matthprost/scaleway-manager</v>
          </cell>
          <cell r="D1843" t="str">
            <v>matthprost/scaleway-manager</v>
          </cell>
          <cell r="E1843">
            <v>444</v>
          </cell>
          <cell r="F1843">
            <v>14</v>
          </cell>
          <cell r="G1843">
            <v>1</v>
          </cell>
          <cell r="H1843">
            <v>8060</v>
          </cell>
          <cell r="I1843">
            <v>4</v>
          </cell>
          <cell r="J1843">
            <v>32</v>
          </cell>
          <cell r="K1843">
            <v>2</v>
          </cell>
        </row>
        <row r="1844">
          <cell r="B1844" t="str">
            <v>native-app</v>
          </cell>
          <cell r="C1844" t="str">
            <v>pct-org/native-app</v>
          </cell>
          <cell r="D1844" t="str">
            <v>pct-org/native-app</v>
          </cell>
          <cell r="E1844">
            <v>444</v>
          </cell>
          <cell r="F1844">
            <v>91</v>
          </cell>
          <cell r="G1844">
            <v>2</v>
          </cell>
          <cell r="H1844">
            <v>65491</v>
          </cell>
          <cell r="I1844">
            <v>10</v>
          </cell>
          <cell r="J1844">
            <v>40</v>
          </cell>
          <cell r="K1844">
            <v>24</v>
          </cell>
        </row>
        <row r="1845">
          <cell r="B1845" t="str">
            <v>android05-MoGakRun</v>
          </cell>
          <cell r="C1845" t="str">
            <v>boostcampwm-2022/android05-MoGakRun</v>
          </cell>
          <cell r="D1845" t="str">
            <v>boostcampwm-2022/android05-MoGakRun</v>
          </cell>
          <cell r="E1845">
            <v>445</v>
          </cell>
          <cell r="F1845">
            <v>68</v>
          </cell>
          <cell r="G1845">
            <v>4</v>
          </cell>
          <cell r="H1845">
            <v>1953</v>
          </cell>
          <cell r="I1845">
            <v>3</v>
          </cell>
          <cell r="J1845">
            <v>59</v>
          </cell>
          <cell r="K1845">
            <v>24</v>
          </cell>
        </row>
        <row r="1846">
          <cell r="B1846" t="str">
            <v>waylan_android</v>
          </cell>
          <cell r="C1846" t="str">
            <v>narrate-co/waylan_android</v>
          </cell>
          <cell r="D1846" t="str">
            <v>narrate-co/waylan_android</v>
          </cell>
          <cell r="E1846">
            <v>445</v>
          </cell>
          <cell r="F1846">
            <v>73</v>
          </cell>
          <cell r="G1846">
            <v>1</v>
          </cell>
          <cell r="H1846">
            <v>181486</v>
          </cell>
          <cell r="I1846">
            <v>0</v>
          </cell>
          <cell r="J1846">
            <v>13</v>
          </cell>
          <cell r="K1846">
            <v>25</v>
          </cell>
        </row>
        <row r="1847">
          <cell r="B1847" t="str">
            <v>2048-Battles</v>
          </cell>
          <cell r="C1847" t="str">
            <v>TylerCarberry/2048-Battles</v>
          </cell>
          <cell r="D1847" t="str">
            <v>TylerCarberry/2048-Battles</v>
          </cell>
          <cell r="E1847">
            <v>446</v>
          </cell>
          <cell r="F1847">
            <v>7</v>
          </cell>
          <cell r="G1847">
            <v>1</v>
          </cell>
          <cell r="H1847">
            <v>614147</v>
          </cell>
          <cell r="I1847">
            <v>4</v>
          </cell>
          <cell r="J1847">
            <v>8</v>
          </cell>
          <cell r="K1847">
            <v>13</v>
          </cell>
        </row>
        <row r="1848">
          <cell r="B1848" t="str">
            <v>kpassnotes</v>
          </cell>
          <cell r="C1848" t="str">
            <v>aivanovski/kpassnotes</v>
          </cell>
          <cell r="D1848" t="str">
            <v>aivanovski/keepassvault</v>
          </cell>
          <cell r="E1848">
            <v>446</v>
          </cell>
          <cell r="F1848">
            <v>107</v>
          </cell>
          <cell r="G1848">
            <v>7</v>
          </cell>
          <cell r="H1848">
            <v>2994</v>
          </cell>
          <cell r="I1848">
            <v>2</v>
          </cell>
          <cell r="J1848">
            <v>18</v>
          </cell>
          <cell r="K1848">
            <v>4</v>
          </cell>
        </row>
        <row r="1849">
          <cell r="B1849" t="str">
            <v>MkDocsEditor-Android</v>
          </cell>
          <cell r="C1849" t="str">
            <v>MkDocsEditor/MkDocsEditor-Android</v>
          </cell>
          <cell r="D1849" t="str">
            <v>MkDocsEditor/MkDocsEditor-Android</v>
          </cell>
          <cell r="E1849">
            <v>447</v>
          </cell>
          <cell r="F1849">
            <v>11</v>
          </cell>
          <cell r="G1849">
            <v>2</v>
          </cell>
          <cell r="H1849">
            <v>1048</v>
          </cell>
          <cell r="I1849">
            <v>0</v>
          </cell>
          <cell r="J1849">
            <v>2</v>
          </cell>
          <cell r="K1849">
            <v>6</v>
          </cell>
        </row>
        <row r="1850">
          <cell r="B1850" t="str">
            <v>spot</v>
          </cell>
          <cell r="C1850" t="str">
            <v>dshukertjr/spot</v>
          </cell>
          <cell r="D1850" t="str">
            <v>dshukertjr/spot</v>
          </cell>
          <cell r="E1850">
            <v>447</v>
          </cell>
          <cell r="F1850">
            <v>24</v>
          </cell>
          <cell r="G1850">
            <v>2</v>
          </cell>
          <cell r="H1850">
            <v>55195</v>
          </cell>
          <cell r="I1850">
            <v>53</v>
          </cell>
          <cell r="J1850">
            <v>294</v>
          </cell>
          <cell r="K1850">
            <v>19</v>
          </cell>
        </row>
        <row r="1851">
          <cell r="B1851" t="str">
            <v>Loopy</v>
          </cell>
          <cell r="C1851" t="str">
            <v>michpohl/Loopy</v>
          </cell>
          <cell r="D1851" t="str">
            <v>michpohl/Loopy</v>
          </cell>
          <cell r="E1851">
            <v>448</v>
          </cell>
          <cell r="F1851">
            <v>8</v>
          </cell>
          <cell r="G1851">
            <v>1</v>
          </cell>
          <cell r="H1851">
            <v>5396</v>
          </cell>
          <cell r="I1851">
            <v>4</v>
          </cell>
          <cell r="J1851">
            <v>13</v>
          </cell>
          <cell r="K1851">
            <v>2</v>
          </cell>
        </row>
        <row r="1852">
          <cell r="B1852" t="str">
            <v>sosaku</v>
          </cell>
          <cell r="C1852" t="str">
            <v>W-sharp-TCU/sosaku</v>
          </cell>
          <cell r="D1852" t="str">
            <v>W-sharp-TCU/sosaku</v>
          </cell>
          <cell r="E1852">
            <v>448</v>
          </cell>
          <cell r="F1852">
            <v>28</v>
          </cell>
          <cell r="G1852">
            <v>7</v>
          </cell>
          <cell r="H1852">
            <v>233133</v>
          </cell>
          <cell r="I1852">
            <v>4</v>
          </cell>
          <cell r="J1852">
            <v>2</v>
          </cell>
          <cell r="K1852">
            <v>0</v>
          </cell>
        </row>
        <row r="1853">
          <cell r="B1853" t="str">
            <v>tickmate</v>
          </cell>
          <cell r="C1853" t="str">
            <v>lordi/tickmate</v>
          </cell>
          <cell r="D1853" t="str">
            <v>lordi/tickmate</v>
          </cell>
          <cell r="E1853">
            <v>448</v>
          </cell>
          <cell r="F1853">
            <v>62</v>
          </cell>
          <cell r="G1853">
            <v>21</v>
          </cell>
          <cell r="H1853">
            <v>4088</v>
          </cell>
          <cell r="I1853">
            <v>31</v>
          </cell>
          <cell r="J1853">
            <v>101</v>
          </cell>
          <cell r="K1853">
            <v>36</v>
          </cell>
        </row>
        <row r="1854">
          <cell r="B1854" t="str">
            <v>Petals</v>
          </cell>
          <cell r="C1854" t="str">
            <v>LeoColman/Petals</v>
          </cell>
          <cell r="D1854" t="str">
            <v>LeoColman/Petals</v>
          </cell>
          <cell r="E1854">
            <v>448</v>
          </cell>
          <cell r="F1854">
            <v>239</v>
          </cell>
          <cell r="G1854">
            <v>30</v>
          </cell>
          <cell r="H1854">
            <v>3226</v>
          </cell>
          <cell r="I1854">
            <v>10</v>
          </cell>
          <cell r="J1854">
            <v>38</v>
          </cell>
          <cell r="K1854">
            <v>23</v>
          </cell>
        </row>
        <row r="1855">
          <cell r="B1855" t="str">
            <v>aelf-flutter</v>
          </cell>
          <cell r="C1855" t="str">
            <v>nathanael-h/aelf-flutter</v>
          </cell>
          <cell r="D1855" t="str">
            <v>nathanael-h/aelf-flutter</v>
          </cell>
          <cell r="E1855">
            <v>449</v>
          </cell>
          <cell r="F1855">
            <v>0</v>
          </cell>
          <cell r="G1855">
            <v>7</v>
          </cell>
          <cell r="H1855">
            <v>12376</v>
          </cell>
          <cell r="I1855">
            <v>0</v>
          </cell>
          <cell r="J1855">
            <v>3</v>
          </cell>
          <cell r="K1855">
            <v>0</v>
          </cell>
        </row>
        <row r="1856">
          <cell r="B1856" t="str">
            <v>Hacki</v>
          </cell>
          <cell r="C1856" t="str">
            <v>Livinglist/Hacki</v>
          </cell>
          <cell r="D1856" t="str">
            <v>Livinglist/Hacki</v>
          </cell>
          <cell r="E1856">
            <v>450</v>
          </cell>
          <cell r="F1856">
            <v>167</v>
          </cell>
          <cell r="G1856">
            <v>2</v>
          </cell>
          <cell r="H1856">
            <v>30420</v>
          </cell>
          <cell r="I1856">
            <v>53</v>
          </cell>
          <cell r="J1856">
            <v>523</v>
          </cell>
          <cell r="K1856">
            <v>7</v>
          </cell>
        </row>
        <row r="1857">
          <cell r="B1857" t="str">
            <v>FeudalTactics</v>
          </cell>
          <cell r="C1857" t="str">
            <v>Sesu8642/FeudalTactics</v>
          </cell>
          <cell r="D1857" t="str">
            <v>Sesu8642/FeudalTactics</v>
          </cell>
          <cell r="E1857">
            <v>451</v>
          </cell>
          <cell r="F1857">
            <v>12</v>
          </cell>
          <cell r="G1857">
            <v>11</v>
          </cell>
          <cell r="H1857">
            <v>22028</v>
          </cell>
          <cell r="I1857">
            <v>4</v>
          </cell>
          <cell r="J1857">
            <v>34</v>
          </cell>
          <cell r="K1857">
            <v>28</v>
          </cell>
        </row>
        <row r="1858">
          <cell r="B1858" t="str">
            <v>cht-android</v>
          </cell>
          <cell r="C1858" t="str">
            <v>medic/cht-android</v>
          </cell>
          <cell r="D1858" t="str">
            <v>medic/cht-android</v>
          </cell>
          <cell r="E1858">
            <v>451</v>
          </cell>
          <cell r="F1858">
            <v>171</v>
          </cell>
          <cell r="G1858">
            <v>31</v>
          </cell>
          <cell r="H1858">
            <v>78055</v>
          </cell>
          <cell r="I1858">
            <v>45</v>
          </cell>
          <cell r="J1858">
            <v>22</v>
          </cell>
          <cell r="K1858">
            <v>32</v>
          </cell>
        </row>
        <row r="1859">
          <cell r="B1859" t="str">
            <v>MyLuaApp</v>
          </cell>
          <cell r="C1859" t="str">
            <v>dingyi222666/MyLuaApp</v>
          </cell>
          <cell r="D1859" t="str">
            <v>dingyi222666/MyLuaApp</v>
          </cell>
          <cell r="E1859">
            <v>453</v>
          </cell>
          <cell r="F1859">
            <v>7</v>
          </cell>
          <cell r="G1859">
            <v>1</v>
          </cell>
          <cell r="H1859">
            <v>60563</v>
          </cell>
          <cell r="I1859">
            <v>11</v>
          </cell>
          <cell r="J1859">
            <v>43</v>
          </cell>
          <cell r="K1859">
            <v>1</v>
          </cell>
        </row>
        <row r="1860">
          <cell r="B1860" t="str">
            <v>student-alarm</v>
          </cell>
          <cell r="C1860" t="str">
            <v>Gnuhry/student-alarm</v>
          </cell>
          <cell r="D1860" t="str">
            <v>Gnuhry/student-alarm</v>
          </cell>
          <cell r="E1860">
            <v>455</v>
          </cell>
          <cell r="F1860">
            <v>96</v>
          </cell>
          <cell r="G1860">
            <v>1</v>
          </cell>
          <cell r="H1860">
            <v>6512</v>
          </cell>
          <cell r="I1860">
            <v>0</v>
          </cell>
          <cell r="J1860">
            <v>2</v>
          </cell>
          <cell r="K1860">
            <v>7</v>
          </cell>
        </row>
        <row r="1861">
          <cell r="B1861" t="str">
            <v>APDE</v>
          </cell>
          <cell r="C1861" t="str">
            <v>Calsign/APDE</v>
          </cell>
          <cell r="D1861" t="str">
            <v>Calsign/APDE</v>
          </cell>
          <cell r="E1861">
            <v>458</v>
          </cell>
          <cell r="F1861">
            <v>6</v>
          </cell>
          <cell r="G1861">
            <v>2</v>
          </cell>
          <cell r="H1861">
            <v>157948</v>
          </cell>
          <cell r="I1861">
            <v>70</v>
          </cell>
          <cell r="J1861">
            <v>304</v>
          </cell>
          <cell r="K1861">
            <v>54</v>
          </cell>
        </row>
        <row r="1862">
          <cell r="B1862" t="str">
            <v>rebootmenu</v>
          </cell>
          <cell r="C1862" t="str">
            <v>ryuunoakaihitomi/rebootmenu</v>
          </cell>
          <cell r="D1862" t="str">
            <v>ryuunoakaihitomi/rebootmenu</v>
          </cell>
          <cell r="E1862">
            <v>459</v>
          </cell>
          <cell r="F1862">
            <v>2</v>
          </cell>
          <cell r="G1862">
            <v>1</v>
          </cell>
          <cell r="H1862">
            <v>14779</v>
          </cell>
          <cell r="I1862">
            <v>11</v>
          </cell>
          <cell r="J1862">
            <v>52</v>
          </cell>
          <cell r="K1862">
            <v>0</v>
          </cell>
        </row>
        <row r="1863">
          <cell r="B1863" t="str">
            <v>AndroidNote</v>
          </cell>
          <cell r="C1863" t="str">
            <v>MrWu94/AndroidNote</v>
          </cell>
          <cell r="D1863" t="str">
            <v>MrWu94/AndroidNote</v>
          </cell>
          <cell r="E1863">
            <v>460</v>
          </cell>
          <cell r="F1863">
            <v>0</v>
          </cell>
          <cell r="G1863">
            <v>1</v>
          </cell>
          <cell r="H1863">
            <v>178909</v>
          </cell>
          <cell r="I1863">
            <v>20</v>
          </cell>
          <cell r="J1863">
            <v>97</v>
          </cell>
          <cell r="K1863">
            <v>3</v>
          </cell>
        </row>
        <row r="1864">
          <cell r="B1864" t="str">
            <v>capod</v>
          </cell>
          <cell r="C1864" t="str">
            <v>d4rken-org/capod</v>
          </cell>
          <cell r="D1864" t="str">
            <v>d4rken-org/capod</v>
          </cell>
          <cell r="E1864">
            <v>460</v>
          </cell>
          <cell r="F1864">
            <v>69</v>
          </cell>
          <cell r="G1864">
            <v>8</v>
          </cell>
          <cell r="H1864">
            <v>19146</v>
          </cell>
          <cell r="I1864">
            <v>9</v>
          </cell>
          <cell r="J1864">
            <v>220</v>
          </cell>
          <cell r="K1864">
            <v>27</v>
          </cell>
        </row>
        <row r="1865">
          <cell r="B1865" t="str">
            <v>snapdrop-android</v>
          </cell>
          <cell r="C1865" t="str">
            <v>fm-sys/snapdrop-android</v>
          </cell>
          <cell r="D1865" t="str">
            <v>fm-sys/snapdrop-android</v>
          </cell>
          <cell r="E1865">
            <v>464</v>
          </cell>
          <cell r="F1865">
            <v>208</v>
          </cell>
          <cell r="G1865">
            <v>15</v>
          </cell>
          <cell r="H1865">
            <v>151480</v>
          </cell>
          <cell r="I1865">
            <v>48</v>
          </cell>
          <cell r="J1865">
            <v>554</v>
          </cell>
          <cell r="K1865">
            <v>28</v>
          </cell>
        </row>
        <row r="1866">
          <cell r="B1866" t="str">
            <v>AppGT</v>
          </cell>
          <cell r="C1866" t="str">
            <v>HackGT/AppGT</v>
          </cell>
          <cell r="D1866" t="str">
            <v>HackGT/AppGT</v>
          </cell>
          <cell r="E1866">
            <v>465</v>
          </cell>
          <cell r="F1866">
            <v>69</v>
          </cell>
          <cell r="G1866">
            <v>18</v>
          </cell>
          <cell r="H1866">
            <v>93913</v>
          </cell>
          <cell r="I1866">
            <v>0</v>
          </cell>
          <cell r="J1866">
            <v>3</v>
          </cell>
          <cell r="K1866">
            <v>24</v>
          </cell>
        </row>
        <row r="1867">
          <cell r="B1867" t="str">
            <v>learn-android</v>
          </cell>
          <cell r="C1867" t="str">
            <v>bervProject/learn-android</v>
          </cell>
          <cell r="D1867" t="str">
            <v>bervProject/learn-android</v>
          </cell>
          <cell r="E1867">
            <v>465</v>
          </cell>
          <cell r="F1867">
            <v>252</v>
          </cell>
          <cell r="G1867">
            <v>6</v>
          </cell>
          <cell r="H1867">
            <v>12206</v>
          </cell>
          <cell r="I1867">
            <v>0</v>
          </cell>
          <cell r="J1867">
            <v>2</v>
          </cell>
          <cell r="K1867">
            <v>0</v>
          </cell>
        </row>
        <row r="1868">
          <cell r="B1868" t="str">
            <v>TODONE</v>
          </cell>
          <cell r="C1868" t="str">
            <v>TechCafeFreedom/TODONE</v>
          </cell>
          <cell r="D1868" t="str">
            <v>TechCafeFreedom/TODONE</v>
          </cell>
          <cell r="E1868">
            <v>466</v>
          </cell>
          <cell r="F1868">
            <v>101</v>
          </cell>
          <cell r="G1868">
            <v>6</v>
          </cell>
          <cell r="H1868">
            <v>1352</v>
          </cell>
          <cell r="I1868">
            <v>2</v>
          </cell>
          <cell r="J1868">
            <v>11</v>
          </cell>
          <cell r="K1868">
            <v>4</v>
          </cell>
        </row>
        <row r="1869">
          <cell r="B1869" t="str">
            <v>droid-feed</v>
          </cell>
          <cell r="C1869" t="str">
            <v>dgngulcan/droid-feed</v>
          </cell>
          <cell r="D1869" t="str">
            <v>dgngulcan/droid-feed</v>
          </cell>
          <cell r="E1869">
            <v>469</v>
          </cell>
          <cell r="F1869">
            <v>45</v>
          </cell>
          <cell r="G1869">
            <v>1</v>
          </cell>
          <cell r="H1869">
            <v>13033</v>
          </cell>
          <cell r="I1869">
            <v>35</v>
          </cell>
          <cell r="J1869">
            <v>183</v>
          </cell>
          <cell r="K1869">
            <v>3</v>
          </cell>
        </row>
        <row r="1870">
          <cell r="B1870" t="str">
            <v>wonkey</v>
          </cell>
          <cell r="C1870" t="str">
            <v>wonkey-coders/wonkey</v>
          </cell>
          <cell r="D1870" t="str">
            <v>wonkey-coders/wonkey</v>
          </cell>
          <cell r="E1870">
            <v>471</v>
          </cell>
          <cell r="F1870">
            <v>6</v>
          </cell>
          <cell r="G1870">
            <v>5</v>
          </cell>
          <cell r="H1870">
            <v>193282</v>
          </cell>
          <cell r="I1870">
            <v>12</v>
          </cell>
          <cell r="J1870">
            <v>113</v>
          </cell>
          <cell r="K1870">
            <v>0</v>
          </cell>
        </row>
        <row r="1871">
          <cell r="B1871" t="str">
            <v>LeafyLauncher</v>
          </cell>
          <cell r="C1871" t="str">
            <v>nivisi/LeafyLauncher</v>
          </cell>
          <cell r="D1871" t="str">
            <v>nivisi/LeafyLauncher</v>
          </cell>
          <cell r="E1871">
            <v>471</v>
          </cell>
          <cell r="F1871">
            <v>77</v>
          </cell>
          <cell r="G1871">
            <v>2</v>
          </cell>
          <cell r="H1871">
            <v>913</v>
          </cell>
          <cell r="I1871">
            <v>8</v>
          </cell>
          <cell r="J1871">
            <v>48</v>
          </cell>
          <cell r="K1871">
            <v>86</v>
          </cell>
        </row>
        <row r="1872">
          <cell r="B1872" t="str">
            <v>days</v>
          </cell>
          <cell r="C1872" t="str">
            <v>clloret/days</v>
          </cell>
          <cell r="D1872" t="str">
            <v>clloret/days</v>
          </cell>
          <cell r="E1872">
            <v>472</v>
          </cell>
          <cell r="F1872">
            <v>1</v>
          </cell>
          <cell r="G1872">
            <v>1</v>
          </cell>
          <cell r="H1872">
            <v>2011</v>
          </cell>
          <cell r="I1872">
            <v>1</v>
          </cell>
          <cell r="J1872">
            <v>5</v>
          </cell>
          <cell r="K1872">
            <v>0</v>
          </cell>
        </row>
        <row r="1873">
          <cell r="B1873" t="str">
            <v>FiveThingsKotlin</v>
          </cell>
          <cell r="C1873" t="str">
            <v>alisonthemonster/FiveThingsKotlin</v>
          </cell>
          <cell r="D1873" t="str">
            <v>alisonthemonster/FiveThingsKotlin</v>
          </cell>
          <cell r="E1873">
            <v>472</v>
          </cell>
          <cell r="F1873">
            <v>62</v>
          </cell>
          <cell r="G1873">
            <v>1</v>
          </cell>
          <cell r="H1873">
            <v>1565</v>
          </cell>
          <cell r="I1873">
            <v>5</v>
          </cell>
          <cell r="J1873">
            <v>13</v>
          </cell>
          <cell r="K1873">
            <v>3</v>
          </cell>
        </row>
        <row r="1874">
          <cell r="B1874" t="str">
            <v>PackageManager</v>
          </cell>
          <cell r="C1874" t="str">
            <v>SmartPack/PackageManager</v>
          </cell>
          <cell r="D1874" t="str">
            <v>SmartPack/PackageManager</v>
          </cell>
          <cell r="E1874">
            <v>473</v>
          </cell>
          <cell r="F1874">
            <v>14</v>
          </cell>
          <cell r="G1874">
            <v>8</v>
          </cell>
          <cell r="H1874">
            <v>58392</v>
          </cell>
          <cell r="I1874">
            <v>47</v>
          </cell>
          <cell r="J1874">
            <v>307</v>
          </cell>
          <cell r="K1874">
            <v>33</v>
          </cell>
        </row>
        <row r="1875">
          <cell r="B1875" t="str">
            <v>mentra-app</v>
          </cell>
          <cell r="C1875" t="str">
            <v>juan-goncalves/mentra-app</v>
          </cell>
          <cell r="D1875" t="str">
            <v>juan-goncalves/mentra-app</v>
          </cell>
          <cell r="E1875">
            <v>473</v>
          </cell>
          <cell r="F1875">
            <v>35</v>
          </cell>
          <cell r="G1875">
            <v>1</v>
          </cell>
          <cell r="H1875">
            <v>13574</v>
          </cell>
          <cell r="I1875">
            <v>0</v>
          </cell>
          <cell r="J1875">
            <v>5</v>
          </cell>
          <cell r="K1875">
            <v>0</v>
          </cell>
        </row>
        <row r="1876">
          <cell r="B1876" t="str">
            <v>MACSTransitApp</v>
          </cell>
          <cell r="C1876" t="str">
            <v>yeSpud/MACSTransitApp</v>
          </cell>
          <cell r="D1876" t="str">
            <v>yeSpud/MACSTransitApp</v>
          </cell>
          <cell r="E1876">
            <v>474</v>
          </cell>
          <cell r="F1876">
            <v>41</v>
          </cell>
          <cell r="G1876">
            <v>2</v>
          </cell>
          <cell r="H1876">
            <v>1873</v>
          </cell>
          <cell r="I1876">
            <v>2</v>
          </cell>
          <cell r="J1876">
            <v>9</v>
          </cell>
          <cell r="K1876">
            <v>4</v>
          </cell>
        </row>
        <row r="1877">
          <cell r="B1877" t="str">
            <v>yacguide</v>
          </cell>
          <cell r="C1877" t="str">
            <v>YacGroup/yacguide</v>
          </cell>
          <cell r="D1877" t="str">
            <v>YacGroup/yacguide</v>
          </cell>
          <cell r="E1877">
            <v>477</v>
          </cell>
          <cell r="F1877">
            <v>225</v>
          </cell>
          <cell r="G1877">
            <v>6</v>
          </cell>
          <cell r="H1877">
            <v>2786</v>
          </cell>
          <cell r="I1877">
            <v>3</v>
          </cell>
          <cell r="J1877">
            <v>13</v>
          </cell>
          <cell r="K1877">
            <v>33</v>
          </cell>
        </row>
        <row r="1878">
          <cell r="B1878" t="str">
            <v>Simple-Accounting</v>
          </cell>
          <cell r="C1878" t="str">
            <v>EmmanuelMess/Simple-Accounting</v>
          </cell>
          <cell r="D1878" t="str">
            <v>EmmanuelMess/Simple-Accounting</v>
          </cell>
          <cell r="E1878">
            <v>478</v>
          </cell>
          <cell r="F1878">
            <v>112</v>
          </cell>
          <cell r="G1878">
            <v>3</v>
          </cell>
          <cell r="H1878">
            <v>5452</v>
          </cell>
          <cell r="I1878">
            <v>15</v>
          </cell>
          <cell r="J1878">
            <v>21</v>
          </cell>
          <cell r="K1878">
            <v>16</v>
          </cell>
        </row>
        <row r="1879">
          <cell r="B1879" t="str">
            <v>Scheduler</v>
          </cell>
          <cell r="C1879" t="str">
            <v>dgudim/Scheduler</v>
          </cell>
          <cell r="D1879" t="str">
            <v>dgudim/Scheduler</v>
          </cell>
          <cell r="E1879">
            <v>479</v>
          </cell>
          <cell r="F1879">
            <v>4</v>
          </cell>
          <cell r="G1879">
            <v>3</v>
          </cell>
          <cell r="H1879">
            <v>11931</v>
          </cell>
          <cell r="I1879">
            <v>2</v>
          </cell>
          <cell r="J1879">
            <v>14</v>
          </cell>
          <cell r="K1879">
            <v>0</v>
          </cell>
        </row>
        <row r="1880">
          <cell r="B1880" t="str">
            <v>nexd-android</v>
          </cell>
          <cell r="C1880" t="str">
            <v>NexdApp/nexd-android</v>
          </cell>
          <cell r="D1880" t="str">
            <v>NexdApp/nexd-android</v>
          </cell>
          <cell r="E1880">
            <v>485</v>
          </cell>
          <cell r="F1880">
            <v>76</v>
          </cell>
          <cell r="G1880">
            <v>9</v>
          </cell>
          <cell r="H1880">
            <v>3344</v>
          </cell>
          <cell r="I1880">
            <v>4</v>
          </cell>
          <cell r="J1880">
            <v>12</v>
          </cell>
          <cell r="K1880">
            <v>35</v>
          </cell>
        </row>
        <row r="1881">
          <cell r="B1881" t="str">
            <v>Alarmio</v>
          </cell>
          <cell r="C1881" t="str">
            <v>fennifith/Alarmio</v>
          </cell>
          <cell r="D1881" t="str">
            <v>fennifith/Alarmio</v>
          </cell>
          <cell r="E1881">
            <v>487</v>
          </cell>
          <cell r="F1881">
            <v>46</v>
          </cell>
          <cell r="G1881">
            <v>13</v>
          </cell>
          <cell r="H1881">
            <v>7725</v>
          </cell>
          <cell r="I1881">
            <v>93</v>
          </cell>
          <cell r="J1881">
            <v>313</v>
          </cell>
          <cell r="K1881">
            <v>65</v>
          </cell>
        </row>
        <row r="1882">
          <cell r="B1882" t="str">
            <v>peepz</v>
          </cell>
          <cell r="C1882" t="str">
            <v>novoda/peepz</v>
          </cell>
          <cell r="D1882" t="str">
            <v>novoda/peepz</v>
          </cell>
          <cell r="E1882">
            <v>487</v>
          </cell>
          <cell r="F1882">
            <v>60</v>
          </cell>
          <cell r="G1882">
            <v>11</v>
          </cell>
          <cell r="H1882">
            <v>9913</v>
          </cell>
          <cell r="I1882">
            <v>3</v>
          </cell>
          <cell r="J1882">
            <v>3</v>
          </cell>
          <cell r="K1882">
            <v>38</v>
          </cell>
        </row>
        <row r="1883">
          <cell r="B1883" t="str">
            <v>badge-magic-android</v>
          </cell>
          <cell r="C1883" t="str">
            <v>fossasia/badge-magic-android</v>
          </cell>
          <cell r="D1883" t="str">
            <v>fossasia/badgemagic-app</v>
          </cell>
          <cell r="E1883">
            <v>487</v>
          </cell>
          <cell r="F1883">
            <v>564</v>
          </cell>
          <cell r="G1883">
            <v>43</v>
          </cell>
          <cell r="H1883">
            <v>30973</v>
          </cell>
          <cell r="I1883">
            <v>179</v>
          </cell>
          <cell r="J1883">
            <v>1777</v>
          </cell>
          <cell r="K1883">
            <v>35</v>
          </cell>
        </row>
        <row r="1884">
          <cell r="B1884" t="str">
            <v>download-navi</v>
          </cell>
          <cell r="C1884" t="str">
            <v>TachibanaGeneralLaboratories/download-navi</v>
          </cell>
          <cell r="D1884" t="str">
            <v>TachibanaGeneralLaboratories/download-navi</v>
          </cell>
          <cell r="E1884">
            <v>488</v>
          </cell>
          <cell r="F1884">
            <v>24</v>
          </cell>
          <cell r="G1884">
            <v>12</v>
          </cell>
          <cell r="H1884">
            <v>6002</v>
          </cell>
          <cell r="I1884">
            <v>72</v>
          </cell>
          <cell r="J1884">
            <v>622</v>
          </cell>
          <cell r="K1884">
            <v>101</v>
          </cell>
        </row>
        <row r="1885">
          <cell r="B1885" t="str">
            <v>budget-watch</v>
          </cell>
          <cell r="C1885" t="str">
            <v>brarcher/budget-watch</v>
          </cell>
          <cell r="D1885" t="str">
            <v>brarcher/budget-watch</v>
          </cell>
          <cell r="E1885">
            <v>488</v>
          </cell>
          <cell r="F1885">
            <v>152</v>
          </cell>
          <cell r="G1885">
            <v>7</v>
          </cell>
          <cell r="H1885">
            <v>2126</v>
          </cell>
          <cell r="I1885">
            <v>44</v>
          </cell>
          <cell r="J1885">
            <v>74</v>
          </cell>
          <cell r="K1885">
            <v>39</v>
          </cell>
        </row>
        <row r="1886">
          <cell r="B1886" t="str">
            <v>Parabox</v>
          </cell>
          <cell r="C1886" t="str">
            <v>Parabox-App/Parabox</v>
          </cell>
          <cell r="D1886" t="str">
            <v>Parabox-App/Parabox</v>
          </cell>
          <cell r="E1886">
            <v>490</v>
          </cell>
          <cell r="F1886">
            <v>12</v>
          </cell>
          <cell r="G1886">
            <v>2</v>
          </cell>
          <cell r="H1886">
            <v>3468</v>
          </cell>
          <cell r="I1886">
            <v>4</v>
          </cell>
          <cell r="J1886">
            <v>56</v>
          </cell>
          <cell r="K1886">
            <v>0</v>
          </cell>
        </row>
        <row r="1887">
          <cell r="B1887" t="str">
            <v>Pedometer</v>
          </cell>
          <cell r="C1887" t="str">
            <v>j4velin/Pedometer</v>
          </cell>
          <cell r="D1887" t="str">
            <v>j4velin/Pedometer</v>
          </cell>
          <cell r="E1887">
            <v>490</v>
          </cell>
          <cell r="F1887">
            <v>61</v>
          </cell>
          <cell r="G1887">
            <v>26</v>
          </cell>
          <cell r="H1887">
            <v>1055</v>
          </cell>
          <cell r="I1887">
            <v>681</v>
          </cell>
          <cell r="J1887">
            <v>1428</v>
          </cell>
          <cell r="K1887">
            <v>31</v>
          </cell>
        </row>
        <row r="1888">
          <cell r="B1888" t="str">
            <v>tailscale-android</v>
          </cell>
          <cell r="C1888" t="str">
            <v>tailscale/tailscale-android</v>
          </cell>
          <cell r="D1888" t="str">
            <v>tailscale/tailscale-android</v>
          </cell>
          <cell r="E1888">
            <v>490</v>
          </cell>
          <cell r="F1888">
            <v>103</v>
          </cell>
          <cell r="G1888">
            <v>42</v>
          </cell>
          <cell r="H1888">
            <v>1582</v>
          </cell>
          <cell r="I1888">
            <v>354</v>
          </cell>
          <cell r="J1888">
            <v>605</v>
          </cell>
          <cell r="K1888">
            <v>6</v>
          </cell>
        </row>
        <row r="1889">
          <cell r="B1889" t="str">
            <v>colors_ai</v>
          </cell>
          <cell r="C1889" t="str">
            <v>tsinis/colors_ai</v>
          </cell>
          <cell r="D1889" t="str">
            <v>tsinis/colors_ai</v>
          </cell>
          <cell r="E1889">
            <v>491</v>
          </cell>
          <cell r="F1889">
            <v>204</v>
          </cell>
          <cell r="G1889">
            <v>2</v>
          </cell>
          <cell r="H1889">
            <v>5025</v>
          </cell>
          <cell r="I1889">
            <v>6</v>
          </cell>
          <cell r="J1889">
            <v>56</v>
          </cell>
          <cell r="K1889">
            <v>1</v>
          </cell>
        </row>
        <row r="1890">
          <cell r="B1890" t="str">
            <v>knigopis</v>
          </cell>
          <cell r="C1890" t="str">
            <v>sirekanyan/knigopis</v>
          </cell>
          <cell r="D1890" t="str">
            <v>sirekanyan/knigopis</v>
          </cell>
          <cell r="E1890">
            <v>493</v>
          </cell>
          <cell r="F1890">
            <v>0</v>
          </cell>
          <cell r="G1890">
            <v>1</v>
          </cell>
          <cell r="H1890">
            <v>1865</v>
          </cell>
          <cell r="I1890">
            <v>0</v>
          </cell>
          <cell r="J1890">
            <v>2</v>
          </cell>
          <cell r="K1890">
            <v>0</v>
          </cell>
        </row>
        <row r="1891">
          <cell r="B1891" t="str">
            <v>lrkFM</v>
          </cell>
          <cell r="C1891" t="str">
            <v>lfuelling/lrkFM</v>
          </cell>
          <cell r="D1891" t="str">
            <v>lfuelling/lrkFM</v>
          </cell>
          <cell r="E1891">
            <v>493</v>
          </cell>
          <cell r="F1891">
            <v>189</v>
          </cell>
          <cell r="G1891">
            <v>7</v>
          </cell>
          <cell r="H1891">
            <v>21551</v>
          </cell>
          <cell r="I1891">
            <v>10</v>
          </cell>
          <cell r="J1891">
            <v>47</v>
          </cell>
          <cell r="K1891">
            <v>16</v>
          </cell>
        </row>
        <row r="1892">
          <cell r="B1892" t="str">
            <v>RadioControl</v>
          </cell>
          <cell r="C1892" t="str">
            <v>indianpoptart/RadioControl</v>
          </cell>
          <cell r="D1892" t="str">
            <v>indianpoptart/RadioControl</v>
          </cell>
          <cell r="E1892">
            <v>494</v>
          </cell>
          <cell r="F1892">
            <v>4</v>
          </cell>
          <cell r="G1892">
            <v>1</v>
          </cell>
          <cell r="H1892">
            <v>21940</v>
          </cell>
          <cell r="I1892">
            <v>7</v>
          </cell>
          <cell r="J1892">
            <v>17</v>
          </cell>
          <cell r="K1892">
            <v>14</v>
          </cell>
        </row>
        <row r="1893">
          <cell r="B1893" t="str">
            <v>currencybg.app</v>
          </cell>
          <cell r="C1893" t="str">
            <v>vexelon-dot-net/currencybg.app</v>
          </cell>
          <cell r="D1893" t="str">
            <v>vexelon-dot-net/currencybg.app</v>
          </cell>
          <cell r="E1893">
            <v>494</v>
          </cell>
          <cell r="F1893">
            <v>48</v>
          </cell>
          <cell r="G1893">
            <v>3</v>
          </cell>
          <cell r="H1893">
            <v>1091</v>
          </cell>
          <cell r="I1893">
            <v>4</v>
          </cell>
          <cell r="J1893">
            <v>1</v>
          </cell>
          <cell r="K1893">
            <v>5</v>
          </cell>
        </row>
        <row r="1894">
          <cell r="B1894" t="str">
            <v>hathor-wallet-mobile</v>
          </cell>
          <cell r="C1894" t="str">
            <v>HathorNetwork/hathor-wallet-mobile</v>
          </cell>
          <cell r="D1894" t="str">
            <v>HathorNetwork/hathor-wallet-mobile</v>
          </cell>
          <cell r="E1894">
            <v>494</v>
          </cell>
          <cell r="F1894">
            <v>214</v>
          </cell>
          <cell r="G1894">
            <v>11</v>
          </cell>
          <cell r="H1894">
            <v>3940</v>
          </cell>
          <cell r="I1894">
            <v>19</v>
          </cell>
          <cell r="J1894">
            <v>18</v>
          </cell>
          <cell r="K1894">
            <v>50</v>
          </cell>
        </row>
        <row r="1895">
          <cell r="B1895" t="str">
            <v>debtr</v>
          </cell>
          <cell r="C1895" t="str">
            <v>Ribeiro-Tiago/debtr</v>
          </cell>
          <cell r="D1895" t="str">
            <v>Ribeiro-Tiago/debtr</v>
          </cell>
          <cell r="E1895">
            <v>496</v>
          </cell>
          <cell r="F1895">
            <v>60</v>
          </cell>
          <cell r="G1895">
            <v>2</v>
          </cell>
          <cell r="H1895">
            <v>6679</v>
          </cell>
          <cell r="I1895">
            <v>0</v>
          </cell>
          <cell r="J1895">
            <v>5</v>
          </cell>
          <cell r="K1895">
            <v>10</v>
          </cell>
        </row>
        <row r="1896">
          <cell r="B1896" t="str">
            <v>v2ex-simple</v>
          </cell>
          <cell r="C1896" t="str">
            <v>fan123199/v2ex-simple</v>
          </cell>
          <cell r="D1896" t="str">
            <v>fan123199/v2ex-simple</v>
          </cell>
          <cell r="E1896">
            <v>497</v>
          </cell>
          <cell r="F1896">
            <v>2</v>
          </cell>
          <cell r="G1896">
            <v>2</v>
          </cell>
          <cell r="H1896">
            <v>7159</v>
          </cell>
          <cell r="I1896">
            <v>2</v>
          </cell>
          <cell r="J1896">
            <v>52</v>
          </cell>
          <cell r="K1896">
            <v>1</v>
          </cell>
        </row>
        <row r="1897">
          <cell r="B1897" t="str">
            <v>Simple-Dilbert</v>
          </cell>
          <cell r="C1897" t="str">
            <v>smarek/Simple-Dilbert</v>
          </cell>
          <cell r="D1897" t="str">
            <v>smarek/Simple-Dilbert</v>
          </cell>
          <cell r="E1897">
            <v>498</v>
          </cell>
          <cell r="F1897">
            <v>10</v>
          </cell>
          <cell r="G1897">
            <v>6</v>
          </cell>
          <cell r="H1897">
            <v>22648</v>
          </cell>
          <cell r="I1897">
            <v>17</v>
          </cell>
          <cell r="J1897">
            <v>46</v>
          </cell>
          <cell r="K1897">
            <v>4</v>
          </cell>
        </row>
        <row r="1898">
          <cell r="B1898" t="str">
            <v>android04-God-Fisherman</v>
          </cell>
          <cell r="C1898" t="str">
            <v>boostcampwm-2021/android04-God-Fisherman</v>
          </cell>
          <cell r="D1898" t="str">
            <v>boostcampwm-2021/android04-God-Fisherman</v>
          </cell>
          <cell r="E1898">
            <v>498</v>
          </cell>
          <cell r="F1898">
            <v>96</v>
          </cell>
          <cell r="G1898">
            <v>4</v>
          </cell>
          <cell r="H1898">
            <v>12915</v>
          </cell>
          <cell r="I1898">
            <v>4</v>
          </cell>
          <cell r="J1898">
            <v>26</v>
          </cell>
          <cell r="K1898">
            <v>0</v>
          </cell>
        </row>
        <row r="1899">
          <cell r="B1899" t="str">
            <v>CMS-Android</v>
          </cell>
          <cell r="C1899" t="str">
            <v>crux-bphc/CMS-Android</v>
          </cell>
          <cell r="D1899" t="str">
            <v>crux-bphc/CMS-Android</v>
          </cell>
          <cell r="E1899">
            <v>498</v>
          </cell>
          <cell r="F1899">
            <v>210</v>
          </cell>
          <cell r="G1899">
            <v>18</v>
          </cell>
          <cell r="H1899">
            <v>12710</v>
          </cell>
          <cell r="I1899">
            <v>39</v>
          </cell>
          <cell r="J1899">
            <v>25</v>
          </cell>
          <cell r="K1899">
            <v>31</v>
          </cell>
        </row>
        <row r="1900">
          <cell r="B1900" t="str">
            <v>ideabag2</v>
          </cell>
          <cell r="C1900" t="str">
            <v>mclintprojects/ideabag2</v>
          </cell>
          <cell r="D1900" t="str">
            <v>mclintprojects/ideabag2</v>
          </cell>
          <cell r="E1900">
            <v>499</v>
          </cell>
          <cell r="F1900">
            <v>60</v>
          </cell>
          <cell r="G1900">
            <v>1</v>
          </cell>
          <cell r="H1900">
            <v>8032</v>
          </cell>
          <cell r="I1900">
            <v>8</v>
          </cell>
          <cell r="J1900">
            <v>50</v>
          </cell>
          <cell r="K1900">
            <v>27</v>
          </cell>
        </row>
        <row r="1901">
          <cell r="B1901" t="str">
            <v>quack-quack-android</v>
          </cell>
          <cell r="C1901" t="str">
            <v>duckie-team/quack-quack-android</v>
          </cell>
          <cell r="D1901" t="str">
            <v>duckie-team/quack-quack-android</v>
          </cell>
          <cell r="E1901">
            <v>500</v>
          </cell>
          <cell r="F1901">
            <v>526</v>
          </cell>
          <cell r="G1901">
            <v>11</v>
          </cell>
          <cell r="H1901">
            <v>7335</v>
          </cell>
          <cell r="I1901">
            <v>4</v>
          </cell>
          <cell r="J1901">
            <v>35</v>
          </cell>
          <cell r="K1901">
            <v>11</v>
          </cell>
        </row>
        <row r="1902">
          <cell r="B1902" t="str">
            <v>Bookworm</v>
          </cell>
          <cell r="C1902" t="str">
            <v>camina-apps/Bookworm</v>
          </cell>
          <cell r="D1902" t="str">
            <v>carmen-gh/Bookworm</v>
          </cell>
          <cell r="E1902">
            <v>501</v>
          </cell>
          <cell r="F1902">
            <v>184</v>
          </cell>
          <cell r="G1902">
            <v>3</v>
          </cell>
          <cell r="H1902">
            <v>1656</v>
          </cell>
          <cell r="I1902">
            <v>0</v>
          </cell>
          <cell r="J1902">
            <v>2</v>
          </cell>
          <cell r="K1902">
            <v>33</v>
          </cell>
        </row>
        <row r="1903">
          <cell r="B1903" t="str">
            <v>android</v>
          </cell>
          <cell r="C1903" t="str">
            <v>mapzen/android</v>
          </cell>
          <cell r="D1903" t="str">
            <v>mapzen/android</v>
          </cell>
          <cell r="E1903">
            <v>501</v>
          </cell>
          <cell r="F1903">
            <v>232</v>
          </cell>
          <cell r="G1903">
            <v>10</v>
          </cell>
          <cell r="H1903">
            <v>3326</v>
          </cell>
          <cell r="I1903">
            <v>64</v>
          </cell>
          <cell r="J1903">
            <v>107</v>
          </cell>
          <cell r="K1903">
            <v>79</v>
          </cell>
        </row>
        <row r="1904">
          <cell r="B1904" t="str">
            <v>opentraining</v>
          </cell>
          <cell r="C1904" t="str">
            <v>chaosbastler/opentraining</v>
          </cell>
          <cell r="D1904" t="str">
            <v>chaosbastler/opentraining</v>
          </cell>
          <cell r="E1904">
            <v>503</v>
          </cell>
          <cell r="F1904">
            <v>13</v>
          </cell>
          <cell r="G1904">
            <v>5</v>
          </cell>
          <cell r="H1904">
            <v>49858</v>
          </cell>
          <cell r="I1904">
            <v>57</v>
          </cell>
          <cell r="J1904">
            <v>78</v>
          </cell>
          <cell r="K1904">
            <v>15</v>
          </cell>
        </row>
        <row r="1905">
          <cell r="B1905" t="str">
            <v>symphony</v>
          </cell>
          <cell r="C1905" t="str">
            <v>zyrouge/symphony</v>
          </cell>
          <cell r="D1905" t="str">
            <v>zyrouge/symphony</v>
          </cell>
          <cell r="E1905">
            <v>503</v>
          </cell>
          <cell r="F1905">
            <v>17</v>
          </cell>
          <cell r="G1905">
            <v>28</v>
          </cell>
          <cell r="H1905">
            <v>74037</v>
          </cell>
          <cell r="I1905">
            <v>12</v>
          </cell>
          <cell r="J1905">
            <v>239</v>
          </cell>
          <cell r="K1905">
            <v>37</v>
          </cell>
        </row>
        <row r="1906">
          <cell r="B1906" t="str">
            <v>privacy-friendly-sudoku</v>
          </cell>
          <cell r="C1906" t="str">
            <v>SecUSo/privacy-friendly-sudoku</v>
          </cell>
          <cell r="D1906" t="str">
            <v>SecUSo/privacy-friendly-sudoku</v>
          </cell>
          <cell r="E1906">
            <v>504</v>
          </cell>
          <cell r="F1906">
            <v>26</v>
          </cell>
          <cell r="G1906">
            <v>17</v>
          </cell>
          <cell r="H1906">
            <v>2814</v>
          </cell>
          <cell r="I1906">
            <v>49</v>
          </cell>
          <cell r="J1906">
            <v>97</v>
          </cell>
          <cell r="K1906">
            <v>36</v>
          </cell>
        </row>
        <row r="1907">
          <cell r="B1907" t="str">
            <v>K6nele</v>
          </cell>
          <cell r="C1907" t="str">
            <v>Kaljurand/K6nele</v>
          </cell>
          <cell r="D1907" t="str">
            <v>Kaljurand/K6nele</v>
          </cell>
          <cell r="E1907">
            <v>504</v>
          </cell>
          <cell r="F1907">
            <v>28</v>
          </cell>
          <cell r="G1907">
            <v>3</v>
          </cell>
          <cell r="H1907">
            <v>25606</v>
          </cell>
          <cell r="I1907">
            <v>82</v>
          </cell>
          <cell r="J1907">
            <v>236</v>
          </cell>
          <cell r="K1907">
            <v>25</v>
          </cell>
        </row>
        <row r="1908">
          <cell r="B1908" t="str">
            <v>pola-android</v>
          </cell>
          <cell r="C1908" t="str">
            <v>KlubJagiellonski/pola-android</v>
          </cell>
          <cell r="D1908" t="str">
            <v>KlubJagiellonski/pola-android</v>
          </cell>
          <cell r="E1908">
            <v>504</v>
          </cell>
          <cell r="F1908">
            <v>309</v>
          </cell>
          <cell r="G1908">
            <v>16</v>
          </cell>
          <cell r="H1908">
            <v>35080</v>
          </cell>
          <cell r="I1908">
            <v>9</v>
          </cell>
          <cell r="J1908">
            <v>19</v>
          </cell>
          <cell r="K1908">
            <v>15</v>
          </cell>
        </row>
        <row r="1909">
          <cell r="B1909" t="str">
            <v>cell-wall</v>
          </cell>
          <cell r="C1909" t="str">
            <v>NotWoods/cell-wall</v>
          </cell>
          <cell r="D1909" t="str">
            <v>NotWoods/cell-wall</v>
          </cell>
          <cell r="E1909">
            <v>505</v>
          </cell>
          <cell r="F1909">
            <v>126</v>
          </cell>
          <cell r="G1909">
            <v>4</v>
          </cell>
          <cell r="H1909">
            <v>63645</v>
          </cell>
          <cell r="I1909">
            <v>0</v>
          </cell>
          <cell r="J1909">
            <v>6</v>
          </cell>
          <cell r="K1909">
            <v>0</v>
          </cell>
        </row>
        <row r="1910">
          <cell r="B1910" t="str">
            <v>android-police-brutality-incidents</v>
          </cell>
          <cell r="C1910" t="str">
            <v>hossain-khan/android-police-brutality-incidents</v>
          </cell>
          <cell r="D1910" t="str">
            <v>hossain-khan/android-police-brutality-incidents</v>
          </cell>
          <cell r="E1910">
            <v>506</v>
          </cell>
          <cell r="F1910">
            <v>174</v>
          </cell>
          <cell r="G1910">
            <v>1</v>
          </cell>
          <cell r="H1910">
            <v>71208</v>
          </cell>
          <cell r="I1910">
            <v>1</v>
          </cell>
          <cell r="J1910">
            <v>5</v>
          </cell>
          <cell r="K1910">
            <v>6</v>
          </cell>
        </row>
        <row r="1911">
          <cell r="B1911" t="str">
            <v>Generation</v>
          </cell>
          <cell r="C1911" t="str">
            <v>SamarpanCoder2002/Generation</v>
          </cell>
          <cell r="D1911" t="str">
            <v>SamarpanCoder2002/Generation</v>
          </cell>
          <cell r="E1911">
            <v>508</v>
          </cell>
          <cell r="F1911">
            <v>53</v>
          </cell>
          <cell r="G1911">
            <v>1</v>
          </cell>
          <cell r="H1911">
            <v>27899</v>
          </cell>
          <cell r="I1911">
            <v>8</v>
          </cell>
          <cell r="J1911">
            <v>27</v>
          </cell>
          <cell r="K1911">
            <v>1</v>
          </cell>
        </row>
        <row r="1912">
          <cell r="B1912" t="str">
            <v>android-jigsaw-puzzle</v>
          </cell>
          <cell r="C1912" t="str">
            <v>jpaulynice/android-jigsaw-puzzle</v>
          </cell>
          <cell r="D1912" t="str">
            <v>jpaulynice/android-jigsaw-puzzle</v>
          </cell>
          <cell r="E1912">
            <v>510</v>
          </cell>
          <cell r="F1912">
            <v>10</v>
          </cell>
          <cell r="G1912">
            <v>5</v>
          </cell>
          <cell r="H1912">
            <v>14690</v>
          </cell>
          <cell r="I1912">
            <v>69</v>
          </cell>
          <cell r="J1912">
            <v>150</v>
          </cell>
          <cell r="K1912">
            <v>12</v>
          </cell>
        </row>
        <row r="1913">
          <cell r="B1913" t="str">
            <v>HealersDiary</v>
          </cell>
          <cell r="C1913" t="str">
            <v>yashovardhan99/HealersDiary</v>
          </cell>
          <cell r="D1913" t="str">
            <v>yashovardhan99/HealersDiary</v>
          </cell>
          <cell r="E1913">
            <v>510</v>
          </cell>
          <cell r="F1913">
            <v>27</v>
          </cell>
          <cell r="G1913">
            <v>2</v>
          </cell>
          <cell r="H1913">
            <v>5836</v>
          </cell>
          <cell r="I1913">
            <v>1</v>
          </cell>
          <cell r="J1913">
            <v>8</v>
          </cell>
          <cell r="K1913">
            <v>8</v>
          </cell>
        </row>
        <row r="1914">
          <cell r="B1914" t="str">
            <v>darkmodewallpaper</v>
          </cell>
          <cell r="C1914" t="str">
            <v>cvzi/darkmodewallpaper</v>
          </cell>
          <cell r="D1914" t="str">
            <v>cvzi/darkmodewallpaper</v>
          </cell>
          <cell r="E1914">
            <v>510</v>
          </cell>
          <cell r="F1914">
            <v>94</v>
          </cell>
          <cell r="G1914">
            <v>17</v>
          </cell>
          <cell r="H1914">
            <v>16231</v>
          </cell>
          <cell r="I1914">
            <v>12</v>
          </cell>
          <cell r="J1914">
            <v>93</v>
          </cell>
          <cell r="K1914">
            <v>9</v>
          </cell>
        </row>
        <row r="1915">
          <cell r="B1915" t="str">
            <v>qBittorrent-Manager</v>
          </cell>
          <cell r="C1915" t="str">
            <v>Yash-Garg/qBittorrent-Manager</v>
          </cell>
          <cell r="D1915" t="str">
            <v>Yash-Garg/qBittorrent-Manager</v>
          </cell>
          <cell r="E1915">
            <v>510</v>
          </cell>
          <cell r="F1915">
            <v>317</v>
          </cell>
          <cell r="G1915">
            <v>4</v>
          </cell>
          <cell r="H1915">
            <v>7272</v>
          </cell>
          <cell r="I1915">
            <v>7</v>
          </cell>
          <cell r="J1915">
            <v>179</v>
          </cell>
          <cell r="K1915">
            <v>21</v>
          </cell>
        </row>
        <row r="1916">
          <cell r="B1916" t="str">
            <v>android06-mogle</v>
          </cell>
          <cell r="C1916" t="str">
            <v>boostcampwm-2022/android06-mogle</v>
          </cell>
          <cell r="D1916" t="str">
            <v>boostcampwm-2022/android06-mogle</v>
          </cell>
          <cell r="E1916">
            <v>511</v>
          </cell>
          <cell r="F1916">
            <v>64</v>
          </cell>
          <cell r="G1916">
            <v>4</v>
          </cell>
          <cell r="H1916">
            <v>9304</v>
          </cell>
          <cell r="I1916">
            <v>4</v>
          </cell>
          <cell r="J1916">
            <v>34</v>
          </cell>
          <cell r="K1916">
            <v>8</v>
          </cell>
        </row>
        <row r="1917">
          <cell r="B1917" t="str">
            <v>flutter_thrio</v>
          </cell>
          <cell r="C1917" t="str">
            <v>flutter-thrio/flutter_thrio</v>
          </cell>
          <cell r="D1917" t="str">
            <v>flutter-thrio/flutter_thrio</v>
          </cell>
          <cell r="E1917">
            <v>512</v>
          </cell>
          <cell r="F1917">
            <v>13</v>
          </cell>
          <cell r="G1917">
            <v>11</v>
          </cell>
          <cell r="H1917">
            <v>17334</v>
          </cell>
          <cell r="I1917">
            <v>44</v>
          </cell>
          <cell r="J1917">
            <v>303</v>
          </cell>
          <cell r="K1917">
            <v>0</v>
          </cell>
        </row>
        <row r="1918">
          <cell r="B1918" t="str">
            <v>shoppinglist</v>
          </cell>
          <cell r="C1918" t="str">
            <v>openintents/shoppinglist</v>
          </cell>
          <cell r="D1918" t="str">
            <v>openintents/shoppinglist</v>
          </cell>
          <cell r="E1918">
            <v>513</v>
          </cell>
          <cell r="F1918">
            <v>30</v>
          </cell>
          <cell r="G1918">
            <v>6</v>
          </cell>
          <cell r="H1918">
            <v>18090</v>
          </cell>
          <cell r="I1918">
            <v>49</v>
          </cell>
          <cell r="J1918">
            <v>63</v>
          </cell>
          <cell r="K1918">
            <v>33</v>
          </cell>
        </row>
        <row r="1919">
          <cell r="B1919" t="str">
            <v>avnc</v>
          </cell>
          <cell r="C1919" t="str">
            <v>gujjwal00/avnc</v>
          </cell>
          <cell r="D1919" t="str">
            <v>gujjwal00/avnc</v>
          </cell>
          <cell r="E1919">
            <v>517</v>
          </cell>
          <cell r="F1919">
            <v>33</v>
          </cell>
          <cell r="G1919">
            <v>18</v>
          </cell>
          <cell r="H1919">
            <v>2367</v>
          </cell>
          <cell r="I1919">
            <v>30</v>
          </cell>
          <cell r="J1919">
            <v>291</v>
          </cell>
          <cell r="K1919">
            <v>15</v>
          </cell>
        </row>
        <row r="1920">
          <cell r="B1920" t="str">
            <v>bitcoinium</v>
          </cell>
          <cell r="C1920" t="str">
            <v>veken0m/bitcoinium</v>
          </cell>
          <cell r="D1920" t="str">
            <v>veken0m/bitcoinium</v>
          </cell>
          <cell r="E1920">
            <v>518</v>
          </cell>
          <cell r="F1920">
            <v>8</v>
          </cell>
          <cell r="G1920">
            <v>5</v>
          </cell>
          <cell r="H1920">
            <v>32566</v>
          </cell>
          <cell r="I1920">
            <v>33</v>
          </cell>
          <cell r="J1920">
            <v>47</v>
          </cell>
          <cell r="K1920">
            <v>11</v>
          </cell>
        </row>
        <row r="1921">
          <cell r="B1921" t="str">
            <v>show-java</v>
          </cell>
          <cell r="C1921" t="str">
            <v>niranjan94/show-java</v>
          </cell>
          <cell r="D1921" t="str">
            <v>niranjan94/show-java</v>
          </cell>
          <cell r="E1921">
            <v>518</v>
          </cell>
          <cell r="F1921">
            <v>13</v>
          </cell>
          <cell r="G1921">
            <v>5</v>
          </cell>
          <cell r="H1921">
            <v>40241</v>
          </cell>
          <cell r="I1921">
            <v>239</v>
          </cell>
          <cell r="J1921">
            <v>734</v>
          </cell>
          <cell r="K1921">
            <v>55</v>
          </cell>
        </row>
        <row r="1922">
          <cell r="B1922" t="str">
            <v>The-Movie-DB-Kotlin</v>
          </cell>
          <cell r="C1922" t="str">
            <v>dangquanuet/The-Movie-DB-Kotlin</v>
          </cell>
          <cell r="D1922" t="str">
            <v>dangquanuet/The-Movie-DB-Kotlin</v>
          </cell>
          <cell r="E1922">
            <v>520</v>
          </cell>
          <cell r="F1922">
            <v>85</v>
          </cell>
          <cell r="G1922">
            <v>4</v>
          </cell>
          <cell r="H1922">
            <v>1420</v>
          </cell>
          <cell r="I1922">
            <v>88</v>
          </cell>
          <cell r="J1922">
            <v>351</v>
          </cell>
          <cell r="K1922">
            <v>3</v>
          </cell>
        </row>
        <row r="1923">
          <cell r="B1923" t="str">
            <v>MIUINativeNotifyIcon</v>
          </cell>
          <cell r="C1923" t="str">
            <v>fankes/MIUINativeNotifyIcon</v>
          </cell>
          <cell r="D1923" t="str">
            <v>fankes/MIUINativeNotifyIcon</v>
          </cell>
          <cell r="E1923">
            <v>522</v>
          </cell>
          <cell r="F1923">
            <v>13</v>
          </cell>
          <cell r="G1923">
            <v>9</v>
          </cell>
          <cell r="H1923">
            <v>5476</v>
          </cell>
          <cell r="I1923">
            <v>11</v>
          </cell>
          <cell r="J1923">
            <v>217</v>
          </cell>
          <cell r="K1923">
            <v>2</v>
          </cell>
        </row>
        <row r="1924">
          <cell r="B1924" t="str">
            <v>PurdueLaundry-android</v>
          </cell>
          <cell r="C1924" t="str">
            <v>Purdue-ACM-SIGApp/PurdueLaundry-android</v>
          </cell>
          <cell r="D1924" t="str">
            <v>Purdue-ACM-SIGAPP/PurdueLaundry-android</v>
          </cell>
          <cell r="E1924">
            <v>522</v>
          </cell>
          <cell r="F1924">
            <v>70</v>
          </cell>
          <cell r="G1924">
            <v>7</v>
          </cell>
          <cell r="H1924">
            <v>2631</v>
          </cell>
          <cell r="I1924">
            <v>5</v>
          </cell>
          <cell r="J1924">
            <v>6</v>
          </cell>
          <cell r="K1924">
            <v>10</v>
          </cell>
        </row>
        <row r="1925">
          <cell r="B1925" t="str">
            <v>CCULife</v>
          </cell>
          <cell r="C1925" t="str">
            <v>cculife/CCULife</v>
          </cell>
          <cell r="D1925" t="str">
            <v>cculife/CCULife</v>
          </cell>
          <cell r="E1925">
            <v>523</v>
          </cell>
          <cell r="F1925">
            <v>8</v>
          </cell>
          <cell r="G1925">
            <v>5</v>
          </cell>
          <cell r="H1925">
            <v>2865</v>
          </cell>
          <cell r="I1925">
            <v>10</v>
          </cell>
          <cell r="J1925">
            <v>26</v>
          </cell>
          <cell r="K1925">
            <v>10</v>
          </cell>
        </row>
        <row r="1926">
          <cell r="B1926" t="str">
            <v>android-http-server</v>
          </cell>
          <cell r="C1926" t="str">
            <v>piotrpolak/android-http-server</v>
          </cell>
          <cell r="D1926" t="str">
            <v>piotrpolak/android-http-server</v>
          </cell>
          <cell r="E1926">
            <v>527</v>
          </cell>
          <cell r="F1926">
            <v>3</v>
          </cell>
          <cell r="G1926">
            <v>1</v>
          </cell>
          <cell r="H1926">
            <v>2074</v>
          </cell>
          <cell r="I1926">
            <v>70</v>
          </cell>
          <cell r="J1926">
            <v>265</v>
          </cell>
          <cell r="K1926">
            <v>1</v>
          </cell>
        </row>
        <row r="1927">
          <cell r="B1927" t="str">
            <v>AmiKo-Android</v>
          </cell>
          <cell r="C1927" t="str">
            <v>zdavatz/AmiKo-Android</v>
          </cell>
          <cell r="D1927" t="str">
            <v>zdavatz/AmiKo-Android</v>
          </cell>
          <cell r="E1927">
            <v>529</v>
          </cell>
          <cell r="F1927">
            <v>85</v>
          </cell>
          <cell r="G1927">
            <v>4</v>
          </cell>
          <cell r="H1927">
            <v>7300</v>
          </cell>
          <cell r="I1927">
            <v>2</v>
          </cell>
          <cell r="J1927">
            <v>1</v>
          </cell>
          <cell r="K1927">
            <v>1</v>
          </cell>
        </row>
        <row r="1928">
          <cell r="B1928" t="str">
            <v>SocketWeather</v>
          </cell>
          <cell r="C1928" t="str">
            <v>chris-horner/SocketWeather</v>
          </cell>
          <cell r="D1928" t="str">
            <v>chris-horner/SocketWeather</v>
          </cell>
          <cell r="E1928">
            <v>532</v>
          </cell>
          <cell r="F1928">
            <v>18</v>
          </cell>
          <cell r="G1928">
            <v>5</v>
          </cell>
          <cell r="H1928">
            <v>4299</v>
          </cell>
          <cell r="I1928">
            <v>10</v>
          </cell>
          <cell r="J1928">
            <v>90</v>
          </cell>
          <cell r="K1928">
            <v>5</v>
          </cell>
        </row>
        <row r="1929">
          <cell r="B1929" t="str">
            <v>cac-tripplanner-android</v>
          </cell>
          <cell r="C1929" t="str">
            <v>azavea/cac-tripplanner-android</v>
          </cell>
          <cell r="D1929" t="str">
            <v>azavea/cac-tripplanner-android</v>
          </cell>
          <cell r="E1929">
            <v>532</v>
          </cell>
          <cell r="F1929">
            <v>82</v>
          </cell>
          <cell r="G1929">
            <v>6</v>
          </cell>
          <cell r="H1929">
            <v>1628</v>
          </cell>
          <cell r="I1929">
            <v>3</v>
          </cell>
          <cell r="J1929">
            <v>2</v>
          </cell>
          <cell r="K1929">
            <v>19</v>
          </cell>
        </row>
        <row r="1930">
          <cell r="B1930" t="str">
            <v>nepaltoday-app-old</v>
          </cell>
          <cell r="C1930" t="str">
            <v>siristechnology/nepaltoday-app-old</v>
          </cell>
          <cell r="D1930" t="str">
            <v>siristechnology/nepaltoday-app-old</v>
          </cell>
          <cell r="E1930">
            <v>533</v>
          </cell>
          <cell r="F1930">
            <v>230</v>
          </cell>
          <cell r="G1930">
            <v>10</v>
          </cell>
          <cell r="H1930">
            <v>116648</v>
          </cell>
          <cell r="I1930">
            <v>0</v>
          </cell>
          <cell r="J1930">
            <v>3</v>
          </cell>
          <cell r="K1930">
            <v>5</v>
          </cell>
        </row>
        <row r="1931">
          <cell r="B1931" t="str">
            <v>notely</v>
          </cell>
          <cell r="C1931" t="str">
            <v>thilojaeggi/notely</v>
          </cell>
          <cell r="D1931" t="str">
            <v>thilojaeggi/notely</v>
          </cell>
          <cell r="E1931">
            <v>536</v>
          </cell>
          <cell r="F1931">
            <v>16</v>
          </cell>
          <cell r="G1931">
            <v>1</v>
          </cell>
          <cell r="H1931">
            <v>13453</v>
          </cell>
          <cell r="I1931">
            <v>0</v>
          </cell>
          <cell r="J1931">
            <v>5</v>
          </cell>
          <cell r="K1931">
            <v>1</v>
          </cell>
        </row>
        <row r="1932">
          <cell r="B1932" t="str">
            <v>release-probe</v>
          </cell>
          <cell r="C1932" t="str">
            <v>ReactiveCircus/release-probe</v>
          </cell>
          <cell r="D1932" t="str">
            <v>ReactiveCircus/release-probe</v>
          </cell>
          <cell r="E1932">
            <v>538</v>
          </cell>
          <cell r="F1932">
            <v>253</v>
          </cell>
          <cell r="G1932">
            <v>2</v>
          </cell>
          <cell r="H1932">
            <v>974</v>
          </cell>
          <cell r="I1932">
            <v>3</v>
          </cell>
          <cell r="J1932">
            <v>8</v>
          </cell>
          <cell r="K1932">
            <v>7</v>
          </cell>
        </row>
        <row r="1933">
          <cell r="B1933" t="str">
            <v>ALT</v>
          </cell>
          <cell r="C1933" t="str">
            <v>Active-Learning-and-Teaching/ALT</v>
          </cell>
          <cell r="D1933" t="str">
            <v>Active-Learning-and-Teaching/ALT</v>
          </cell>
          <cell r="E1933">
            <v>540</v>
          </cell>
          <cell r="F1933">
            <v>42</v>
          </cell>
          <cell r="G1933">
            <v>16</v>
          </cell>
          <cell r="H1933">
            <v>254551</v>
          </cell>
          <cell r="I1933">
            <v>7</v>
          </cell>
          <cell r="J1933">
            <v>17</v>
          </cell>
          <cell r="K1933">
            <v>27</v>
          </cell>
        </row>
        <row r="1934">
          <cell r="B1934" t="str">
            <v>OpenMapKitAndroid</v>
          </cell>
          <cell r="C1934" t="str">
            <v>posm/OpenMapKitAndroid</v>
          </cell>
          <cell r="D1934" t="str">
            <v>posm/OpenMapKitAndroid</v>
          </cell>
          <cell r="E1934">
            <v>542</v>
          </cell>
          <cell r="F1934">
            <v>21</v>
          </cell>
          <cell r="G1934">
            <v>9</v>
          </cell>
          <cell r="H1934">
            <v>131181</v>
          </cell>
          <cell r="I1934">
            <v>40</v>
          </cell>
          <cell r="J1934">
            <v>128</v>
          </cell>
          <cell r="K1934">
            <v>24</v>
          </cell>
        </row>
        <row r="1935">
          <cell r="B1935" t="str">
            <v>slim-launcher</v>
          </cell>
          <cell r="C1935" t="str">
            <v>sduduzog/slim-launcher</v>
          </cell>
          <cell r="D1935" t="str">
            <v>sduduzog/slim-launcher</v>
          </cell>
          <cell r="E1935">
            <v>543</v>
          </cell>
          <cell r="F1935">
            <v>71</v>
          </cell>
          <cell r="G1935">
            <v>12</v>
          </cell>
          <cell r="H1935">
            <v>23037</v>
          </cell>
          <cell r="I1935">
            <v>91</v>
          </cell>
          <cell r="J1935">
            <v>294</v>
          </cell>
          <cell r="K1935">
            <v>37</v>
          </cell>
        </row>
        <row r="1936">
          <cell r="B1936" t="str">
            <v>Quria</v>
          </cell>
          <cell r="C1936" t="str">
            <v>QuriaCompanion/Quria</v>
          </cell>
          <cell r="D1936" t="str">
            <v>QuriaCompanion/Quria</v>
          </cell>
          <cell r="E1936">
            <v>546</v>
          </cell>
          <cell r="F1936">
            <v>76</v>
          </cell>
          <cell r="G1936">
            <v>4</v>
          </cell>
          <cell r="H1936">
            <v>19049</v>
          </cell>
          <cell r="I1936">
            <v>1</v>
          </cell>
          <cell r="J1936">
            <v>2</v>
          </cell>
          <cell r="K1936">
            <v>0</v>
          </cell>
        </row>
        <row r="1937">
          <cell r="B1937" t="str">
            <v>privacy-friendly-finance-manager</v>
          </cell>
          <cell r="C1937" t="str">
            <v>SecUSo/privacy-friendly-finance-manager</v>
          </cell>
          <cell r="D1937" t="str">
            <v>SecUSo/privacy-friendly-finance-manager</v>
          </cell>
          <cell r="E1937">
            <v>547</v>
          </cell>
          <cell r="F1937">
            <v>16</v>
          </cell>
          <cell r="G1937">
            <v>11</v>
          </cell>
          <cell r="H1937">
            <v>2650</v>
          </cell>
          <cell r="I1937">
            <v>18</v>
          </cell>
          <cell r="J1937">
            <v>32</v>
          </cell>
          <cell r="K1937">
            <v>23</v>
          </cell>
        </row>
        <row r="1938">
          <cell r="B1938" t="str">
            <v>frag-den-staat-app</v>
          </cell>
          <cell r="C1938" t="str">
            <v>jfilter/frag-den-staat-app</v>
          </cell>
          <cell r="D1938" t="str">
            <v>jfilter/frag-den-staat-app</v>
          </cell>
          <cell r="E1938">
            <v>549</v>
          </cell>
          <cell r="F1938">
            <v>2</v>
          </cell>
          <cell r="G1938">
            <v>2</v>
          </cell>
          <cell r="H1938">
            <v>50150</v>
          </cell>
          <cell r="I1938">
            <v>4</v>
          </cell>
          <cell r="J1938">
            <v>25</v>
          </cell>
          <cell r="K1938">
            <v>13</v>
          </cell>
        </row>
        <row r="1939">
          <cell r="B1939" t="str">
            <v>odysee-android</v>
          </cell>
          <cell r="C1939" t="str">
            <v>OdyseeTeam/odysee-android</v>
          </cell>
          <cell r="D1939" t="str">
            <v>OdyseeTeam/odysee-android</v>
          </cell>
          <cell r="E1939">
            <v>549</v>
          </cell>
          <cell r="F1939">
            <v>336</v>
          </cell>
          <cell r="G1939">
            <v>6</v>
          </cell>
          <cell r="H1939">
            <v>11961</v>
          </cell>
          <cell r="I1939">
            <v>22</v>
          </cell>
          <cell r="J1939">
            <v>120</v>
          </cell>
          <cell r="K1939">
            <v>52</v>
          </cell>
        </row>
        <row r="1940">
          <cell r="B1940" t="str">
            <v>PTSD-Aid</v>
          </cell>
          <cell r="C1940" t="str">
            <v>TylerCarberry/PTSD-Aid</v>
          </cell>
          <cell r="D1940" t="str">
            <v>TylerCarberry/PTSD-Aid</v>
          </cell>
          <cell r="E1940">
            <v>552</v>
          </cell>
          <cell r="F1940">
            <v>16</v>
          </cell>
          <cell r="G1940">
            <v>1</v>
          </cell>
          <cell r="H1940">
            <v>3629</v>
          </cell>
          <cell r="I1940">
            <v>1</v>
          </cell>
          <cell r="J1940">
            <v>2</v>
          </cell>
          <cell r="K1940">
            <v>0</v>
          </cell>
        </row>
        <row r="1941">
          <cell r="B1941" t="str">
            <v>harmony</v>
          </cell>
          <cell r="C1941" t="str">
            <v>Code0987/harmony</v>
          </cell>
          <cell r="D1941" t="str">
            <v>Code0987/harmony</v>
          </cell>
          <cell r="E1941">
            <v>552</v>
          </cell>
          <cell r="F1941">
            <v>88</v>
          </cell>
          <cell r="G1941">
            <v>4</v>
          </cell>
          <cell r="H1941">
            <v>136159</v>
          </cell>
          <cell r="I1941">
            <v>1</v>
          </cell>
          <cell r="J1941">
            <v>5</v>
          </cell>
          <cell r="K1941">
            <v>53</v>
          </cell>
        </row>
        <row r="1942">
          <cell r="B1942" t="str">
            <v>Norimaki</v>
          </cell>
          <cell r="C1942" t="str">
            <v>unhappychoice/Norimaki</v>
          </cell>
          <cell r="D1942" t="str">
            <v>circleci-tools/Norimaki</v>
          </cell>
          <cell r="E1942">
            <v>552</v>
          </cell>
          <cell r="F1942">
            <v>259</v>
          </cell>
          <cell r="G1942">
            <v>4</v>
          </cell>
          <cell r="H1942">
            <v>1456</v>
          </cell>
          <cell r="I1942">
            <v>2</v>
          </cell>
          <cell r="J1942">
            <v>19</v>
          </cell>
          <cell r="K1942">
            <v>5</v>
          </cell>
        </row>
        <row r="1943">
          <cell r="B1943" t="str">
            <v>app-ins-gruene</v>
          </cell>
          <cell r="C1943" t="str">
            <v>mimuc/app-ins-gruene</v>
          </cell>
          <cell r="D1943" t="str">
            <v>mimuc/app-ins-gruene</v>
          </cell>
          <cell r="E1943">
            <v>554</v>
          </cell>
          <cell r="F1943">
            <v>7</v>
          </cell>
          <cell r="G1943">
            <v>9</v>
          </cell>
          <cell r="H1943">
            <v>305306</v>
          </cell>
          <cell r="I1943">
            <v>0</v>
          </cell>
          <cell r="J1943">
            <v>4</v>
          </cell>
          <cell r="K1943">
            <v>7</v>
          </cell>
        </row>
        <row r="1944">
          <cell r="B1944" t="str">
            <v>tortoise</v>
          </cell>
          <cell r="C1944" t="str">
            <v>zelenyhleb/tortoise</v>
          </cell>
          <cell r="D1944" t="str">
            <v>zelenyhleb/tortoise</v>
          </cell>
          <cell r="E1944">
            <v>555</v>
          </cell>
          <cell r="F1944">
            <v>31</v>
          </cell>
          <cell r="G1944">
            <v>3</v>
          </cell>
          <cell r="H1944">
            <v>1510</v>
          </cell>
          <cell r="I1944">
            <v>0</v>
          </cell>
          <cell r="J1944">
            <v>10</v>
          </cell>
          <cell r="K1944">
            <v>2</v>
          </cell>
        </row>
        <row r="1945">
          <cell r="B1945" t="str">
            <v>currency</v>
          </cell>
          <cell r="C1945" t="str">
            <v>diareuse/currency</v>
          </cell>
          <cell r="D1945" t="str">
            <v>diareuse/currency</v>
          </cell>
          <cell r="E1945">
            <v>556</v>
          </cell>
          <cell r="F1945">
            <v>19</v>
          </cell>
          <cell r="G1945">
            <v>9</v>
          </cell>
          <cell r="H1945">
            <v>9165</v>
          </cell>
          <cell r="I1945">
            <v>1</v>
          </cell>
          <cell r="J1945">
            <v>2</v>
          </cell>
          <cell r="K1945">
            <v>0</v>
          </cell>
        </row>
        <row r="1946">
          <cell r="B1946" t="str">
            <v>SuntimesCalendars</v>
          </cell>
          <cell r="C1946" t="str">
            <v>forrestguice/SuntimesCalendars</v>
          </cell>
          <cell r="D1946" t="str">
            <v>forrestguice/SuntimesCalendars</v>
          </cell>
          <cell r="E1946">
            <v>556</v>
          </cell>
          <cell r="F1946">
            <v>40</v>
          </cell>
          <cell r="G1946">
            <v>8</v>
          </cell>
          <cell r="H1946">
            <v>1765</v>
          </cell>
          <cell r="I1946">
            <v>8</v>
          </cell>
          <cell r="J1946">
            <v>23</v>
          </cell>
          <cell r="K1946">
            <v>6</v>
          </cell>
        </row>
        <row r="1947">
          <cell r="B1947" t="str">
            <v>PhotoPhase</v>
          </cell>
          <cell r="C1947" t="str">
            <v>jruesga/PhotoPhase</v>
          </cell>
          <cell r="D1947" t="str">
            <v>jruesga/PhotoPhase</v>
          </cell>
          <cell r="E1947">
            <v>557</v>
          </cell>
          <cell r="F1947">
            <v>0</v>
          </cell>
          <cell r="G1947">
            <v>4</v>
          </cell>
          <cell r="H1947">
            <v>5277</v>
          </cell>
          <cell r="I1947">
            <v>16</v>
          </cell>
          <cell r="J1947">
            <v>33</v>
          </cell>
          <cell r="K1947">
            <v>5</v>
          </cell>
        </row>
        <row r="1948">
          <cell r="B1948" t="str">
            <v>android-luajit-launcher</v>
          </cell>
          <cell r="C1948" t="str">
            <v>koreader/android-luajit-launcher</v>
          </cell>
          <cell r="D1948" t="str">
            <v>koreader/android-luajit-launcher</v>
          </cell>
          <cell r="E1948">
            <v>557</v>
          </cell>
          <cell r="F1948">
            <v>358</v>
          </cell>
          <cell r="G1948">
            <v>52</v>
          </cell>
          <cell r="H1948">
            <v>1874</v>
          </cell>
          <cell r="I1948">
            <v>60</v>
          </cell>
          <cell r="J1948">
            <v>109</v>
          </cell>
          <cell r="K1948">
            <v>20</v>
          </cell>
        </row>
        <row r="1949">
          <cell r="B1949" t="str">
            <v>dagger</v>
          </cell>
          <cell r="C1949" t="str">
            <v>nikolajakshic/dagger</v>
          </cell>
          <cell r="D1949" t="str">
            <v>nikolajakshic/dagger</v>
          </cell>
          <cell r="E1949">
            <v>558</v>
          </cell>
          <cell r="F1949">
            <v>5</v>
          </cell>
          <cell r="G1949">
            <v>2</v>
          </cell>
          <cell r="H1949">
            <v>13817</v>
          </cell>
          <cell r="I1949">
            <v>3</v>
          </cell>
          <cell r="J1949">
            <v>13</v>
          </cell>
          <cell r="K1949">
            <v>3</v>
          </cell>
        </row>
        <row r="1950">
          <cell r="B1950" t="str">
            <v>Unexpected-Keyboard</v>
          </cell>
          <cell r="C1950" t="str">
            <v>Julow/Unexpected-Keyboard</v>
          </cell>
          <cell r="D1950" t="str">
            <v>Julow/Unexpected-Keyboard</v>
          </cell>
          <cell r="E1950">
            <v>559</v>
          </cell>
          <cell r="F1950">
            <v>108</v>
          </cell>
          <cell r="G1950">
            <v>101</v>
          </cell>
          <cell r="H1950">
            <v>2425</v>
          </cell>
          <cell r="I1950">
            <v>97</v>
          </cell>
          <cell r="J1950">
            <v>571</v>
          </cell>
          <cell r="K1950">
            <v>74</v>
          </cell>
        </row>
        <row r="1951">
          <cell r="B1951" t="str">
            <v>OpenChord</v>
          </cell>
          <cell r="C1951" t="str">
            <v>artutra/OpenChord</v>
          </cell>
          <cell r="D1951" t="str">
            <v>artutra/OpenChord</v>
          </cell>
          <cell r="E1951">
            <v>559</v>
          </cell>
          <cell r="F1951">
            <v>136</v>
          </cell>
          <cell r="G1951">
            <v>2</v>
          </cell>
          <cell r="H1951">
            <v>3018</v>
          </cell>
          <cell r="I1951">
            <v>20</v>
          </cell>
          <cell r="J1951">
            <v>121</v>
          </cell>
          <cell r="K1951">
            <v>42</v>
          </cell>
        </row>
        <row r="1952">
          <cell r="B1952" t="str">
            <v>Tucao</v>
          </cell>
          <cell r="C1952" t="str">
            <v>blackbbc/Tucao</v>
          </cell>
          <cell r="D1952" t="str">
            <v>blackbbc/Tucao</v>
          </cell>
          <cell r="E1952">
            <v>563</v>
          </cell>
          <cell r="F1952">
            <v>1</v>
          </cell>
          <cell r="G1952">
            <v>1</v>
          </cell>
          <cell r="H1952">
            <v>36349</v>
          </cell>
          <cell r="I1952">
            <v>209</v>
          </cell>
          <cell r="J1952">
            <v>1015</v>
          </cell>
          <cell r="K1952">
            <v>13</v>
          </cell>
        </row>
        <row r="1953">
          <cell r="B1953" t="str">
            <v>BikeSharingHub</v>
          </cell>
          <cell r="C1953" t="str">
            <v>francoisfds/BikeSharingHub</v>
          </cell>
          <cell r="D1953" t="str">
            <v>francoisfds/BikeSharingHub</v>
          </cell>
          <cell r="E1953">
            <v>564</v>
          </cell>
          <cell r="F1953">
            <v>38</v>
          </cell>
          <cell r="G1953">
            <v>38</v>
          </cell>
          <cell r="H1953">
            <v>25869</v>
          </cell>
          <cell r="I1953">
            <v>9</v>
          </cell>
          <cell r="J1953">
            <v>13</v>
          </cell>
          <cell r="K1953">
            <v>12</v>
          </cell>
        </row>
        <row r="1954">
          <cell r="B1954" t="str">
            <v>Jetpack-MVVM-Best-Practice</v>
          </cell>
          <cell r="C1954" t="str">
            <v>KunMinX/Jetpack-MVVM-Best-Practice</v>
          </cell>
          <cell r="D1954" t="str">
            <v>KunMinX/Jetpack-MVVM-Best-Practice</v>
          </cell>
          <cell r="E1954">
            <v>564</v>
          </cell>
          <cell r="F1954">
            <v>149</v>
          </cell>
          <cell r="G1954">
            <v>4</v>
          </cell>
          <cell r="H1954">
            <v>10614</v>
          </cell>
          <cell r="I1954">
            <v>1515</v>
          </cell>
          <cell r="J1954">
            <v>8198</v>
          </cell>
          <cell r="K1954">
            <v>5</v>
          </cell>
        </row>
        <row r="1955">
          <cell r="B1955" t="str">
            <v>SmsForwarder</v>
          </cell>
          <cell r="C1955" t="str">
            <v>pppscn/SmsForwarder</v>
          </cell>
          <cell r="D1955" t="str">
            <v>pppscn/SmsForwarder</v>
          </cell>
          <cell r="E1955">
            <v>565</v>
          </cell>
          <cell r="F1955">
            <v>33</v>
          </cell>
          <cell r="G1955">
            <v>21</v>
          </cell>
          <cell r="H1955">
            <v>356939</v>
          </cell>
          <cell r="I1955">
            <v>1214</v>
          </cell>
          <cell r="J1955">
            <v>8139</v>
          </cell>
          <cell r="K1955">
            <v>7</v>
          </cell>
        </row>
        <row r="1956">
          <cell r="B1956" t="str">
            <v>TitanCompanion</v>
          </cell>
          <cell r="C1956" t="str">
            <v>joaomneto/TitanCompanion</v>
          </cell>
          <cell r="D1956" t="str">
            <v>joaomneto/TitanCompanion</v>
          </cell>
          <cell r="E1956">
            <v>569</v>
          </cell>
          <cell r="F1956">
            <v>80</v>
          </cell>
          <cell r="G1956">
            <v>4</v>
          </cell>
          <cell r="H1956">
            <v>33253</v>
          </cell>
          <cell r="I1956">
            <v>4</v>
          </cell>
          <cell r="J1956">
            <v>10</v>
          </cell>
          <cell r="K1956">
            <v>39</v>
          </cell>
        </row>
        <row r="1957">
          <cell r="B1957" t="str">
            <v>FaceSlim</v>
          </cell>
          <cell r="C1957" t="str">
            <v>indywidualny/FaceSlim</v>
          </cell>
          <cell r="D1957" t="str">
            <v>indywidualny/FaceSlim</v>
          </cell>
          <cell r="E1957">
            <v>569</v>
          </cell>
          <cell r="F1957">
            <v>106</v>
          </cell>
          <cell r="G1957">
            <v>21</v>
          </cell>
          <cell r="H1957">
            <v>55974</v>
          </cell>
          <cell r="I1957">
            <v>61</v>
          </cell>
          <cell r="J1957">
            <v>308</v>
          </cell>
          <cell r="K1957">
            <v>147</v>
          </cell>
        </row>
        <row r="1958">
          <cell r="B1958" t="str">
            <v>BoxBox</v>
          </cell>
          <cell r="C1958" t="str">
            <v>BrightDV/BoxBox</v>
          </cell>
          <cell r="D1958" t="str">
            <v>BrightDV/BoxBox</v>
          </cell>
          <cell r="E1958">
            <v>570</v>
          </cell>
          <cell r="F1958">
            <v>32</v>
          </cell>
          <cell r="G1958">
            <v>31</v>
          </cell>
          <cell r="H1958">
            <v>14035</v>
          </cell>
          <cell r="I1958">
            <v>5</v>
          </cell>
          <cell r="J1958">
            <v>44</v>
          </cell>
          <cell r="K1958">
            <v>7</v>
          </cell>
        </row>
        <row r="1959">
          <cell r="B1959" t="str">
            <v>magicphotos-android</v>
          </cell>
          <cell r="C1959" t="str">
            <v>magicphotos/magicphotos-android</v>
          </cell>
          <cell r="D1959" t="str">
            <v>magicphotos/magicphotos-android</v>
          </cell>
          <cell r="E1959">
            <v>571</v>
          </cell>
          <cell r="F1959">
            <v>0</v>
          </cell>
          <cell r="G1959">
            <v>1</v>
          </cell>
          <cell r="H1959">
            <v>56832</v>
          </cell>
          <cell r="I1959">
            <v>10</v>
          </cell>
          <cell r="J1959">
            <v>16</v>
          </cell>
          <cell r="K1959">
            <v>0</v>
          </cell>
        </row>
        <row r="1960">
          <cell r="B1960" t="str">
            <v>hmi-android</v>
          </cell>
          <cell r="C1960" t="str">
            <v>ILT-HSR/hmi-android</v>
          </cell>
          <cell r="D1960" t="str">
            <v>ILT-HSR/hmi-android</v>
          </cell>
          <cell r="E1960">
            <v>571</v>
          </cell>
          <cell r="F1960">
            <v>8</v>
          </cell>
          <cell r="G1960">
            <v>3</v>
          </cell>
          <cell r="H1960">
            <v>10236</v>
          </cell>
          <cell r="I1960">
            <v>1</v>
          </cell>
          <cell r="J1960">
            <v>1</v>
          </cell>
          <cell r="K1960">
            <v>14</v>
          </cell>
        </row>
        <row r="1961">
          <cell r="B1961" t="str">
            <v>Quotes</v>
          </cell>
          <cell r="C1961" t="str">
            <v>VishnuSanal/Quotes</v>
          </cell>
          <cell r="D1961" t="str">
            <v>VishnuSanal/Quotes</v>
          </cell>
          <cell r="E1961">
            <v>571</v>
          </cell>
          <cell r="F1961">
            <v>31</v>
          </cell>
          <cell r="G1961">
            <v>14</v>
          </cell>
          <cell r="H1961">
            <v>17273</v>
          </cell>
          <cell r="I1961">
            <v>11</v>
          </cell>
          <cell r="J1961">
            <v>32</v>
          </cell>
          <cell r="K1961">
            <v>27</v>
          </cell>
        </row>
        <row r="1962">
          <cell r="B1962" t="str">
            <v>Developers-Portfolio</v>
          </cell>
          <cell r="C1962" t="str">
            <v>Madonahs/Developers-Portfolio</v>
          </cell>
          <cell r="D1962" t="str">
            <v>Madonahs/Developers-Portfolio</v>
          </cell>
          <cell r="E1962">
            <v>573</v>
          </cell>
          <cell r="F1962">
            <v>103</v>
          </cell>
          <cell r="G1962">
            <v>15</v>
          </cell>
          <cell r="H1962">
            <v>7123</v>
          </cell>
          <cell r="I1962">
            <v>71</v>
          </cell>
          <cell r="J1962">
            <v>111</v>
          </cell>
          <cell r="K1962">
            <v>6</v>
          </cell>
        </row>
        <row r="1963">
          <cell r="B1963" t="str">
            <v>Ludere</v>
          </cell>
          <cell r="C1963" t="str">
            <v>tytydraco/Ludere</v>
          </cell>
          <cell r="D1963" t="str">
            <v>tytydraco/Ludere</v>
          </cell>
          <cell r="E1963">
            <v>575</v>
          </cell>
          <cell r="F1963">
            <v>3</v>
          </cell>
          <cell r="G1963">
            <v>1</v>
          </cell>
          <cell r="H1963">
            <v>1082</v>
          </cell>
          <cell r="I1963">
            <v>30</v>
          </cell>
          <cell r="J1963">
            <v>29</v>
          </cell>
          <cell r="K1963">
            <v>7</v>
          </cell>
        </row>
        <row r="1964">
          <cell r="B1964" t="str">
            <v>app_waktu_solat_malaysia</v>
          </cell>
          <cell r="C1964" t="str">
            <v>mptwaktusolat/app_waktu_solat_malaysia</v>
          </cell>
          <cell r="D1964" t="str">
            <v>mptwaktusolat/app_waktu_solat_malaysia</v>
          </cell>
          <cell r="E1964">
            <v>575</v>
          </cell>
          <cell r="F1964">
            <v>28</v>
          </cell>
          <cell r="G1964">
            <v>3</v>
          </cell>
          <cell r="H1964">
            <v>16968</v>
          </cell>
          <cell r="I1964">
            <v>13</v>
          </cell>
          <cell r="J1964">
            <v>28</v>
          </cell>
          <cell r="K1964">
            <v>27</v>
          </cell>
        </row>
        <row r="1965">
          <cell r="B1965" t="str">
            <v>OpenSesame</v>
          </cell>
          <cell r="C1965" t="str">
            <v>brettfazio/OpenSesame</v>
          </cell>
          <cell r="D1965" t="str">
            <v>brettfazio/OpenSesame</v>
          </cell>
          <cell r="E1965">
            <v>575</v>
          </cell>
          <cell r="F1965">
            <v>50</v>
          </cell>
          <cell r="G1965">
            <v>4</v>
          </cell>
          <cell r="H1965">
            <v>20643</v>
          </cell>
          <cell r="I1965">
            <v>2</v>
          </cell>
          <cell r="J1965">
            <v>4</v>
          </cell>
          <cell r="K1965">
            <v>0</v>
          </cell>
        </row>
        <row r="1966">
          <cell r="B1966" t="str">
            <v>gif-wallpaper</v>
          </cell>
          <cell r="C1966" t="str">
            <v>redwarp/gif-wallpaper</v>
          </cell>
          <cell r="D1966" t="str">
            <v>redwarp/gif-wallpaper</v>
          </cell>
          <cell r="E1966">
            <v>576</v>
          </cell>
          <cell r="F1966">
            <v>287</v>
          </cell>
          <cell r="G1966">
            <v>7</v>
          </cell>
          <cell r="H1966">
            <v>8842</v>
          </cell>
          <cell r="I1966">
            <v>7</v>
          </cell>
          <cell r="J1966">
            <v>105</v>
          </cell>
          <cell r="K1966">
            <v>7</v>
          </cell>
        </row>
        <row r="1967">
          <cell r="B1967" t="str">
            <v>ObdGraphs</v>
          </cell>
          <cell r="C1967" t="str">
            <v>tzebrowski/ObdGraphs</v>
          </cell>
          <cell r="D1967" t="str">
            <v>tzebrowski/ObdGraphs</v>
          </cell>
          <cell r="E1967">
            <v>577</v>
          </cell>
          <cell r="F1967">
            <v>9</v>
          </cell>
          <cell r="G1967">
            <v>1</v>
          </cell>
          <cell r="H1967">
            <v>13909</v>
          </cell>
          <cell r="I1967">
            <v>1</v>
          </cell>
          <cell r="J1967">
            <v>5</v>
          </cell>
          <cell r="K1967">
            <v>0</v>
          </cell>
        </row>
        <row r="1968">
          <cell r="B1968" t="str">
            <v>f5n</v>
          </cell>
          <cell r="C1968" t="str">
            <v>SanojPunchihewa/f5n</v>
          </cell>
          <cell r="D1968" t="str">
            <v>SanojPunchihewa/f5n</v>
          </cell>
          <cell r="E1968">
            <v>577</v>
          </cell>
          <cell r="F1968">
            <v>162</v>
          </cell>
          <cell r="G1968">
            <v>3</v>
          </cell>
          <cell r="H1968">
            <v>128461</v>
          </cell>
          <cell r="I1968">
            <v>7</v>
          </cell>
          <cell r="J1968">
            <v>9</v>
          </cell>
          <cell r="K1968">
            <v>18</v>
          </cell>
        </row>
        <row r="1969">
          <cell r="B1969" t="str">
            <v>ant-design-mobile-rn</v>
          </cell>
          <cell r="C1969" t="str">
            <v>ant-design/ant-design-mobile-rn</v>
          </cell>
          <cell r="D1969" t="str">
            <v>ant-design/ant-design-mobile-rn</v>
          </cell>
          <cell r="E1969">
            <v>577</v>
          </cell>
          <cell r="F1969">
            <v>662</v>
          </cell>
          <cell r="G1969">
            <v>63</v>
          </cell>
          <cell r="H1969">
            <v>38905</v>
          </cell>
          <cell r="I1969">
            <v>595</v>
          </cell>
          <cell r="J1969">
            <v>2689</v>
          </cell>
          <cell r="K1969">
            <v>25</v>
          </cell>
        </row>
        <row r="1970">
          <cell r="B1970" t="str">
            <v>fontster</v>
          </cell>
          <cell r="C1970" t="str">
            <v>ItsPriyesh/fontster</v>
          </cell>
          <cell r="D1970" t="str">
            <v>ItsPriyesh/fontster</v>
          </cell>
          <cell r="E1970">
            <v>581</v>
          </cell>
          <cell r="F1970">
            <v>13</v>
          </cell>
          <cell r="G1970">
            <v>5</v>
          </cell>
          <cell r="H1970">
            <v>106008</v>
          </cell>
          <cell r="I1970">
            <v>12</v>
          </cell>
          <cell r="J1970">
            <v>33</v>
          </cell>
          <cell r="K1970">
            <v>5</v>
          </cell>
        </row>
        <row r="1971">
          <cell r="B1971" t="str">
            <v>mobile-android-legacy</v>
          </cell>
          <cell r="C1971" t="str">
            <v>openvk/mobile-android-legacy</v>
          </cell>
          <cell r="D1971" t="str">
            <v>OpenVK/mobile-android-legacy</v>
          </cell>
          <cell r="E1971">
            <v>583</v>
          </cell>
          <cell r="F1971">
            <v>30</v>
          </cell>
          <cell r="G1971">
            <v>7</v>
          </cell>
          <cell r="H1971">
            <v>86585</v>
          </cell>
          <cell r="I1971">
            <v>6</v>
          </cell>
          <cell r="J1971">
            <v>31</v>
          </cell>
          <cell r="K1971">
            <v>6</v>
          </cell>
        </row>
        <row r="1972">
          <cell r="B1972" t="str">
            <v>MCinaBox</v>
          </cell>
          <cell r="C1972" t="str">
            <v>AOF-Dev/MCinaBox</v>
          </cell>
          <cell r="D1972" t="str">
            <v>AOF-Dev/MCinaBox</v>
          </cell>
          <cell r="E1972">
            <v>584</v>
          </cell>
          <cell r="F1972">
            <v>69</v>
          </cell>
          <cell r="G1972">
            <v>23</v>
          </cell>
          <cell r="H1972">
            <v>16201</v>
          </cell>
          <cell r="I1972">
            <v>178</v>
          </cell>
          <cell r="J1972">
            <v>1208</v>
          </cell>
          <cell r="K1972">
            <v>446</v>
          </cell>
        </row>
        <row r="1973">
          <cell r="B1973" t="str">
            <v>Piwigo-Android</v>
          </cell>
          <cell r="C1973" t="str">
            <v>Piwigo/Piwigo-Android</v>
          </cell>
          <cell r="D1973" t="str">
            <v>Piwigo/Piwigo-Android</v>
          </cell>
          <cell r="E1973">
            <v>584</v>
          </cell>
          <cell r="F1973">
            <v>97</v>
          </cell>
          <cell r="G1973">
            <v>11</v>
          </cell>
          <cell r="H1973">
            <v>16195</v>
          </cell>
          <cell r="I1973">
            <v>45</v>
          </cell>
          <cell r="J1973">
            <v>138</v>
          </cell>
          <cell r="K1973">
            <v>69</v>
          </cell>
        </row>
        <row r="1974">
          <cell r="B1974" t="str">
            <v>foss_warn</v>
          </cell>
          <cell r="C1974" t="str">
            <v>nucleus-ffm/foss_warn</v>
          </cell>
          <cell r="D1974" t="str">
            <v>nucleus-ffm/foss_warn</v>
          </cell>
          <cell r="E1974">
            <v>585</v>
          </cell>
          <cell r="F1974">
            <v>23</v>
          </cell>
          <cell r="G1974">
            <v>11</v>
          </cell>
          <cell r="H1974">
            <v>5896</v>
          </cell>
          <cell r="I1974">
            <v>4</v>
          </cell>
          <cell r="J1974">
            <v>70</v>
          </cell>
          <cell r="K1974">
            <v>32</v>
          </cell>
        </row>
        <row r="1975">
          <cell r="B1975" t="str">
            <v>Mascota-Android</v>
          </cell>
          <cell r="C1975" t="str">
            <v>TeamMascota/Mascota-Android</v>
          </cell>
          <cell r="D1975" t="str">
            <v>TeamMascota/Mascota-Android</v>
          </cell>
          <cell r="E1975">
            <v>586</v>
          </cell>
          <cell r="F1975">
            <v>52</v>
          </cell>
          <cell r="G1975">
            <v>3</v>
          </cell>
          <cell r="H1975">
            <v>90507</v>
          </cell>
          <cell r="I1975">
            <v>0</v>
          </cell>
          <cell r="J1975">
            <v>15</v>
          </cell>
          <cell r="K1975">
            <v>7</v>
          </cell>
        </row>
        <row r="1976">
          <cell r="B1976" t="str">
            <v>RuuMusic</v>
          </cell>
          <cell r="C1976" t="str">
            <v>macrat/RuuMusic</v>
          </cell>
          <cell r="D1976" t="str">
            <v>macrat/RuuMusic</v>
          </cell>
          <cell r="E1976">
            <v>592</v>
          </cell>
          <cell r="F1976">
            <v>0</v>
          </cell>
          <cell r="G1976">
            <v>1</v>
          </cell>
          <cell r="H1976">
            <v>8395</v>
          </cell>
          <cell r="I1976">
            <v>0</v>
          </cell>
          <cell r="J1976">
            <v>1</v>
          </cell>
          <cell r="K1976">
            <v>0</v>
          </cell>
        </row>
        <row r="1977">
          <cell r="B1977" t="str">
            <v>ToDont</v>
          </cell>
          <cell r="C1977" t="str">
            <v>Crazy-Marvin/ToDont</v>
          </cell>
          <cell r="D1977" t="str">
            <v>Crazy-Marvin/ToDont</v>
          </cell>
          <cell r="E1977">
            <v>594</v>
          </cell>
          <cell r="F1977">
            <v>185</v>
          </cell>
          <cell r="G1977">
            <v>50</v>
          </cell>
          <cell r="H1977">
            <v>14196</v>
          </cell>
          <cell r="I1977">
            <v>20</v>
          </cell>
          <cell r="J1977">
            <v>122</v>
          </cell>
          <cell r="K1977">
            <v>22</v>
          </cell>
        </row>
        <row r="1978">
          <cell r="B1978" t="str">
            <v>BitNews</v>
          </cell>
          <cell r="C1978" t="str">
            <v>alinbabu2010/BitNews</v>
          </cell>
          <cell r="D1978" t="str">
            <v>alinbabu2010/BitNews</v>
          </cell>
          <cell r="E1978">
            <v>595</v>
          </cell>
          <cell r="F1978">
            <v>1</v>
          </cell>
          <cell r="G1978">
            <v>1</v>
          </cell>
          <cell r="H1978">
            <v>16539</v>
          </cell>
          <cell r="I1978">
            <v>1</v>
          </cell>
          <cell r="J1978">
            <v>1</v>
          </cell>
          <cell r="K1978">
            <v>0</v>
          </cell>
        </row>
        <row r="1979">
          <cell r="B1979" t="str">
            <v>EmblaFlutterApp</v>
          </cell>
          <cell r="C1979" t="str">
            <v>mideind/EmblaFlutterApp</v>
          </cell>
          <cell r="D1979" t="str">
            <v>mideind/EmblaFlutterApp</v>
          </cell>
          <cell r="E1979">
            <v>597</v>
          </cell>
          <cell r="F1979">
            <v>4</v>
          </cell>
          <cell r="G1979">
            <v>3</v>
          </cell>
          <cell r="H1979">
            <v>8249</v>
          </cell>
          <cell r="I1979">
            <v>1</v>
          </cell>
          <cell r="J1979">
            <v>5</v>
          </cell>
          <cell r="K1979">
            <v>1</v>
          </cell>
        </row>
        <row r="1980">
          <cell r="B1980" t="str">
            <v>vkgeo-android</v>
          </cell>
          <cell r="C1980" t="str">
            <v>vkgeo/vkgeo-android</v>
          </cell>
          <cell r="D1980" t="str">
            <v>vkgeo/vkgeo-android</v>
          </cell>
          <cell r="E1980">
            <v>598</v>
          </cell>
          <cell r="F1980">
            <v>0</v>
          </cell>
          <cell r="G1980">
            <v>1</v>
          </cell>
          <cell r="H1980">
            <v>57987</v>
          </cell>
          <cell r="I1980">
            <v>5</v>
          </cell>
          <cell r="J1980">
            <v>8</v>
          </cell>
          <cell r="K1980">
            <v>0</v>
          </cell>
        </row>
        <row r="1981">
          <cell r="B1981" t="str">
            <v>upnext</v>
          </cell>
          <cell r="C1981" t="str">
            <v>akitikkx/upnext</v>
          </cell>
          <cell r="D1981" t="str">
            <v>akitikkx/upnext</v>
          </cell>
          <cell r="E1981">
            <v>599</v>
          </cell>
          <cell r="F1981">
            <v>102</v>
          </cell>
          <cell r="G1981">
            <v>3</v>
          </cell>
          <cell r="H1981">
            <v>4188</v>
          </cell>
          <cell r="I1981">
            <v>6</v>
          </cell>
          <cell r="J1981">
            <v>34</v>
          </cell>
          <cell r="K1981">
            <v>0</v>
          </cell>
        </row>
        <row r="1982">
          <cell r="B1982" t="str">
            <v>Timber</v>
          </cell>
          <cell r="C1982" t="str">
            <v>naman14/Timber</v>
          </cell>
          <cell r="D1982" t="str">
            <v>naman14/Timber</v>
          </cell>
          <cell r="E1982">
            <v>602</v>
          </cell>
          <cell r="F1982">
            <v>150</v>
          </cell>
          <cell r="G1982">
            <v>30</v>
          </cell>
          <cell r="H1982">
            <v>17485</v>
          </cell>
          <cell r="I1982">
            <v>2160</v>
          </cell>
          <cell r="J1982">
            <v>6823</v>
          </cell>
          <cell r="K1982">
            <v>213</v>
          </cell>
        </row>
        <row r="1983">
          <cell r="B1983" t="str">
            <v>waterfly-iii</v>
          </cell>
          <cell r="C1983" t="str">
            <v>dreautall/waterfly-iii</v>
          </cell>
          <cell r="D1983" t="str">
            <v>dreautall/waterfly-iii</v>
          </cell>
          <cell r="E1983">
            <v>603</v>
          </cell>
          <cell r="F1983">
            <v>24</v>
          </cell>
          <cell r="G1983">
            <v>13</v>
          </cell>
          <cell r="H1983">
            <v>3461</v>
          </cell>
          <cell r="I1983">
            <v>0</v>
          </cell>
          <cell r="J1983">
            <v>2</v>
          </cell>
          <cell r="K1983">
            <v>0</v>
          </cell>
        </row>
        <row r="1984">
          <cell r="B1984" t="str">
            <v>stardroid</v>
          </cell>
          <cell r="C1984" t="str">
            <v>sky-map-team/stardroid</v>
          </cell>
          <cell r="D1984" t="str">
            <v>sky-map-team/stardroid</v>
          </cell>
          <cell r="E1984">
            <v>603</v>
          </cell>
          <cell r="F1984">
            <v>269</v>
          </cell>
          <cell r="G1984">
            <v>33</v>
          </cell>
          <cell r="H1984">
            <v>15548</v>
          </cell>
          <cell r="I1984">
            <v>222</v>
          </cell>
          <cell r="J1984">
            <v>749</v>
          </cell>
          <cell r="K1984">
            <v>135</v>
          </cell>
        </row>
        <row r="1985">
          <cell r="B1985" t="str">
            <v>ConverterNOW</v>
          </cell>
          <cell r="C1985" t="str">
            <v>ferraridamiano/ConverterNOW</v>
          </cell>
          <cell r="D1985" t="str">
            <v>ferraridamiano/ConverterNOW</v>
          </cell>
          <cell r="E1985">
            <v>607</v>
          </cell>
          <cell r="F1985">
            <v>90</v>
          </cell>
          <cell r="G1985">
            <v>30</v>
          </cell>
          <cell r="H1985">
            <v>45840</v>
          </cell>
          <cell r="I1985">
            <v>45</v>
          </cell>
          <cell r="J1985">
            <v>274</v>
          </cell>
          <cell r="K1985">
            <v>41</v>
          </cell>
        </row>
        <row r="1986">
          <cell r="B1986" t="str">
            <v>CoffeeBreaker</v>
          </cell>
          <cell r="C1986" t="str">
            <v>kerusey/CoffeeBreaker</v>
          </cell>
          <cell r="D1986" t="str">
            <v>kerusey/CoffeeBreaker</v>
          </cell>
          <cell r="E1986">
            <v>608</v>
          </cell>
          <cell r="F1986">
            <v>38</v>
          </cell>
          <cell r="G1986">
            <v>8</v>
          </cell>
          <cell r="H1986">
            <v>13463</v>
          </cell>
          <cell r="I1986">
            <v>2</v>
          </cell>
          <cell r="J1986">
            <v>8</v>
          </cell>
          <cell r="K1986">
            <v>14</v>
          </cell>
        </row>
        <row r="1987">
          <cell r="B1987" t="str">
            <v>tes3mp-android</v>
          </cell>
          <cell r="C1987" t="str">
            <v>terabyte25/tes3mp-android</v>
          </cell>
          <cell r="D1987" t="str">
            <v>terabyte25/tes3mp-android</v>
          </cell>
          <cell r="E1987">
            <v>612</v>
          </cell>
          <cell r="F1987">
            <v>4</v>
          </cell>
          <cell r="G1987">
            <v>4</v>
          </cell>
          <cell r="H1987">
            <v>51867</v>
          </cell>
          <cell r="I1987">
            <v>14</v>
          </cell>
          <cell r="J1987">
            <v>47</v>
          </cell>
          <cell r="K1987">
            <v>15</v>
          </cell>
        </row>
        <row r="1988">
          <cell r="B1988" t="str">
            <v>Flipper-Android-App</v>
          </cell>
          <cell r="C1988" t="str">
            <v>flipperdevices/Flipper-Android-App</v>
          </cell>
          <cell r="D1988" t="str">
            <v>flipperdevices/Flipper-Android-App</v>
          </cell>
          <cell r="E1988">
            <v>615</v>
          </cell>
          <cell r="F1988">
            <v>536</v>
          </cell>
          <cell r="G1988">
            <v>24</v>
          </cell>
          <cell r="H1988">
            <v>18951</v>
          </cell>
          <cell r="I1988">
            <v>111</v>
          </cell>
          <cell r="J1988">
            <v>767</v>
          </cell>
          <cell r="K1988">
            <v>13</v>
          </cell>
        </row>
        <row r="1989">
          <cell r="B1989" t="str">
            <v>unity</v>
          </cell>
          <cell r="C1989" t="str">
            <v>bluecherrydvr/unity</v>
          </cell>
          <cell r="D1989" t="str">
            <v>bluecherrydvr/unity</v>
          </cell>
          <cell r="E1989">
            <v>617</v>
          </cell>
          <cell r="F1989">
            <v>48</v>
          </cell>
          <cell r="G1989">
            <v>6</v>
          </cell>
          <cell r="H1989">
            <v>3928</v>
          </cell>
          <cell r="I1989">
            <v>2</v>
          </cell>
          <cell r="J1989">
            <v>11</v>
          </cell>
          <cell r="K1989">
            <v>8</v>
          </cell>
        </row>
        <row r="1990">
          <cell r="B1990" t="str">
            <v>Jetpack</v>
          </cell>
          <cell r="C1990" t="str">
            <v>alex-amenos/Jetpack</v>
          </cell>
          <cell r="D1990" t="str">
            <v>alex-amenos/Jetpack</v>
          </cell>
          <cell r="E1990">
            <v>617</v>
          </cell>
          <cell r="F1990">
            <v>68</v>
          </cell>
          <cell r="G1990">
            <v>1</v>
          </cell>
          <cell r="H1990">
            <v>3796</v>
          </cell>
          <cell r="I1990">
            <v>0</v>
          </cell>
          <cell r="J1990">
            <v>3</v>
          </cell>
          <cell r="K1990">
            <v>9</v>
          </cell>
        </row>
        <row r="1991">
          <cell r="B1991" t="str">
            <v>Leaflet</v>
          </cell>
          <cell r="C1991" t="str">
            <v>PotatoProject/Leaflet</v>
          </cell>
          <cell r="D1991" t="str">
            <v>PotatoProject/Leaflet</v>
          </cell>
          <cell r="E1991">
            <v>624</v>
          </cell>
          <cell r="F1991">
            <v>33</v>
          </cell>
          <cell r="G1991">
            <v>8</v>
          </cell>
          <cell r="H1991">
            <v>14329</v>
          </cell>
          <cell r="I1991">
            <v>50</v>
          </cell>
          <cell r="J1991">
            <v>317</v>
          </cell>
          <cell r="K1991">
            <v>16</v>
          </cell>
        </row>
        <row r="1992">
          <cell r="B1992" t="str">
            <v>Status</v>
          </cell>
          <cell r="C1992" t="str">
            <v>fennifith/Status</v>
          </cell>
          <cell r="D1992" t="str">
            <v>fennifith/Status</v>
          </cell>
          <cell r="E1992">
            <v>625</v>
          </cell>
          <cell r="F1992">
            <v>11</v>
          </cell>
          <cell r="G1992">
            <v>3</v>
          </cell>
          <cell r="H1992">
            <v>2645</v>
          </cell>
          <cell r="I1992">
            <v>29</v>
          </cell>
          <cell r="J1992">
            <v>120</v>
          </cell>
          <cell r="K1992">
            <v>29</v>
          </cell>
        </row>
        <row r="1993">
          <cell r="B1993" t="str">
            <v>AndroidMakersApp</v>
          </cell>
          <cell r="C1993" t="str">
            <v>paug/AndroidMakersApp</v>
          </cell>
          <cell r="D1993" t="str">
            <v>paug/AndroidMakersApp</v>
          </cell>
          <cell r="E1993">
            <v>626</v>
          </cell>
          <cell r="F1993">
            <v>117</v>
          </cell>
          <cell r="G1993">
            <v>22</v>
          </cell>
          <cell r="H1993">
            <v>5478</v>
          </cell>
          <cell r="I1993">
            <v>18</v>
          </cell>
          <cell r="J1993">
            <v>78</v>
          </cell>
          <cell r="K1993">
            <v>5</v>
          </cell>
        </row>
        <row r="1994">
          <cell r="B1994" t="str">
            <v>rpicheck</v>
          </cell>
          <cell r="C1994" t="str">
            <v>eidottermihi/rpicheck</v>
          </cell>
          <cell r="D1994" t="str">
            <v>eidottermihi/rpicheck</v>
          </cell>
          <cell r="E1994">
            <v>628</v>
          </cell>
          <cell r="F1994">
            <v>69</v>
          </cell>
          <cell r="G1994">
            <v>17</v>
          </cell>
          <cell r="H1994">
            <v>33762</v>
          </cell>
          <cell r="I1994">
            <v>66</v>
          </cell>
          <cell r="J1994">
            <v>278</v>
          </cell>
          <cell r="K1994">
            <v>36</v>
          </cell>
        </row>
        <row r="1995">
          <cell r="B1995" t="str">
            <v>loyalty-card-locker</v>
          </cell>
          <cell r="C1995" t="str">
            <v>brarcher/loyalty-card-locker</v>
          </cell>
          <cell r="D1995" t="str">
            <v>brarcher/loyalty-card-locker</v>
          </cell>
          <cell r="E1995">
            <v>628</v>
          </cell>
          <cell r="F1995">
            <v>224</v>
          </cell>
          <cell r="G1995">
            <v>12</v>
          </cell>
          <cell r="H1995">
            <v>4119</v>
          </cell>
          <cell r="I1995">
            <v>28</v>
          </cell>
          <cell r="J1995">
            <v>166</v>
          </cell>
          <cell r="K1995">
            <v>61</v>
          </cell>
        </row>
        <row r="1996">
          <cell r="B1996" t="str">
            <v>aggregator-android</v>
          </cell>
          <cell r="C1996" t="str">
            <v>tughi/aggregator-android</v>
          </cell>
          <cell r="D1996" t="str">
            <v>tughi/aggregator-android</v>
          </cell>
          <cell r="E1996">
            <v>630</v>
          </cell>
          <cell r="F1996">
            <v>2</v>
          </cell>
          <cell r="G1996">
            <v>2</v>
          </cell>
          <cell r="H1996">
            <v>28826</v>
          </cell>
          <cell r="I1996">
            <v>8</v>
          </cell>
          <cell r="J1996">
            <v>47</v>
          </cell>
          <cell r="K1996">
            <v>8</v>
          </cell>
        </row>
        <row r="1997">
          <cell r="B1997" t="str">
            <v>accrescent</v>
          </cell>
          <cell r="C1997" t="str">
            <v>accrescent/accrescent</v>
          </cell>
          <cell r="D1997" t="str">
            <v>accrescent/accrescent</v>
          </cell>
          <cell r="E1997">
            <v>630</v>
          </cell>
          <cell r="F1997">
            <v>190</v>
          </cell>
          <cell r="G1997">
            <v>70</v>
          </cell>
          <cell r="H1997">
            <v>1040</v>
          </cell>
          <cell r="I1997">
            <v>8</v>
          </cell>
          <cell r="J1997">
            <v>258</v>
          </cell>
          <cell r="K1997">
            <v>23</v>
          </cell>
        </row>
        <row r="1998">
          <cell r="B1998" t="str">
            <v>Twire</v>
          </cell>
          <cell r="C1998" t="str">
            <v>twireapp/Twire</v>
          </cell>
          <cell r="D1998" t="str">
            <v>twireapp/Twire</v>
          </cell>
          <cell r="E1998">
            <v>631</v>
          </cell>
          <cell r="F1998">
            <v>86</v>
          </cell>
          <cell r="G1998">
            <v>32</v>
          </cell>
          <cell r="H1998">
            <v>39170</v>
          </cell>
          <cell r="I1998">
            <v>50</v>
          </cell>
          <cell r="J1998">
            <v>799</v>
          </cell>
          <cell r="K1998">
            <v>111</v>
          </cell>
        </row>
        <row r="1999">
          <cell r="B1999" t="str">
            <v>nes-emulator</v>
          </cell>
          <cell r="C1999" t="str">
            <v>JonForShort/nes-emulator</v>
          </cell>
          <cell r="D1999" t="str">
            <v>JonForShort/nes-emulator</v>
          </cell>
          <cell r="E1999">
            <v>633</v>
          </cell>
          <cell r="F1999">
            <v>0</v>
          </cell>
          <cell r="G1999">
            <v>1</v>
          </cell>
          <cell r="H1999">
            <v>322274</v>
          </cell>
          <cell r="I1999">
            <v>0</v>
          </cell>
          <cell r="J1999">
            <v>2</v>
          </cell>
          <cell r="K1999">
            <v>0</v>
          </cell>
        </row>
        <row r="2000">
          <cell r="B2000" t="str">
            <v>discreet-launcher</v>
          </cell>
          <cell r="C2000" t="str">
            <v>falzonv/discreet-launcher</v>
          </cell>
          <cell r="D2000" t="str">
            <v>falzonv/discreet-launcher</v>
          </cell>
          <cell r="E2000">
            <v>635</v>
          </cell>
          <cell r="F2000">
            <v>87</v>
          </cell>
          <cell r="G2000">
            <v>14</v>
          </cell>
          <cell r="H2000">
            <v>27744</v>
          </cell>
          <cell r="I2000">
            <v>35</v>
          </cell>
          <cell r="J2000">
            <v>159</v>
          </cell>
          <cell r="K2000">
            <v>15</v>
          </cell>
        </row>
        <row r="2001">
          <cell r="B2001" t="str">
            <v>IReader</v>
          </cell>
          <cell r="C2001" t="str">
            <v>IReaderorg/IReader</v>
          </cell>
          <cell r="D2001" t="str">
            <v>IReaderorg/IReader</v>
          </cell>
          <cell r="E2001">
            <v>637</v>
          </cell>
          <cell r="F2001">
            <v>24</v>
          </cell>
          <cell r="G2001">
            <v>6</v>
          </cell>
          <cell r="H2001">
            <v>37615</v>
          </cell>
          <cell r="I2001">
            <v>17</v>
          </cell>
          <cell r="J2001">
            <v>150</v>
          </cell>
          <cell r="K2001">
            <v>10</v>
          </cell>
        </row>
        <row r="2002">
          <cell r="B2002" t="str">
            <v>fosdem-companion-android</v>
          </cell>
          <cell r="C2002" t="str">
            <v>cbeyls/fosdem-companion-android</v>
          </cell>
          <cell r="D2002" t="str">
            <v>cbeyls/fosdem-companion-android</v>
          </cell>
          <cell r="E2002">
            <v>637</v>
          </cell>
          <cell r="F2002">
            <v>25</v>
          </cell>
          <cell r="G2002">
            <v>4</v>
          </cell>
          <cell r="H2002">
            <v>2996</v>
          </cell>
          <cell r="I2002">
            <v>91</v>
          </cell>
          <cell r="J2002">
            <v>129</v>
          </cell>
          <cell r="K2002">
            <v>21</v>
          </cell>
        </row>
        <row r="2003">
          <cell r="B2003" t="str">
            <v>jtt_android</v>
          </cell>
          <cell r="C2003" t="str">
            <v>aragaer/jtt_android</v>
          </cell>
          <cell r="D2003" t="str">
            <v>aragaer/jtt_android</v>
          </cell>
          <cell r="E2003">
            <v>642</v>
          </cell>
          <cell r="F2003">
            <v>5</v>
          </cell>
          <cell r="G2003">
            <v>5</v>
          </cell>
          <cell r="H2003">
            <v>2395</v>
          </cell>
          <cell r="I2003">
            <v>5</v>
          </cell>
          <cell r="J2003">
            <v>9</v>
          </cell>
          <cell r="K2003">
            <v>10</v>
          </cell>
        </row>
        <row r="2004">
          <cell r="B2004" t="str">
            <v>Compose-Scrobbler</v>
          </cell>
          <cell r="C2004" t="str">
            <v>Sh4dowSoul/Compose-Scrobbler</v>
          </cell>
          <cell r="D2004" t="str">
            <v>nschnettler/Compose-Scrobbler</v>
          </cell>
          <cell r="E2004">
            <v>642</v>
          </cell>
          <cell r="F2004">
            <v>58</v>
          </cell>
          <cell r="G2004">
            <v>1</v>
          </cell>
          <cell r="H2004">
            <v>10403</v>
          </cell>
          <cell r="I2004">
            <v>4</v>
          </cell>
          <cell r="J2004">
            <v>55</v>
          </cell>
          <cell r="K2004">
            <v>10</v>
          </cell>
        </row>
        <row r="2005">
          <cell r="B2005" t="str">
            <v>ViMusic</v>
          </cell>
          <cell r="C2005" t="str">
            <v>vfsfitvnm/ViMusic</v>
          </cell>
          <cell r="D2005" t="str">
            <v>vfsfitvnm/ViMusic</v>
          </cell>
          <cell r="E2005">
            <v>649</v>
          </cell>
          <cell r="F2005">
            <v>25</v>
          </cell>
          <cell r="G2005">
            <v>8</v>
          </cell>
          <cell r="H2005">
            <v>11100</v>
          </cell>
          <cell r="I2005">
            <v>286</v>
          </cell>
          <cell r="J2005">
            <v>4676</v>
          </cell>
          <cell r="K2005">
            <v>104</v>
          </cell>
        </row>
        <row r="2006">
          <cell r="B2006" t="str">
            <v>prognoza</v>
          </cell>
          <cell r="C2006" t="str">
            <v>davidtakac/prognoza</v>
          </cell>
          <cell r="D2006" t="str">
            <v>davidtakac/prognoza</v>
          </cell>
          <cell r="E2006">
            <v>650</v>
          </cell>
          <cell r="F2006">
            <v>10</v>
          </cell>
          <cell r="G2006">
            <v>1</v>
          </cell>
          <cell r="H2006">
            <v>36688</v>
          </cell>
          <cell r="I2006">
            <v>10</v>
          </cell>
          <cell r="J2006">
            <v>175</v>
          </cell>
          <cell r="K2006">
            <v>22</v>
          </cell>
        </row>
        <row r="2007">
          <cell r="B2007" t="str">
            <v>shopapp-android</v>
          </cell>
          <cell r="C2007" t="str">
            <v>rubygarage/shopapp-android</v>
          </cell>
          <cell r="D2007" t="str">
            <v>rubygarage/shopapp-android</v>
          </cell>
          <cell r="E2007">
            <v>655</v>
          </cell>
          <cell r="F2007">
            <v>198</v>
          </cell>
          <cell r="G2007">
            <v>4</v>
          </cell>
          <cell r="H2007">
            <v>4971</v>
          </cell>
          <cell r="I2007">
            <v>99</v>
          </cell>
          <cell r="J2007">
            <v>144</v>
          </cell>
          <cell r="K2007">
            <v>6</v>
          </cell>
        </row>
        <row r="2008">
          <cell r="B2008" t="str">
            <v>Glider</v>
          </cell>
          <cell r="C2008" t="str">
            <v>Mosc/Glider</v>
          </cell>
          <cell r="D2008" t="str">
            <v>Mosc/Glider</v>
          </cell>
          <cell r="E2008">
            <v>656</v>
          </cell>
          <cell r="F2008">
            <v>9</v>
          </cell>
          <cell r="G2008">
            <v>6</v>
          </cell>
          <cell r="H2008">
            <v>25631</v>
          </cell>
          <cell r="I2008">
            <v>17</v>
          </cell>
          <cell r="J2008">
            <v>296</v>
          </cell>
          <cell r="K2008">
            <v>29</v>
          </cell>
        </row>
        <row r="2009">
          <cell r="B2009" t="str">
            <v>ObscuraCam</v>
          </cell>
          <cell r="C2009" t="str">
            <v>guardianproject/ObscuraCam</v>
          </cell>
          <cell r="D2009" t="str">
            <v>guardianproject/ObscuraCam</v>
          </cell>
          <cell r="E2009">
            <v>656</v>
          </cell>
          <cell r="F2009">
            <v>12</v>
          </cell>
          <cell r="G2009">
            <v>18</v>
          </cell>
          <cell r="H2009">
            <v>143483</v>
          </cell>
          <cell r="I2009">
            <v>83</v>
          </cell>
          <cell r="J2009">
            <v>298</v>
          </cell>
          <cell r="K2009">
            <v>52</v>
          </cell>
        </row>
        <row r="2010">
          <cell r="B2010" t="str">
            <v>atom-tasks</v>
          </cell>
          <cell r="C2010" t="str">
            <v>costular/atom-tasks</v>
          </cell>
          <cell r="D2010" t="str">
            <v>costular/Minitask</v>
          </cell>
          <cell r="E2010">
            <v>656</v>
          </cell>
          <cell r="F2010">
            <v>91</v>
          </cell>
          <cell r="G2010">
            <v>2</v>
          </cell>
          <cell r="H2010">
            <v>3516</v>
          </cell>
          <cell r="I2010">
            <v>0</v>
          </cell>
          <cell r="J2010">
            <v>3</v>
          </cell>
          <cell r="K2010">
            <v>2</v>
          </cell>
        </row>
        <row r="2011">
          <cell r="B2011" t="str">
            <v>paladins-edge-client</v>
          </cell>
          <cell r="C2011" t="str">
            <v>tusharlock10/paladins-edge-client</v>
          </cell>
          <cell r="D2011" t="str">
            <v>tusharlock10/paladins-edge-client</v>
          </cell>
          <cell r="E2011">
            <v>656</v>
          </cell>
          <cell r="F2011">
            <v>257</v>
          </cell>
          <cell r="G2011">
            <v>2</v>
          </cell>
          <cell r="H2011">
            <v>3749</v>
          </cell>
          <cell r="I2011">
            <v>0</v>
          </cell>
          <cell r="J2011">
            <v>4</v>
          </cell>
          <cell r="K2011">
            <v>10</v>
          </cell>
        </row>
        <row r="2012">
          <cell r="B2012" t="str">
            <v>editor</v>
          </cell>
          <cell r="C2012" t="str">
            <v>billthefarmer/editor</v>
          </cell>
          <cell r="D2012" t="str">
            <v>billthefarmer/editor</v>
          </cell>
          <cell r="E2012">
            <v>658</v>
          </cell>
          <cell r="F2012">
            <v>40</v>
          </cell>
          <cell r="G2012">
            <v>28</v>
          </cell>
          <cell r="H2012">
            <v>6011</v>
          </cell>
          <cell r="I2012">
            <v>73</v>
          </cell>
          <cell r="J2012">
            <v>357</v>
          </cell>
          <cell r="K2012">
            <v>2</v>
          </cell>
        </row>
        <row r="2013">
          <cell r="B2013" t="str">
            <v>Tmdb-Client</v>
          </cell>
          <cell r="C2013" t="str">
            <v>ilya-rb/Tmdb-Client</v>
          </cell>
          <cell r="D2013" t="str">
            <v>ilya-rb/Tmdb-Client</v>
          </cell>
          <cell r="E2013">
            <v>659</v>
          </cell>
          <cell r="F2013">
            <v>43</v>
          </cell>
          <cell r="G2013">
            <v>1</v>
          </cell>
          <cell r="H2013">
            <v>25151</v>
          </cell>
          <cell r="I2013">
            <v>1</v>
          </cell>
          <cell r="J2013">
            <v>5</v>
          </cell>
          <cell r="K2013">
            <v>0</v>
          </cell>
        </row>
        <row r="2014">
          <cell r="B2014" t="str">
            <v>HexViewer</v>
          </cell>
          <cell r="C2014" t="str">
            <v>Keidan/HexViewer</v>
          </cell>
          <cell r="D2014" t="str">
            <v>Keidan/HexViewer</v>
          </cell>
          <cell r="E2014">
            <v>659</v>
          </cell>
          <cell r="F2014">
            <v>52</v>
          </cell>
          <cell r="G2014">
            <v>20</v>
          </cell>
          <cell r="H2014">
            <v>16357</v>
          </cell>
          <cell r="I2014">
            <v>22</v>
          </cell>
          <cell r="J2014">
            <v>94</v>
          </cell>
          <cell r="K2014">
            <v>0</v>
          </cell>
        </row>
        <row r="2015">
          <cell r="B2015" t="str">
            <v>src</v>
          </cell>
          <cell r="C2015" t="str">
            <v>kiwibrowser/src</v>
          </cell>
          <cell r="D2015" t="str">
            <v>kiwibrowser/src</v>
          </cell>
          <cell r="E2015">
            <v>664</v>
          </cell>
          <cell r="F2015">
            <v>43</v>
          </cell>
          <cell r="G2015">
            <v>18</v>
          </cell>
          <cell r="H2015">
            <v>2840042</v>
          </cell>
          <cell r="I2015">
            <v>311</v>
          </cell>
          <cell r="J2015">
            <v>2210</v>
          </cell>
          <cell r="K2015">
            <v>5</v>
          </cell>
        </row>
        <row r="2016">
          <cell r="B2016" t="str">
            <v>datmusic-android</v>
          </cell>
          <cell r="C2016" t="str">
            <v>alashow/datmusic-android</v>
          </cell>
          <cell r="D2016" t="str">
            <v>alashow/datmusic-android</v>
          </cell>
          <cell r="E2016">
            <v>665</v>
          </cell>
          <cell r="F2016">
            <v>8</v>
          </cell>
          <cell r="G2016">
            <v>3</v>
          </cell>
          <cell r="H2016">
            <v>64355</v>
          </cell>
          <cell r="I2016">
            <v>77</v>
          </cell>
          <cell r="J2016">
            <v>558</v>
          </cell>
          <cell r="K2016">
            <v>1</v>
          </cell>
        </row>
        <row r="2017">
          <cell r="B2017" t="str">
            <v>LogcatReader</v>
          </cell>
          <cell r="C2017" t="str">
            <v>darshanparajuli/LogcatReader</v>
          </cell>
          <cell r="D2017" t="str">
            <v>darshanparajuli/LogcatReader</v>
          </cell>
          <cell r="E2017">
            <v>668</v>
          </cell>
          <cell r="F2017">
            <v>19</v>
          </cell>
          <cell r="G2017">
            <v>11</v>
          </cell>
          <cell r="H2017">
            <v>4573</v>
          </cell>
          <cell r="I2017">
            <v>95</v>
          </cell>
          <cell r="J2017">
            <v>457</v>
          </cell>
          <cell r="K2017">
            <v>29</v>
          </cell>
        </row>
        <row r="2018">
          <cell r="B2018" t="str">
            <v>IIT-BHU-app</v>
          </cell>
          <cell r="C2018" t="str">
            <v>IIT-BHU-InstiApp/IIT-BHU-app</v>
          </cell>
          <cell r="D2018" t="str">
            <v>IIT-BHU-InstiApp/IIT-BHU-app</v>
          </cell>
          <cell r="E2018">
            <v>668</v>
          </cell>
          <cell r="F2018">
            <v>260</v>
          </cell>
          <cell r="G2018">
            <v>19</v>
          </cell>
          <cell r="H2018">
            <v>9791</v>
          </cell>
          <cell r="I2018">
            <v>45</v>
          </cell>
          <cell r="J2018">
            <v>19</v>
          </cell>
          <cell r="K2018">
            <v>23</v>
          </cell>
        </row>
        <row r="2019">
          <cell r="B2019" t="str">
            <v>android-app</v>
          </cell>
          <cell r="C2019" t="str">
            <v>ivpn/android-app</v>
          </cell>
          <cell r="D2019" t="str">
            <v>ivpn/android-app</v>
          </cell>
          <cell r="E2019">
            <v>669</v>
          </cell>
          <cell r="F2019">
            <v>86</v>
          </cell>
          <cell r="G2019">
            <v>5</v>
          </cell>
          <cell r="H2019">
            <v>178691</v>
          </cell>
          <cell r="I2019">
            <v>45</v>
          </cell>
          <cell r="J2019">
            <v>181</v>
          </cell>
          <cell r="K2019">
            <v>70</v>
          </cell>
        </row>
        <row r="2020">
          <cell r="B2020" t="str">
            <v>JZAndroidChart</v>
          </cell>
          <cell r="C2020" t="str">
            <v>JingZhuanDuoYing/JZAndroidChart</v>
          </cell>
          <cell r="D2020" t="str">
            <v>JingZhuanDuoYing/JZAndroidChart</v>
          </cell>
          <cell r="E2020">
            <v>672</v>
          </cell>
          <cell r="F2020">
            <v>14</v>
          </cell>
          <cell r="G2020">
            <v>6</v>
          </cell>
          <cell r="H2020">
            <v>4842</v>
          </cell>
          <cell r="I2020">
            <v>102</v>
          </cell>
          <cell r="J2020">
            <v>765</v>
          </cell>
          <cell r="K2020">
            <v>0</v>
          </cell>
        </row>
        <row r="2021">
          <cell r="B2021" t="str">
            <v>dandelion</v>
          </cell>
          <cell r="C2021" t="str">
            <v>gsantner/dandelion</v>
          </cell>
          <cell r="D2021" t="str">
            <v>gsantner/dandelion</v>
          </cell>
          <cell r="E2021">
            <v>673</v>
          </cell>
          <cell r="F2021">
            <v>132</v>
          </cell>
          <cell r="G2021">
            <v>16</v>
          </cell>
          <cell r="H2021">
            <v>12092</v>
          </cell>
          <cell r="I2021">
            <v>34</v>
          </cell>
          <cell r="J2021">
            <v>115</v>
          </cell>
          <cell r="K2021">
            <v>18</v>
          </cell>
        </row>
        <row r="2022">
          <cell r="B2022" t="str">
            <v>Images-to-PDF</v>
          </cell>
          <cell r="C2022" t="str">
            <v>Swati4star/Images-to-PDF</v>
          </cell>
          <cell r="D2022" t="str">
            <v>Swati4star/Images-to-PDF</v>
          </cell>
          <cell r="E2022">
            <v>673</v>
          </cell>
          <cell r="F2022">
            <v>611</v>
          </cell>
          <cell r="G2022">
            <v>142</v>
          </cell>
          <cell r="H2022">
            <v>72137</v>
          </cell>
          <cell r="I2022">
            <v>710</v>
          </cell>
          <cell r="J2022">
            <v>949</v>
          </cell>
          <cell r="K2022">
            <v>66</v>
          </cell>
        </row>
        <row r="2023">
          <cell r="B2023" t="str">
            <v>leaonline-app</v>
          </cell>
          <cell r="C2023" t="str">
            <v>leaonline/leaonline-app</v>
          </cell>
          <cell r="D2023" t="str">
            <v>leaonline/leaonline-app</v>
          </cell>
          <cell r="E2023">
            <v>677</v>
          </cell>
          <cell r="F2023">
            <v>72</v>
          </cell>
          <cell r="G2023">
            <v>7</v>
          </cell>
          <cell r="H2023">
            <v>18441</v>
          </cell>
          <cell r="I2023">
            <v>3</v>
          </cell>
          <cell r="J2023">
            <v>5</v>
          </cell>
          <cell r="K2023">
            <v>43</v>
          </cell>
        </row>
        <row r="2024">
          <cell r="B2024" t="str">
            <v>RootlessJamesDSP</v>
          </cell>
          <cell r="C2024" t="str">
            <v>ThePBone/RootlessJamesDSP</v>
          </cell>
          <cell r="D2024" t="str">
            <v>timschneeb/RootlessJamesDSP</v>
          </cell>
          <cell r="E2024">
            <v>677</v>
          </cell>
          <cell r="F2024">
            <v>75</v>
          </cell>
          <cell r="G2024">
            <v>5</v>
          </cell>
          <cell r="H2024">
            <v>7789</v>
          </cell>
          <cell r="I2024">
            <v>4</v>
          </cell>
          <cell r="J2024">
            <v>163</v>
          </cell>
          <cell r="K2024">
            <v>6</v>
          </cell>
        </row>
        <row r="2025">
          <cell r="B2025" t="str">
            <v>yunshu_music</v>
          </cell>
          <cell r="C2025" t="str">
            <v>itning/yunshu_music</v>
          </cell>
          <cell r="D2025" t="str">
            <v>itning/yunshu_music</v>
          </cell>
          <cell r="E2025">
            <v>678</v>
          </cell>
          <cell r="F2025">
            <v>188</v>
          </cell>
          <cell r="G2025">
            <v>2</v>
          </cell>
          <cell r="H2025">
            <v>18297</v>
          </cell>
          <cell r="I2025">
            <v>5</v>
          </cell>
          <cell r="J2025">
            <v>24</v>
          </cell>
          <cell r="K2025">
            <v>7</v>
          </cell>
        </row>
        <row r="2026">
          <cell r="B2026" t="str">
            <v>now-u-app</v>
          </cell>
          <cell r="C2026" t="str">
            <v>now-u/now-u-app</v>
          </cell>
          <cell r="D2026" t="str">
            <v>now-u/now-u-app</v>
          </cell>
          <cell r="E2026">
            <v>679</v>
          </cell>
          <cell r="F2026">
            <v>143</v>
          </cell>
          <cell r="G2026">
            <v>13</v>
          </cell>
          <cell r="H2026">
            <v>124038</v>
          </cell>
          <cell r="I2026">
            <v>8</v>
          </cell>
          <cell r="J2026">
            <v>13</v>
          </cell>
          <cell r="K2026">
            <v>14</v>
          </cell>
        </row>
        <row r="2027">
          <cell r="B2027" t="str">
            <v>team2</v>
          </cell>
          <cell r="C2027" t="str">
            <v>mobileappdevhm/team2</v>
          </cell>
          <cell r="D2027" t="str">
            <v>mobileappdevhm/team2</v>
          </cell>
          <cell r="E2027">
            <v>680</v>
          </cell>
          <cell r="F2027">
            <v>99</v>
          </cell>
          <cell r="G2027">
            <v>7</v>
          </cell>
          <cell r="H2027">
            <v>5386</v>
          </cell>
          <cell r="I2027">
            <v>5</v>
          </cell>
          <cell r="J2027">
            <v>8</v>
          </cell>
          <cell r="K2027">
            <v>15</v>
          </cell>
        </row>
        <row r="2028">
          <cell r="B2028" t="str">
            <v>UrlChecker</v>
          </cell>
          <cell r="C2028" t="str">
            <v>TrianguloY/UrlChecker</v>
          </cell>
          <cell r="D2028" t="str">
            <v>TrianguloY/URLCheck</v>
          </cell>
          <cell r="E2028">
            <v>683</v>
          </cell>
          <cell r="F2028">
            <v>114</v>
          </cell>
          <cell r="G2028">
            <v>24</v>
          </cell>
          <cell r="H2028">
            <v>38093</v>
          </cell>
          <cell r="I2028">
            <v>33</v>
          </cell>
          <cell r="J2028">
            <v>345</v>
          </cell>
          <cell r="K2028">
            <v>44</v>
          </cell>
        </row>
        <row r="2029">
          <cell r="B2029" t="str">
            <v>localsend</v>
          </cell>
          <cell r="C2029" t="str">
            <v>localsend/localsend</v>
          </cell>
          <cell r="D2029" t="str">
            <v>localsend/localsend</v>
          </cell>
          <cell r="E2029">
            <v>683</v>
          </cell>
          <cell r="F2029">
            <v>136</v>
          </cell>
          <cell r="G2029">
            <v>199</v>
          </cell>
          <cell r="H2029">
            <v>3536</v>
          </cell>
          <cell r="I2029">
            <v>622</v>
          </cell>
          <cell r="J2029">
            <v>12111</v>
          </cell>
          <cell r="K2029">
            <v>181</v>
          </cell>
        </row>
        <row r="2030">
          <cell r="B2030" t="str">
            <v>harbour-Berlin-Vegan</v>
          </cell>
          <cell r="C2030" t="str">
            <v>micuintus/harbour-Berlin-Vegan</v>
          </cell>
          <cell r="D2030" t="str">
            <v>micuintus/harbour-Berlin-Vegan</v>
          </cell>
          <cell r="E2030">
            <v>683</v>
          </cell>
          <cell r="F2030">
            <v>153</v>
          </cell>
          <cell r="G2030">
            <v>4</v>
          </cell>
          <cell r="H2030">
            <v>20426</v>
          </cell>
          <cell r="I2030">
            <v>4</v>
          </cell>
          <cell r="J2030">
            <v>13</v>
          </cell>
          <cell r="K2030">
            <v>24</v>
          </cell>
        </row>
        <row r="2031">
          <cell r="B2031" t="str">
            <v>UhooiPicBook-Android</v>
          </cell>
          <cell r="C2031" t="str">
            <v>uhooi/UhooiPicBook-Android</v>
          </cell>
          <cell r="D2031" t="str">
            <v>uhooi/UhooiPicBook-Android</v>
          </cell>
          <cell r="E2031">
            <v>690</v>
          </cell>
          <cell r="F2031">
            <v>132</v>
          </cell>
          <cell r="G2031">
            <v>9</v>
          </cell>
          <cell r="H2031">
            <v>32592</v>
          </cell>
          <cell r="I2031">
            <v>12</v>
          </cell>
          <cell r="J2031">
            <v>24</v>
          </cell>
          <cell r="K2031">
            <v>53</v>
          </cell>
        </row>
        <row r="2032">
          <cell r="B2032" t="str">
            <v>magnum-extras</v>
          </cell>
          <cell r="C2032" t="str">
            <v>mosra/magnum-extras</v>
          </cell>
          <cell r="D2032" t="str">
            <v>mosra/magnum-extras</v>
          </cell>
          <cell r="E2032">
            <v>691</v>
          </cell>
          <cell r="F2032">
            <v>7</v>
          </cell>
          <cell r="G2032">
            <v>8</v>
          </cell>
          <cell r="H2032">
            <v>1873</v>
          </cell>
          <cell r="I2032">
            <v>10</v>
          </cell>
          <cell r="J2032">
            <v>26</v>
          </cell>
          <cell r="K2032">
            <v>6</v>
          </cell>
        </row>
        <row r="2033">
          <cell r="B2033" t="str">
            <v>nusic</v>
          </cell>
          <cell r="C2033" t="str">
            <v>schnatterer/nusic</v>
          </cell>
          <cell r="D2033" t="str">
            <v>schnatterer/nusic</v>
          </cell>
          <cell r="E2033">
            <v>694</v>
          </cell>
          <cell r="F2033">
            <v>6</v>
          </cell>
          <cell r="G2033">
            <v>4</v>
          </cell>
          <cell r="H2033">
            <v>9143</v>
          </cell>
          <cell r="I2033">
            <v>6</v>
          </cell>
          <cell r="J2033">
            <v>38</v>
          </cell>
          <cell r="K2033">
            <v>7</v>
          </cell>
        </row>
        <row r="2034">
          <cell r="B2034" t="str">
            <v>lisu-android</v>
          </cell>
          <cell r="C2034" t="str">
            <v>FishHawk/lisu-android</v>
          </cell>
          <cell r="D2034" t="str">
            <v>FishHawk/lisu-android</v>
          </cell>
          <cell r="E2034">
            <v>697</v>
          </cell>
          <cell r="F2034">
            <v>0</v>
          </cell>
          <cell r="G2034">
            <v>1</v>
          </cell>
          <cell r="H2034">
            <v>19243</v>
          </cell>
          <cell r="I2034">
            <v>0</v>
          </cell>
          <cell r="J2034">
            <v>15</v>
          </cell>
          <cell r="K2034">
            <v>0</v>
          </cell>
        </row>
        <row r="2035">
          <cell r="B2035" t="str">
            <v>exif-thumbnail-adder</v>
          </cell>
          <cell r="C2035" t="str">
            <v>tenzap/exif-thumbnail-adder</v>
          </cell>
          <cell r="D2035" t="str">
            <v>tenzap/exif-thumbnail-adder</v>
          </cell>
          <cell r="E2035">
            <v>698</v>
          </cell>
          <cell r="F2035">
            <v>33</v>
          </cell>
          <cell r="G2035">
            <v>3</v>
          </cell>
          <cell r="H2035">
            <v>86066</v>
          </cell>
          <cell r="I2035">
            <v>9</v>
          </cell>
          <cell r="J2035">
            <v>27</v>
          </cell>
          <cell r="K2035">
            <v>0</v>
          </cell>
        </row>
        <row r="2036">
          <cell r="B2036" t="str">
            <v>biblio</v>
          </cell>
          <cell r="C2036" t="str">
            <v>ayatk/biblio</v>
          </cell>
          <cell r="D2036" t="str">
            <v>ayatk/biblio</v>
          </cell>
          <cell r="E2036">
            <v>698</v>
          </cell>
          <cell r="F2036">
            <v>412</v>
          </cell>
          <cell r="G2036">
            <v>3</v>
          </cell>
          <cell r="H2036">
            <v>1860</v>
          </cell>
          <cell r="I2036">
            <v>1</v>
          </cell>
          <cell r="J2036">
            <v>5</v>
          </cell>
          <cell r="K2036">
            <v>32</v>
          </cell>
        </row>
        <row r="2037">
          <cell r="B2037" t="str">
            <v>reader</v>
          </cell>
          <cell r="C2037" t="str">
            <v>sismics/reader</v>
          </cell>
          <cell r="D2037" t="str">
            <v>sismics/reader</v>
          </cell>
          <cell r="E2037">
            <v>700</v>
          </cell>
          <cell r="F2037">
            <v>19</v>
          </cell>
          <cell r="G2037">
            <v>9</v>
          </cell>
          <cell r="H2037">
            <v>6657</v>
          </cell>
          <cell r="I2037">
            <v>99</v>
          </cell>
          <cell r="J2037">
            <v>388</v>
          </cell>
          <cell r="K2037">
            <v>29</v>
          </cell>
        </row>
        <row r="2038">
          <cell r="B2038" t="str">
            <v>appstore</v>
          </cell>
          <cell r="C2038" t="str">
            <v>elimu-ai/appstore</v>
          </cell>
          <cell r="D2038" t="str">
            <v>elimu-ai/appstore</v>
          </cell>
          <cell r="E2038">
            <v>702</v>
          </cell>
          <cell r="F2038">
            <v>137</v>
          </cell>
          <cell r="G2038">
            <v>6</v>
          </cell>
          <cell r="H2038">
            <v>1359</v>
          </cell>
          <cell r="I2038">
            <v>8</v>
          </cell>
          <cell r="J2038">
            <v>17</v>
          </cell>
          <cell r="K2038">
            <v>9</v>
          </cell>
        </row>
        <row r="2039">
          <cell r="B2039" t="str">
            <v>uDrive</v>
          </cell>
          <cell r="C2039" t="str">
            <v>martineq/uDrive</v>
          </cell>
          <cell r="D2039" t="str">
            <v>martineq/uDrive</v>
          </cell>
          <cell r="E2039">
            <v>705</v>
          </cell>
          <cell r="F2039">
            <v>0</v>
          </cell>
          <cell r="G2039">
            <v>3</v>
          </cell>
          <cell r="H2039">
            <v>118750</v>
          </cell>
          <cell r="I2039">
            <v>1</v>
          </cell>
          <cell r="J2039">
            <v>3</v>
          </cell>
          <cell r="K2039">
            <v>0</v>
          </cell>
        </row>
        <row r="2040">
          <cell r="B2040" t="str">
            <v>every_door</v>
          </cell>
          <cell r="C2040" t="str">
            <v>Zverik/every_door</v>
          </cell>
          <cell r="D2040" t="str">
            <v>Zverik/every_door</v>
          </cell>
          <cell r="E2040">
            <v>705</v>
          </cell>
          <cell r="F2040">
            <v>66</v>
          </cell>
          <cell r="G2040">
            <v>92</v>
          </cell>
          <cell r="H2040">
            <v>3632</v>
          </cell>
          <cell r="I2040">
            <v>28</v>
          </cell>
          <cell r="J2040">
            <v>262</v>
          </cell>
          <cell r="K2040">
            <v>113</v>
          </cell>
        </row>
        <row r="2041">
          <cell r="B2041" t="str">
            <v>apple-flinger</v>
          </cell>
          <cell r="C2041" t="str">
            <v>ar-/apple-flinger</v>
          </cell>
          <cell r="D2041" t="str">
            <v>ar-/apple-flinger</v>
          </cell>
          <cell r="E2041">
            <v>707</v>
          </cell>
          <cell r="F2041">
            <v>0</v>
          </cell>
          <cell r="G2041">
            <v>61</v>
          </cell>
          <cell r="H2041">
            <v>244096</v>
          </cell>
          <cell r="I2041">
            <v>0</v>
          </cell>
          <cell r="J2041">
            <v>8</v>
          </cell>
          <cell r="K2041">
            <v>3</v>
          </cell>
        </row>
        <row r="2042">
          <cell r="B2042" t="str">
            <v>Silence</v>
          </cell>
          <cell r="C2042" t="str">
            <v>x13a/Silence</v>
          </cell>
          <cell r="D2042" t="str">
            <v>x13a/Silence</v>
          </cell>
          <cell r="E2042">
            <v>708</v>
          </cell>
          <cell r="F2042">
            <v>158</v>
          </cell>
          <cell r="G2042">
            <v>10</v>
          </cell>
          <cell r="H2042">
            <v>13178</v>
          </cell>
          <cell r="I2042">
            <v>21</v>
          </cell>
          <cell r="J2042">
            <v>188</v>
          </cell>
          <cell r="K2042">
            <v>13</v>
          </cell>
        </row>
        <row r="2043">
          <cell r="B2043" t="str">
            <v>KeyPass</v>
          </cell>
          <cell r="C2043" t="str">
            <v>yogeshpaliyal/KeyPass</v>
          </cell>
          <cell r="D2043" t="str">
            <v>yogeshpaliyal/KeyPass</v>
          </cell>
          <cell r="E2043">
            <v>708</v>
          </cell>
          <cell r="F2043">
            <v>504</v>
          </cell>
          <cell r="G2043">
            <v>19</v>
          </cell>
          <cell r="H2043">
            <v>29015</v>
          </cell>
          <cell r="I2043">
            <v>38</v>
          </cell>
          <cell r="J2043">
            <v>264</v>
          </cell>
          <cell r="K2043">
            <v>11</v>
          </cell>
        </row>
        <row r="2044">
          <cell r="B2044" t="str">
            <v>JuiceTimetable</v>
          </cell>
          <cell r="C2044" t="str">
            <v>aaronlinv/JuiceTimetable</v>
          </cell>
          <cell r="D2044" t="str">
            <v>aaronlinv/JuiceTimetable</v>
          </cell>
          <cell r="E2044">
            <v>710</v>
          </cell>
          <cell r="F2044">
            <v>49</v>
          </cell>
          <cell r="G2044">
            <v>7</v>
          </cell>
          <cell r="H2044">
            <v>6191</v>
          </cell>
          <cell r="I2044">
            <v>5</v>
          </cell>
          <cell r="J2044">
            <v>4</v>
          </cell>
          <cell r="K2044">
            <v>0</v>
          </cell>
        </row>
        <row r="2045">
          <cell r="B2045" t="str">
            <v>anime-watcher</v>
          </cell>
          <cell r="C2045" t="str">
            <v>brunodles/anime-watcher</v>
          </cell>
          <cell r="D2045" t="str">
            <v>brunodles/anime-watcher</v>
          </cell>
          <cell r="E2045">
            <v>712</v>
          </cell>
          <cell r="F2045">
            <v>36</v>
          </cell>
          <cell r="G2045">
            <v>3</v>
          </cell>
          <cell r="H2045">
            <v>3439</v>
          </cell>
          <cell r="I2045">
            <v>6</v>
          </cell>
          <cell r="J2045">
            <v>14</v>
          </cell>
          <cell r="K2045">
            <v>16</v>
          </cell>
        </row>
        <row r="2046">
          <cell r="B2046" t="str">
            <v>nfcgate</v>
          </cell>
          <cell r="C2046" t="str">
            <v>nfcgate/nfcgate</v>
          </cell>
          <cell r="D2046" t="str">
            <v>nfcgate/nfcgate</v>
          </cell>
          <cell r="E2046">
            <v>715</v>
          </cell>
          <cell r="F2046">
            <v>29</v>
          </cell>
          <cell r="G2046">
            <v>8</v>
          </cell>
          <cell r="H2046">
            <v>2896</v>
          </cell>
          <cell r="I2046">
            <v>96</v>
          </cell>
          <cell r="J2046">
            <v>647</v>
          </cell>
          <cell r="K2046">
            <v>7</v>
          </cell>
        </row>
        <row r="2047">
          <cell r="B2047" t="str">
            <v>Smart-AutoClicker</v>
          </cell>
          <cell r="C2047" t="str">
            <v>Nain57/Smart-AutoClicker</v>
          </cell>
          <cell r="D2047" t="str">
            <v>Nain57/Smart-AutoClicker</v>
          </cell>
          <cell r="E2047">
            <v>720</v>
          </cell>
          <cell r="F2047">
            <v>28</v>
          </cell>
          <cell r="G2047">
            <v>10</v>
          </cell>
          <cell r="H2047">
            <v>69054</v>
          </cell>
          <cell r="I2047">
            <v>152</v>
          </cell>
          <cell r="J2047">
            <v>693</v>
          </cell>
          <cell r="K2047">
            <v>47</v>
          </cell>
        </row>
        <row r="2048">
          <cell r="B2048" t="str">
            <v>Auditor</v>
          </cell>
          <cell r="C2048" t="str">
            <v>GrapheneOS/Auditor</v>
          </cell>
          <cell r="D2048" t="str">
            <v>GrapheneOS/Auditor</v>
          </cell>
          <cell r="E2048">
            <v>728</v>
          </cell>
          <cell r="F2048">
            <v>98</v>
          </cell>
          <cell r="G2048">
            <v>22</v>
          </cell>
          <cell r="H2048">
            <v>1411</v>
          </cell>
          <cell r="I2048">
            <v>73</v>
          </cell>
          <cell r="J2048">
            <v>351</v>
          </cell>
          <cell r="K2048">
            <v>23</v>
          </cell>
        </row>
        <row r="2049">
          <cell r="B2049" t="str">
            <v>git-point</v>
          </cell>
          <cell r="C2049" t="str">
            <v>gitpoint/git-point</v>
          </cell>
          <cell r="D2049" t="str">
            <v>gitpoint/git-point</v>
          </cell>
          <cell r="E2049">
            <v>730</v>
          </cell>
          <cell r="F2049">
            <v>551</v>
          </cell>
          <cell r="G2049">
            <v>99</v>
          </cell>
          <cell r="H2049">
            <v>6286</v>
          </cell>
          <cell r="I2049">
            <v>827</v>
          </cell>
          <cell r="J2049">
            <v>4641</v>
          </cell>
          <cell r="K2049">
            <v>141</v>
          </cell>
        </row>
        <row r="2050">
          <cell r="B2050" t="str">
            <v>miniJVM</v>
          </cell>
          <cell r="C2050" t="str">
            <v>digitalgust/miniJVM</v>
          </cell>
          <cell r="D2050" t="str">
            <v>digitalgust/miniJVM</v>
          </cell>
          <cell r="E2050">
            <v>739</v>
          </cell>
          <cell r="F2050">
            <v>4</v>
          </cell>
          <cell r="G2050">
            <v>3</v>
          </cell>
          <cell r="H2050">
            <v>51430</v>
          </cell>
          <cell r="I2050">
            <v>74</v>
          </cell>
          <cell r="J2050">
            <v>233</v>
          </cell>
          <cell r="K2050">
            <v>10</v>
          </cell>
        </row>
        <row r="2051">
          <cell r="B2051" t="str">
            <v>Drinks</v>
          </cell>
          <cell r="C2051" t="str">
            <v>amasciul/Drinks</v>
          </cell>
          <cell r="D2051" t="str">
            <v>amasciul/Drinks</v>
          </cell>
          <cell r="E2051">
            <v>742</v>
          </cell>
          <cell r="F2051">
            <v>5</v>
          </cell>
          <cell r="G2051">
            <v>3</v>
          </cell>
          <cell r="H2051">
            <v>2220</v>
          </cell>
          <cell r="I2051">
            <v>12</v>
          </cell>
          <cell r="J2051">
            <v>28</v>
          </cell>
          <cell r="K2051">
            <v>13</v>
          </cell>
        </row>
        <row r="2052">
          <cell r="B2052" t="str">
            <v>Wheellog.Android</v>
          </cell>
          <cell r="C2052" t="str">
            <v>Wheellog/Wheellog.Android</v>
          </cell>
          <cell r="D2052" t="str">
            <v>Wheellog/Wheellog.Android</v>
          </cell>
          <cell r="E2052">
            <v>742</v>
          </cell>
          <cell r="F2052">
            <v>349</v>
          </cell>
          <cell r="G2052">
            <v>17</v>
          </cell>
          <cell r="H2052">
            <v>4318</v>
          </cell>
          <cell r="I2052">
            <v>11</v>
          </cell>
          <cell r="J2052">
            <v>41</v>
          </cell>
          <cell r="K2052">
            <v>21</v>
          </cell>
        </row>
        <row r="2053">
          <cell r="B2053" t="str">
            <v>OSMDashboard</v>
          </cell>
          <cell r="C2053" t="str">
            <v>OpenTracksApp/OSMDashboard</v>
          </cell>
          <cell r="D2053" t="str">
            <v>OpenTracksApp/OSMDashboard</v>
          </cell>
          <cell r="E2053">
            <v>746</v>
          </cell>
          <cell r="F2053">
            <v>150</v>
          </cell>
          <cell r="G2053">
            <v>26</v>
          </cell>
          <cell r="H2053">
            <v>11157</v>
          </cell>
          <cell r="I2053">
            <v>9</v>
          </cell>
          <cell r="J2053">
            <v>60</v>
          </cell>
          <cell r="K2053">
            <v>10</v>
          </cell>
        </row>
        <row r="2054">
          <cell r="B2054" t="str">
            <v>Lady-happy-Android</v>
          </cell>
          <cell r="C2054" t="str">
            <v>egorikftp/Lady-happy-Android</v>
          </cell>
          <cell r="D2054" t="str">
            <v>egorikftp/Lady-happy-Android</v>
          </cell>
          <cell r="E2054">
            <v>747</v>
          </cell>
          <cell r="F2054">
            <v>123</v>
          </cell>
          <cell r="G2054">
            <v>5</v>
          </cell>
          <cell r="H2054">
            <v>45685</v>
          </cell>
          <cell r="I2054">
            <v>21</v>
          </cell>
          <cell r="J2054">
            <v>222</v>
          </cell>
          <cell r="K2054">
            <v>12</v>
          </cell>
        </row>
        <row r="2055">
          <cell r="B2055" t="str">
            <v>HabitBuilder</v>
          </cell>
          <cell r="C2055" t="str">
            <v>ofalvai/HabitBuilder</v>
          </cell>
          <cell r="D2055" t="str">
            <v>ofalvai/HabitBuilder</v>
          </cell>
          <cell r="E2055">
            <v>751</v>
          </cell>
          <cell r="F2055">
            <v>262</v>
          </cell>
          <cell r="G2055">
            <v>4</v>
          </cell>
          <cell r="H2055">
            <v>2888</v>
          </cell>
          <cell r="I2055">
            <v>0</v>
          </cell>
          <cell r="J2055">
            <v>5</v>
          </cell>
          <cell r="K2055">
            <v>13</v>
          </cell>
        </row>
        <row r="2056">
          <cell r="B2056" t="str">
            <v>mobile</v>
          </cell>
          <cell r="C2056" t="str">
            <v>freeCodeCamp/mobile</v>
          </cell>
          <cell r="D2056" t="str">
            <v>freeCodeCamp/mobile</v>
          </cell>
          <cell r="E2056">
            <v>752</v>
          </cell>
          <cell r="F2056">
            <v>912</v>
          </cell>
          <cell r="G2056">
            <v>24</v>
          </cell>
          <cell r="H2056">
            <v>4533</v>
          </cell>
          <cell r="I2056">
            <v>76</v>
          </cell>
          <cell r="J2056">
            <v>268</v>
          </cell>
          <cell r="K2056">
            <v>12</v>
          </cell>
        </row>
        <row r="2057">
          <cell r="B2057" t="str">
            <v>simplytranslate_mobile</v>
          </cell>
          <cell r="C2057" t="str">
            <v>ManeraKai/simplytranslate_mobile</v>
          </cell>
          <cell r="D2057" t="str">
            <v>ManeraKai/simplytranslate_mobile</v>
          </cell>
          <cell r="E2057">
            <v>753</v>
          </cell>
          <cell r="F2057">
            <v>70</v>
          </cell>
          <cell r="G2057">
            <v>21</v>
          </cell>
          <cell r="H2057">
            <v>98567</v>
          </cell>
          <cell r="I2057">
            <v>11</v>
          </cell>
          <cell r="J2057">
            <v>110</v>
          </cell>
          <cell r="K2057">
            <v>13</v>
          </cell>
        </row>
        <row r="2058">
          <cell r="B2058" t="str">
            <v>DvachMovie</v>
          </cell>
          <cell r="C2058" t="str">
            <v>sasfmlzr/DvachMovie</v>
          </cell>
          <cell r="D2058" t="str">
            <v>sasfmlzr/DvachMovie</v>
          </cell>
          <cell r="E2058">
            <v>756</v>
          </cell>
          <cell r="F2058">
            <v>22</v>
          </cell>
          <cell r="G2058">
            <v>1</v>
          </cell>
          <cell r="H2058">
            <v>20329</v>
          </cell>
          <cell r="I2058">
            <v>2</v>
          </cell>
          <cell r="J2058">
            <v>3</v>
          </cell>
          <cell r="K2058">
            <v>0</v>
          </cell>
        </row>
        <row r="2059">
          <cell r="B2059" t="str">
            <v>tts-server-android</v>
          </cell>
          <cell r="C2059" t="str">
            <v>jing332/tts-server-android</v>
          </cell>
          <cell r="D2059" t="str">
            <v>jing332/tts-server-android</v>
          </cell>
          <cell r="E2059">
            <v>758</v>
          </cell>
          <cell r="F2059">
            <v>6</v>
          </cell>
          <cell r="G2059">
            <v>2</v>
          </cell>
          <cell r="H2059">
            <v>3411</v>
          </cell>
          <cell r="I2059">
            <v>65</v>
          </cell>
          <cell r="J2059">
            <v>623</v>
          </cell>
          <cell r="K2059">
            <v>4</v>
          </cell>
        </row>
        <row r="2060">
          <cell r="B2060" t="str">
            <v>debitum</v>
          </cell>
          <cell r="C2060" t="str">
            <v>Marmo/debitum</v>
          </cell>
          <cell r="D2060" t="str">
            <v>Marmo/debitum</v>
          </cell>
          <cell r="E2060">
            <v>760</v>
          </cell>
          <cell r="F2060">
            <v>43</v>
          </cell>
          <cell r="G2060">
            <v>9</v>
          </cell>
          <cell r="H2060">
            <v>6986</v>
          </cell>
          <cell r="I2060">
            <v>7</v>
          </cell>
          <cell r="J2060">
            <v>63</v>
          </cell>
          <cell r="K2060">
            <v>19</v>
          </cell>
        </row>
        <row r="2061">
          <cell r="B2061" t="str">
            <v>orgro</v>
          </cell>
          <cell r="C2061" t="str">
            <v>amake/orgro</v>
          </cell>
          <cell r="D2061" t="str">
            <v>amake/orgro</v>
          </cell>
          <cell r="E2061">
            <v>761</v>
          </cell>
          <cell r="F2061">
            <v>2</v>
          </cell>
          <cell r="G2061">
            <v>2</v>
          </cell>
          <cell r="H2061">
            <v>2418</v>
          </cell>
          <cell r="I2061">
            <v>18</v>
          </cell>
          <cell r="J2061">
            <v>328</v>
          </cell>
          <cell r="K2061">
            <v>25</v>
          </cell>
        </row>
        <row r="2062">
          <cell r="B2062" t="str">
            <v>watchdone</v>
          </cell>
          <cell r="C2062" t="str">
            <v>thesandipv/watchdone</v>
          </cell>
          <cell r="D2062" t="str">
            <v>thesandipv/watchdone</v>
          </cell>
          <cell r="E2062">
            <v>764</v>
          </cell>
          <cell r="F2062">
            <v>261</v>
          </cell>
          <cell r="G2062">
            <v>3</v>
          </cell>
          <cell r="H2062">
            <v>1583</v>
          </cell>
          <cell r="I2062">
            <v>0</v>
          </cell>
          <cell r="J2062">
            <v>2</v>
          </cell>
          <cell r="K2062">
            <v>7</v>
          </cell>
        </row>
        <row r="2063">
          <cell r="B2063" t="str">
            <v>youtune-reactnative</v>
          </cell>
          <cell r="C2063" t="str">
            <v>kvnp/youtune-reactnative</v>
          </cell>
          <cell r="D2063" t="str">
            <v>kvnp/youtune</v>
          </cell>
          <cell r="E2063">
            <v>765</v>
          </cell>
          <cell r="F2063">
            <v>22</v>
          </cell>
          <cell r="G2063">
            <v>3</v>
          </cell>
          <cell r="H2063">
            <v>11517</v>
          </cell>
          <cell r="I2063">
            <v>14</v>
          </cell>
          <cell r="J2063">
            <v>52</v>
          </cell>
          <cell r="K2063">
            <v>2</v>
          </cell>
        </row>
        <row r="2064">
          <cell r="B2064" t="str">
            <v>vgs-checkout-android</v>
          </cell>
          <cell r="C2064" t="str">
            <v>verygoodsecurity/vgs-checkout-android</v>
          </cell>
          <cell r="D2064" t="str">
            <v>verygoodsecurity/vgs-checkout-android</v>
          </cell>
          <cell r="E2064">
            <v>766</v>
          </cell>
          <cell r="F2064">
            <v>360</v>
          </cell>
          <cell r="G2064">
            <v>3</v>
          </cell>
          <cell r="H2064">
            <v>3974</v>
          </cell>
          <cell r="I2064">
            <v>1</v>
          </cell>
          <cell r="J2064">
            <v>1</v>
          </cell>
          <cell r="K2064">
            <v>5</v>
          </cell>
        </row>
        <row r="2065">
          <cell r="B2065" t="str">
            <v>FantLab-Android</v>
          </cell>
          <cell r="C2065" t="str">
            <v>FantLab/FantLab-Android</v>
          </cell>
          <cell r="D2065" t="str">
            <v>FantLab/FantLab-Android</v>
          </cell>
          <cell r="E2065">
            <v>767</v>
          </cell>
          <cell r="F2065">
            <v>21</v>
          </cell>
          <cell r="G2065">
            <v>6</v>
          </cell>
          <cell r="H2065">
            <v>16984</v>
          </cell>
          <cell r="I2065">
            <v>3</v>
          </cell>
          <cell r="J2065">
            <v>18</v>
          </cell>
          <cell r="K2065">
            <v>0</v>
          </cell>
        </row>
        <row r="2066">
          <cell r="B2066" t="str">
            <v>monotweety</v>
          </cell>
          <cell r="C2066" t="str">
            <v>yshrsmz/monotweety</v>
          </cell>
          <cell r="D2066" t="str">
            <v>yshrsmz/monotweety</v>
          </cell>
          <cell r="E2066">
            <v>767</v>
          </cell>
          <cell r="F2066">
            <v>46</v>
          </cell>
          <cell r="G2066">
            <v>3</v>
          </cell>
          <cell r="H2066">
            <v>3408</v>
          </cell>
          <cell r="I2066">
            <v>25</v>
          </cell>
          <cell r="J2066">
            <v>111</v>
          </cell>
          <cell r="K2066">
            <v>10</v>
          </cell>
        </row>
        <row r="2067">
          <cell r="B2067" t="str">
            <v>Android-Remote</v>
          </cell>
          <cell r="C2067" t="str">
            <v>clementine-player/Android-Remote</v>
          </cell>
          <cell r="D2067" t="str">
            <v>clementine-player/Android-Remote</v>
          </cell>
          <cell r="E2067">
            <v>770</v>
          </cell>
          <cell r="F2067">
            <v>42</v>
          </cell>
          <cell r="G2067">
            <v>16</v>
          </cell>
          <cell r="H2067">
            <v>6533</v>
          </cell>
          <cell r="I2067">
            <v>79</v>
          </cell>
          <cell r="J2067">
            <v>195</v>
          </cell>
          <cell r="K2067">
            <v>72</v>
          </cell>
        </row>
        <row r="2068">
          <cell r="B2068" t="str">
            <v>Mealient</v>
          </cell>
          <cell r="C2068" t="str">
            <v>kirmanak/Mealient</v>
          </cell>
          <cell r="D2068" t="str">
            <v>kirmanak/Mealient</v>
          </cell>
          <cell r="E2068">
            <v>771</v>
          </cell>
          <cell r="F2068">
            <v>120</v>
          </cell>
          <cell r="G2068">
            <v>4</v>
          </cell>
          <cell r="H2068">
            <v>78025</v>
          </cell>
          <cell r="I2068">
            <v>1</v>
          </cell>
          <cell r="J2068">
            <v>37</v>
          </cell>
          <cell r="K2068">
            <v>4</v>
          </cell>
        </row>
        <row r="2069">
          <cell r="B2069" t="str">
            <v>musicbrainz-android</v>
          </cell>
          <cell r="C2069" t="str">
            <v>metabrainz/musicbrainz-android</v>
          </cell>
          <cell r="D2069" t="str">
            <v>metabrainz/musicbrainz-android</v>
          </cell>
          <cell r="E2069">
            <v>771</v>
          </cell>
          <cell r="F2069">
            <v>208</v>
          </cell>
          <cell r="G2069">
            <v>15</v>
          </cell>
          <cell r="H2069">
            <v>39407</v>
          </cell>
          <cell r="I2069">
            <v>25</v>
          </cell>
          <cell r="J2069">
            <v>100</v>
          </cell>
          <cell r="K2069">
            <v>33</v>
          </cell>
        </row>
        <row r="2070">
          <cell r="B2070" t="str">
            <v>lyricistant</v>
          </cell>
          <cell r="C2070" t="str">
            <v>wardellbagby/lyricistant</v>
          </cell>
          <cell r="D2070" t="str">
            <v>wardellbagby/lyricistant</v>
          </cell>
          <cell r="E2070">
            <v>775</v>
          </cell>
          <cell r="F2070">
            <v>45</v>
          </cell>
          <cell r="G2070">
            <v>4</v>
          </cell>
          <cell r="H2070">
            <v>44757</v>
          </cell>
          <cell r="I2070">
            <v>2</v>
          </cell>
          <cell r="J2070">
            <v>24</v>
          </cell>
          <cell r="K2070">
            <v>1</v>
          </cell>
        </row>
        <row r="2071">
          <cell r="B2071" t="str">
            <v>2022_2_WAP_APP_TEAM1</v>
          </cell>
          <cell r="C2071" t="str">
            <v>pknu-wap/2022_2_WAP_APP_TEAM1</v>
          </cell>
          <cell r="D2071" t="str">
            <v>pknu-wap/2022_2_WAP_APP_TEAM1</v>
          </cell>
          <cell r="E2071">
            <v>775</v>
          </cell>
          <cell r="F2071">
            <v>73</v>
          </cell>
          <cell r="G2071">
            <v>4</v>
          </cell>
          <cell r="H2071">
            <v>27954</v>
          </cell>
          <cell r="I2071">
            <v>4</v>
          </cell>
          <cell r="J2071">
            <v>11</v>
          </cell>
          <cell r="K2071">
            <v>5</v>
          </cell>
        </row>
        <row r="2072">
          <cell r="B2072" t="str">
            <v>Readhub-RN</v>
          </cell>
          <cell r="C2072" t="str">
            <v>shensven/Readhub-RN</v>
          </cell>
          <cell r="D2072" t="str">
            <v>shensven/Readhub-RN</v>
          </cell>
          <cell r="E2072">
            <v>775</v>
          </cell>
          <cell r="F2072">
            <v>542</v>
          </cell>
          <cell r="G2072">
            <v>7</v>
          </cell>
          <cell r="H2072">
            <v>49061</v>
          </cell>
          <cell r="I2072">
            <v>12</v>
          </cell>
          <cell r="J2072">
            <v>38</v>
          </cell>
          <cell r="K2072">
            <v>12</v>
          </cell>
        </row>
        <row r="2073">
          <cell r="B2073" t="str">
            <v>wsandroid</v>
          </cell>
          <cell r="C2073" t="str">
            <v>warmshowers/wsandroid</v>
          </cell>
          <cell r="D2073" t="str">
            <v>warmshowers/wsandroid</v>
          </cell>
          <cell r="E2073">
            <v>776</v>
          </cell>
          <cell r="F2073">
            <v>138</v>
          </cell>
          <cell r="G2073">
            <v>11</v>
          </cell>
          <cell r="H2073">
            <v>7012</v>
          </cell>
          <cell r="I2073">
            <v>23</v>
          </cell>
          <cell r="J2073">
            <v>43</v>
          </cell>
          <cell r="K2073">
            <v>41</v>
          </cell>
        </row>
        <row r="2074">
          <cell r="B2074" t="str">
            <v>ludOScity</v>
          </cell>
          <cell r="C2074" t="str">
            <v>ludoscity/ludOScity</v>
          </cell>
          <cell r="D2074" t="str">
            <v>ludoscity/ludOScity</v>
          </cell>
          <cell r="E2074">
            <v>780</v>
          </cell>
          <cell r="F2074">
            <v>0</v>
          </cell>
          <cell r="G2074">
            <v>3</v>
          </cell>
          <cell r="H2074">
            <v>36389</v>
          </cell>
          <cell r="I2074">
            <v>2</v>
          </cell>
          <cell r="J2074">
            <v>8</v>
          </cell>
          <cell r="K2074">
            <v>0</v>
          </cell>
        </row>
        <row r="2075">
          <cell r="B2075" t="str">
            <v>mundraub-android</v>
          </cell>
          <cell r="C2075" t="str">
            <v>niccokunzmann/mundraub-android</v>
          </cell>
          <cell r="D2075" t="str">
            <v>niccokunzmann/mundraub-android</v>
          </cell>
          <cell r="E2075">
            <v>780</v>
          </cell>
          <cell r="F2075">
            <v>57</v>
          </cell>
          <cell r="G2075">
            <v>17</v>
          </cell>
          <cell r="H2075">
            <v>20926</v>
          </cell>
          <cell r="I2075">
            <v>22</v>
          </cell>
          <cell r="J2075">
            <v>32</v>
          </cell>
          <cell r="K2075">
            <v>76</v>
          </cell>
        </row>
        <row r="2076">
          <cell r="B2076" t="str">
            <v>CMPUT301F22T06_team_project</v>
          </cell>
          <cell r="C2076" t="str">
            <v>CMPUT301F22T06/CMPUT301F22T06_team_project</v>
          </cell>
          <cell r="D2076" t="str">
            <v>CMPUT301F22T06/CMPUT301F22T06_team_project</v>
          </cell>
          <cell r="E2076">
            <v>783</v>
          </cell>
          <cell r="F2076">
            <v>126</v>
          </cell>
          <cell r="G2076">
            <v>6</v>
          </cell>
          <cell r="H2076">
            <v>1364</v>
          </cell>
          <cell r="I2076">
            <v>0</v>
          </cell>
          <cell r="J2076">
            <v>1</v>
          </cell>
          <cell r="K2076">
            <v>1</v>
          </cell>
        </row>
        <row r="2077">
          <cell r="B2077" t="str">
            <v>SAI</v>
          </cell>
          <cell r="C2077" t="str">
            <v>Aefyr/SAI</v>
          </cell>
          <cell r="D2077" t="str">
            <v>Aefyr/SAI</v>
          </cell>
          <cell r="E2077">
            <v>785</v>
          </cell>
          <cell r="F2077">
            <v>66</v>
          </cell>
          <cell r="G2077">
            <v>12</v>
          </cell>
          <cell r="H2077">
            <v>8307</v>
          </cell>
          <cell r="I2077">
            <v>225</v>
          </cell>
          <cell r="J2077">
            <v>1813</v>
          </cell>
          <cell r="K2077">
            <v>3</v>
          </cell>
        </row>
        <row r="2078">
          <cell r="B2078" t="str">
            <v>hacked</v>
          </cell>
          <cell r="C2078" t="str">
            <v>doerfli/hacked</v>
          </cell>
          <cell r="D2078" t="str">
            <v>doerfli/hacked</v>
          </cell>
          <cell r="E2078">
            <v>787</v>
          </cell>
          <cell r="F2078">
            <v>24</v>
          </cell>
          <cell r="G2078">
            <v>6</v>
          </cell>
          <cell r="H2078">
            <v>1518</v>
          </cell>
          <cell r="I2078">
            <v>4</v>
          </cell>
          <cell r="J2078">
            <v>4</v>
          </cell>
          <cell r="K2078">
            <v>17</v>
          </cell>
        </row>
        <row r="2079">
          <cell r="B2079" t="str">
            <v>secure-image-app</v>
          </cell>
          <cell r="C2079" t="str">
            <v>bcgov/secure-image-app</v>
          </cell>
          <cell r="D2079" t="str">
            <v>bcgov/secure-image-app</v>
          </cell>
          <cell r="E2079">
            <v>787</v>
          </cell>
          <cell r="F2079">
            <v>73</v>
          </cell>
          <cell r="G2079">
            <v>10</v>
          </cell>
          <cell r="H2079">
            <v>6286</v>
          </cell>
          <cell r="I2079">
            <v>3</v>
          </cell>
          <cell r="J2079">
            <v>1</v>
          </cell>
          <cell r="K2079">
            <v>27</v>
          </cell>
        </row>
        <row r="2080">
          <cell r="B2080" t="str">
            <v>sona-flutter</v>
          </cell>
          <cell r="C2080" t="str">
            <v>cervonwong/sona-flutter</v>
          </cell>
          <cell r="D2080" t="str">
            <v>cervonwong/sona-flutter</v>
          </cell>
          <cell r="E2080">
            <v>791</v>
          </cell>
          <cell r="F2080">
            <v>1</v>
          </cell>
          <cell r="G2080">
            <v>1</v>
          </cell>
          <cell r="H2080">
            <v>3400</v>
          </cell>
          <cell r="I2080">
            <v>0</v>
          </cell>
          <cell r="J2080">
            <v>3</v>
          </cell>
          <cell r="K2080">
            <v>0</v>
          </cell>
        </row>
        <row r="2081">
          <cell r="B2081" t="str">
            <v>jaMME</v>
          </cell>
          <cell r="C2081" t="str">
            <v>entdark/jaMME</v>
          </cell>
          <cell r="D2081" t="str">
            <v>entdark/jaMME</v>
          </cell>
          <cell r="E2081">
            <v>793</v>
          </cell>
          <cell r="F2081">
            <v>15</v>
          </cell>
          <cell r="G2081">
            <v>7</v>
          </cell>
          <cell r="H2081">
            <v>55247</v>
          </cell>
          <cell r="I2081">
            <v>14</v>
          </cell>
          <cell r="J2081">
            <v>17</v>
          </cell>
          <cell r="K2081">
            <v>1</v>
          </cell>
        </row>
        <row r="2082">
          <cell r="B2082" t="str">
            <v>kitchenowl</v>
          </cell>
          <cell r="C2082" t="str">
            <v>TomBursch/kitchenowl</v>
          </cell>
          <cell r="D2082" t="str">
            <v>TomBursch/kitchenowl</v>
          </cell>
          <cell r="E2082">
            <v>796</v>
          </cell>
          <cell r="F2082">
            <v>75</v>
          </cell>
          <cell r="G2082">
            <v>29</v>
          </cell>
          <cell r="H2082">
            <v>84430</v>
          </cell>
          <cell r="I2082">
            <v>24</v>
          </cell>
          <cell r="J2082">
            <v>427</v>
          </cell>
          <cell r="K2082">
            <v>35</v>
          </cell>
        </row>
        <row r="2083">
          <cell r="B2083" t="str">
            <v>good-weather</v>
          </cell>
          <cell r="C2083" t="str">
            <v>qqq3/good-weather</v>
          </cell>
          <cell r="D2083" t="str">
            <v>qqq3/good-weather</v>
          </cell>
          <cell r="E2083">
            <v>799</v>
          </cell>
          <cell r="F2083">
            <v>21</v>
          </cell>
          <cell r="G2083">
            <v>40</v>
          </cell>
          <cell r="H2083">
            <v>7975</v>
          </cell>
          <cell r="I2083">
            <v>96</v>
          </cell>
          <cell r="J2083">
            <v>230</v>
          </cell>
          <cell r="K2083">
            <v>46</v>
          </cell>
        </row>
        <row r="2084">
          <cell r="B2084" t="str">
            <v>oandbackup</v>
          </cell>
          <cell r="C2084" t="str">
            <v>jensstein/oandbackup</v>
          </cell>
          <cell r="D2084" t="str">
            <v>jensstein/oandbackup</v>
          </cell>
          <cell r="E2084">
            <v>801</v>
          </cell>
          <cell r="F2084">
            <v>29</v>
          </cell>
          <cell r="G2084">
            <v>11</v>
          </cell>
          <cell r="H2084">
            <v>1861</v>
          </cell>
          <cell r="I2084">
            <v>177</v>
          </cell>
          <cell r="J2084">
            <v>511</v>
          </cell>
          <cell r="K2084">
            <v>171</v>
          </cell>
        </row>
        <row r="2085">
          <cell r="B2085" t="str">
            <v>new-ultrasonic-fork-for-MyMusicQoE</v>
          </cell>
          <cell r="C2085" t="str">
            <v>albertolalanda/new-ultrasonic-fork-for-MyMusicQoE</v>
          </cell>
          <cell r="D2085" t="str">
            <v>albertolalanda/new-ultrasonic-fork-for-MyMusicQoE</v>
          </cell>
          <cell r="E2085">
            <v>802</v>
          </cell>
          <cell r="F2085">
            <v>12</v>
          </cell>
          <cell r="G2085">
            <v>8</v>
          </cell>
          <cell r="H2085">
            <v>15770</v>
          </cell>
          <cell r="I2085">
            <v>1</v>
          </cell>
          <cell r="J2085">
            <v>4</v>
          </cell>
          <cell r="K2085">
            <v>0</v>
          </cell>
        </row>
        <row r="2086">
          <cell r="B2086" t="str">
            <v>zephyr</v>
          </cell>
          <cell r="C2086" t="str">
            <v>ThomasGaubert/zephyr</v>
          </cell>
          <cell r="D2086" t="str">
            <v>ThomasGaubert/zephyr</v>
          </cell>
          <cell r="E2086">
            <v>806</v>
          </cell>
          <cell r="F2086">
            <v>1048</v>
          </cell>
          <cell r="G2086">
            <v>4</v>
          </cell>
          <cell r="H2086">
            <v>16057</v>
          </cell>
          <cell r="I2086">
            <v>11</v>
          </cell>
          <cell r="J2086">
            <v>79</v>
          </cell>
          <cell r="K2086">
            <v>33</v>
          </cell>
        </row>
        <row r="2087">
          <cell r="B2087" t="str">
            <v>external_jbirdvegas_mGerrit</v>
          </cell>
          <cell r="C2087" t="str">
            <v>JBirdVegas/external_jbirdvegas_mGerrit</v>
          </cell>
          <cell r="D2087" t="str">
            <v>JBirdVegas/external_jbirdvegas_mGerrit</v>
          </cell>
          <cell r="E2087">
            <v>809</v>
          </cell>
          <cell r="F2087">
            <v>51</v>
          </cell>
          <cell r="G2087">
            <v>22</v>
          </cell>
          <cell r="H2087">
            <v>31232</v>
          </cell>
          <cell r="I2087">
            <v>8</v>
          </cell>
          <cell r="J2087">
            <v>18</v>
          </cell>
          <cell r="K2087">
            <v>4</v>
          </cell>
        </row>
        <row r="2088">
          <cell r="B2088" t="str">
            <v>marvel-app</v>
          </cell>
          <cell r="C2088" t="str">
            <v>felipehjcosta/marvel-app</v>
          </cell>
          <cell r="D2088" t="str">
            <v>felipehjcosta/marvel-app</v>
          </cell>
          <cell r="E2088">
            <v>812</v>
          </cell>
          <cell r="F2088">
            <v>0</v>
          </cell>
          <cell r="G2088">
            <v>1</v>
          </cell>
          <cell r="H2088">
            <v>3165</v>
          </cell>
          <cell r="I2088">
            <v>0</v>
          </cell>
          <cell r="J2088">
            <v>16</v>
          </cell>
          <cell r="K2088">
            <v>0</v>
          </cell>
        </row>
        <row r="2089">
          <cell r="B2089" t="str">
            <v>OpenStop</v>
          </cell>
          <cell r="C2089" t="str">
            <v>OPENER-next/OpenStop</v>
          </cell>
          <cell r="D2089" t="str">
            <v>OPENER-next/OpenStop</v>
          </cell>
          <cell r="E2089">
            <v>814</v>
          </cell>
          <cell r="F2089">
            <v>102</v>
          </cell>
          <cell r="G2089">
            <v>18</v>
          </cell>
          <cell r="H2089">
            <v>97093</v>
          </cell>
          <cell r="I2089">
            <v>6</v>
          </cell>
          <cell r="J2089">
            <v>37</v>
          </cell>
          <cell r="K2089">
            <v>23</v>
          </cell>
        </row>
        <row r="2090">
          <cell r="B2090" t="str">
            <v>stylo</v>
          </cell>
          <cell r="C2090" t="str">
            <v>stylo-app/stylo</v>
          </cell>
          <cell r="D2090" t="str">
            <v>stylo-app/stylo</v>
          </cell>
          <cell r="E2090">
            <v>815</v>
          </cell>
          <cell r="F2090">
            <v>14</v>
          </cell>
          <cell r="G2090">
            <v>24</v>
          </cell>
          <cell r="H2090">
            <v>38647</v>
          </cell>
          <cell r="I2090">
            <v>8</v>
          </cell>
          <cell r="J2090">
            <v>43</v>
          </cell>
          <cell r="K2090">
            <v>1</v>
          </cell>
        </row>
        <row r="2091">
          <cell r="B2091" t="str">
            <v>qBitController</v>
          </cell>
          <cell r="C2091" t="str">
            <v>Bartuzen/qBitController</v>
          </cell>
          <cell r="D2091" t="str">
            <v>Bartuzen/qBitController</v>
          </cell>
          <cell r="E2091">
            <v>815</v>
          </cell>
          <cell r="F2091">
            <v>15</v>
          </cell>
          <cell r="G2091">
            <v>6</v>
          </cell>
          <cell r="H2091">
            <v>3143</v>
          </cell>
          <cell r="I2091">
            <v>3</v>
          </cell>
          <cell r="J2091">
            <v>75</v>
          </cell>
          <cell r="K2091">
            <v>3</v>
          </cell>
        </row>
        <row r="2092">
          <cell r="B2092" t="str">
            <v>RSAndroidApp</v>
          </cell>
          <cell r="C2092" t="str">
            <v>RailwayStations/RSAndroidApp</v>
          </cell>
          <cell r="D2092" t="str">
            <v>RailwayStations/RSAndroidApp</v>
          </cell>
          <cell r="E2092">
            <v>821</v>
          </cell>
          <cell r="F2092">
            <v>293</v>
          </cell>
          <cell r="G2092">
            <v>14</v>
          </cell>
          <cell r="H2092">
            <v>7146</v>
          </cell>
          <cell r="I2092">
            <v>13</v>
          </cell>
          <cell r="J2092">
            <v>25</v>
          </cell>
          <cell r="K2092">
            <v>5</v>
          </cell>
        </row>
        <row r="2093">
          <cell r="B2093" t="str">
            <v>android-gif-search</v>
          </cell>
          <cell r="C2093" t="str">
            <v>jaredsburrows/android-gif-search</v>
          </cell>
          <cell r="D2093" t="str">
            <v>jaredsburrows/android-gif-search</v>
          </cell>
          <cell r="E2093">
            <v>822</v>
          </cell>
          <cell r="F2093">
            <v>313</v>
          </cell>
          <cell r="G2093">
            <v>4</v>
          </cell>
          <cell r="H2093">
            <v>1909</v>
          </cell>
          <cell r="I2093">
            <v>51</v>
          </cell>
          <cell r="J2093">
            <v>382</v>
          </cell>
          <cell r="K2093">
            <v>2</v>
          </cell>
        </row>
        <row r="2094">
          <cell r="B2094" t="str">
            <v>opentasks</v>
          </cell>
          <cell r="C2094" t="str">
            <v>dmfs/opentasks</v>
          </cell>
          <cell r="D2094" t="str">
            <v>dmfs/opentasks</v>
          </cell>
          <cell r="E2094">
            <v>824</v>
          </cell>
          <cell r="F2094">
            <v>268</v>
          </cell>
          <cell r="G2094">
            <v>37</v>
          </cell>
          <cell r="H2094">
            <v>60186</v>
          </cell>
          <cell r="I2094">
            <v>249</v>
          </cell>
          <cell r="J2094">
            <v>904</v>
          </cell>
          <cell r="K2094">
            <v>408</v>
          </cell>
        </row>
        <row r="2095">
          <cell r="B2095" t="str">
            <v>mpv-android</v>
          </cell>
          <cell r="C2095" t="str">
            <v>mpv-android/mpv-android</v>
          </cell>
          <cell r="D2095" t="str">
            <v>mpv-android/mpv-android</v>
          </cell>
          <cell r="E2095">
            <v>827</v>
          </cell>
          <cell r="F2095">
            <v>113</v>
          </cell>
          <cell r="G2095">
            <v>46</v>
          </cell>
          <cell r="H2095">
            <v>12477</v>
          </cell>
          <cell r="I2095">
            <v>190</v>
          </cell>
          <cell r="J2095">
            <v>1376</v>
          </cell>
          <cell r="K2095">
            <v>152</v>
          </cell>
        </row>
        <row r="2096">
          <cell r="B2096" t="str">
            <v>Notre-Dame-v3</v>
          </cell>
          <cell r="C2096" t="str">
            <v>ApplETS/Notre-Dame-v3</v>
          </cell>
          <cell r="D2096" t="str">
            <v>ApplETS/Notre-Dame-v3</v>
          </cell>
          <cell r="E2096">
            <v>827</v>
          </cell>
          <cell r="F2096">
            <v>153</v>
          </cell>
          <cell r="G2096">
            <v>8</v>
          </cell>
          <cell r="H2096">
            <v>10507</v>
          </cell>
          <cell r="I2096">
            <v>4</v>
          </cell>
          <cell r="J2096">
            <v>13</v>
          </cell>
          <cell r="K2096">
            <v>66</v>
          </cell>
        </row>
        <row r="2097">
          <cell r="B2097" t="str">
            <v>Player</v>
          </cell>
          <cell r="C2097" t="str">
            <v>moneytoo/Player</v>
          </cell>
          <cell r="D2097" t="str">
            <v>moneytoo/Player</v>
          </cell>
          <cell r="E2097">
            <v>828</v>
          </cell>
          <cell r="F2097">
            <v>40</v>
          </cell>
          <cell r="G2097">
            <v>38</v>
          </cell>
          <cell r="H2097">
            <v>198510</v>
          </cell>
          <cell r="I2097">
            <v>143</v>
          </cell>
          <cell r="J2097">
            <v>897</v>
          </cell>
          <cell r="K2097">
            <v>41</v>
          </cell>
        </row>
        <row r="2098">
          <cell r="B2098" t="str">
            <v>SimTong-Android</v>
          </cell>
          <cell r="C2098" t="str">
            <v>Team-ComIT/SimTong-Android</v>
          </cell>
          <cell r="D2098" t="str">
            <v>Team-ComIT/SimTong-Android</v>
          </cell>
          <cell r="E2098">
            <v>828</v>
          </cell>
          <cell r="F2098">
            <v>86</v>
          </cell>
          <cell r="G2098">
            <v>3</v>
          </cell>
          <cell r="H2098">
            <v>5971</v>
          </cell>
          <cell r="I2098">
            <v>0</v>
          </cell>
          <cell r="J2098">
            <v>31</v>
          </cell>
          <cell r="K2098">
            <v>2</v>
          </cell>
        </row>
        <row r="2099">
          <cell r="B2099" t="str">
            <v>android</v>
          </cell>
          <cell r="C2099" t="str">
            <v>eduvpn/android</v>
          </cell>
          <cell r="D2099" t="str">
            <v>eduvpn/android</v>
          </cell>
          <cell r="E2099">
            <v>839</v>
          </cell>
          <cell r="F2099">
            <v>189</v>
          </cell>
          <cell r="G2099">
            <v>9</v>
          </cell>
          <cell r="H2099">
            <v>17042</v>
          </cell>
          <cell r="I2099">
            <v>43</v>
          </cell>
          <cell r="J2099">
            <v>104</v>
          </cell>
          <cell r="K2099">
            <v>9</v>
          </cell>
        </row>
        <row r="2100">
          <cell r="B2100" t="str">
            <v>Cimoc</v>
          </cell>
          <cell r="C2100" t="str">
            <v>Haleydu/Cimoc</v>
          </cell>
          <cell r="D2100" t="str">
            <v>Haleydu/Cimoc</v>
          </cell>
          <cell r="E2100">
            <v>840</v>
          </cell>
          <cell r="F2100">
            <v>16</v>
          </cell>
          <cell r="G2100">
            <v>18</v>
          </cell>
          <cell r="H2100">
            <v>15827</v>
          </cell>
          <cell r="I2100">
            <v>207</v>
          </cell>
          <cell r="J2100">
            <v>2079</v>
          </cell>
          <cell r="K2100">
            <v>72</v>
          </cell>
        </row>
        <row r="2101">
          <cell r="B2101" t="str">
            <v>MGit</v>
          </cell>
          <cell r="C2101" t="str">
            <v>maks/MGit</v>
          </cell>
          <cell r="D2101" t="str">
            <v>maks/MGit</v>
          </cell>
          <cell r="E2101">
            <v>843</v>
          </cell>
          <cell r="F2101">
            <v>155</v>
          </cell>
          <cell r="G2101">
            <v>49</v>
          </cell>
          <cell r="H2101">
            <v>9808</v>
          </cell>
          <cell r="I2101">
            <v>151</v>
          </cell>
          <cell r="J2101">
            <v>941</v>
          </cell>
          <cell r="K2101">
            <v>261</v>
          </cell>
        </row>
        <row r="2102">
          <cell r="B2102" t="str">
            <v>trackworktime</v>
          </cell>
          <cell r="C2102" t="str">
            <v>mathisdt/trackworktime</v>
          </cell>
          <cell r="D2102" t="str">
            <v>mathisdt/trackworktime</v>
          </cell>
          <cell r="E2102">
            <v>845</v>
          </cell>
          <cell r="F2102">
            <v>86</v>
          </cell>
          <cell r="G2102">
            <v>12</v>
          </cell>
          <cell r="H2102">
            <v>7586</v>
          </cell>
          <cell r="I2102">
            <v>19</v>
          </cell>
          <cell r="J2102">
            <v>97</v>
          </cell>
          <cell r="K2102">
            <v>31</v>
          </cell>
        </row>
        <row r="2103">
          <cell r="B2103" t="str">
            <v>ncsms-android</v>
          </cell>
          <cell r="C2103" t="str">
            <v>nerzhul/ncsms-android</v>
          </cell>
          <cell r="D2103" t="str">
            <v>nerzhul/ncsms-android</v>
          </cell>
          <cell r="E2103">
            <v>856</v>
          </cell>
          <cell r="F2103">
            <v>88</v>
          </cell>
          <cell r="G2103">
            <v>15</v>
          </cell>
          <cell r="H2103">
            <v>90143</v>
          </cell>
          <cell r="I2103">
            <v>36</v>
          </cell>
          <cell r="J2103">
            <v>89</v>
          </cell>
          <cell r="K2103">
            <v>61</v>
          </cell>
        </row>
        <row r="2104">
          <cell r="B2104" t="str">
            <v>Seal</v>
          </cell>
          <cell r="C2104" t="str">
            <v>JunkFood02/Seal</v>
          </cell>
          <cell r="D2104" t="str">
            <v>JunkFood02/Seal</v>
          </cell>
          <cell r="E2104">
            <v>856</v>
          </cell>
          <cell r="F2104">
            <v>169</v>
          </cell>
          <cell r="G2104">
            <v>34</v>
          </cell>
          <cell r="H2104">
            <v>8993</v>
          </cell>
          <cell r="I2104">
            <v>174</v>
          </cell>
          <cell r="J2104">
            <v>4245</v>
          </cell>
          <cell r="K2104">
            <v>106</v>
          </cell>
        </row>
        <row r="2105">
          <cell r="B2105" t="str">
            <v>TranslateYou</v>
          </cell>
          <cell r="C2105" t="str">
            <v>Bnyro/TranslateYou</v>
          </cell>
          <cell r="D2105" t="str">
            <v>you-apps/TranslateYou</v>
          </cell>
          <cell r="E2105">
            <v>863</v>
          </cell>
          <cell r="F2105">
            <v>143</v>
          </cell>
          <cell r="G2105">
            <v>80</v>
          </cell>
          <cell r="H2105">
            <v>39262</v>
          </cell>
          <cell r="I2105">
            <v>23</v>
          </cell>
          <cell r="J2105">
            <v>408</v>
          </cell>
          <cell r="K2105">
            <v>5</v>
          </cell>
        </row>
        <row r="2106">
          <cell r="B2106" t="str">
            <v>SpaceX-Launch-Tracker</v>
          </cell>
          <cell r="C2106" t="str">
            <v>zacdevil10/SpaceX-Launch-Tracker</v>
          </cell>
          <cell r="D2106" t="str">
            <v>zacdevil10/SpaceX-Launch-Tracker</v>
          </cell>
          <cell r="E2106">
            <v>865</v>
          </cell>
          <cell r="F2106">
            <v>361</v>
          </cell>
          <cell r="G2106">
            <v>4</v>
          </cell>
          <cell r="H2106">
            <v>5304</v>
          </cell>
          <cell r="I2106">
            <v>2</v>
          </cell>
          <cell r="J2106">
            <v>4</v>
          </cell>
          <cell r="K2106">
            <v>47</v>
          </cell>
        </row>
        <row r="2107">
          <cell r="B2107" t="str">
            <v>Photok</v>
          </cell>
          <cell r="C2107" t="str">
            <v>leonlatsch/Photok</v>
          </cell>
          <cell r="D2107" t="str">
            <v>leonlatsch/Photok</v>
          </cell>
          <cell r="E2107">
            <v>869</v>
          </cell>
          <cell r="F2107">
            <v>102</v>
          </cell>
          <cell r="G2107">
            <v>25</v>
          </cell>
          <cell r="H2107">
            <v>4980</v>
          </cell>
          <cell r="I2107">
            <v>30</v>
          </cell>
          <cell r="J2107">
            <v>283</v>
          </cell>
          <cell r="K2107">
            <v>23</v>
          </cell>
        </row>
        <row r="2108">
          <cell r="B2108" t="str">
            <v>zSMTH-Android</v>
          </cell>
          <cell r="C2108" t="str">
            <v>zfdang/zSMTH-Android</v>
          </cell>
          <cell r="D2108" t="str">
            <v>zfdang/zSMTH-Android</v>
          </cell>
          <cell r="E2108">
            <v>871</v>
          </cell>
          <cell r="F2108">
            <v>9</v>
          </cell>
          <cell r="G2108">
            <v>6</v>
          </cell>
          <cell r="H2108">
            <v>620356</v>
          </cell>
          <cell r="I2108">
            <v>55</v>
          </cell>
          <cell r="J2108">
            <v>124</v>
          </cell>
          <cell r="K2108">
            <v>7</v>
          </cell>
        </row>
        <row r="2109">
          <cell r="B2109" t="str">
            <v>osu-droid</v>
          </cell>
          <cell r="C2109" t="str">
            <v>osudroid/osu-droid</v>
          </cell>
          <cell r="D2109" t="str">
            <v>osudroid/osu-droid</v>
          </cell>
          <cell r="E2109">
            <v>873</v>
          </cell>
          <cell r="F2109">
            <v>135</v>
          </cell>
          <cell r="G2109">
            <v>14</v>
          </cell>
          <cell r="H2109">
            <v>19051</v>
          </cell>
          <cell r="I2109">
            <v>65</v>
          </cell>
          <cell r="J2109">
            <v>395</v>
          </cell>
          <cell r="K2109">
            <v>38</v>
          </cell>
        </row>
        <row r="2110">
          <cell r="B2110" t="str">
            <v>oxygen-updater</v>
          </cell>
          <cell r="C2110" t="str">
            <v>oxygen-updater/oxygen-updater</v>
          </cell>
          <cell r="D2110" t="str">
            <v>oxygen-updater/oxygen-updater</v>
          </cell>
          <cell r="E2110">
            <v>877</v>
          </cell>
          <cell r="F2110">
            <v>170</v>
          </cell>
          <cell r="G2110">
            <v>41</v>
          </cell>
          <cell r="H2110">
            <v>10005</v>
          </cell>
          <cell r="I2110">
            <v>79</v>
          </cell>
          <cell r="J2110">
            <v>332</v>
          </cell>
          <cell r="K2110">
            <v>1</v>
          </cell>
        </row>
        <row r="2111">
          <cell r="B2111" t="str">
            <v>packlist</v>
          </cell>
          <cell r="C2111" t="str">
            <v>nbossard/packlist</v>
          </cell>
          <cell r="D2111" t="str">
            <v>nbossard/packlist</v>
          </cell>
          <cell r="E2111">
            <v>902</v>
          </cell>
          <cell r="F2111">
            <v>5</v>
          </cell>
          <cell r="G2111">
            <v>5</v>
          </cell>
          <cell r="H2111">
            <v>79645</v>
          </cell>
          <cell r="I2111">
            <v>11</v>
          </cell>
          <cell r="J2111">
            <v>13</v>
          </cell>
          <cell r="K2111">
            <v>20</v>
          </cell>
        </row>
        <row r="2112">
          <cell r="B2112" t="str">
            <v>tat_flutter</v>
          </cell>
          <cell r="C2112" t="str">
            <v>NEO-TAT/tat_flutter</v>
          </cell>
          <cell r="D2112" t="str">
            <v>NEO-TAT/tat_flutter</v>
          </cell>
          <cell r="E2112">
            <v>909</v>
          </cell>
          <cell r="F2112">
            <v>109</v>
          </cell>
          <cell r="G2112">
            <v>11</v>
          </cell>
          <cell r="H2112">
            <v>153833</v>
          </cell>
          <cell r="I2112">
            <v>12</v>
          </cell>
          <cell r="J2112">
            <v>29</v>
          </cell>
          <cell r="K2112">
            <v>28</v>
          </cell>
        </row>
        <row r="2113">
          <cell r="B2113" t="str">
            <v>lumicall</v>
          </cell>
          <cell r="C2113" t="str">
            <v>opentelecoms-org/lumicall</v>
          </cell>
          <cell r="D2113" t="str">
            <v>opentelecoms-org/lumicall</v>
          </cell>
          <cell r="E2113">
            <v>912</v>
          </cell>
          <cell r="F2113">
            <v>17</v>
          </cell>
          <cell r="G2113">
            <v>23</v>
          </cell>
          <cell r="H2113">
            <v>23472</v>
          </cell>
          <cell r="I2113">
            <v>88</v>
          </cell>
          <cell r="J2113">
            <v>144</v>
          </cell>
          <cell r="K2113">
            <v>53</v>
          </cell>
        </row>
        <row r="2114">
          <cell r="B2114" t="str">
            <v>agoradesk-app-foss</v>
          </cell>
          <cell r="C2114" t="str">
            <v>AgoraDesk-LocalMonero/agoradesk-app-foss</v>
          </cell>
          <cell r="D2114" t="str">
            <v>AgoraDesk-LocalMonero/agoradesk-app-foss</v>
          </cell>
          <cell r="E2114">
            <v>913</v>
          </cell>
          <cell r="F2114">
            <v>23</v>
          </cell>
          <cell r="G2114">
            <v>2</v>
          </cell>
          <cell r="H2114">
            <v>70710</v>
          </cell>
          <cell r="I2114">
            <v>8</v>
          </cell>
          <cell r="J2114">
            <v>79</v>
          </cell>
          <cell r="K2114">
            <v>18</v>
          </cell>
        </row>
        <row r="2115">
          <cell r="B2115" t="str">
            <v>Musify</v>
          </cell>
          <cell r="C2115" t="str">
            <v>gokadzev/Musify</v>
          </cell>
          <cell r="D2115" t="str">
            <v>gokadzev/Musify</v>
          </cell>
          <cell r="E2115">
            <v>913</v>
          </cell>
          <cell r="F2115">
            <v>71</v>
          </cell>
          <cell r="G2115">
            <v>31</v>
          </cell>
          <cell r="H2115">
            <v>12458</v>
          </cell>
          <cell r="I2115">
            <v>66</v>
          </cell>
          <cell r="J2115">
            <v>810</v>
          </cell>
          <cell r="K2115">
            <v>2</v>
          </cell>
        </row>
        <row r="2116">
          <cell r="B2116" t="str">
            <v>mbrc</v>
          </cell>
          <cell r="C2116" t="str">
            <v>musicbeeremote/mbrc</v>
          </cell>
          <cell r="D2116" t="str">
            <v>musicbeeremote/mbrc</v>
          </cell>
          <cell r="E2116">
            <v>919</v>
          </cell>
          <cell r="F2116">
            <v>29</v>
          </cell>
          <cell r="G2116">
            <v>3</v>
          </cell>
          <cell r="H2116">
            <v>23592</v>
          </cell>
          <cell r="I2116">
            <v>24</v>
          </cell>
          <cell r="J2116">
            <v>102</v>
          </cell>
          <cell r="K2116">
            <v>79</v>
          </cell>
        </row>
        <row r="2117">
          <cell r="B2117" t="str">
            <v>mooltik</v>
          </cell>
          <cell r="C2117" t="str">
            <v>ruskakimov/mooltik</v>
          </cell>
          <cell r="D2117" t="str">
            <v>ruskakimov/mooltik</v>
          </cell>
          <cell r="E2117">
            <v>920</v>
          </cell>
          <cell r="F2117">
            <v>90</v>
          </cell>
          <cell r="G2117">
            <v>2</v>
          </cell>
          <cell r="H2117">
            <v>4908</v>
          </cell>
          <cell r="I2117">
            <v>29</v>
          </cell>
          <cell r="J2117">
            <v>174</v>
          </cell>
          <cell r="K2117">
            <v>32</v>
          </cell>
        </row>
        <row r="2118">
          <cell r="B2118" t="str">
            <v>android07-notto</v>
          </cell>
          <cell r="C2118" t="str">
            <v>boostcampwm-2021/android07-notto</v>
          </cell>
          <cell r="D2118" t="str">
            <v>boostcampwm-2021/android07-notto</v>
          </cell>
          <cell r="E2118">
            <v>923</v>
          </cell>
          <cell r="F2118">
            <v>182</v>
          </cell>
          <cell r="G2118">
            <v>4</v>
          </cell>
          <cell r="H2118">
            <v>3126</v>
          </cell>
          <cell r="I2118">
            <v>6</v>
          </cell>
          <cell r="J2118">
            <v>15</v>
          </cell>
          <cell r="K2118">
            <v>0</v>
          </cell>
        </row>
        <row r="2119">
          <cell r="B2119" t="str">
            <v>Flap</v>
          </cell>
          <cell r="C2119" t="str">
            <v>AlanCheen/Flap</v>
          </cell>
          <cell r="D2119" t="str">
            <v>AlanCheen/Flap</v>
          </cell>
          <cell r="E2119">
            <v>925</v>
          </cell>
          <cell r="F2119">
            <v>72</v>
          </cell>
          <cell r="G2119">
            <v>2</v>
          </cell>
          <cell r="H2119">
            <v>4402</v>
          </cell>
          <cell r="I2119">
            <v>17</v>
          </cell>
          <cell r="J2119">
            <v>286</v>
          </cell>
          <cell r="K2119">
            <v>1</v>
          </cell>
        </row>
        <row r="2120">
          <cell r="B2120" t="str">
            <v>news</v>
          </cell>
          <cell r="C2120" t="str">
            <v>bubelov/news</v>
          </cell>
          <cell r="D2120" t="str">
            <v>bubelov/news</v>
          </cell>
          <cell r="E2120">
            <v>929</v>
          </cell>
          <cell r="F2120">
            <v>41</v>
          </cell>
          <cell r="G2120">
            <v>18</v>
          </cell>
          <cell r="H2120">
            <v>9344</v>
          </cell>
          <cell r="I2120">
            <v>25</v>
          </cell>
          <cell r="J2120">
            <v>333</v>
          </cell>
          <cell r="K2120">
            <v>48</v>
          </cell>
        </row>
        <row r="2121">
          <cell r="B2121" t="str">
            <v>podplayer</v>
          </cell>
          <cell r="C2121" t="str">
            <v>mamewotoko/podplayer</v>
          </cell>
          <cell r="D2121" t="str">
            <v>mamewotoko/podplayer</v>
          </cell>
          <cell r="E2121">
            <v>932</v>
          </cell>
          <cell r="F2121">
            <v>0</v>
          </cell>
          <cell r="G2121">
            <v>1</v>
          </cell>
          <cell r="H2121">
            <v>9961</v>
          </cell>
          <cell r="I2121">
            <v>1</v>
          </cell>
          <cell r="J2121">
            <v>4</v>
          </cell>
          <cell r="K2121">
            <v>1</v>
          </cell>
        </row>
        <row r="2122">
          <cell r="B2122" t="str">
            <v>gsy_github_app_flutter</v>
          </cell>
          <cell r="C2122" t="str">
            <v>CarGuo/gsy_github_app_flutter</v>
          </cell>
          <cell r="D2122" t="str">
            <v>CarGuo/gsy_github_app_flutter</v>
          </cell>
          <cell r="E2122">
            <v>933</v>
          </cell>
          <cell r="F2122">
            <v>22</v>
          </cell>
          <cell r="G2122">
            <v>8</v>
          </cell>
          <cell r="H2122">
            <v>35970</v>
          </cell>
          <cell r="I2122">
            <v>2435</v>
          </cell>
          <cell r="J2122">
            <v>13821</v>
          </cell>
          <cell r="K2122">
            <v>5</v>
          </cell>
        </row>
        <row r="2123">
          <cell r="B2123" t="str">
            <v>stack</v>
          </cell>
          <cell r="C2123" t="str">
            <v>tylerbwong/stack</v>
          </cell>
          <cell r="D2123" t="str">
            <v>tylerbwong/stack</v>
          </cell>
          <cell r="E2123">
            <v>933</v>
          </cell>
          <cell r="F2123">
            <v>60</v>
          </cell>
          <cell r="G2123">
            <v>7</v>
          </cell>
          <cell r="H2123">
            <v>3337</v>
          </cell>
          <cell r="I2123">
            <v>20</v>
          </cell>
          <cell r="J2123">
            <v>273</v>
          </cell>
          <cell r="K2123">
            <v>6</v>
          </cell>
        </row>
        <row r="2124">
          <cell r="B2124" t="str">
            <v>xikolo-android</v>
          </cell>
          <cell r="C2124" t="str">
            <v>openHPI/xikolo-android</v>
          </cell>
          <cell r="D2124" t="str">
            <v>openHPI/xikolo-android</v>
          </cell>
          <cell r="E2124">
            <v>936</v>
          </cell>
          <cell r="F2124">
            <v>177</v>
          </cell>
          <cell r="G2124">
            <v>10</v>
          </cell>
          <cell r="H2124">
            <v>11313</v>
          </cell>
          <cell r="I2124">
            <v>15</v>
          </cell>
          <cell r="J2124">
            <v>38</v>
          </cell>
          <cell r="K2124">
            <v>26</v>
          </cell>
        </row>
        <row r="2125">
          <cell r="B2125" t="str">
            <v>PinDroid</v>
          </cell>
          <cell r="C2125" t="str">
            <v>maxpower47/PinDroid</v>
          </cell>
          <cell r="D2125" t="str">
            <v>maxpower47/PinDroid</v>
          </cell>
          <cell r="E2125">
            <v>942</v>
          </cell>
          <cell r="F2125">
            <v>24</v>
          </cell>
          <cell r="G2125">
            <v>9</v>
          </cell>
          <cell r="H2125">
            <v>19170</v>
          </cell>
          <cell r="I2125">
            <v>62</v>
          </cell>
          <cell r="J2125">
            <v>297</v>
          </cell>
          <cell r="K2125">
            <v>40</v>
          </cell>
        </row>
        <row r="2126">
          <cell r="B2126" t="str">
            <v>Lemuroid</v>
          </cell>
          <cell r="C2126" t="str">
            <v>Swordfish90/Lemuroid</v>
          </cell>
          <cell r="D2126" t="str">
            <v>Swordfish90/Lemuroid</v>
          </cell>
          <cell r="E2126">
            <v>946</v>
          </cell>
          <cell r="F2126">
            <v>118</v>
          </cell>
          <cell r="G2126">
            <v>13</v>
          </cell>
          <cell r="H2126">
            <v>123764</v>
          </cell>
          <cell r="I2126">
            <v>69</v>
          </cell>
          <cell r="J2126">
            <v>1164</v>
          </cell>
          <cell r="K2126">
            <v>302</v>
          </cell>
        </row>
        <row r="2127">
          <cell r="B2127" t="str">
            <v>nostros</v>
          </cell>
          <cell r="C2127" t="str">
            <v>KoalaSat/nostros</v>
          </cell>
          <cell r="D2127" t="str">
            <v>KoalaSat/nostros</v>
          </cell>
          <cell r="E2127">
            <v>953</v>
          </cell>
          <cell r="F2127">
            <v>411</v>
          </cell>
          <cell r="G2127">
            <v>17</v>
          </cell>
          <cell r="H2127">
            <v>7619</v>
          </cell>
          <cell r="I2127">
            <v>25</v>
          </cell>
          <cell r="J2127">
            <v>304</v>
          </cell>
          <cell r="K2127">
            <v>44</v>
          </cell>
        </row>
        <row r="2128">
          <cell r="B2128" t="str">
            <v>small-talk</v>
          </cell>
          <cell r="C2128" t="str">
            <v>ouchadam/small-talk</v>
          </cell>
          <cell r="D2128" t="str">
            <v>ouchadam/small-talk</v>
          </cell>
          <cell r="E2128">
            <v>959</v>
          </cell>
          <cell r="F2128">
            <v>291</v>
          </cell>
          <cell r="G2128">
            <v>7</v>
          </cell>
          <cell r="H2128">
            <v>2421</v>
          </cell>
          <cell r="I2128">
            <v>4</v>
          </cell>
          <cell r="J2128">
            <v>121</v>
          </cell>
          <cell r="K2128">
            <v>29</v>
          </cell>
        </row>
        <row r="2129">
          <cell r="B2129" t="str">
            <v>MarkNote</v>
          </cell>
          <cell r="C2129" t="str">
            <v>Shouheng88/MarkNote</v>
          </cell>
          <cell r="D2129" t="str">
            <v>Shouheng88/MarkNote</v>
          </cell>
          <cell r="E2129">
            <v>960</v>
          </cell>
          <cell r="F2129">
            <v>9</v>
          </cell>
          <cell r="G2129">
            <v>4</v>
          </cell>
          <cell r="H2129">
            <v>42227</v>
          </cell>
          <cell r="I2129">
            <v>157</v>
          </cell>
          <cell r="J2129">
            <v>845</v>
          </cell>
          <cell r="K2129">
            <v>9</v>
          </cell>
        </row>
        <row r="2130">
          <cell r="B2130" t="str">
            <v>android-anuto</v>
          </cell>
          <cell r="C2130" t="str">
            <v>mjaun/android-anuto</v>
          </cell>
          <cell r="D2130" t="str">
            <v>mjaun/android-anuto</v>
          </cell>
          <cell r="E2130">
            <v>963</v>
          </cell>
          <cell r="F2130">
            <v>69</v>
          </cell>
          <cell r="G2130">
            <v>35</v>
          </cell>
          <cell r="H2130">
            <v>23396</v>
          </cell>
          <cell r="I2130">
            <v>61</v>
          </cell>
          <cell r="J2130">
            <v>194</v>
          </cell>
          <cell r="K2130">
            <v>32</v>
          </cell>
        </row>
        <row r="2131">
          <cell r="B2131" t="str">
            <v>textfairy</v>
          </cell>
          <cell r="C2131" t="str">
            <v>renard314/textfairy</v>
          </cell>
          <cell r="D2131" t="str">
            <v>renard314/textfairy</v>
          </cell>
          <cell r="E2131">
            <v>964</v>
          </cell>
          <cell r="F2131">
            <v>9</v>
          </cell>
          <cell r="G2131">
            <v>5</v>
          </cell>
          <cell r="H2131">
            <v>1569037</v>
          </cell>
          <cell r="I2131">
            <v>299</v>
          </cell>
          <cell r="J2131">
            <v>772</v>
          </cell>
          <cell r="K2131">
            <v>41</v>
          </cell>
        </row>
        <row r="2132">
          <cell r="B2132" t="str">
            <v>LabCoat</v>
          </cell>
          <cell r="C2132" t="str">
            <v>Commit451/LabCoat</v>
          </cell>
          <cell r="D2132" t="str">
            <v>Commit451/LabCoat</v>
          </cell>
          <cell r="E2132">
            <v>966</v>
          </cell>
          <cell r="F2132">
            <v>3</v>
          </cell>
          <cell r="G2132">
            <v>21</v>
          </cell>
          <cell r="H2132">
            <v>6750</v>
          </cell>
          <cell r="I2132">
            <v>26</v>
          </cell>
          <cell r="J2132">
            <v>246</v>
          </cell>
          <cell r="K2132">
            <v>6</v>
          </cell>
        </row>
        <row r="2133">
          <cell r="B2133" t="str">
            <v>roboTV</v>
          </cell>
          <cell r="C2133" t="str">
            <v>pipelka/roboTV</v>
          </cell>
          <cell r="D2133" t="str">
            <v>pipelka/roboTV</v>
          </cell>
          <cell r="E2133">
            <v>972</v>
          </cell>
          <cell r="F2133">
            <v>6</v>
          </cell>
          <cell r="G2133">
            <v>3</v>
          </cell>
          <cell r="H2133">
            <v>35115</v>
          </cell>
          <cell r="I2133">
            <v>37</v>
          </cell>
          <cell r="J2133">
            <v>72</v>
          </cell>
          <cell r="K2133">
            <v>4</v>
          </cell>
        </row>
        <row r="2134">
          <cell r="B2134" t="str">
            <v>android</v>
          </cell>
          <cell r="C2134" t="str">
            <v>accentor/android</v>
          </cell>
          <cell r="D2134" t="str">
            <v>accentor/android</v>
          </cell>
          <cell r="E2134">
            <v>973</v>
          </cell>
          <cell r="F2134">
            <v>477</v>
          </cell>
          <cell r="G2134">
            <v>4</v>
          </cell>
          <cell r="H2134">
            <v>1298</v>
          </cell>
          <cell r="I2134">
            <v>0</v>
          </cell>
          <cell r="J2134">
            <v>3</v>
          </cell>
          <cell r="K2134">
            <v>17</v>
          </cell>
        </row>
        <row r="2135">
          <cell r="B2135" t="str">
            <v>JaMuz-Remote</v>
          </cell>
          <cell r="C2135" t="str">
            <v>phramusca/JaMuz-Remote</v>
          </cell>
          <cell r="D2135" t="str">
            <v>phramusca/JaMuz-Remote</v>
          </cell>
          <cell r="E2135">
            <v>974</v>
          </cell>
          <cell r="F2135">
            <v>6</v>
          </cell>
          <cell r="G2135">
            <v>4</v>
          </cell>
          <cell r="H2135">
            <v>29422</v>
          </cell>
          <cell r="I2135">
            <v>4</v>
          </cell>
          <cell r="J2135">
            <v>7</v>
          </cell>
          <cell r="K2135">
            <v>1</v>
          </cell>
        </row>
        <row r="2136">
          <cell r="B2136" t="str">
            <v>kubenav</v>
          </cell>
          <cell r="C2136" t="str">
            <v>kubenav/kubenav</v>
          </cell>
          <cell r="D2136" t="str">
            <v>kubenav/kubenav</v>
          </cell>
          <cell r="E2136">
            <v>976</v>
          </cell>
          <cell r="F2136">
            <v>305</v>
          </cell>
          <cell r="G2136">
            <v>23</v>
          </cell>
          <cell r="H2136">
            <v>58799</v>
          </cell>
          <cell r="I2136">
            <v>104</v>
          </cell>
          <cell r="J2136">
            <v>1609</v>
          </cell>
          <cell r="K2136">
            <v>21</v>
          </cell>
        </row>
        <row r="2137">
          <cell r="B2137" t="str">
            <v>lexica</v>
          </cell>
          <cell r="C2137" t="str">
            <v>lexica/lexica</v>
          </cell>
          <cell r="D2137" t="str">
            <v>lexica/lexica</v>
          </cell>
          <cell r="E2137">
            <v>978</v>
          </cell>
          <cell r="F2137">
            <v>169</v>
          </cell>
          <cell r="G2137">
            <v>90</v>
          </cell>
          <cell r="H2137">
            <v>66552</v>
          </cell>
          <cell r="I2137">
            <v>79</v>
          </cell>
          <cell r="J2137">
            <v>225</v>
          </cell>
          <cell r="K2137">
            <v>69</v>
          </cell>
        </row>
        <row r="2138">
          <cell r="B2138" t="str">
            <v>development_learning</v>
          </cell>
          <cell r="C2138" t="str">
            <v>pradyotprksh/development_learning</v>
          </cell>
          <cell r="D2138" t="str">
            <v>pradyotprksh/development_learning</v>
          </cell>
          <cell r="E2138">
            <v>979</v>
          </cell>
          <cell r="F2138">
            <v>1</v>
          </cell>
          <cell r="G2138">
            <v>3</v>
          </cell>
          <cell r="H2138">
            <v>48353</v>
          </cell>
          <cell r="I2138">
            <v>7</v>
          </cell>
          <cell r="J2138">
            <v>10</v>
          </cell>
          <cell r="K2138">
            <v>0</v>
          </cell>
        </row>
        <row r="2139">
          <cell r="B2139" t="str">
            <v>ETSMobile-Android2</v>
          </cell>
          <cell r="C2139" t="str">
            <v>ApplETS/ETSMobile-Android2</v>
          </cell>
          <cell r="D2139" t="str">
            <v>ApplETS/ETSMobile-Android2</v>
          </cell>
          <cell r="E2139">
            <v>982</v>
          </cell>
          <cell r="F2139">
            <v>84</v>
          </cell>
          <cell r="G2139">
            <v>18</v>
          </cell>
          <cell r="H2139">
            <v>17673</v>
          </cell>
          <cell r="I2139">
            <v>11</v>
          </cell>
          <cell r="J2139">
            <v>12</v>
          </cell>
          <cell r="K2139">
            <v>10</v>
          </cell>
        </row>
        <row r="2140">
          <cell r="B2140" t="str">
            <v>FitBuddy</v>
          </cell>
          <cell r="C2140" t="str">
            <v>avalax/FitBuddy</v>
          </cell>
          <cell r="D2140" t="str">
            <v>avalax/FitBuddy</v>
          </cell>
          <cell r="E2140">
            <v>987</v>
          </cell>
          <cell r="F2140">
            <v>0</v>
          </cell>
          <cell r="G2140">
            <v>4</v>
          </cell>
          <cell r="H2140">
            <v>22411</v>
          </cell>
          <cell r="I2140">
            <v>9</v>
          </cell>
          <cell r="J2140">
            <v>12</v>
          </cell>
          <cell r="K2140">
            <v>7</v>
          </cell>
        </row>
        <row r="2141">
          <cell r="B2141" t="str">
            <v>BaldPhone</v>
          </cell>
          <cell r="C2141" t="str">
            <v>UriahShaulMandel/BaldPhone</v>
          </cell>
          <cell r="D2141" t="str">
            <v>UriahShaulMandel/BaldPhone</v>
          </cell>
          <cell r="E2141">
            <v>989</v>
          </cell>
          <cell r="F2141">
            <v>1037</v>
          </cell>
          <cell r="G2141">
            <v>30</v>
          </cell>
          <cell r="H2141">
            <v>170564</v>
          </cell>
          <cell r="I2141">
            <v>59</v>
          </cell>
          <cell r="J2141">
            <v>246</v>
          </cell>
          <cell r="K2141">
            <v>177</v>
          </cell>
        </row>
        <row r="2142">
          <cell r="B2142" t="str">
            <v>android03-Contact</v>
          </cell>
          <cell r="C2142" t="str">
            <v>boostcampwm-2021/android03-Contact</v>
          </cell>
          <cell r="D2142" t="str">
            <v>boostcampwm-2021/android03-Contact</v>
          </cell>
          <cell r="E2142">
            <v>993</v>
          </cell>
          <cell r="F2142">
            <v>179</v>
          </cell>
          <cell r="G2142">
            <v>4</v>
          </cell>
          <cell r="H2142">
            <v>1674</v>
          </cell>
          <cell r="I2142">
            <v>5</v>
          </cell>
          <cell r="J2142">
            <v>20</v>
          </cell>
          <cell r="K2142">
            <v>2</v>
          </cell>
        </row>
        <row r="2143">
          <cell r="B2143" t="str">
            <v>currencies</v>
          </cell>
          <cell r="C2143" t="str">
            <v>sal0max/currencies</v>
          </cell>
          <cell r="D2143" t="str">
            <v>sal0max/currencies</v>
          </cell>
          <cell r="E2143">
            <v>994</v>
          </cell>
          <cell r="F2143">
            <v>3</v>
          </cell>
          <cell r="G2143">
            <v>41</v>
          </cell>
          <cell r="H2143">
            <v>3820</v>
          </cell>
          <cell r="I2143">
            <v>9</v>
          </cell>
          <cell r="J2143">
            <v>120</v>
          </cell>
          <cell r="K2143">
            <v>7</v>
          </cell>
        </row>
        <row r="2144">
          <cell r="B2144" t="str">
            <v>poet-assistant</v>
          </cell>
          <cell r="C2144" t="str">
            <v>caarmen/poet-assistant</v>
          </cell>
          <cell r="D2144" t="str">
            <v>caarmen/poet-assistant</v>
          </cell>
          <cell r="E2144">
            <v>994</v>
          </cell>
          <cell r="F2144">
            <v>121</v>
          </cell>
          <cell r="G2144">
            <v>4</v>
          </cell>
          <cell r="H2144">
            <v>53137</v>
          </cell>
          <cell r="I2144">
            <v>10</v>
          </cell>
          <cell r="J2144">
            <v>66</v>
          </cell>
          <cell r="K2144">
            <v>14</v>
          </cell>
        </row>
        <row r="2145">
          <cell r="B2145" t="str">
            <v>bitmask_android</v>
          </cell>
          <cell r="C2145" t="str">
            <v>CalyxOS/bitmask_android</v>
          </cell>
          <cell r="D2145" t="str">
            <v>CalyxOS/bitmask_android</v>
          </cell>
          <cell r="E2145">
            <v>3300</v>
          </cell>
          <cell r="F2145">
            <v>0</v>
          </cell>
          <cell r="G2145">
            <v>13</v>
          </cell>
          <cell r="H2145">
            <v>407256</v>
          </cell>
          <cell r="I2145">
            <v>1</v>
          </cell>
          <cell r="J2145">
            <v>1</v>
          </cell>
          <cell r="K2145">
            <v>0</v>
          </cell>
        </row>
        <row r="2146">
          <cell r="B2146" t="str">
            <v>GymRoutines</v>
          </cell>
          <cell r="C2146" t="str">
            <v>noahjutz/GymRoutines</v>
          </cell>
          <cell r="D2146" t="str">
            <v>noahjutz/GymRoutines</v>
          </cell>
          <cell r="E2146">
            <v>2198</v>
          </cell>
          <cell r="F2146">
            <v>0</v>
          </cell>
          <cell r="G2146">
            <v>5</v>
          </cell>
          <cell r="H2146">
            <v>11131</v>
          </cell>
          <cell r="I2146">
            <v>1</v>
          </cell>
          <cell r="J2146">
            <v>7</v>
          </cell>
          <cell r="K2146">
            <v>0</v>
          </cell>
        </row>
        <row r="2147">
          <cell r="B2147" t="str">
            <v>Keter-Escape</v>
          </cell>
          <cell r="C2147" t="str">
            <v>LivingWithHippos/Keter-Escape</v>
          </cell>
          <cell r="D2147" t="str">
            <v>LivingWithHippos/Keter-Escape</v>
          </cell>
          <cell r="E2147">
            <v>1001</v>
          </cell>
          <cell r="F2147">
            <v>0</v>
          </cell>
          <cell r="G2147">
            <v>1</v>
          </cell>
          <cell r="H2147">
            <v>3321</v>
          </cell>
          <cell r="I2147">
            <v>0</v>
          </cell>
          <cell r="J2147">
            <v>1</v>
          </cell>
          <cell r="K2147">
            <v>0</v>
          </cell>
        </row>
        <row r="2148">
          <cell r="B2148" t="str">
            <v>covid-alert-app</v>
          </cell>
          <cell r="C2148" t="str">
            <v>lirisoft-llc/covid-alert-app</v>
          </cell>
          <cell r="D2148" t="str">
            <v>lirisoft-llc/covid-alert-app</v>
          </cell>
          <cell r="E2148">
            <v>2242</v>
          </cell>
          <cell r="F2148">
            <v>0</v>
          </cell>
          <cell r="G2148">
            <v>52</v>
          </cell>
          <cell r="H2148">
            <v>16944</v>
          </cell>
          <cell r="I2148">
            <v>0</v>
          </cell>
          <cell r="J2148">
            <v>2</v>
          </cell>
          <cell r="K2148">
            <v>0</v>
          </cell>
        </row>
        <row r="2149">
          <cell r="B2149" t="str">
            <v>Ehviewer</v>
          </cell>
          <cell r="C2149" t="str">
            <v>NyanArchive/Ehviewer</v>
          </cell>
          <cell r="D2149" t="str">
            <v>NyanArchive/Ehviewer</v>
          </cell>
          <cell r="E2149">
            <v>2800</v>
          </cell>
          <cell r="F2149">
            <v>0</v>
          </cell>
          <cell r="G2149">
            <v>26</v>
          </cell>
          <cell r="H2149">
            <v>112869</v>
          </cell>
          <cell r="I2149">
            <v>9</v>
          </cell>
          <cell r="J2149">
            <v>57</v>
          </cell>
          <cell r="K2149">
            <v>0</v>
          </cell>
        </row>
        <row r="2150">
          <cell r="B2150" t="str">
            <v>Termux-App</v>
          </cell>
          <cell r="C2150" t="str">
            <v>HitaloM/Termux-App</v>
          </cell>
          <cell r="D2150" t="str">
            <v>HitaloM/Termux-App</v>
          </cell>
          <cell r="E2150">
            <v>1429</v>
          </cell>
          <cell r="F2150">
            <v>0</v>
          </cell>
          <cell r="G2150">
            <v>68</v>
          </cell>
          <cell r="H2150">
            <v>3966</v>
          </cell>
          <cell r="I2150">
            <v>3</v>
          </cell>
          <cell r="J2150">
            <v>4</v>
          </cell>
          <cell r="K2150">
            <v>0</v>
          </cell>
        </row>
        <row r="2151">
          <cell r="B2151" t="str">
            <v>facted-camera</v>
          </cell>
          <cell r="C2151" t="str">
            <v>facted-net/facted-camera</v>
          </cell>
          <cell r="D2151" t="str">
            <v>facted-net/facted-camera</v>
          </cell>
          <cell r="E2151">
            <v>2029</v>
          </cell>
          <cell r="F2151">
            <v>0</v>
          </cell>
          <cell r="G2151">
            <v>3</v>
          </cell>
          <cell r="H2151">
            <v>6879</v>
          </cell>
          <cell r="I2151">
            <v>1</v>
          </cell>
          <cell r="J2151">
            <v>4</v>
          </cell>
          <cell r="K2151">
            <v>0</v>
          </cell>
        </row>
        <row r="2152">
          <cell r="B2152" t="str">
            <v>CNode-Material-Design</v>
          </cell>
          <cell r="C2152" t="str">
            <v>TakWolf/CNode-Material-Design</v>
          </cell>
          <cell r="D2152" t="str">
            <v>TakWolf/CNode-Material-Design</v>
          </cell>
          <cell r="E2152">
            <v>1799</v>
          </cell>
          <cell r="F2152">
            <v>0</v>
          </cell>
          <cell r="G2152">
            <v>1</v>
          </cell>
          <cell r="H2152">
            <v>19467</v>
          </cell>
          <cell r="I2152">
            <v>359</v>
          </cell>
          <cell r="J2152">
            <v>1348</v>
          </cell>
          <cell r="K2152">
            <v>5</v>
          </cell>
        </row>
        <row r="2153">
          <cell r="B2153" t="str">
            <v>mandarin-android</v>
          </cell>
          <cell r="C2153" t="str">
            <v>solkin/mandarin-android</v>
          </cell>
          <cell r="D2153" t="str">
            <v>solkin/mandarin-android</v>
          </cell>
          <cell r="E2153">
            <v>1108</v>
          </cell>
          <cell r="F2153">
            <v>0</v>
          </cell>
          <cell r="G2153">
            <v>3</v>
          </cell>
          <cell r="H2153">
            <v>24071</v>
          </cell>
          <cell r="I2153">
            <v>4</v>
          </cell>
          <cell r="J2153">
            <v>27</v>
          </cell>
          <cell r="K2153">
            <v>3</v>
          </cell>
        </row>
        <row r="2154">
          <cell r="B2154" t="str">
            <v>LauncherC</v>
          </cell>
          <cell r="C2154" t="str">
            <v>liu-wanshun/LauncherC</v>
          </cell>
          <cell r="D2154" t="str">
            <v>liu-wanshun/LauncherC</v>
          </cell>
          <cell r="E2154">
            <v>61471</v>
          </cell>
          <cell r="F2154">
            <v>0</v>
          </cell>
          <cell r="G2154">
            <v>151</v>
          </cell>
          <cell r="H2154">
            <v>243439</v>
          </cell>
          <cell r="I2154">
            <v>1</v>
          </cell>
          <cell r="J2154">
            <v>4</v>
          </cell>
          <cell r="K2154">
            <v>0</v>
          </cell>
        </row>
        <row r="2155">
          <cell r="B2155" t="str">
            <v>OpenCamera-Sensors</v>
          </cell>
          <cell r="C2155" t="str">
            <v>prime-slam/OpenCamera-Sensors</v>
          </cell>
          <cell r="D2155" t="str">
            <v>prime-slam/OpenCamera-Sensors</v>
          </cell>
          <cell r="E2155">
            <v>4613</v>
          </cell>
          <cell r="F2155">
            <v>1</v>
          </cell>
          <cell r="G2155">
            <v>14</v>
          </cell>
          <cell r="H2155">
            <v>13894</v>
          </cell>
          <cell r="I2155">
            <v>0</v>
          </cell>
          <cell r="J2155">
            <v>29</v>
          </cell>
          <cell r="K2155">
            <v>1</v>
          </cell>
        </row>
        <row r="2156">
          <cell r="B2156" t="str">
            <v>hadithmv.github.io</v>
          </cell>
          <cell r="C2156" t="str">
            <v>hadithmv/hadithmv.github.io</v>
          </cell>
          <cell r="D2156" t="str">
            <v>hadithmv/hadithmv.github.io</v>
          </cell>
          <cell r="E2156">
            <v>3990</v>
          </cell>
          <cell r="F2156">
            <v>1</v>
          </cell>
          <cell r="G2156">
            <v>2</v>
          </cell>
          <cell r="H2156">
            <v>530945</v>
          </cell>
          <cell r="I2156">
            <v>1</v>
          </cell>
          <cell r="J2156">
            <v>7</v>
          </cell>
          <cell r="K2156">
            <v>0</v>
          </cell>
        </row>
        <row r="2157">
          <cell r="B2157" t="str">
            <v>gearoenix</v>
          </cell>
          <cell r="C2157" t="str">
            <v>gearoenix/gearoenix</v>
          </cell>
          <cell r="D2157" t="str">
            <v>gearoenix/gearoenix</v>
          </cell>
          <cell r="E2157">
            <v>1457</v>
          </cell>
          <cell r="F2157">
            <v>1</v>
          </cell>
          <cell r="G2157">
            <v>3</v>
          </cell>
          <cell r="H2157">
            <v>6246</v>
          </cell>
          <cell r="I2157">
            <v>5</v>
          </cell>
          <cell r="J2157">
            <v>37</v>
          </cell>
          <cell r="K2157">
            <v>6</v>
          </cell>
        </row>
        <row r="2158">
          <cell r="B2158" t="str">
            <v>appteka-android</v>
          </cell>
          <cell r="C2158" t="str">
            <v>solkin/appteka-android</v>
          </cell>
          <cell r="D2158" t="str">
            <v>solkin/appteka-android</v>
          </cell>
          <cell r="E2158">
            <v>1017</v>
          </cell>
          <cell r="F2158">
            <v>1</v>
          </cell>
          <cell r="G2158">
            <v>3</v>
          </cell>
          <cell r="H2158">
            <v>12261</v>
          </cell>
          <cell r="I2158">
            <v>11</v>
          </cell>
          <cell r="J2158">
            <v>78</v>
          </cell>
          <cell r="K2158">
            <v>7</v>
          </cell>
        </row>
        <row r="2159">
          <cell r="B2159" t="str">
            <v>dwyco</v>
          </cell>
          <cell r="C2159" t="str">
            <v>blindchimp/dwyco</v>
          </cell>
          <cell r="D2159" t="str">
            <v>blindchimp/dwyco</v>
          </cell>
          <cell r="E2159">
            <v>2512</v>
          </cell>
          <cell r="F2159">
            <v>1</v>
          </cell>
          <cell r="G2159">
            <v>2</v>
          </cell>
          <cell r="H2159">
            <v>84309</v>
          </cell>
          <cell r="I2159">
            <v>1</v>
          </cell>
          <cell r="J2159">
            <v>3</v>
          </cell>
          <cell r="K2159">
            <v>3</v>
          </cell>
        </row>
        <row r="2160">
          <cell r="B2160" t="str">
            <v>lionheart-remake</v>
          </cell>
          <cell r="C2160" t="str">
            <v>b3dgs/lionheart-remake</v>
          </cell>
          <cell r="D2160" t="str">
            <v>b3dgs/lionheart-remake</v>
          </cell>
          <cell r="E2160">
            <v>1600</v>
          </cell>
          <cell r="F2160">
            <v>1</v>
          </cell>
          <cell r="G2160">
            <v>1</v>
          </cell>
          <cell r="H2160">
            <v>127053</v>
          </cell>
          <cell r="I2160">
            <v>5</v>
          </cell>
          <cell r="J2160">
            <v>57</v>
          </cell>
          <cell r="K2160">
            <v>3</v>
          </cell>
        </row>
        <row r="2161">
          <cell r="B2161" t="str">
            <v>briar</v>
          </cell>
          <cell r="C2161" t="str">
            <v>briar/briar</v>
          </cell>
          <cell r="D2161" t="str">
            <v>briar/briar</v>
          </cell>
          <cell r="E2161">
            <v>7419</v>
          </cell>
          <cell r="F2161">
            <v>2</v>
          </cell>
          <cell r="G2161">
            <v>22</v>
          </cell>
          <cell r="H2161">
            <v>168195</v>
          </cell>
          <cell r="I2161">
            <v>30</v>
          </cell>
          <cell r="J2161">
            <v>224</v>
          </cell>
          <cell r="K2161">
            <v>0</v>
          </cell>
        </row>
        <row r="2162">
          <cell r="B2162" t="str">
            <v>wwwjdic</v>
          </cell>
          <cell r="C2162" t="str">
            <v>nelenkov/wwwjdic</v>
          </cell>
          <cell r="D2162" t="str">
            <v>nelenkov/wwwjdic</v>
          </cell>
          <cell r="E2162">
            <v>1045</v>
          </cell>
          <cell r="F2162">
            <v>2</v>
          </cell>
          <cell r="G2162">
            <v>4</v>
          </cell>
          <cell r="H2162">
            <v>26606</v>
          </cell>
          <cell r="I2162">
            <v>2</v>
          </cell>
          <cell r="J2162">
            <v>6</v>
          </cell>
          <cell r="K2162">
            <v>13</v>
          </cell>
        </row>
        <row r="2163">
          <cell r="B2163" t="str">
            <v>domodroid</v>
          </cell>
          <cell r="C2163" t="str">
            <v>domogik/domodroid</v>
          </cell>
          <cell r="D2163" t="str">
            <v>domogik/domodroid</v>
          </cell>
          <cell r="E2163">
            <v>2022</v>
          </cell>
          <cell r="F2163">
            <v>2</v>
          </cell>
          <cell r="G2163">
            <v>2</v>
          </cell>
          <cell r="H2163">
            <v>21897</v>
          </cell>
          <cell r="I2163">
            <v>4</v>
          </cell>
          <cell r="J2163">
            <v>13</v>
          </cell>
          <cell r="K2163">
            <v>62</v>
          </cell>
        </row>
        <row r="2164">
          <cell r="B2164" t="str">
            <v>stroke-input-android</v>
          </cell>
          <cell r="C2164" t="str">
            <v>stroke-input/stroke-input-android</v>
          </cell>
          <cell r="D2164" t="str">
            <v>stroke-input/stroke-input-android</v>
          </cell>
          <cell r="E2164">
            <v>1755</v>
          </cell>
          <cell r="F2164">
            <v>2</v>
          </cell>
          <cell r="G2164">
            <v>1</v>
          </cell>
          <cell r="H2164">
            <v>4402</v>
          </cell>
          <cell r="I2164">
            <v>3</v>
          </cell>
          <cell r="J2164">
            <v>51</v>
          </cell>
          <cell r="K2164">
            <v>1</v>
          </cell>
        </row>
        <row r="2165">
          <cell r="B2165" t="str">
            <v>Ameixa</v>
          </cell>
          <cell r="C2165" t="str">
            <v>braniii/Ameixa</v>
          </cell>
          <cell r="D2165" t="str">
            <v>braniii/Ameixa</v>
          </cell>
          <cell r="E2165">
            <v>1077</v>
          </cell>
          <cell r="F2165">
            <v>2</v>
          </cell>
          <cell r="G2165">
            <v>24</v>
          </cell>
          <cell r="H2165">
            <v>280414</v>
          </cell>
          <cell r="I2165">
            <v>1</v>
          </cell>
          <cell r="J2165">
            <v>2</v>
          </cell>
          <cell r="K2165">
            <v>1</v>
          </cell>
        </row>
        <row r="2166">
          <cell r="B2166" t="str">
            <v>KA27</v>
          </cell>
          <cell r="C2166" t="str">
            <v>fgl27/KA27</v>
          </cell>
          <cell r="D2166" t="str">
            <v>fgl27/KA27</v>
          </cell>
          <cell r="E2166">
            <v>1456</v>
          </cell>
          <cell r="F2166">
            <v>2</v>
          </cell>
          <cell r="G2166">
            <v>39</v>
          </cell>
          <cell r="H2166">
            <v>8376</v>
          </cell>
          <cell r="I2166">
            <v>10</v>
          </cell>
          <cell r="J2166">
            <v>14</v>
          </cell>
          <cell r="K2166">
            <v>0</v>
          </cell>
        </row>
        <row r="2167">
          <cell r="B2167" t="str">
            <v>databag</v>
          </cell>
          <cell r="C2167" t="str">
            <v>balzack/databag</v>
          </cell>
          <cell r="D2167" t="str">
            <v>balzack/databag</v>
          </cell>
          <cell r="E2167">
            <v>1518</v>
          </cell>
          <cell r="F2167">
            <v>2</v>
          </cell>
          <cell r="G2167">
            <v>12</v>
          </cell>
          <cell r="H2167">
            <v>20797</v>
          </cell>
          <cell r="I2167">
            <v>7</v>
          </cell>
          <cell r="J2167">
            <v>134</v>
          </cell>
          <cell r="K2167">
            <v>7</v>
          </cell>
        </row>
        <row r="2168">
          <cell r="B2168" t="str">
            <v>chaosflix</v>
          </cell>
          <cell r="C2168" t="str">
            <v>NiciDieNase/chaosflix</v>
          </cell>
          <cell r="D2168" t="str">
            <v>NiciDieNase/chaosflix</v>
          </cell>
          <cell r="E2168">
            <v>1121</v>
          </cell>
          <cell r="F2168">
            <v>2</v>
          </cell>
          <cell r="G2168">
            <v>2</v>
          </cell>
          <cell r="H2168">
            <v>14151</v>
          </cell>
          <cell r="I2168">
            <v>6</v>
          </cell>
          <cell r="J2168">
            <v>86</v>
          </cell>
          <cell r="K2168">
            <v>41</v>
          </cell>
        </row>
        <row r="2169">
          <cell r="B2169" t="str">
            <v>Knot</v>
          </cell>
          <cell r="C2169" t="str">
            <v>ic005k/Knot</v>
          </cell>
          <cell r="D2169" t="str">
            <v>ic005k/Knot</v>
          </cell>
          <cell r="E2169">
            <v>1968</v>
          </cell>
          <cell r="F2169">
            <v>2</v>
          </cell>
          <cell r="G2169">
            <v>2</v>
          </cell>
          <cell r="H2169">
            <v>26977</v>
          </cell>
          <cell r="I2169">
            <v>2</v>
          </cell>
          <cell r="J2169">
            <v>8</v>
          </cell>
          <cell r="K2169">
            <v>0</v>
          </cell>
        </row>
        <row r="2170">
          <cell r="B2170" t="str">
            <v>Douya</v>
          </cell>
          <cell r="C2170" t="str">
            <v>zhanghai/Douya</v>
          </cell>
          <cell r="D2170" t="str">
            <v>zhanghai/Douya</v>
          </cell>
          <cell r="E2170">
            <v>1318</v>
          </cell>
          <cell r="F2170">
            <v>2</v>
          </cell>
          <cell r="G2170">
            <v>1</v>
          </cell>
          <cell r="H2170">
            <v>25350</v>
          </cell>
          <cell r="I2170">
            <v>1174</v>
          </cell>
          <cell r="J2170">
            <v>4543</v>
          </cell>
          <cell r="K2170">
            <v>17</v>
          </cell>
        </row>
        <row r="2171">
          <cell r="B2171" t="str">
            <v>AppWatcher</v>
          </cell>
          <cell r="C2171" t="str">
            <v>anod/AppWatcher</v>
          </cell>
          <cell r="D2171" t="str">
            <v>anod/AppWatcher</v>
          </cell>
          <cell r="E2171">
            <v>1029</v>
          </cell>
          <cell r="F2171">
            <v>3</v>
          </cell>
          <cell r="G2171">
            <v>2</v>
          </cell>
          <cell r="H2171">
            <v>8673</v>
          </cell>
          <cell r="I2171">
            <v>6</v>
          </cell>
          <cell r="J2171">
            <v>55</v>
          </cell>
          <cell r="K2171">
            <v>9</v>
          </cell>
        </row>
        <row r="2172">
          <cell r="B2172" t="str">
            <v>lnch</v>
          </cell>
          <cell r="C2172" t="str">
            <v>italankin/lnch</v>
          </cell>
          <cell r="D2172" t="str">
            <v>italankin/lnch</v>
          </cell>
          <cell r="E2172">
            <v>1186</v>
          </cell>
          <cell r="F2172">
            <v>4</v>
          </cell>
          <cell r="G2172">
            <v>1</v>
          </cell>
          <cell r="H2172">
            <v>3043</v>
          </cell>
          <cell r="I2172">
            <v>1</v>
          </cell>
          <cell r="J2172">
            <v>3</v>
          </cell>
          <cell r="K2172">
            <v>0</v>
          </cell>
        </row>
        <row r="2173">
          <cell r="B2173" t="str">
            <v>dialogue</v>
          </cell>
          <cell r="C2173" t="str">
            <v>zohrevand/dialogue</v>
          </cell>
          <cell r="D2173" t="str">
            <v>zohrevand/dialogue</v>
          </cell>
          <cell r="E2173">
            <v>1107</v>
          </cell>
          <cell r="F2173">
            <v>4</v>
          </cell>
          <cell r="G2173">
            <v>1</v>
          </cell>
          <cell r="H2173">
            <v>2253</v>
          </cell>
          <cell r="I2173">
            <v>0</v>
          </cell>
          <cell r="J2173">
            <v>7</v>
          </cell>
          <cell r="K2173">
            <v>1</v>
          </cell>
        </row>
        <row r="2174">
          <cell r="B2174" t="str">
            <v>ics-openconnect</v>
          </cell>
          <cell r="C2174" t="str">
            <v>cernekee/ics-openconnect</v>
          </cell>
          <cell r="D2174" t="str">
            <v>cernekee/ics-openconnect</v>
          </cell>
          <cell r="E2174">
            <v>1005</v>
          </cell>
          <cell r="F2174">
            <v>5</v>
          </cell>
          <cell r="G2174">
            <v>6</v>
          </cell>
          <cell r="H2174">
            <v>69975</v>
          </cell>
          <cell r="I2174">
            <v>132</v>
          </cell>
          <cell r="J2174">
            <v>333</v>
          </cell>
          <cell r="K2174">
            <v>48</v>
          </cell>
        </row>
        <row r="2175">
          <cell r="B2175" t="str">
            <v>KanaQuiz</v>
          </cell>
          <cell r="C2175" t="str">
            <v>theblackwidower/KanaQuiz</v>
          </cell>
          <cell r="D2175" t="str">
            <v>theblackwidower/KanaQuiz</v>
          </cell>
          <cell r="E2175">
            <v>1292</v>
          </cell>
          <cell r="F2175">
            <v>5</v>
          </cell>
          <cell r="G2175">
            <v>4</v>
          </cell>
          <cell r="H2175">
            <v>2365</v>
          </cell>
          <cell r="I2175">
            <v>5</v>
          </cell>
          <cell r="J2175">
            <v>20</v>
          </cell>
          <cell r="K2175">
            <v>4</v>
          </cell>
        </row>
        <row r="2176">
          <cell r="B2176" t="str">
            <v>Diaguard</v>
          </cell>
          <cell r="C2176" t="str">
            <v>Faltenreich/Diaguard</v>
          </cell>
          <cell r="D2176" t="str">
            <v>Faltenreich/Diaguard</v>
          </cell>
          <cell r="E2176">
            <v>3078</v>
          </cell>
          <cell r="F2176">
            <v>5</v>
          </cell>
          <cell r="G2176">
            <v>5</v>
          </cell>
          <cell r="H2176">
            <v>56573</v>
          </cell>
          <cell r="I2176">
            <v>20</v>
          </cell>
          <cell r="J2176">
            <v>89</v>
          </cell>
          <cell r="K2176">
            <v>19</v>
          </cell>
        </row>
        <row r="2177">
          <cell r="B2177" t="str">
            <v>JL-Mod</v>
          </cell>
          <cell r="C2177" t="str">
            <v>woesss/JL-Mod</v>
          </cell>
          <cell r="D2177" t="str">
            <v>woesss/JL-Mod</v>
          </cell>
          <cell r="E2177">
            <v>1714</v>
          </cell>
          <cell r="F2177">
            <v>5</v>
          </cell>
          <cell r="G2177">
            <v>12</v>
          </cell>
          <cell r="H2177">
            <v>8904</v>
          </cell>
          <cell r="I2177">
            <v>8</v>
          </cell>
          <cell r="J2177">
            <v>86</v>
          </cell>
          <cell r="K2177">
            <v>17</v>
          </cell>
        </row>
        <row r="2178">
          <cell r="B2178" t="str">
            <v>APhotoManager</v>
          </cell>
          <cell r="C2178" t="str">
            <v>k3b/APhotoManager</v>
          </cell>
          <cell r="D2178" t="str">
            <v>k3b/APhotoManager</v>
          </cell>
          <cell r="E2178">
            <v>1128</v>
          </cell>
          <cell r="F2178">
            <v>6</v>
          </cell>
          <cell r="G2178">
            <v>5</v>
          </cell>
          <cell r="H2178">
            <v>9066</v>
          </cell>
          <cell r="I2178">
            <v>58</v>
          </cell>
          <cell r="J2178">
            <v>213</v>
          </cell>
          <cell r="K2178">
            <v>46</v>
          </cell>
        </row>
        <row r="2179">
          <cell r="B2179" t="str">
            <v>lbry-fdroid</v>
          </cell>
          <cell r="C2179" t="str">
            <v>lbryio/lbry-fdroid</v>
          </cell>
          <cell r="D2179" t="str">
            <v>lbryio/lbry-fdroid</v>
          </cell>
          <cell r="E2179">
            <v>1123</v>
          </cell>
          <cell r="F2179">
            <v>6</v>
          </cell>
          <cell r="G2179">
            <v>30</v>
          </cell>
          <cell r="H2179">
            <v>505120</v>
          </cell>
          <cell r="I2179">
            <v>4</v>
          </cell>
          <cell r="J2179">
            <v>59</v>
          </cell>
          <cell r="K2179">
            <v>2</v>
          </cell>
        </row>
        <row r="2180">
          <cell r="B2180" t="str">
            <v>wine</v>
          </cell>
          <cell r="C2180" t="str">
            <v>KillyIO/wine</v>
          </cell>
          <cell r="D2180" t="str">
            <v>KillyIO/wine</v>
          </cell>
          <cell r="E2180">
            <v>1152</v>
          </cell>
          <cell r="F2180">
            <v>6</v>
          </cell>
          <cell r="G2180">
            <v>1</v>
          </cell>
          <cell r="H2180">
            <v>8221</v>
          </cell>
          <cell r="I2180">
            <v>0</v>
          </cell>
          <cell r="J2180">
            <v>9</v>
          </cell>
          <cell r="K2180">
            <v>1</v>
          </cell>
        </row>
        <row r="2181">
          <cell r="B2181" t="str">
            <v>ProxerAndroid</v>
          </cell>
          <cell r="C2181" t="str">
            <v>proxer/ProxerAndroid</v>
          </cell>
          <cell r="D2181" t="str">
            <v>proxer/ProxerAndroid</v>
          </cell>
          <cell r="E2181">
            <v>3326</v>
          </cell>
          <cell r="F2181">
            <v>6</v>
          </cell>
          <cell r="G2181">
            <v>6</v>
          </cell>
          <cell r="H2181">
            <v>81105</v>
          </cell>
          <cell r="I2181">
            <v>15</v>
          </cell>
          <cell r="J2181">
            <v>109</v>
          </cell>
          <cell r="K2181">
            <v>10</v>
          </cell>
        </row>
        <row r="2182">
          <cell r="B2182" t="str">
            <v>QuasselDroid-ng</v>
          </cell>
          <cell r="C2182" t="str">
            <v>justjanne/QuasselDroid-ng</v>
          </cell>
          <cell r="D2182" t="str">
            <v>justjanne/QuasselDroid-ng</v>
          </cell>
          <cell r="E2182">
            <v>1335</v>
          </cell>
          <cell r="F2182">
            <v>7</v>
          </cell>
          <cell r="G2182">
            <v>4</v>
          </cell>
          <cell r="H2182">
            <v>28044</v>
          </cell>
          <cell r="I2182">
            <v>13</v>
          </cell>
          <cell r="J2182">
            <v>63</v>
          </cell>
          <cell r="K2182">
            <v>2</v>
          </cell>
        </row>
        <row r="2183">
          <cell r="B2183" t="str">
            <v>drip</v>
          </cell>
          <cell r="C2183" t="str">
            <v>bloodyhealth/drip</v>
          </cell>
          <cell r="D2183" t="str">
            <v>bloodyhealth/drip</v>
          </cell>
          <cell r="E2183">
            <v>1649</v>
          </cell>
          <cell r="F2183">
            <v>7</v>
          </cell>
          <cell r="G2183">
            <v>19</v>
          </cell>
          <cell r="H2183">
            <v>10464</v>
          </cell>
          <cell r="I2183">
            <v>1</v>
          </cell>
          <cell r="J2183">
            <v>16</v>
          </cell>
          <cell r="K2183">
            <v>6</v>
          </cell>
        </row>
        <row r="2184">
          <cell r="B2184" t="str">
            <v>al-azan</v>
          </cell>
          <cell r="C2184" t="str">
            <v>meypod/al-azan</v>
          </cell>
          <cell r="D2184" t="str">
            <v>meypod/al-azan</v>
          </cell>
          <cell r="E2184">
            <v>1109</v>
          </cell>
          <cell r="F2184">
            <v>7</v>
          </cell>
          <cell r="G2184">
            <v>3</v>
          </cell>
          <cell r="H2184">
            <v>22163</v>
          </cell>
          <cell r="I2184">
            <v>10</v>
          </cell>
          <cell r="J2184">
            <v>94</v>
          </cell>
          <cell r="K2184">
            <v>9</v>
          </cell>
        </row>
        <row r="2185">
          <cell r="B2185" t="str">
            <v>snikket-android</v>
          </cell>
          <cell r="C2185" t="str">
            <v>snikket-im/snikket-android</v>
          </cell>
          <cell r="D2185" t="str">
            <v>snikket-im/snikket-android</v>
          </cell>
          <cell r="E2185">
            <v>7279</v>
          </cell>
          <cell r="F2185">
            <v>8</v>
          </cell>
          <cell r="G2185">
            <v>145</v>
          </cell>
          <cell r="H2185">
            <v>35352</v>
          </cell>
          <cell r="I2185">
            <v>13</v>
          </cell>
          <cell r="J2185">
            <v>76</v>
          </cell>
          <cell r="K2185">
            <v>35</v>
          </cell>
        </row>
        <row r="2186">
          <cell r="B2186" t="str">
            <v>android-app</v>
          </cell>
          <cell r="C2186" t="str">
            <v>LISTEN-moe/android-app</v>
          </cell>
          <cell r="D2186" t="str">
            <v>LISTEN-moe/android-app</v>
          </cell>
          <cell r="E2186">
            <v>1586</v>
          </cell>
          <cell r="F2186">
            <v>8</v>
          </cell>
          <cell r="G2186">
            <v>10</v>
          </cell>
          <cell r="H2186">
            <v>34579</v>
          </cell>
          <cell r="I2186">
            <v>26</v>
          </cell>
          <cell r="J2186">
            <v>221</v>
          </cell>
          <cell r="K2186">
            <v>3</v>
          </cell>
        </row>
        <row r="2187">
          <cell r="B2187" t="str">
            <v>RabbitRemoteControl</v>
          </cell>
          <cell r="C2187" t="str">
            <v>KangLin/RabbitRemoteControl</v>
          </cell>
          <cell r="D2187" t="str">
            <v>KangLin/RabbitRemoteControl</v>
          </cell>
          <cell r="E2187">
            <v>1405</v>
          </cell>
          <cell r="F2187">
            <v>8</v>
          </cell>
          <cell r="G2187">
            <v>3</v>
          </cell>
          <cell r="H2187">
            <v>8219</v>
          </cell>
          <cell r="I2187">
            <v>51</v>
          </cell>
          <cell r="J2187">
            <v>90</v>
          </cell>
          <cell r="K2187">
            <v>2</v>
          </cell>
        </row>
        <row r="2188">
          <cell r="B2188" t="str">
            <v>caveexpress</v>
          </cell>
          <cell r="C2188" t="str">
            <v>mgerhardy/caveexpress</v>
          </cell>
          <cell r="D2188" t="str">
            <v>mgerhardy/caveexpress</v>
          </cell>
          <cell r="E2188">
            <v>3366</v>
          </cell>
          <cell r="F2188">
            <v>8</v>
          </cell>
          <cell r="G2188">
            <v>5</v>
          </cell>
          <cell r="H2188">
            <v>728023</v>
          </cell>
          <cell r="I2188">
            <v>23</v>
          </cell>
          <cell r="J2188">
            <v>133</v>
          </cell>
          <cell r="K2188">
            <v>26</v>
          </cell>
        </row>
        <row r="2189">
          <cell r="B2189" t="str">
            <v>Arcane-Tracker</v>
          </cell>
          <cell r="C2189" t="str">
            <v>HearthSim/Arcane-Tracker</v>
          </cell>
          <cell r="D2189" t="str">
            <v>HearthSim/Arcane-Tracker</v>
          </cell>
          <cell r="E2189">
            <v>1090</v>
          </cell>
          <cell r="F2189">
            <v>10</v>
          </cell>
          <cell r="G2189">
            <v>5</v>
          </cell>
          <cell r="H2189">
            <v>123812</v>
          </cell>
          <cell r="I2189">
            <v>35</v>
          </cell>
          <cell r="J2189">
            <v>148</v>
          </cell>
          <cell r="K2189">
            <v>105</v>
          </cell>
        </row>
        <row r="2190">
          <cell r="B2190" t="str">
            <v>green_android</v>
          </cell>
          <cell r="C2190" t="str">
            <v>Blockstream/green_android</v>
          </cell>
          <cell r="D2190" t="str">
            <v>Blockstream/green_android</v>
          </cell>
          <cell r="E2190">
            <v>1565</v>
          </cell>
          <cell r="F2190">
            <v>11</v>
          </cell>
          <cell r="G2190">
            <v>16</v>
          </cell>
          <cell r="H2190">
            <v>24567</v>
          </cell>
          <cell r="I2190">
            <v>66</v>
          </cell>
          <cell r="J2190">
            <v>134</v>
          </cell>
          <cell r="K2190">
            <v>44</v>
          </cell>
        </row>
        <row r="2191">
          <cell r="B2191" t="str">
            <v>orion-viewer</v>
          </cell>
          <cell r="C2191" t="str">
            <v>max-kammerer/orion-viewer</v>
          </cell>
          <cell r="D2191" t="str">
            <v>max-kammerer/orion-viewer</v>
          </cell>
          <cell r="E2191">
            <v>1083</v>
          </cell>
          <cell r="F2191">
            <v>13</v>
          </cell>
          <cell r="G2191">
            <v>19</v>
          </cell>
          <cell r="H2191">
            <v>32731</v>
          </cell>
          <cell r="I2191">
            <v>46</v>
          </cell>
          <cell r="J2191">
            <v>95</v>
          </cell>
          <cell r="K2191">
            <v>19</v>
          </cell>
        </row>
        <row r="2192">
          <cell r="B2192" t="str">
            <v>NightLight</v>
          </cell>
          <cell r="C2192" t="str">
            <v>corphish/NightLight</v>
          </cell>
          <cell r="D2192" t="str">
            <v>corphish/NightLight</v>
          </cell>
          <cell r="E2192">
            <v>1102</v>
          </cell>
          <cell r="F2192">
            <v>14</v>
          </cell>
          <cell r="G2192">
            <v>7</v>
          </cell>
          <cell r="H2192">
            <v>4033</v>
          </cell>
          <cell r="I2192">
            <v>12</v>
          </cell>
          <cell r="J2192">
            <v>67</v>
          </cell>
          <cell r="K2192">
            <v>6</v>
          </cell>
        </row>
        <row r="2193">
          <cell r="B2193" t="str">
            <v>Phonograph_Plus</v>
          </cell>
          <cell r="C2193" t="str">
            <v>chr56/Phonograph_Plus</v>
          </cell>
          <cell r="D2193" t="str">
            <v>chr56/Phonograph_Plus</v>
          </cell>
          <cell r="E2193">
            <v>3496</v>
          </cell>
          <cell r="F2193">
            <v>14</v>
          </cell>
          <cell r="G2193">
            <v>6</v>
          </cell>
          <cell r="H2193">
            <v>13034</v>
          </cell>
          <cell r="I2193">
            <v>5</v>
          </cell>
          <cell r="J2193">
            <v>121</v>
          </cell>
          <cell r="K2193">
            <v>26</v>
          </cell>
        </row>
        <row r="2194">
          <cell r="B2194" t="str">
            <v>apg</v>
          </cell>
          <cell r="C2194" t="str">
            <v>thialfihar/apg</v>
          </cell>
          <cell r="D2194" t="str">
            <v>thialfihar/apg</v>
          </cell>
          <cell r="E2194">
            <v>4367</v>
          </cell>
          <cell r="F2194">
            <v>15</v>
          </cell>
          <cell r="G2194">
            <v>52</v>
          </cell>
          <cell r="H2194">
            <v>64881</v>
          </cell>
          <cell r="I2194">
            <v>77</v>
          </cell>
          <cell r="J2194">
            <v>235</v>
          </cell>
          <cell r="K2194">
            <v>65</v>
          </cell>
        </row>
        <row r="2195">
          <cell r="B2195" t="str">
            <v>polaris-android</v>
          </cell>
          <cell r="C2195" t="str">
            <v>agersant/polaris-android</v>
          </cell>
          <cell r="D2195" t="str">
            <v>agersant/polaris-android</v>
          </cell>
          <cell r="E2195">
            <v>1059</v>
          </cell>
          <cell r="F2195">
            <v>16</v>
          </cell>
          <cell r="G2195">
            <v>6</v>
          </cell>
          <cell r="H2195">
            <v>40223</v>
          </cell>
          <cell r="I2195">
            <v>7</v>
          </cell>
          <cell r="J2195">
            <v>58</v>
          </cell>
          <cell r="K2195">
            <v>12</v>
          </cell>
        </row>
        <row r="2196">
          <cell r="B2196" t="str">
            <v>Android-SimpleTimeTracker</v>
          </cell>
          <cell r="C2196" t="str">
            <v>Razeeman/Android-SimpleTimeTracker</v>
          </cell>
          <cell r="D2196" t="str">
            <v>Razeeman/Android-SimpleTimeTracker</v>
          </cell>
          <cell r="E2196">
            <v>1236</v>
          </cell>
          <cell r="F2196">
            <v>16</v>
          </cell>
          <cell r="G2196">
            <v>26</v>
          </cell>
          <cell r="H2196">
            <v>32490</v>
          </cell>
          <cell r="I2196">
            <v>30</v>
          </cell>
          <cell r="J2196">
            <v>218</v>
          </cell>
          <cell r="K2196">
            <v>30</v>
          </cell>
        </row>
        <row r="2197">
          <cell r="B2197" t="str">
            <v>telegram-sms</v>
          </cell>
          <cell r="C2197" t="str">
            <v>telegram-sms/telegram-sms</v>
          </cell>
          <cell r="D2197" t="str">
            <v>telegram-sms/telegram-sms</v>
          </cell>
          <cell r="E2197">
            <v>1168</v>
          </cell>
          <cell r="F2197">
            <v>16</v>
          </cell>
          <cell r="G2197">
            <v>7</v>
          </cell>
          <cell r="H2197">
            <v>3490</v>
          </cell>
          <cell r="I2197">
            <v>135</v>
          </cell>
          <cell r="J2197">
            <v>1362</v>
          </cell>
          <cell r="K2197">
            <v>0</v>
          </cell>
        </row>
        <row r="2198">
          <cell r="B2198" t="str">
            <v>MoonMeet-CrossPlatform</v>
          </cell>
          <cell r="C2198" t="str">
            <v>MoonMeet/MoonMeet-CrossPlatform</v>
          </cell>
          <cell r="D2198" t="str">
            <v>MoonMeet/MoonMeet-CrossPlatform</v>
          </cell>
          <cell r="E2198">
            <v>1059</v>
          </cell>
          <cell r="F2198">
            <v>16</v>
          </cell>
          <cell r="G2198">
            <v>6</v>
          </cell>
          <cell r="H2198">
            <v>19496</v>
          </cell>
          <cell r="I2198">
            <v>4</v>
          </cell>
          <cell r="J2198">
            <v>14</v>
          </cell>
          <cell r="K2198">
            <v>0</v>
          </cell>
        </row>
        <row r="2199">
          <cell r="B2199" t="str">
            <v>SkyTubeLegacy</v>
          </cell>
          <cell r="C2199" t="str">
            <v>SkyTubeTeam/SkyTubeLegacy</v>
          </cell>
          <cell r="D2199" t="str">
            <v>SkyTubeTeam/SkyTubeLegacy</v>
          </cell>
          <cell r="E2199">
            <v>4079</v>
          </cell>
          <cell r="F2199">
            <v>17</v>
          </cell>
          <cell r="G2199">
            <v>172</v>
          </cell>
          <cell r="H2199">
            <v>17534</v>
          </cell>
          <cell r="I2199">
            <v>5</v>
          </cell>
          <cell r="J2199">
            <v>16</v>
          </cell>
          <cell r="K2199">
            <v>2</v>
          </cell>
        </row>
        <row r="2200">
          <cell r="B2200" t="str">
            <v>mindful-android-launcher</v>
          </cell>
          <cell r="C2200" t="str">
            <v>maysax/mindful-android-launcher</v>
          </cell>
          <cell r="D2200" t="str">
            <v>maysax/mindful-android-launcher</v>
          </cell>
          <cell r="E2200">
            <v>3055</v>
          </cell>
          <cell r="F2200">
            <v>17</v>
          </cell>
          <cell r="G2200">
            <v>17</v>
          </cell>
          <cell r="H2200">
            <v>51179</v>
          </cell>
          <cell r="I2200">
            <v>5</v>
          </cell>
          <cell r="J2200">
            <v>38</v>
          </cell>
          <cell r="K2200">
            <v>3</v>
          </cell>
        </row>
        <row r="2201">
          <cell r="B2201" t="str">
            <v>trekarta</v>
          </cell>
          <cell r="C2201" t="str">
            <v>andreynovikov/trekarta</v>
          </cell>
          <cell r="D2201" t="str">
            <v>andreynovikov/trekarta</v>
          </cell>
          <cell r="E2201">
            <v>1130</v>
          </cell>
          <cell r="F2201">
            <v>18</v>
          </cell>
          <cell r="G2201">
            <v>6</v>
          </cell>
          <cell r="H2201">
            <v>60039</v>
          </cell>
          <cell r="I2201">
            <v>21</v>
          </cell>
          <cell r="J2201">
            <v>121</v>
          </cell>
          <cell r="K2201">
            <v>68</v>
          </cell>
        </row>
        <row r="2202">
          <cell r="B2202" t="str">
            <v>getback_gps</v>
          </cell>
          <cell r="C2202" t="str">
            <v>ruleant/getback_gps</v>
          </cell>
          <cell r="D2202" t="str">
            <v>ruleant/getback_gps</v>
          </cell>
          <cell r="E2202">
            <v>2320</v>
          </cell>
          <cell r="F2202">
            <v>18</v>
          </cell>
          <cell r="G2202">
            <v>55</v>
          </cell>
          <cell r="H2202">
            <v>24100</v>
          </cell>
          <cell r="I2202">
            <v>18</v>
          </cell>
          <cell r="J2202">
            <v>45</v>
          </cell>
          <cell r="K2202">
            <v>61</v>
          </cell>
        </row>
        <row r="2203">
          <cell r="B2203" t="str">
            <v>boorusphere</v>
          </cell>
          <cell r="C2203" t="str">
            <v>nullxception/boorusphere</v>
          </cell>
          <cell r="D2203" t="str">
            <v>nullxception/boorusphere</v>
          </cell>
          <cell r="E2203">
            <v>1147</v>
          </cell>
          <cell r="F2203">
            <v>18</v>
          </cell>
          <cell r="G2203">
            <v>11</v>
          </cell>
          <cell r="H2203">
            <v>10728</v>
          </cell>
          <cell r="I2203">
            <v>13</v>
          </cell>
          <cell r="J2203">
            <v>152</v>
          </cell>
          <cell r="K2203">
            <v>6</v>
          </cell>
        </row>
        <row r="2204">
          <cell r="B2204" t="str">
            <v>steedos-notification-center</v>
          </cell>
          <cell r="C2204" t="str">
            <v>steedos/steedos-notification-center</v>
          </cell>
          <cell r="D2204" t="str">
            <v>steedos/steedos-notification-center</v>
          </cell>
          <cell r="E2204">
            <v>2238</v>
          </cell>
          <cell r="F2204">
            <v>19</v>
          </cell>
          <cell r="G2204">
            <v>18</v>
          </cell>
          <cell r="H2204">
            <v>117507</v>
          </cell>
          <cell r="I2204">
            <v>2</v>
          </cell>
          <cell r="J2204">
            <v>2</v>
          </cell>
          <cell r="K2204">
            <v>15</v>
          </cell>
        </row>
        <row r="2205">
          <cell r="B2205" t="str">
            <v>kite-app</v>
          </cell>
          <cell r="C2205" t="str">
            <v>SIT-kite/kite-app</v>
          </cell>
          <cell r="D2205" t="str">
            <v>SIT-kite/kite-app</v>
          </cell>
          <cell r="E2205">
            <v>2481</v>
          </cell>
          <cell r="F2205">
            <v>19</v>
          </cell>
          <cell r="G2205">
            <v>10</v>
          </cell>
          <cell r="H2205">
            <v>16223</v>
          </cell>
          <cell r="I2205">
            <v>10</v>
          </cell>
          <cell r="J2205">
            <v>29</v>
          </cell>
          <cell r="K2205">
            <v>26</v>
          </cell>
        </row>
        <row r="2206">
          <cell r="B2206" t="str">
            <v>androidbible</v>
          </cell>
          <cell r="C2206" t="str">
            <v>yukuku/androidbible</v>
          </cell>
          <cell r="D2206" t="str">
            <v>yukuku/androidbible</v>
          </cell>
          <cell r="E2206">
            <v>3876</v>
          </cell>
          <cell r="F2206">
            <v>19</v>
          </cell>
          <cell r="G2206">
            <v>9</v>
          </cell>
          <cell r="H2206">
            <v>70805</v>
          </cell>
          <cell r="I2206">
            <v>163</v>
          </cell>
          <cell r="J2206">
            <v>262</v>
          </cell>
          <cell r="K2206">
            <v>20</v>
          </cell>
        </row>
        <row r="2207">
          <cell r="B2207" t="str">
            <v>mirakel-android</v>
          </cell>
          <cell r="C2207" t="str">
            <v>MirakelX/mirakel-android</v>
          </cell>
          <cell r="D2207" t="str">
            <v>MirakelX/mirakel-android</v>
          </cell>
          <cell r="E2207">
            <v>3725</v>
          </cell>
          <cell r="F2207">
            <v>20</v>
          </cell>
          <cell r="G2207">
            <v>9</v>
          </cell>
          <cell r="H2207">
            <v>106238</v>
          </cell>
          <cell r="I2207">
            <v>120</v>
          </cell>
          <cell r="J2207">
            <v>390</v>
          </cell>
          <cell r="K2207">
            <v>54</v>
          </cell>
        </row>
        <row r="2208">
          <cell r="B2208" t="str">
            <v>android-app</v>
          </cell>
          <cell r="C2208" t="str">
            <v>ProtonVPN/android-app</v>
          </cell>
          <cell r="D2208" t="str">
            <v>ProtonVPN/android-app</v>
          </cell>
          <cell r="E2208">
            <v>1970</v>
          </cell>
          <cell r="F2208">
            <v>21</v>
          </cell>
          <cell r="G2208">
            <v>21</v>
          </cell>
          <cell r="H2208">
            <v>225275</v>
          </cell>
          <cell r="I2208">
            <v>200</v>
          </cell>
          <cell r="J2208">
            <v>1267</v>
          </cell>
          <cell r="K2208">
            <v>46</v>
          </cell>
        </row>
        <row r="2209">
          <cell r="B2209" t="str">
            <v>Kvaesitso</v>
          </cell>
          <cell r="C2209" t="str">
            <v>MM2-0/Kvaesitso</v>
          </cell>
          <cell r="D2209" t="str">
            <v>MM2-0/Kvaesitso</v>
          </cell>
          <cell r="E2209">
            <v>1703</v>
          </cell>
          <cell r="F2209">
            <v>21</v>
          </cell>
          <cell r="G2209">
            <v>141</v>
          </cell>
          <cell r="H2209">
            <v>53817</v>
          </cell>
          <cell r="I2209">
            <v>23</v>
          </cell>
          <cell r="J2209">
            <v>949</v>
          </cell>
          <cell r="K2209">
            <v>135</v>
          </cell>
        </row>
        <row r="2210">
          <cell r="B2210" t="str">
            <v>your-local-weather</v>
          </cell>
          <cell r="C2210" t="str">
            <v>thuryn/your-local-weather</v>
          </cell>
          <cell r="D2210" t="str">
            <v>thuryn/your-local-weather</v>
          </cell>
          <cell r="E2210">
            <v>5366</v>
          </cell>
          <cell r="F2210">
            <v>22</v>
          </cell>
          <cell r="G2210">
            <v>302</v>
          </cell>
          <cell r="H2210">
            <v>62484</v>
          </cell>
          <cell r="I2210">
            <v>33</v>
          </cell>
          <cell r="J2210">
            <v>122</v>
          </cell>
          <cell r="K2210">
            <v>43</v>
          </cell>
        </row>
        <row r="2211">
          <cell r="B2211" t="str">
            <v>NextINpact-Unofficial</v>
          </cell>
          <cell r="C2211" t="str">
            <v>AnaelMobilia/NextINpact-Unofficial</v>
          </cell>
          <cell r="D2211" t="str">
            <v>AnaelMobilia/NextINpact-Unofficial</v>
          </cell>
          <cell r="E2211">
            <v>1410</v>
          </cell>
          <cell r="F2211">
            <v>22</v>
          </cell>
          <cell r="G2211">
            <v>4</v>
          </cell>
          <cell r="H2211">
            <v>18871</v>
          </cell>
          <cell r="I2211">
            <v>2</v>
          </cell>
          <cell r="J2211">
            <v>11</v>
          </cell>
          <cell r="K2211">
            <v>0</v>
          </cell>
        </row>
        <row r="2212">
          <cell r="B2212" t="str">
            <v>gearshift</v>
          </cell>
          <cell r="C2212" t="str">
            <v>urandom/gearshift</v>
          </cell>
          <cell r="D2212" t="str">
            <v>urandom/gearshift</v>
          </cell>
          <cell r="E2212">
            <v>1042</v>
          </cell>
          <cell r="F2212">
            <v>23</v>
          </cell>
          <cell r="G2212">
            <v>7</v>
          </cell>
          <cell r="H2212">
            <v>4517</v>
          </cell>
          <cell r="I2212">
            <v>11</v>
          </cell>
          <cell r="J2212">
            <v>70</v>
          </cell>
          <cell r="K2212">
            <v>8</v>
          </cell>
        </row>
        <row r="2213">
          <cell r="B2213" t="str">
            <v>helio-workstation</v>
          </cell>
          <cell r="C2213" t="str">
            <v>helio-fm/helio-workstation</v>
          </cell>
          <cell r="D2213" t="str">
            <v>helio-fm/helio-sequencer</v>
          </cell>
          <cell r="E2213">
            <v>1899</v>
          </cell>
          <cell r="F2213">
            <v>23</v>
          </cell>
          <cell r="G2213">
            <v>10</v>
          </cell>
          <cell r="H2213">
            <v>48953</v>
          </cell>
          <cell r="I2213">
            <v>111</v>
          </cell>
          <cell r="J2213">
            <v>2714</v>
          </cell>
          <cell r="K2213">
            <v>61</v>
          </cell>
        </row>
        <row r="2214">
          <cell r="B2214" t="str">
            <v>coffeecutie</v>
          </cell>
          <cell r="C2214" t="str">
            <v>hbirchtree/coffeecutie</v>
          </cell>
          <cell r="D2214" t="str">
            <v>hbirchtree/coffeecutie</v>
          </cell>
          <cell r="E2214">
            <v>3510</v>
          </cell>
          <cell r="F2214">
            <v>24</v>
          </cell>
          <cell r="G2214">
            <v>1</v>
          </cell>
          <cell r="H2214">
            <v>99241</v>
          </cell>
          <cell r="I2214">
            <v>0</v>
          </cell>
          <cell r="J2214">
            <v>6</v>
          </cell>
          <cell r="K2214">
            <v>0</v>
          </cell>
        </row>
        <row r="2215">
          <cell r="B2215" t="str">
            <v>einkbro</v>
          </cell>
          <cell r="C2215" t="str">
            <v>plateaukao/einkbro</v>
          </cell>
          <cell r="D2215" t="str">
            <v>plateaukao/einkbro</v>
          </cell>
          <cell r="E2215">
            <v>2015</v>
          </cell>
          <cell r="F2215">
            <v>26</v>
          </cell>
          <cell r="G2215">
            <v>33</v>
          </cell>
          <cell r="H2215">
            <v>33141</v>
          </cell>
          <cell r="I2215">
            <v>50</v>
          </cell>
          <cell r="J2215">
            <v>642</v>
          </cell>
          <cell r="K2215">
            <v>11</v>
          </cell>
        </row>
        <row r="2216">
          <cell r="B2216" t="str">
            <v>Cataclysm-DDA-Android</v>
          </cell>
          <cell r="C2216" t="str">
            <v>a1studmuffin/Cataclysm-DDA-Android</v>
          </cell>
          <cell r="D2216" t="str">
            <v>a1studmuffin/Cataclysm-DDA-Android</v>
          </cell>
          <cell r="E2216">
            <v>49994</v>
          </cell>
          <cell r="F2216">
            <v>27</v>
          </cell>
          <cell r="G2216">
            <v>348</v>
          </cell>
          <cell r="H2216">
            <v>884881</v>
          </cell>
          <cell r="I2216">
            <v>11</v>
          </cell>
          <cell r="J2216">
            <v>58</v>
          </cell>
          <cell r="K2216">
            <v>1</v>
          </cell>
        </row>
        <row r="2217">
          <cell r="B2217" t="str">
            <v>AndrOBD</v>
          </cell>
          <cell r="C2217" t="str">
            <v>fr3ts0n/AndrOBD</v>
          </cell>
          <cell r="D2217" t="str">
            <v>fr3ts0n/AndrOBD</v>
          </cell>
          <cell r="E2217">
            <v>1581</v>
          </cell>
          <cell r="F2217">
            <v>28</v>
          </cell>
          <cell r="G2217">
            <v>203</v>
          </cell>
          <cell r="H2217">
            <v>51606</v>
          </cell>
          <cell r="I2217">
            <v>256</v>
          </cell>
          <cell r="J2217">
            <v>981</v>
          </cell>
          <cell r="K2217">
            <v>62</v>
          </cell>
        </row>
        <row r="2218">
          <cell r="B2218" t="str">
            <v>andstatus</v>
          </cell>
          <cell r="C2218" t="str">
            <v>andstatus/andstatus</v>
          </cell>
          <cell r="D2218" t="str">
            <v>andstatus/andstatus</v>
          </cell>
          <cell r="E2218">
            <v>2839</v>
          </cell>
          <cell r="F2218">
            <v>28</v>
          </cell>
          <cell r="G2218">
            <v>8</v>
          </cell>
          <cell r="H2218">
            <v>49005</v>
          </cell>
          <cell r="I2218">
            <v>69</v>
          </cell>
          <cell r="J2218">
            <v>298</v>
          </cell>
          <cell r="K2218">
            <v>82</v>
          </cell>
        </row>
        <row r="2219">
          <cell r="B2219" t="str">
            <v>MaterialFiles</v>
          </cell>
          <cell r="C2219" t="str">
            <v>zhanghai/MaterialFiles</v>
          </cell>
          <cell r="D2219" t="str">
            <v>zhanghai/MaterialFiles</v>
          </cell>
          <cell r="E2219">
            <v>2103</v>
          </cell>
          <cell r="F2219">
            <v>28</v>
          </cell>
          <cell r="G2219">
            <v>2</v>
          </cell>
          <cell r="H2219">
            <v>14495</v>
          </cell>
          <cell r="I2219">
            <v>281</v>
          </cell>
          <cell r="J2219">
            <v>3183</v>
          </cell>
          <cell r="K2219">
            <v>283</v>
          </cell>
        </row>
        <row r="2220">
          <cell r="B2220" t="str">
            <v>DanXi</v>
          </cell>
          <cell r="C2220" t="str">
            <v>DanXi-Dev/DanXi</v>
          </cell>
          <cell r="D2220" t="str">
            <v>DanXi-Dev/DanXi</v>
          </cell>
          <cell r="E2220">
            <v>2091</v>
          </cell>
          <cell r="F2220">
            <v>29</v>
          </cell>
          <cell r="G2220">
            <v>12</v>
          </cell>
          <cell r="H2220">
            <v>142125</v>
          </cell>
          <cell r="I2220">
            <v>25</v>
          </cell>
          <cell r="J2220">
            <v>142</v>
          </cell>
          <cell r="K2220">
            <v>20</v>
          </cell>
        </row>
        <row r="2221">
          <cell r="B2221" t="str">
            <v>zapp</v>
          </cell>
          <cell r="C2221" t="str">
            <v>mediathekview/zapp</v>
          </cell>
          <cell r="D2221" t="str">
            <v>mediathekview/zapp</v>
          </cell>
          <cell r="E2221">
            <v>1550</v>
          </cell>
          <cell r="F2221">
            <v>30</v>
          </cell>
          <cell r="G2221">
            <v>15</v>
          </cell>
          <cell r="H2221">
            <v>16214</v>
          </cell>
          <cell r="I2221">
            <v>32</v>
          </cell>
          <cell r="J2221">
            <v>159</v>
          </cell>
          <cell r="K2221">
            <v>43</v>
          </cell>
        </row>
        <row r="2222">
          <cell r="B2222" t="str">
            <v>twittnuker</v>
          </cell>
          <cell r="C2222" t="str">
            <v>vanita5/twittnuker</v>
          </cell>
          <cell r="D2222" t="str">
            <v>eliah-w/twittnuker</v>
          </cell>
          <cell r="E2222">
            <v>3082</v>
          </cell>
          <cell r="F2222">
            <v>30</v>
          </cell>
          <cell r="G2222">
            <v>5</v>
          </cell>
          <cell r="H2222">
            <v>126498</v>
          </cell>
          <cell r="I2222">
            <v>24</v>
          </cell>
          <cell r="J2222">
            <v>117</v>
          </cell>
          <cell r="K2222">
            <v>18</v>
          </cell>
        </row>
        <row r="2223">
          <cell r="B2223" t="str">
            <v>AcDisplay</v>
          </cell>
          <cell r="C2223" t="str">
            <v>AChep/AcDisplay</v>
          </cell>
          <cell r="D2223" t="str">
            <v>AChep/AcDisplay</v>
          </cell>
          <cell r="E2223">
            <v>1114</v>
          </cell>
          <cell r="F2223">
            <v>31</v>
          </cell>
          <cell r="G2223">
            <v>7</v>
          </cell>
          <cell r="H2223">
            <v>15745</v>
          </cell>
          <cell r="I2223">
            <v>230</v>
          </cell>
          <cell r="J2223">
            <v>739</v>
          </cell>
          <cell r="K2223">
            <v>41</v>
          </cell>
        </row>
        <row r="2224">
          <cell r="B2224" t="str">
            <v>calendula</v>
          </cell>
          <cell r="C2224" t="str">
            <v>citiususc/calendula</v>
          </cell>
          <cell r="D2224" t="str">
            <v>citiususc/calendula</v>
          </cell>
          <cell r="E2224">
            <v>1397</v>
          </cell>
          <cell r="F2224">
            <v>31</v>
          </cell>
          <cell r="G2224">
            <v>12</v>
          </cell>
          <cell r="H2224">
            <v>43288</v>
          </cell>
          <cell r="I2224">
            <v>107</v>
          </cell>
          <cell r="J2224">
            <v>192</v>
          </cell>
          <cell r="K2224">
            <v>47</v>
          </cell>
        </row>
        <row r="2225">
          <cell r="B2225" t="str">
            <v>android-odeon</v>
          </cell>
          <cell r="C2225" t="str">
            <v>thibseisel/android-odeon</v>
          </cell>
          <cell r="D2225" t="str">
            <v>thibseisel/android-odeon</v>
          </cell>
          <cell r="E2225">
            <v>2005</v>
          </cell>
          <cell r="F2225">
            <v>32</v>
          </cell>
          <cell r="G2225">
            <v>2</v>
          </cell>
          <cell r="H2225">
            <v>14619</v>
          </cell>
          <cell r="I2225">
            <v>8</v>
          </cell>
          <cell r="J2225">
            <v>65</v>
          </cell>
          <cell r="K2225">
            <v>21</v>
          </cell>
        </row>
        <row r="2226">
          <cell r="B2226" t="str">
            <v>linphone-android</v>
          </cell>
          <cell r="C2226" t="str">
            <v>BelledonneCommunications/linphone-android</v>
          </cell>
          <cell r="D2226" t="str">
            <v>BelledonneCommunications/linphone-android</v>
          </cell>
          <cell r="E2226">
            <v>7803</v>
          </cell>
          <cell r="F2226">
            <v>33</v>
          </cell>
          <cell r="G2226">
            <v>49</v>
          </cell>
          <cell r="H2226">
            <v>88654</v>
          </cell>
          <cell r="I2226">
            <v>623</v>
          </cell>
          <cell r="J2226">
            <v>961</v>
          </cell>
          <cell r="K2226">
            <v>16</v>
          </cell>
        </row>
        <row r="2227">
          <cell r="B2227" t="str">
            <v>boardgamegeek4android</v>
          </cell>
          <cell r="C2227" t="str">
            <v>ccomeaux/boardgamegeek4android</v>
          </cell>
          <cell r="D2227" t="str">
            <v>ccomeaux/boardgamegeek4android</v>
          </cell>
          <cell r="E2227">
            <v>6349</v>
          </cell>
          <cell r="F2227">
            <v>36</v>
          </cell>
          <cell r="G2227">
            <v>12</v>
          </cell>
          <cell r="H2227">
            <v>34355</v>
          </cell>
          <cell r="I2227">
            <v>46</v>
          </cell>
          <cell r="J2227">
            <v>221</v>
          </cell>
          <cell r="K2227">
            <v>46</v>
          </cell>
        </row>
        <row r="2228">
          <cell r="B2228" t="str">
            <v>CPyMO</v>
          </cell>
          <cell r="C2228" t="str">
            <v>Strrationalism/CPyMO</v>
          </cell>
          <cell r="D2228" t="str">
            <v>Strrationalism/CPyMO</v>
          </cell>
          <cell r="E2228">
            <v>1500</v>
          </cell>
          <cell r="F2228">
            <v>36</v>
          </cell>
          <cell r="G2228">
            <v>2</v>
          </cell>
          <cell r="H2228">
            <v>7048</v>
          </cell>
          <cell r="I2228">
            <v>8</v>
          </cell>
          <cell r="J2228">
            <v>96</v>
          </cell>
          <cell r="K2228">
            <v>2</v>
          </cell>
        </row>
        <row r="2229">
          <cell r="B2229" t="str">
            <v>enroute</v>
          </cell>
          <cell r="C2229" t="str">
            <v>Akaflieg-Freiburg/enroute</v>
          </cell>
          <cell r="D2229" t="str">
            <v>Akaflieg-Freiburg/enroute</v>
          </cell>
          <cell r="E2229">
            <v>2603</v>
          </cell>
          <cell r="F2229">
            <v>37</v>
          </cell>
          <cell r="G2229">
            <v>11</v>
          </cell>
          <cell r="H2229">
            <v>350669</v>
          </cell>
          <cell r="I2229">
            <v>20</v>
          </cell>
          <cell r="J2229">
            <v>59</v>
          </cell>
          <cell r="K2229">
            <v>16</v>
          </cell>
        </row>
        <row r="2230">
          <cell r="B2230" t="str">
            <v>WebToon</v>
          </cell>
          <cell r="C2230" t="str">
            <v>Pluu/WebToon</v>
          </cell>
          <cell r="D2230" t="str">
            <v>Pluu/WebToon</v>
          </cell>
          <cell r="E2230">
            <v>1222</v>
          </cell>
          <cell r="F2230">
            <v>38</v>
          </cell>
          <cell r="G2230">
            <v>4</v>
          </cell>
          <cell r="H2230">
            <v>2514</v>
          </cell>
          <cell r="I2230">
            <v>19</v>
          </cell>
          <cell r="J2230">
            <v>155</v>
          </cell>
          <cell r="K2230">
            <v>0</v>
          </cell>
        </row>
        <row r="2231">
          <cell r="B2231" t="str">
            <v>client</v>
          </cell>
          <cell r="C2231" t="str">
            <v>Droid-ify/client</v>
          </cell>
          <cell r="D2231" t="str">
            <v>Droid-ify/client</v>
          </cell>
          <cell r="E2231">
            <v>1537</v>
          </cell>
          <cell r="F2231">
            <v>39</v>
          </cell>
          <cell r="G2231">
            <v>183</v>
          </cell>
          <cell r="H2231">
            <v>66204</v>
          </cell>
          <cell r="I2231">
            <v>42</v>
          </cell>
          <cell r="J2231">
            <v>1458</v>
          </cell>
          <cell r="K2231">
            <v>83</v>
          </cell>
        </row>
        <row r="2232">
          <cell r="B2232" t="str">
            <v>Melon</v>
          </cell>
          <cell r="C2232" t="str">
            <v>ForceTower/Melon</v>
          </cell>
          <cell r="D2232" t="str">
            <v>ForceTower/Melon</v>
          </cell>
          <cell r="E2232">
            <v>2206</v>
          </cell>
          <cell r="F2232">
            <v>40</v>
          </cell>
          <cell r="G2232">
            <v>15</v>
          </cell>
          <cell r="H2232">
            <v>62058</v>
          </cell>
          <cell r="I2232">
            <v>20</v>
          </cell>
          <cell r="J2232">
            <v>43</v>
          </cell>
          <cell r="K2232">
            <v>5</v>
          </cell>
        </row>
        <row r="2233">
          <cell r="B2233" t="str">
            <v>dreamDroid</v>
          </cell>
          <cell r="C2233" t="str">
            <v>sreichholf/dreamDroid</v>
          </cell>
          <cell r="D2233" t="str">
            <v>sreichholf/dreamDroid</v>
          </cell>
          <cell r="E2233">
            <v>1625</v>
          </cell>
          <cell r="F2233">
            <v>41</v>
          </cell>
          <cell r="G2233">
            <v>19</v>
          </cell>
          <cell r="H2233">
            <v>1260658</v>
          </cell>
          <cell r="I2233">
            <v>45</v>
          </cell>
          <cell r="J2233">
            <v>98</v>
          </cell>
          <cell r="K2233">
            <v>47</v>
          </cell>
        </row>
        <row r="2234">
          <cell r="B2234" t="str">
            <v>SmartCookieWeb</v>
          </cell>
          <cell r="C2234" t="str">
            <v>CookieJarApps/SmartCookieWeb</v>
          </cell>
          <cell r="D2234" t="str">
            <v>CookieJarApps/SmartCookieWeb</v>
          </cell>
          <cell r="E2234">
            <v>1042</v>
          </cell>
          <cell r="F2234">
            <v>41</v>
          </cell>
          <cell r="G2234">
            <v>10</v>
          </cell>
          <cell r="H2234">
            <v>120447</v>
          </cell>
          <cell r="I2234">
            <v>39</v>
          </cell>
          <cell r="J2234">
            <v>250</v>
          </cell>
          <cell r="K2234">
            <v>30</v>
          </cell>
        </row>
        <row r="2235">
          <cell r="B2235" t="str">
            <v>prim-ftpd</v>
          </cell>
          <cell r="C2235" t="str">
            <v>wolpi/prim-ftpd</v>
          </cell>
          <cell r="D2235" t="str">
            <v>wolpi/prim-ftpd</v>
          </cell>
          <cell r="E2235">
            <v>1023</v>
          </cell>
          <cell r="F2235">
            <v>42</v>
          </cell>
          <cell r="G2235">
            <v>57</v>
          </cell>
          <cell r="H2235">
            <v>17113</v>
          </cell>
          <cell r="I2235">
            <v>77</v>
          </cell>
          <cell r="J2235">
            <v>487</v>
          </cell>
          <cell r="K2235">
            <v>47</v>
          </cell>
        </row>
        <row r="2236">
          <cell r="B2236" t="str">
            <v>Squircle-CE</v>
          </cell>
          <cell r="C2236" t="str">
            <v>massivemadness/Squircle-CE</v>
          </cell>
          <cell r="D2236" t="str">
            <v>massivemadness/Squircle-CE</v>
          </cell>
          <cell r="E2236">
            <v>1129</v>
          </cell>
          <cell r="F2236">
            <v>42</v>
          </cell>
          <cell r="G2236">
            <v>14</v>
          </cell>
          <cell r="H2236">
            <v>132975</v>
          </cell>
          <cell r="I2236">
            <v>71</v>
          </cell>
          <cell r="J2236">
            <v>625</v>
          </cell>
          <cell r="K2236">
            <v>46</v>
          </cell>
        </row>
        <row r="2237">
          <cell r="B2237" t="str">
            <v>Yaaic</v>
          </cell>
          <cell r="C2237" t="str">
            <v>pocmo/Yaaic</v>
          </cell>
          <cell r="D2237" t="str">
            <v>pocmo/Yaaic</v>
          </cell>
          <cell r="E2237">
            <v>1067</v>
          </cell>
          <cell r="F2237">
            <v>44</v>
          </cell>
          <cell r="G2237">
            <v>19</v>
          </cell>
          <cell r="H2237">
            <v>4423</v>
          </cell>
          <cell r="I2237">
            <v>121</v>
          </cell>
          <cell r="J2237">
            <v>331</v>
          </cell>
          <cell r="K2237">
            <v>121</v>
          </cell>
        </row>
        <row r="2238">
          <cell r="B2238" t="str">
            <v>TorrServe</v>
          </cell>
          <cell r="C2238" t="str">
            <v>YouROK/TorrServe</v>
          </cell>
          <cell r="D2238" t="str">
            <v>YouROK/TorrServe</v>
          </cell>
          <cell r="E2238">
            <v>1127</v>
          </cell>
          <cell r="F2238">
            <v>45</v>
          </cell>
          <cell r="G2238">
            <v>7</v>
          </cell>
          <cell r="H2238">
            <v>11271</v>
          </cell>
          <cell r="I2238">
            <v>35</v>
          </cell>
          <cell r="J2238">
            <v>285</v>
          </cell>
          <cell r="K2238">
            <v>1</v>
          </cell>
        </row>
        <row r="2239">
          <cell r="B2239" t="str">
            <v>EVMap</v>
          </cell>
          <cell r="C2239" t="str">
            <v>ev-map/EVMap</v>
          </cell>
          <cell r="D2239" t="str">
            <v>ev-map/EVMap</v>
          </cell>
          <cell r="E2239">
            <v>1209</v>
          </cell>
          <cell r="F2239">
            <v>45</v>
          </cell>
          <cell r="G2239">
            <v>14</v>
          </cell>
          <cell r="H2239">
            <v>30080</v>
          </cell>
          <cell r="I2239">
            <v>41</v>
          </cell>
          <cell r="J2239">
            <v>108</v>
          </cell>
          <cell r="K2239">
            <v>42</v>
          </cell>
        </row>
        <row r="2240">
          <cell r="B2240" t="str">
            <v>AAT</v>
          </cell>
          <cell r="C2240" t="str">
            <v>bailuk/AAT</v>
          </cell>
          <cell r="D2240" t="str">
            <v>bailuk/AAT</v>
          </cell>
          <cell r="E2240">
            <v>1333</v>
          </cell>
          <cell r="F2240">
            <v>45</v>
          </cell>
          <cell r="G2240">
            <v>15</v>
          </cell>
          <cell r="H2240">
            <v>15280</v>
          </cell>
          <cell r="I2240">
            <v>39</v>
          </cell>
          <cell r="J2240">
            <v>144</v>
          </cell>
          <cell r="K2240">
            <v>21</v>
          </cell>
        </row>
        <row r="2241">
          <cell r="B2241" t="str">
            <v>Fulguris</v>
          </cell>
          <cell r="C2241" t="str">
            <v>Slion/Fulguris</v>
          </cell>
          <cell r="D2241" t="str">
            <v>Slion/Fulguris</v>
          </cell>
          <cell r="E2241">
            <v>2811</v>
          </cell>
          <cell r="F2241">
            <v>47</v>
          </cell>
          <cell r="G2241">
            <v>71</v>
          </cell>
          <cell r="H2241">
            <v>22012</v>
          </cell>
          <cell r="I2241">
            <v>23</v>
          </cell>
          <cell r="J2241">
            <v>200</v>
          </cell>
          <cell r="K2241">
            <v>182</v>
          </cell>
        </row>
        <row r="2242">
          <cell r="B2242" t="str">
            <v>MasterPassword</v>
          </cell>
          <cell r="C2242" t="str">
            <v>Lyndir/MasterPassword</v>
          </cell>
          <cell r="D2242" t="str">
            <v>Lyndir/MasterPassword</v>
          </cell>
          <cell r="E2242">
            <v>1835</v>
          </cell>
          <cell r="F2242">
            <v>47</v>
          </cell>
          <cell r="G2242">
            <v>9</v>
          </cell>
          <cell r="H2242">
            <v>437036</v>
          </cell>
          <cell r="I2242">
            <v>246</v>
          </cell>
          <cell r="J2242">
            <v>1145</v>
          </cell>
          <cell r="K2242">
            <v>3</v>
          </cell>
        </row>
        <row r="2243">
          <cell r="B2243" t="str">
            <v>rview</v>
          </cell>
          <cell r="C2243" t="str">
            <v>jruesga/rview</v>
          </cell>
          <cell r="D2243" t="str">
            <v>jruesga/rview</v>
          </cell>
          <cell r="E2243">
            <v>1646</v>
          </cell>
          <cell r="F2243">
            <v>48</v>
          </cell>
          <cell r="G2243">
            <v>21</v>
          </cell>
          <cell r="H2243">
            <v>9724</v>
          </cell>
          <cell r="I2243">
            <v>16</v>
          </cell>
          <cell r="J2243">
            <v>61</v>
          </cell>
          <cell r="K2243">
            <v>15</v>
          </cell>
        </row>
        <row r="2244">
          <cell r="B2244" t="str">
            <v>gobandroid</v>
          </cell>
          <cell r="C2244" t="str">
            <v>ligi/gobandroid</v>
          </cell>
          <cell r="D2244" t="str">
            <v>ligi/gobandroid</v>
          </cell>
          <cell r="E2244">
            <v>2046</v>
          </cell>
          <cell r="F2244">
            <v>48</v>
          </cell>
          <cell r="G2244">
            <v>10</v>
          </cell>
          <cell r="H2244">
            <v>14650</v>
          </cell>
          <cell r="I2244">
            <v>67</v>
          </cell>
          <cell r="J2244">
            <v>206</v>
          </cell>
          <cell r="K2244">
            <v>68</v>
          </cell>
        </row>
        <row r="2245">
          <cell r="B2245" t="str">
            <v>Fediverse.app</v>
          </cell>
          <cell r="C2245" t="str">
            <v>Big-Fig/Fediverse.app</v>
          </cell>
          <cell r="D2245" t="str">
            <v>Big-Fig/Fediverse.app</v>
          </cell>
          <cell r="E2245">
            <v>2644</v>
          </cell>
          <cell r="F2245">
            <v>49</v>
          </cell>
          <cell r="G2245">
            <v>8</v>
          </cell>
          <cell r="H2245">
            <v>26370</v>
          </cell>
          <cell r="I2245">
            <v>14</v>
          </cell>
          <cell r="J2245">
            <v>110</v>
          </cell>
          <cell r="K2245">
            <v>121</v>
          </cell>
        </row>
        <row r="2246">
          <cell r="B2246" t="str">
            <v>ffupdater</v>
          </cell>
          <cell r="C2246" t="str">
            <v>Tobi823/ffupdater</v>
          </cell>
          <cell r="D2246" t="str">
            <v>Tobi823/ffupdater</v>
          </cell>
          <cell r="E2246">
            <v>2433</v>
          </cell>
          <cell r="F2246">
            <v>52</v>
          </cell>
          <cell r="G2246">
            <v>72</v>
          </cell>
          <cell r="H2246">
            <v>9858</v>
          </cell>
          <cell r="I2246">
            <v>21</v>
          </cell>
          <cell r="J2246">
            <v>367</v>
          </cell>
          <cell r="K2246">
            <v>29</v>
          </cell>
        </row>
        <row r="2247">
          <cell r="B2247" t="str">
            <v>authpass</v>
          </cell>
          <cell r="C2247" t="str">
            <v>authpass/authpass</v>
          </cell>
          <cell r="D2247" t="str">
            <v>authpass/authpass</v>
          </cell>
          <cell r="E2247">
            <v>1271</v>
          </cell>
          <cell r="F2247">
            <v>53</v>
          </cell>
          <cell r="G2247">
            <v>19</v>
          </cell>
          <cell r="H2247">
            <v>157244</v>
          </cell>
          <cell r="I2247">
            <v>179</v>
          </cell>
          <cell r="J2247">
            <v>1631</v>
          </cell>
          <cell r="K2247">
            <v>123</v>
          </cell>
        </row>
        <row r="2248">
          <cell r="B2248" t="str">
            <v>Robot-Scouter</v>
          </cell>
          <cell r="C2248" t="str">
            <v>SUPERCILEX/Robot-Scouter</v>
          </cell>
          <cell r="D2248" t="str">
            <v>SUPERCILEX/Robot-Scouter</v>
          </cell>
          <cell r="E2248">
            <v>2100</v>
          </cell>
          <cell r="F2248">
            <v>53</v>
          </cell>
          <cell r="G2248">
            <v>3</v>
          </cell>
          <cell r="H2248">
            <v>158663</v>
          </cell>
          <cell r="I2248">
            <v>41</v>
          </cell>
          <cell r="J2248">
            <v>98</v>
          </cell>
          <cell r="K2248">
            <v>47</v>
          </cell>
        </row>
        <row r="2249">
          <cell r="B2249" t="str">
            <v>HgLauncher</v>
          </cell>
          <cell r="C2249" t="str">
            <v>F4uzan/HgLauncher</v>
          </cell>
          <cell r="D2249" t="str">
            <v>F4uzan/HgLauncher</v>
          </cell>
          <cell r="E2249">
            <v>1618</v>
          </cell>
          <cell r="F2249">
            <v>54</v>
          </cell>
          <cell r="G2249">
            <v>25</v>
          </cell>
          <cell r="H2249">
            <v>6050</v>
          </cell>
          <cell r="I2249">
            <v>22</v>
          </cell>
          <cell r="J2249">
            <v>62</v>
          </cell>
          <cell r="K2249">
            <v>16</v>
          </cell>
        </row>
        <row r="2250">
          <cell r="B2250" t="str">
            <v>shadowsocksr-v2ray-trojan-android</v>
          </cell>
          <cell r="C2250" t="str">
            <v>xxf098/shadowsocksr-v2ray-trojan-android</v>
          </cell>
          <cell r="D2250" t="str">
            <v>xxf098/shadowsocksr-v2ray-trojan-android</v>
          </cell>
          <cell r="E2250">
            <v>2700</v>
          </cell>
          <cell r="F2250">
            <v>54</v>
          </cell>
          <cell r="G2250">
            <v>35</v>
          </cell>
          <cell r="H2250">
            <v>94093</v>
          </cell>
          <cell r="I2250">
            <v>357</v>
          </cell>
          <cell r="J2250">
            <v>2785</v>
          </cell>
          <cell r="K2250">
            <v>71</v>
          </cell>
        </row>
        <row r="2251">
          <cell r="B2251" t="str">
            <v>GSYVideoPlayer</v>
          </cell>
          <cell r="C2251" t="str">
            <v>CarGuo/GSYVideoPlayer</v>
          </cell>
          <cell r="D2251" t="str">
            <v>CarGuo/GSYVideoPlayer</v>
          </cell>
          <cell r="E2251">
            <v>1493</v>
          </cell>
          <cell r="F2251">
            <v>56</v>
          </cell>
          <cell r="G2251">
            <v>22</v>
          </cell>
          <cell r="H2251">
            <v>333392</v>
          </cell>
          <cell r="I2251">
            <v>4003</v>
          </cell>
          <cell r="J2251">
            <v>18344</v>
          </cell>
          <cell r="K2251">
            <v>18</v>
          </cell>
        </row>
        <row r="2252">
          <cell r="B2252" t="str">
            <v>Minder</v>
          </cell>
          <cell r="C2252" t="str">
            <v>Erudition/Minder</v>
          </cell>
          <cell r="D2252" t="str">
            <v>Erudition/Minder</v>
          </cell>
          <cell r="E2252">
            <v>1385</v>
          </cell>
          <cell r="F2252">
            <v>57</v>
          </cell>
          <cell r="G2252">
            <v>3</v>
          </cell>
          <cell r="H2252">
            <v>25953</v>
          </cell>
          <cell r="I2252">
            <v>0</v>
          </cell>
          <cell r="J2252">
            <v>9</v>
          </cell>
          <cell r="K2252">
            <v>22</v>
          </cell>
        </row>
        <row r="2253">
          <cell r="B2253" t="str">
            <v>androidclient</v>
          </cell>
          <cell r="C2253" t="str">
            <v>kontalk/androidclient</v>
          </cell>
          <cell r="D2253" t="str">
            <v>kontalk/androidclient</v>
          </cell>
          <cell r="E2253">
            <v>7165</v>
          </cell>
          <cell r="F2253">
            <v>58</v>
          </cell>
          <cell r="G2253">
            <v>50</v>
          </cell>
          <cell r="H2253">
            <v>61764</v>
          </cell>
          <cell r="I2253">
            <v>195</v>
          </cell>
          <cell r="J2253">
            <v>564</v>
          </cell>
          <cell r="K2253">
            <v>192</v>
          </cell>
        </row>
        <row r="2254">
          <cell r="B2254" t="str">
            <v>gelli</v>
          </cell>
          <cell r="C2254" t="str">
            <v>dkanada/gelli</v>
          </cell>
          <cell r="D2254" t="str">
            <v>dkanada/gelli</v>
          </cell>
          <cell r="E2254">
            <v>2166</v>
          </cell>
          <cell r="F2254">
            <v>62</v>
          </cell>
          <cell r="G2254">
            <v>52</v>
          </cell>
          <cell r="H2254">
            <v>22770</v>
          </cell>
          <cell r="I2254">
            <v>38</v>
          </cell>
          <cell r="J2254">
            <v>498</v>
          </cell>
          <cell r="K2254">
            <v>97</v>
          </cell>
        </row>
        <row r="2255">
          <cell r="B2255" t="str">
            <v>Easer</v>
          </cell>
          <cell r="C2255" t="str">
            <v>renyuneyun/Easer</v>
          </cell>
          <cell r="D2255" t="str">
            <v>renyuneyun/Easer</v>
          </cell>
          <cell r="E2255">
            <v>1455</v>
          </cell>
          <cell r="F2255">
            <v>64</v>
          </cell>
          <cell r="G2255">
            <v>79</v>
          </cell>
          <cell r="H2255">
            <v>7902</v>
          </cell>
          <cell r="I2255">
            <v>82</v>
          </cell>
          <cell r="J2255">
            <v>733</v>
          </cell>
          <cell r="K2255">
            <v>230</v>
          </cell>
        </row>
        <row r="2256">
          <cell r="B2256" t="str">
            <v>VirtualXposed</v>
          </cell>
          <cell r="C2256" t="str">
            <v>android-hacker/VirtualXposed</v>
          </cell>
          <cell r="D2256" t="str">
            <v>android-hacker/VirtualXposed</v>
          </cell>
          <cell r="E2256">
            <v>1661</v>
          </cell>
          <cell r="F2256">
            <v>64</v>
          </cell>
          <cell r="G2256">
            <v>37</v>
          </cell>
          <cell r="H2256">
            <v>49794</v>
          </cell>
          <cell r="I2256">
            <v>2408</v>
          </cell>
          <cell r="J2256">
            <v>14212</v>
          </cell>
          <cell r="K2256">
            <v>122</v>
          </cell>
        </row>
        <row r="2257">
          <cell r="B2257" t="str">
            <v>Auxio</v>
          </cell>
          <cell r="C2257" t="str">
            <v>OxygenCobalt/Auxio</v>
          </cell>
          <cell r="D2257" t="str">
            <v>OxygenCobalt/Auxio</v>
          </cell>
          <cell r="E2257">
            <v>1683</v>
          </cell>
          <cell r="F2257">
            <v>66</v>
          </cell>
          <cell r="G2257">
            <v>23</v>
          </cell>
          <cell r="H2257">
            <v>50808</v>
          </cell>
          <cell r="I2257">
            <v>80</v>
          </cell>
          <cell r="J2257">
            <v>982</v>
          </cell>
          <cell r="K2257">
            <v>42</v>
          </cell>
        </row>
        <row r="2258">
          <cell r="B2258" t="str">
            <v>TVHClient</v>
          </cell>
          <cell r="C2258" t="str">
            <v>rsiebert/TVHClient</v>
          </cell>
          <cell r="D2258" t="str">
            <v>rsiebert/TVHClient</v>
          </cell>
          <cell r="E2258">
            <v>6336</v>
          </cell>
          <cell r="F2258">
            <v>68</v>
          </cell>
          <cell r="G2258">
            <v>21</v>
          </cell>
          <cell r="H2258">
            <v>43097</v>
          </cell>
          <cell r="I2258">
            <v>66</v>
          </cell>
          <cell r="J2258">
            <v>151</v>
          </cell>
          <cell r="K2258">
            <v>21</v>
          </cell>
        </row>
        <row r="2259">
          <cell r="B2259" t="str">
            <v>Iconify</v>
          </cell>
          <cell r="C2259" t="str">
            <v>Mahmud0808/Iconify</v>
          </cell>
          <cell r="D2259" t="str">
            <v>Mahmud0808/Iconify</v>
          </cell>
          <cell r="E2259">
            <v>1659</v>
          </cell>
          <cell r="F2259">
            <v>69</v>
          </cell>
          <cell r="G2259">
            <v>25</v>
          </cell>
          <cell r="H2259">
            <v>57482</v>
          </cell>
          <cell r="I2259">
            <v>26</v>
          </cell>
          <cell r="J2259">
            <v>442</v>
          </cell>
          <cell r="K2259">
            <v>5</v>
          </cell>
        </row>
        <row r="2260">
          <cell r="B2260" t="str">
            <v>HTTP-Shortcuts</v>
          </cell>
          <cell r="C2260" t="str">
            <v>Waboodoo/HTTP-Shortcuts</v>
          </cell>
          <cell r="D2260" t="str">
            <v>Waboodoo/HTTP-Shortcuts</v>
          </cell>
          <cell r="E2260">
            <v>2226</v>
          </cell>
          <cell r="F2260">
            <v>75</v>
          </cell>
          <cell r="G2260">
            <v>13</v>
          </cell>
          <cell r="H2260">
            <v>17502</v>
          </cell>
          <cell r="I2260">
            <v>94</v>
          </cell>
          <cell r="J2260">
            <v>666</v>
          </cell>
          <cell r="K2260">
            <v>35</v>
          </cell>
        </row>
        <row r="2261">
          <cell r="B2261" t="str">
            <v>SagerNet</v>
          </cell>
          <cell r="C2261" t="str">
            <v>SagerNet/SagerNet</v>
          </cell>
          <cell r="D2261" t="str">
            <v>SagerNet/SagerNet</v>
          </cell>
          <cell r="E2261">
            <v>1104</v>
          </cell>
          <cell r="F2261">
            <v>76</v>
          </cell>
          <cell r="G2261">
            <v>22</v>
          </cell>
          <cell r="H2261">
            <v>6973</v>
          </cell>
          <cell r="I2261">
            <v>796</v>
          </cell>
          <cell r="J2261">
            <v>4832</v>
          </cell>
          <cell r="K2261">
            <v>90</v>
          </cell>
        </row>
        <row r="2262">
          <cell r="B2262" t="str">
            <v>devhub</v>
          </cell>
          <cell r="C2262" t="str">
            <v>devhubapp/devhub</v>
          </cell>
          <cell r="D2262" t="str">
            <v>devhubapp/devhub</v>
          </cell>
          <cell r="E2262">
            <v>2725</v>
          </cell>
          <cell r="F2262">
            <v>77</v>
          </cell>
          <cell r="G2262">
            <v>19</v>
          </cell>
          <cell r="H2262">
            <v>121209</v>
          </cell>
          <cell r="I2262">
            <v>761</v>
          </cell>
          <cell r="J2262">
            <v>8797</v>
          </cell>
          <cell r="K2262">
            <v>40</v>
          </cell>
        </row>
        <row r="2263">
          <cell r="B2263" t="str">
            <v>vsmartcard</v>
          </cell>
          <cell r="C2263" t="str">
            <v>frankmorgner/vsmartcard</v>
          </cell>
          <cell r="D2263" t="str">
            <v>frankmorgner/vsmartcard</v>
          </cell>
          <cell r="E2263">
            <v>1621</v>
          </cell>
          <cell r="F2263">
            <v>79</v>
          </cell>
          <cell r="G2263">
            <v>22</v>
          </cell>
          <cell r="H2263">
            <v>20820</v>
          </cell>
          <cell r="I2263">
            <v>177</v>
          </cell>
          <cell r="J2263">
            <v>567</v>
          </cell>
          <cell r="K2263">
            <v>17</v>
          </cell>
        </row>
        <row r="2264">
          <cell r="B2264" t="str">
            <v>rugby-ranker</v>
          </cell>
          <cell r="C2264" t="str">
            <v>ricknout/rugby-ranker</v>
          </cell>
          <cell r="D2264" t="str">
            <v>ricknout/rugby-ranker</v>
          </cell>
          <cell r="E2264">
            <v>1229</v>
          </cell>
          <cell r="F2264">
            <v>79</v>
          </cell>
          <cell r="G2264">
            <v>4</v>
          </cell>
          <cell r="H2264">
            <v>120940</v>
          </cell>
          <cell r="I2264">
            <v>45</v>
          </cell>
          <cell r="J2264">
            <v>281</v>
          </cell>
          <cell r="K2264">
            <v>6</v>
          </cell>
        </row>
        <row r="2265">
          <cell r="B2265" t="str">
            <v>ics-openvpn</v>
          </cell>
          <cell r="C2265" t="str">
            <v>schwabe/ics-openvpn</v>
          </cell>
          <cell r="D2265" t="str">
            <v>schwabe/ics-openvpn</v>
          </cell>
          <cell r="E2265">
            <v>1867</v>
          </cell>
          <cell r="F2265">
            <v>80</v>
          </cell>
          <cell r="G2265">
            <v>32</v>
          </cell>
          <cell r="H2265">
            <v>54205</v>
          </cell>
          <cell r="I2265">
            <v>1093</v>
          </cell>
          <cell r="J2265">
            <v>2781</v>
          </cell>
          <cell r="K2265">
            <v>37</v>
          </cell>
        </row>
        <row r="2266">
          <cell r="B2266" t="str">
            <v>medito-app</v>
          </cell>
          <cell r="C2266" t="str">
            <v>meditohq/medito-app</v>
          </cell>
          <cell r="D2266" t="str">
            <v>meditohq/medito-app</v>
          </cell>
          <cell r="E2266">
            <v>1469</v>
          </cell>
          <cell r="F2266">
            <v>80</v>
          </cell>
          <cell r="G2266">
            <v>21</v>
          </cell>
          <cell r="H2266">
            <v>63752</v>
          </cell>
          <cell r="I2266">
            <v>69</v>
          </cell>
          <cell r="J2266">
            <v>510</v>
          </cell>
          <cell r="K2266">
            <v>33</v>
          </cell>
        </row>
        <row r="2267">
          <cell r="B2267" t="str">
            <v>sdp-project</v>
          </cell>
          <cell r="C2267" t="str">
            <v>brunnerant/sdp-project</v>
          </cell>
          <cell r="D2267" t="str">
            <v>brunnerant/sdp-project</v>
          </cell>
          <cell r="E2267">
            <v>1090</v>
          </cell>
          <cell r="F2267">
            <v>81</v>
          </cell>
          <cell r="G2267">
            <v>6</v>
          </cell>
          <cell r="H2267">
            <v>2511</v>
          </cell>
          <cell r="I2267">
            <v>1</v>
          </cell>
          <cell r="J2267">
            <v>2</v>
          </cell>
          <cell r="K2267">
            <v>13</v>
          </cell>
        </row>
        <row r="2268">
          <cell r="B2268" t="str">
            <v>AppManager</v>
          </cell>
          <cell r="C2268" t="str">
            <v>MuntashirAkon/AppManager</v>
          </cell>
          <cell r="D2268" t="str">
            <v>MuntashirAkon/AppManager</v>
          </cell>
          <cell r="E2268">
            <v>4802</v>
          </cell>
          <cell r="F2268">
            <v>82</v>
          </cell>
          <cell r="G2268">
            <v>228</v>
          </cell>
          <cell r="H2268">
            <v>72108</v>
          </cell>
          <cell r="I2268">
            <v>185</v>
          </cell>
          <cell r="J2268">
            <v>2513</v>
          </cell>
          <cell r="K2268">
            <v>127</v>
          </cell>
        </row>
        <row r="2269">
          <cell r="B2269" t="str">
            <v>Cofi</v>
          </cell>
          <cell r="C2269" t="str">
            <v>rozPierog/Cofi</v>
          </cell>
          <cell r="D2269" t="str">
            <v>rozPierog/Cofi</v>
          </cell>
          <cell r="E2269">
            <v>1185</v>
          </cell>
          <cell r="F2269">
            <v>82</v>
          </cell>
          <cell r="G2269">
            <v>64</v>
          </cell>
          <cell r="H2269">
            <v>34019</v>
          </cell>
          <cell r="I2269">
            <v>25</v>
          </cell>
          <cell r="J2269">
            <v>215</v>
          </cell>
          <cell r="K2269">
            <v>14</v>
          </cell>
        </row>
        <row r="2270">
          <cell r="B2270" t="str">
            <v>4pdaClient-plus</v>
          </cell>
          <cell r="C2270" t="str">
            <v>slartus/4pdaClient-plus</v>
          </cell>
          <cell r="D2270" t="str">
            <v>slartus/4pdaClient-plus</v>
          </cell>
          <cell r="E2270">
            <v>2313</v>
          </cell>
          <cell r="F2270">
            <v>84</v>
          </cell>
          <cell r="G2270">
            <v>8</v>
          </cell>
          <cell r="H2270">
            <v>158402</v>
          </cell>
          <cell r="I2270">
            <v>15</v>
          </cell>
          <cell r="J2270">
            <v>66</v>
          </cell>
          <cell r="K2270">
            <v>11</v>
          </cell>
        </row>
        <row r="2271">
          <cell r="B2271" t="str">
            <v>ActivityDiary</v>
          </cell>
          <cell r="C2271" t="str">
            <v>ramack/ActivityDiary</v>
          </cell>
          <cell r="D2271" t="str">
            <v>ramack/ActivityDiary</v>
          </cell>
          <cell r="E2271">
            <v>2143</v>
          </cell>
          <cell r="F2271">
            <v>84</v>
          </cell>
          <cell r="G2271">
            <v>9</v>
          </cell>
          <cell r="H2271">
            <v>10162</v>
          </cell>
          <cell r="I2271">
            <v>31</v>
          </cell>
          <cell r="J2271">
            <v>68</v>
          </cell>
          <cell r="K2271">
            <v>102</v>
          </cell>
        </row>
        <row r="2272">
          <cell r="B2272" t="str">
            <v>git-touch</v>
          </cell>
          <cell r="C2272" t="str">
            <v>git-touch/git-touch</v>
          </cell>
          <cell r="D2272" t="str">
            <v>pd4d10/git-touch</v>
          </cell>
          <cell r="E2272">
            <v>1078</v>
          </cell>
          <cell r="F2272">
            <v>86</v>
          </cell>
          <cell r="G2272">
            <v>29</v>
          </cell>
          <cell r="H2272">
            <v>13066</v>
          </cell>
          <cell r="I2272">
            <v>129</v>
          </cell>
          <cell r="J2272">
            <v>1391</v>
          </cell>
          <cell r="K2272">
            <v>79</v>
          </cell>
        </row>
        <row r="2273">
          <cell r="B2273" t="str">
            <v>Taskbar</v>
          </cell>
          <cell r="C2273" t="str">
            <v>farmerbb/Taskbar</v>
          </cell>
          <cell r="D2273" t="str">
            <v>farmerbb/Taskbar</v>
          </cell>
          <cell r="E2273">
            <v>1544</v>
          </cell>
          <cell r="F2273">
            <v>88</v>
          </cell>
          <cell r="G2273">
            <v>15</v>
          </cell>
          <cell r="H2273">
            <v>5215</v>
          </cell>
          <cell r="I2273">
            <v>113</v>
          </cell>
          <cell r="J2273">
            <v>634</v>
          </cell>
          <cell r="K2273">
            <v>120</v>
          </cell>
        </row>
        <row r="2274">
          <cell r="B2274" t="str">
            <v>BetterUntis</v>
          </cell>
          <cell r="C2274" t="str">
            <v>SapuSeven/BetterUntis</v>
          </cell>
          <cell r="D2274" t="str">
            <v>SapuSeven/BetterUntis</v>
          </cell>
          <cell r="E2274">
            <v>1175</v>
          </cell>
          <cell r="F2274">
            <v>90</v>
          </cell>
          <cell r="G2274">
            <v>31</v>
          </cell>
          <cell r="H2274">
            <v>52864</v>
          </cell>
          <cell r="I2274">
            <v>26</v>
          </cell>
          <cell r="J2274">
            <v>161</v>
          </cell>
          <cell r="K2274">
            <v>42</v>
          </cell>
        </row>
        <row r="2275">
          <cell r="B2275" t="str">
            <v>bo-android</v>
          </cell>
          <cell r="C2275" t="str">
            <v>wuan/bo-android</v>
          </cell>
          <cell r="D2275" t="str">
            <v>wuan/bo-android</v>
          </cell>
          <cell r="E2275">
            <v>1106</v>
          </cell>
          <cell r="F2275">
            <v>91</v>
          </cell>
          <cell r="G2275">
            <v>15</v>
          </cell>
          <cell r="H2275">
            <v>4114</v>
          </cell>
          <cell r="I2275">
            <v>32</v>
          </cell>
          <cell r="J2275">
            <v>93</v>
          </cell>
          <cell r="K2275">
            <v>24</v>
          </cell>
        </row>
        <row r="2276">
          <cell r="B2276" t="str">
            <v>szkolny-android</v>
          </cell>
          <cell r="C2276" t="str">
            <v>szkolny-eu/szkolny-android</v>
          </cell>
          <cell r="D2276" t="str">
            <v>szkolny-eu/szkolny-android</v>
          </cell>
          <cell r="E2276">
            <v>1383</v>
          </cell>
          <cell r="F2276">
            <v>91</v>
          </cell>
          <cell r="G2276">
            <v>17</v>
          </cell>
          <cell r="H2276">
            <v>8700</v>
          </cell>
          <cell r="I2276">
            <v>32</v>
          </cell>
          <cell r="J2276">
            <v>135</v>
          </cell>
          <cell r="K2276">
            <v>28</v>
          </cell>
        </row>
        <row r="2277">
          <cell r="B2277" t="str">
            <v>WiFiAnalyzer</v>
          </cell>
          <cell r="C2277" t="str">
            <v>VREMSoftwareDevelopment/WiFiAnalyzer</v>
          </cell>
          <cell r="D2277" t="str">
            <v>VREMSoftwareDevelopment/WiFiAnalyzer</v>
          </cell>
          <cell r="E2277">
            <v>1740</v>
          </cell>
          <cell r="F2277">
            <v>92</v>
          </cell>
          <cell r="G2277">
            <v>46</v>
          </cell>
          <cell r="H2277">
            <v>24565</v>
          </cell>
          <cell r="I2277">
            <v>524</v>
          </cell>
          <cell r="J2277">
            <v>2135</v>
          </cell>
          <cell r="K2277">
            <v>11</v>
          </cell>
        </row>
        <row r="2278">
          <cell r="B2278" t="str">
            <v>GyroDraw</v>
          </cell>
          <cell r="C2278" t="str">
            <v>gyrodraw/GyroDraw</v>
          </cell>
          <cell r="D2278" t="str">
            <v>gyrodraw/GyroDraw</v>
          </cell>
          <cell r="E2278">
            <v>2355</v>
          </cell>
          <cell r="F2278">
            <v>94</v>
          </cell>
          <cell r="G2278">
            <v>6</v>
          </cell>
          <cell r="H2278">
            <v>42769</v>
          </cell>
          <cell r="I2278">
            <v>6</v>
          </cell>
          <cell r="J2278">
            <v>9</v>
          </cell>
          <cell r="K2278">
            <v>28</v>
          </cell>
        </row>
        <row r="2279">
          <cell r="B2279" t="str">
            <v>aves</v>
          </cell>
          <cell r="C2279" t="str">
            <v>deckerst/aves</v>
          </cell>
          <cell r="D2279" t="str">
            <v>deckerst/aves</v>
          </cell>
          <cell r="E2279">
            <v>2624</v>
          </cell>
          <cell r="F2279">
            <v>95</v>
          </cell>
          <cell r="G2279">
            <v>14</v>
          </cell>
          <cell r="H2279">
            <v>229778</v>
          </cell>
          <cell r="I2279">
            <v>51</v>
          </cell>
          <cell r="J2279">
            <v>880</v>
          </cell>
          <cell r="K2279">
            <v>54</v>
          </cell>
        </row>
        <row r="2280">
          <cell r="B2280" t="str">
            <v>unchained-android</v>
          </cell>
          <cell r="C2280" t="str">
            <v>LivingWithHippos/unchained-android</v>
          </cell>
          <cell r="D2280" t="str">
            <v>LivingWithHippos/unchained-android</v>
          </cell>
          <cell r="E2280">
            <v>1425</v>
          </cell>
          <cell r="F2280">
            <v>100</v>
          </cell>
          <cell r="G2280">
            <v>4</v>
          </cell>
          <cell r="H2280">
            <v>6727</v>
          </cell>
          <cell r="I2280">
            <v>44</v>
          </cell>
          <cell r="J2280">
            <v>190</v>
          </cell>
          <cell r="K2280">
            <v>28</v>
          </cell>
        </row>
        <row r="2281">
          <cell r="B2281" t="str">
            <v>anewjkuapp</v>
          </cell>
          <cell r="C2281" t="str">
            <v>marunjar/anewjkuapp</v>
          </cell>
          <cell r="D2281" t="str">
            <v>marunjar/anewjkuapp</v>
          </cell>
          <cell r="E2281">
            <v>1523</v>
          </cell>
          <cell r="F2281">
            <v>100</v>
          </cell>
          <cell r="G2281">
            <v>4</v>
          </cell>
          <cell r="H2281">
            <v>498398</v>
          </cell>
          <cell r="I2281">
            <v>4</v>
          </cell>
          <cell r="J2281">
            <v>16</v>
          </cell>
          <cell r="K2281">
            <v>14</v>
          </cell>
        </row>
        <row r="2282">
          <cell r="B2282" t="str">
            <v>OpenRedmine</v>
          </cell>
          <cell r="C2282" t="str">
            <v>indication/OpenRedmine</v>
          </cell>
          <cell r="D2282" t="str">
            <v>indication/OpenRedmine</v>
          </cell>
          <cell r="E2282">
            <v>1362</v>
          </cell>
          <cell r="F2282">
            <v>102</v>
          </cell>
          <cell r="G2282">
            <v>10</v>
          </cell>
          <cell r="H2282">
            <v>14609</v>
          </cell>
          <cell r="I2282">
            <v>46</v>
          </cell>
          <cell r="J2282">
            <v>84</v>
          </cell>
          <cell r="K2282">
            <v>46</v>
          </cell>
        </row>
        <row r="2283">
          <cell r="B2283" t="str">
            <v>InnerTune</v>
          </cell>
          <cell r="C2283" t="str">
            <v>z-huang/InnerTune</v>
          </cell>
          <cell r="D2283" t="str">
            <v>z-huang/InnerTune</v>
          </cell>
          <cell r="E2283">
            <v>1209</v>
          </cell>
          <cell r="F2283">
            <v>103</v>
          </cell>
          <cell r="G2283">
            <v>55</v>
          </cell>
          <cell r="H2283">
            <v>27963</v>
          </cell>
          <cell r="I2283">
            <v>103</v>
          </cell>
          <cell r="J2283">
            <v>1412</v>
          </cell>
          <cell r="K2283">
            <v>21</v>
          </cell>
        </row>
        <row r="2284">
          <cell r="B2284" t="str">
            <v>Peekabook-AOS</v>
          </cell>
          <cell r="C2284" t="str">
            <v>team-peekabook/Peekabook-AOS</v>
          </cell>
          <cell r="D2284" t="str">
            <v>team-peekabook/Peekabook-AOS</v>
          </cell>
          <cell r="E2284">
            <v>1566</v>
          </cell>
          <cell r="F2284">
            <v>106</v>
          </cell>
          <cell r="G2284">
            <v>4</v>
          </cell>
          <cell r="H2284">
            <v>9397</v>
          </cell>
          <cell r="I2284">
            <v>0</v>
          </cell>
          <cell r="J2284">
            <v>21</v>
          </cell>
          <cell r="K2284">
            <v>7</v>
          </cell>
        </row>
        <row r="2285">
          <cell r="B2285" t="str">
            <v>KeyMapper</v>
          </cell>
          <cell r="C2285" t="str">
            <v>keymapperorg/KeyMapper</v>
          </cell>
          <cell r="D2285" t="str">
            <v>keymapperorg/KeyMapper</v>
          </cell>
          <cell r="E2285">
            <v>2801</v>
          </cell>
          <cell r="F2285">
            <v>107</v>
          </cell>
          <cell r="G2285">
            <v>14</v>
          </cell>
          <cell r="H2285">
            <v>19543</v>
          </cell>
          <cell r="I2285">
            <v>137</v>
          </cell>
          <cell r="J2285">
            <v>678</v>
          </cell>
          <cell r="K2285">
            <v>155</v>
          </cell>
        </row>
        <row r="2286">
          <cell r="B2286" t="str">
            <v>Mp3Player</v>
          </cell>
          <cell r="C2286" t="str">
            <v>goldy1992/Mp3Player</v>
          </cell>
          <cell r="D2286" t="str">
            <v>goldy1992/Mp3Player</v>
          </cell>
          <cell r="E2286">
            <v>1162</v>
          </cell>
          <cell r="F2286">
            <v>107</v>
          </cell>
          <cell r="G2286">
            <v>2</v>
          </cell>
          <cell r="H2286">
            <v>13943</v>
          </cell>
          <cell r="I2286">
            <v>1</v>
          </cell>
          <cell r="J2286">
            <v>15</v>
          </cell>
          <cell r="K2286">
            <v>9</v>
          </cell>
        </row>
        <row r="2287">
          <cell r="B2287" t="str">
            <v>manyverse</v>
          </cell>
          <cell r="C2287" t="str">
            <v>staltz/manyverse</v>
          </cell>
          <cell r="D2287" t="str">
            <v>staltz/manyverse</v>
          </cell>
          <cell r="E2287">
            <v>2621</v>
          </cell>
          <cell r="F2287">
            <v>110</v>
          </cell>
          <cell r="G2287">
            <v>24</v>
          </cell>
          <cell r="H2287">
            <v>48530</v>
          </cell>
          <cell r="I2287">
            <v>79</v>
          </cell>
          <cell r="J2287">
            <v>912</v>
          </cell>
          <cell r="K2287">
            <v>9</v>
          </cell>
        </row>
        <row r="2288">
          <cell r="B2288" t="str">
            <v>Antox</v>
          </cell>
          <cell r="C2288" t="str">
            <v>Antox/Antox</v>
          </cell>
          <cell r="D2288" t="str">
            <v>Antox/Antox</v>
          </cell>
          <cell r="E2288">
            <v>2645</v>
          </cell>
          <cell r="F2288">
            <v>112</v>
          </cell>
          <cell r="G2288">
            <v>61</v>
          </cell>
          <cell r="H2288">
            <v>25825</v>
          </cell>
          <cell r="I2288">
            <v>197</v>
          </cell>
          <cell r="J2288">
            <v>868</v>
          </cell>
          <cell r="K2288">
            <v>150</v>
          </cell>
        </row>
        <row r="2289">
          <cell r="B2289" t="str">
            <v>Android</v>
          </cell>
          <cell r="C2289" t="str">
            <v>malaonline/Android</v>
          </cell>
          <cell r="D2289" t="str">
            <v>malaonline/Android</v>
          </cell>
          <cell r="E2289">
            <v>4330</v>
          </cell>
          <cell r="F2289">
            <v>112</v>
          </cell>
          <cell r="G2289">
            <v>12</v>
          </cell>
          <cell r="H2289">
            <v>94356</v>
          </cell>
          <cell r="I2289">
            <v>2</v>
          </cell>
          <cell r="J2289">
            <v>5</v>
          </cell>
          <cell r="K2289">
            <v>1</v>
          </cell>
        </row>
        <row r="2290">
          <cell r="B2290" t="str">
            <v>xabber-android</v>
          </cell>
          <cell r="C2290" t="str">
            <v>redsolution/xabber-android</v>
          </cell>
          <cell r="D2290" t="str">
            <v>redsolution/xabber-android</v>
          </cell>
          <cell r="E2290">
            <v>4264</v>
          </cell>
          <cell r="F2290">
            <v>113</v>
          </cell>
          <cell r="G2290">
            <v>18</v>
          </cell>
          <cell r="H2290">
            <v>53723</v>
          </cell>
          <cell r="I2290">
            <v>838</v>
          </cell>
          <cell r="J2290">
            <v>1799</v>
          </cell>
          <cell r="K2290">
            <v>275</v>
          </cell>
        </row>
        <row r="2291">
          <cell r="B2291" t="str">
            <v>afwall</v>
          </cell>
          <cell r="C2291" t="str">
            <v>ukanth/afwall</v>
          </cell>
          <cell r="D2291" t="str">
            <v>ukanth/afwall</v>
          </cell>
          <cell r="E2291">
            <v>1824</v>
          </cell>
          <cell r="F2291">
            <v>116</v>
          </cell>
          <cell r="G2291">
            <v>30</v>
          </cell>
          <cell r="H2291">
            <v>29108</v>
          </cell>
          <cell r="I2291">
            <v>437</v>
          </cell>
          <cell r="J2291">
            <v>2432</v>
          </cell>
          <cell r="K2291">
            <v>253</v>
          </cell>
        </row>
        <row r="2292">
          <cell r="B2292" t="str">
            <v>Inure</v>
          </cell>
          <cell r="C2292" t="str">
            <v>Hamza417/Inure</v>
          </cell>
          <cell r="D2292" t="str">
            <v>Hamza417/Inure</v>
          </cell>
          <cell r="E2292">
            <v>1667</v>
          </cell>
          <cell r="F2292">
            <v>118</v>
          </cell>
          <cell r="G2292">
            <v>8</v>
          </cell>
          <cell r="H2292">
            <v>64352</v>
          </cell>
          <cell r="I2292">
            <v>28</v>
          </cell>
          <cell r="J2292">
            <v>443</v>
          </cell>
          <cell r="K2292">
            <v>8</v>
          </cell>
        </row>
        <row r="2293">
          <cell r="B2293" t="str">
            <v>admin-portal</v>
          </cell>
          <cell r="C2293" t="str">
            <v>invoiceninja/admin-portal</v>
          </cell>
          <cell r="D2293" t="str">
            <v>invoiceninja/admin-portal</v>
          </cell>
          <cell r="E2293">
            <v>12647</v>
          </cell>
          <cell r="F2293">
            <v>120</v>
          </cell>
          <cell r="G2293">
            <v>22</v>
          </cell>
          <cell r="H2293">
            <v>78008</v>
          </cell>
          <cell r="I2293">
            <v>462</v>
          </cell>
          <cell r="J2293">
            <v>1366</v>
          </cell>
          <cell r="K2293">
            <v>50</v>
          </cell>
        </row>
        <row r="2294">
          <cell r="B2294" t="str">
            <v>angular-seed-advanced</v>
          </cell>
          <cell r="C2294" t="str">
            <v>NathanWalker/angular-seed-advanced</v>
          </cell>
          <cell r="D2294" t="str">
            <v>NathanWalker/angular-seed-advanced</v>
          </cell>
          <cell r="E2294">
            <v>2261</v>
          </cell>
          <cell r="F2294">
            <v>124</v>
          </cell>
          <cell r="G2294">
            <v>155</v>
          </cell>
          <cell r="H2294">
            <v>13073</v>
          </cell>
          <cell r="I2294">
            <v>456</v>
          </cell>
          <cell r="J2294">
            <v>2277</v>
          </cell>
          <cell r="K2294">
            <v>43</v>
          </cell>
        </row>
        <row r="2295">
          <cell r="B2295" t="str">
            <v>orgzly-android</v>
          </cell>
          <cell r="C2295" t="str">
            <v>orgzly/orgzly-android</v>
          </cell>
          <cell r="D2295" t="str">
            <v>orgzly/orgzly-android</v>
          </cell>
          <cell r="E2295">
            <v>2407</v>
          </cell>
          <cell r="F2295">
            <v>126</v>
          </cell>
          <cell r="G2295">
            <v>36</v>
          </cell>
          <cell r="H2295">
            <v>38762</v>
          </cell>
          <cell r="I2295">
            <v>298</v>
          </cell>
          <cell r="J2295">
            <v>2407</v>
          </cell>
          <cell r="K2295">
            <v>505</v>
          </cell>
        </row>
        <row r="2296">
          <cell r="B2296" t="str">
            <v>fritter</v>
          </cell>
          <cell r="C2296" t="str">
            <v>jonjomckay/fritter</v>
          </cell>
          <cell r="D2296" t="str">
            <v>jonjomckay/fritter</v>
          </cell>
          <cell r="E2296">
            <v>1024</v>
          </cell>
          <cell r="F2296">
            <v>127</v>
          </cell>
          <cell r="G2296">
            <v>48</v>
          </cell>
          <cell r="H2296">
            <v>5045</v>
          </cell>
          <cell r="I2296">
            <v>59</v>
          </cell>
          <cell r="J2296">
            <v>1135</v>
          </cell>
          <cell r="K2296">
            <v>172</v>
          </cell>
        </row>
        <row r="2297">
          <cell r="B2297" t="str">
            <v>keepass2android</v>
          </cell>
          <cell r="C2297" t="str">
            <v>PhilippC/keepass2android</v>
          </cell>
          <cell r="D2297" t="str">
            <v>PhilippC/keepass2android</v>
          </cell>
          <cell r="E2297">
            <v>4256</v>
          </cell>
          <cell r="F2297">
            <v>128</v>
          </cell>
          <cell r="G2297">
            <v>50</v>
          </cell>
          <cell r="H2297">
            <v>69120</v>
          </cell>
          <cell r="I2297">
            <v>342</v>
          </cell>
          <cell r="J2297">
            <v>3671</v>
          </cell>
          <cell r="K2297">
            <v>918</v>
          </cell>
        </row>
        <row r="2298">
          <cell r="B2298" t="str">
            <v>Omni-Notes</v>
          </cell>
          <cell r="C2298" t="str">
            <v>federicoiosue/Omni-Notes</v>
          </cell>
          <cell r="D2298" t="str">
            <v>federicoiosue/Omni-Notes</v>
          </cell>
          <cell r="E2298">
            <v>3305</v>
          </cell>
          <cell r="F2298">
            <v>129</v>
          </cell>
          <cell r="G2298">
            <v>36</v>
          </cell>
          <cell r="H2298">
            <v>55125</v>
          </cell>
          <cell r="I2298">
            <v>1099</v>
          </cell>
          <cell r="J2298">
            <v>2568</v>
          </cell>
          <cell r="K2298">
            <v>173</v>
          </cell>
        </row>
        <row r="2299">
          <cell r="B2299" t="str">
            <v>sms-backup-plus</v>
          </cell>
          <cell r="C2299" t="str">
            <v>jberkel/sms-backup-plus</v>
          </cell>
          <cell r="D2299" t="str">
            <v>jberkel/sms-backup-plus</v>
          </cell>
          <cell r="E2299">
            <v>1781</v>
          </cell>
          <cell r="F2299">
            <v>133</v>
          </cell>
          <cell r="G2299">
            <v>47</v>
          </cell>
          <cell r="H2299">
            <v>16447</v>
          </cell>
          <cell r="I2299">
            <v>505</v>
          </cell>
          <cell r="J2299">
            <v>1730</v>
          </cell>
          <cell r="K2299">
            <v>172</v>
          </cell>
        </row>
        <row r="2300">
          <cell r="B2300" t="str">
            <v>weechat-android</v>
          </cell>
          <cell r="C2300" t="str">
            <v>ubergeek42/weechat-android</v>
          </cell>
          <cell r="D2300" t="str">
            <v>ubergeek42/weechat-android</v>
          </cell>
          <cell r="E2300">
            <v>1857</v>
          </cell>
          <cell r="F2300">
            <v>135</v>
          </cell>
          <cell r="G2300">
            <v>33</v>
          </cell>
          <cell r="H2300">
            <v>18116</v>
          </cell>
          <cell r="I2300">
            <v>106</v>
          </cell>
          <cell r="J2300">
            <v>500</v>
          </cell>
          <cell r="K2300">
            <v>37</v>
          </cell>
        </row>
        <row r="2301">
          <cell r="B2301" t="str">
            <v>Aria2App</v>
          </cell>
          <cell r="C2301" t="str">
            <v>devgianlu/Aria2App</v>
          </cell>
          <cell r="D2301" t="str">
            <v>devgianlu/Aria2App</v>
          </cell>
          <cell r="E2301">
            <v>1710</v>
          </cell>
          <cell r="F2301">
            <v>136</v>
          </cell>
          <cell r="G2301">
            <v>6</v>
          </cell>
          <cell r="H2301">
            <v>165001</v>
          </cell>
          <cell r="I2301">
            <v>77</v>
          </cell>
          <cell r="J2301">
            <v>738</v>
          </cell>
          <cell r="K2301">
            <v>22</v>
          </cell>
        </row>
        <row r="2302">
          <cell r="B2302" t="str">
            <v>secure-quick-reliable-login</v>
          </cell>
          <cell r="C2302" t="str">
            <v>kalaspuffar/secure-quick-reliable-login</v>
          </cell>
          <cell r="D2302" t="str">
            <v>kalaspuffar/secure-quick-reliable-login</v>
          </cell>
          <cell r="E2302">
            <v>1080</v>
          </cell>
          <cell r="F2302">
            <v>136</v>
          </cell>
          <cell r="G2302">
            <v>7</v>
          </cell>
          <cell r="H2302">
            <v>45041</v>
          </cell>
          <cell r="I2302">
            <v>29</v>
          </cell>
          <cell r="J2302">
            <v>110</v>
          </cell>
          <cell r="K2302">
            <v>19</v>
          </cell>
        </row>
        <row r="2303">
          <cell r="B2303" t="str">
            <v>peertube-android</v>
          </cell>
          <cell r="C2303" t="str">
            <v>sschueller/peertube-android</v>
          </cell>
          <cell r="D2303" t="str">
            <v>sschueller/peertube-android</v>
          </cell>
          <cell r="E2303">
            <v>1134</v>
          </cell>
          <cell r="F2303">
            <v>140</v>
          </cell>
          <cell r="G2303">
            <v>77</v>
          </cell>
          <cell r="H2303">
            <v>7943</v>
          </cell>
          <cell r="I2303">
            <v>51</v>
          </cell>
          <cell r="J2303">
            <v>311</v>
          </cell>
          <cell r="K2303">
            <v>75</v>
          </cell>
        </row>
        <row r="2304">
          <cell r="B2304" t="str">
            <v>Easy_xkcd</v>
          </cell>
          <cell r="C2304" t="str">
            <v>tom-anders/Easy_xkcd</v>
          </cell>
          <cell r="D2304" t="str">
            <v>tom-anders/Easy_xkcd</v>
          </cell>
          <cell r="E2304">
            <v>1062</v>
          </cell>
          <cell r="F2304">
            <v>140</v>
          </cell>
          <cell r="G2304">
            <v>26</v>
          </cell>
          <cell r="H2304">
            <v>32613</v>
          </cell>
          <cell r="I2304">
            <v>41</v>
          </cell>
          <cell r="J2304">
            <v>149</v>
          </cell>
          <cell r="K2304">
            <v>25</v>
          </cell>
        </row>
        <row r="2305">
          <cell r="B2305" t="str">
            <v>birday</v>
          </cell>
          <cell r="C2305" t="str">
            <v>m-i-n-a-r/birday</v>
          </cell>
          <cell r="D2305" t="str">
            <v>m-i-n-a-r/birday</v>
          </cell>
          <cell r="E2305">
            <v>1473</v>
          </cell>
          <cell r="F2305">
            <v>140</v>
          </cell>
          <cell r="G2305">
            <v>37</v>
          </cell>
          <cell r="H2305">
            <v>33563</v>
          </cell>
          <cell r="I2305">
            <v>60</v>
          </cell>
          <cell r="J2305">
            <v>502</v>
          </cell>
          <cell r="K2305">
            <v>14</v>
          </cell>
        </row>
        <row r="2306">
          <cell r="B2306" t="str">
            <v>NotePad</v>
          </cell>
          <cell r="C2306" t="str">
            <v>spacecowboy/NotePad</v>
          </cell>
          <cell r="D2306" t="str">
            <v>spacecowboy/NotePad</v>
          </cell>
          <cell r="E2306">
            <v>2565</v>
          </cell>
          <cell r="F2306">
            <v>140</v>
          </cell>
          <cell r="G2306">
            <v>31</v>
          </cell>
          <cell r="H2306">
            <v>32098</v>
          </cell>
          <cell r="I2306">
            <v>159</v>
          </cell>
          <cell r="J2306">
            <v>358</v>
          </cell>
          <cell r="K2306">
            <v>30</v>
          </cell>
        </row>
        <row r="2307">
          <cell r="B2307" t="str">
            <v>just-chatting</v>
          </cell>
          <cell r="C2307" t="str">
            <v>outadoc/just-chatting</v>
          </cell>
          <cell r="D2307" t="str">
            <v>outadoc/just-chatting</v>
          </cell>
          <cell r="E2307">
            <v>1519</v>
          </cell>
          <cell r="F2307">
            <v>144</v>
          </cell>
          <cell r="G2307">
            <v>10</v>
          </cell>
          <cell r="H2307">
            <v>10429</v>
          </cell>
          <cell r="I2307">
            <v>0</v>
          </cell>
          <cell r="J2307">
            <v>2</v>
          </cell>
          <cell r="K2307">
            <v>5</v>
          </cell>
        </row>
        <row r="2308">
          <cell r="B2308" t="str">
            <v>Twidere-Android</v>
          </cell>
          <cell r="C2308" t="str">
            <v>TwidereProject/Twidere-Android</v>
          </cell>
          <cell r="D2308" t="str">
            <v>TwidereProject/Twidere-Android</v>
          </cell>
          <cell r="E2308">
            <v>3232</v>
          </cell>
          <cell r="F2308">
            <v>146</v>
          </cell>
          <cell r="G2308">
            <v>37</v>
          </cell>
          <cell r="H2308">
            <v>127376</v>
          </cell>
          <cell r="I2308">
            <v>389</v>
          </cell>
          <cell r="J2308">
            <v>2716</v>
          </cell>
          <cell r="K2308">
            <v>338</v>
          </cell>
        </row>
        <row r="2309">
          <cell r="B2309" t="str">
            <v>flexbooru</v>
          </cell>
          <cell r="C2309" t="str">
            <v>flexbooru/flexbooru</v>
          </cell>
          <cell r="D2309" t="str">
            <v>flexbooru/flexbooru</v>
          </cell>
          <cell r="E2309">
            <v>1405</v>
          </cell>
          <cell r="F2309">
            <v>148</v>
          </cell>
          <cell r="G2309">
            <v>4</v>
          </cell>
          <cell r="H2309">
            <v>7547</v>
          </cell>
          <cell r="I2309">
            <v>68</v>
          </cell>
          <cell r="J2309">
            <v>699</v>
          </cell>
          <cell r="K2309">
            <v>26</v>
          </cell>
        </row>
        <row r="2310">
          <cell r="B2310" t="str">
            <v>uhuruphotos-android</v>
          </cell>
          <cell r="C2310" t="str">
            <v>savvasdalkitsis/uhuruphotos-android</v>
          </cell>
          <cell r="D2310" t="str">
            <v>savvasdalkitsis/uhuruphotos-android</v>
          </cell>
          <cell r="E2310">
            <v>1296</v>
          </cell>
          <cell r="F2310">
            <v>154</v>
          </cell>
          <cell r="G2310">
            <v>32</v>
          </cell>
          <cell r="H2310">
            <v>37998</v>
          </cell>
          <cell r="I2310">
            <v>12</v>
          </cell>
          <cell r="J2310">
            <v>219</v>
          </cell>
          <cell r="K2310">
            <v>48</v>
          </cell>
        </row>
        <row r="2311">
          <cell r="B2311" t="str">
            <v>bitcoin-wallet</v>
          </cell>
          <cell r="C2311" t="str">
            <v>bitcoin-wallet/bitcoin-wallet</v>
          </cell>
          <cell r="D2311" t="str">
            <v>bitcoin-wallet/bitcoin-wallet</v>
          </cell>
          <cell r="E2311">
            <v>4339</v>
          </cell>
          <cell r="F2311">
            <v>155</v>
          </cell>
          <cell r="G2311">
            <v>31</v>
          </cell>
          <cell r="H2311">
            <v>40998</v>
          </cell>
          <cell r="I2311">
            <v>1912</v>
          </cell>
          <cell r="J2311">
            <v>3157</v>
          </cell>
          <cell r="K2311">
            <v>65</v>
          </cell>
        </row>
        <row r="2312">
          <cell r="B2312" t="str">
            <v>tremotesf-android</v>
          </cell>
          <cell r="C2312" t="str">
            <v>equeim/tremotesf-android</v>
          </cell>
          <cell r="D2312" t="str">
            <v>equeim/tremotesf-android</v>
          </cell>
          <cell r="E2312">
            <v>1457</v>
          </cell>
          <cell r="F2312">
            <v>158</v>
          </cell>
          <cell r="G2312">
            <v>5</v>
          </cell>
          <cell r="H2312">
            <v>6581</v>
          </cell>
          <cell r="I2312">
            <v>16</v>
          </cell>
          <cell r="J2312">
            <v>173</v>
          </cell>
          <cell r="K2312">
            <v>22</v>
          </cell>
        </row>
        <row r="2313">
          <cell r="B2313" t="str">
            <v>rethink-app</v>
          </cell>
          <cell r="C2313" t="str">
            <v>celzero/rethink-app</v>
          </cell>
          <cell r="D2313" t="str">
            <v>celzero/rethink-app</v>
          </cell>
          <cell r="E2313">
            <v>1074</v>
          </cell>
          <cell r="F2313">
            <v>159</v>
          </cell>
          <cell r="G2313">
            <v>131</v>
          </cell>
          <cell r="H2313">
            <v>41511</v>
          </cell>
          <cell r="I2313">
            <v>89</v>
          </cell>
          <cell r="J2313">
            <v>1554</v>
          </cell>
          <cell r="K2313">
            <v>177</v>
          </cell>
        </row>
        <row r="2314">
          <cell r="B2314" t="str">
            <v>MHWorldDatabase</v>
          </cell>
          <cell r="C2314" t="str">
            <v>gatheringhallstudios/MHWorldDatabase</v>
          </cell>
          <cell r="D2314" t="str">
            <v>gatheringhallstudios/MHWorldDatabase</v>
          </cell>
          <cell r="E2314">
            <v>1062</v>
          </cell>
          <cell r="F2314">
            <v>160</v>
          </cell>
          <cell r="G2314">
            <v>8</v>
          </cell>
          <cell r="H2314">
            <v>49253</v>
          </cell>
          <cell r="I2314">
            <v>21</v>
          </cell>
          <cell r="J2314">
            <v>52</v>
          </cell>
          <cell r="K2314">
            <v>6</v>
          </cell>
        </row>
        <row r="2315">
          <cell r="B2315" t="str">
            <v>openreads-android</v>
          </cell>
          <cell r="C2315" t="str">
            <v>mateusz-bak/openreads-android</v>
          </cell>
          <cell r="D2315" t="str">
            <v>mateusz-bak/openreads</v>
          </cell>
          <cell r="E2315">
            <v>1848</v>
          </cell>
          <cell r="F2315">
            <v>160</v>
          </cell>
          <cell r="G2315">
            <v>16</v>
          </cell>
          <cell r="H2315">
            <v>135201</v>
          </cell>
          <cell r="I2315">
            <v>11</v>
          </cell>
          <cell r="J2315">
            <v>329</v>
          </cell>
          <cell r="K2315">
            <v>49</v>
          </cell>
        </row>
        <row r="2316">
          <cell r="B2316" t="str">
            <v>inspector</v>
          </cell>
          <cell r="C2316" t="str">
            <v>Mastbau-FN/inspector</v>
          </cell>
          <cell r="D2316" t="str">
            <v>Mastbau-FN/inspector</v>
          </cell>
          <cell r="E2316">
            <v>1319</v>
          </cell>
          <cell r="F2316">
            <v>160</v>
          </cell>
          <cell r="G2316">
            <v>5</v>
          </cell>
          <cell r="H2316">
            <v>12898</v>
          </cell>
          <cell r="I2316">
            <v>1</v>
          </cell>
          <cell r="J2316">
            <v>2</v>
          </cell>
          <cell r="K2316">
            <v>21</v>
          </cell>
        </row>
        <row r="2317">
          <cell r="B2317" t="str">
            <v>Kotatsu</v>
          </cell>
          <cell r="C2317" t="str">
            <v>KotatsuApp/Kotatsu</v>
          </cell>
          <cell r="D2317" t="str">
            <v>KotatsuApp/Kotatsu</v>
          </cell>
          <cell r="E2317">
            <v>2137</v>
          </cell>
          <cell r="F2317">
            <v>162</v>
          </cell>
          <cell r="G2317">
            <v>199</v>
          </cell>
          <cell r="H2317">
            <v>33350</v>
          </cell>
          <cell r="I2317">
            <v>61</v>
          </cell>
          <cell r="J2317">
            <v>868</v>
          </cell>
          <cell r="K2317">
            <v>35</v>
          </cell>
        </row>
        <row r="2318">
          <cell r="B2318" t="str">
            <v>mtg-familiar</v>
          </cell>
          <cell r="C2318" t="str">
            <v>AEFeinstein/mtg-familiar</v>
          </cell>
          <cell r="D2318" t="str">
            <v>AEFeinstein/mtg-familiar</v>
          </cell>
          <cell r="E2318">
            <v>2209</v>
          </cell>
          <cell r="F2318">
            <v>163</v>
          </cell>
          <cell r="G2318">
            <v>28</v>
          </cell>
          <cell r="H2318">
            <v>900320</v>
          </cell>
          <cell r="I2318">
            <v>73</v>
          </cell>
          <cell r="J2318">
            <v>260</v>
          </cell>
          <cell r="K2318">
            <v>30</v>
          </cell>
        </row>
        <row r="2319">
          <cell r="B2319" t="str">
            <v>SpaceLaunchNow-Android</v>
          </cell>
          <cell r="C2319" t="str">
            <v>ItsCalebJones/SpaceLaunchNow-Android</v>
          </cell>
          <cell r="D2319" t="str">
            <v>ItsCalebJones/SpaceLaunchNow-Android</v>
          </cell>
          <cell r="E2319">
            <v>1822</v>
          </cell>
          <cell r="F2319">
            <v>163</v>
          </cell>
          <cell r="G2319">
            <v>3</v>
          </cell>
          <cell r="H2319">
            <v>224545</v>
          </cell>
          <cell r="I2319">
            <v>17</v>
          </cell>
          <cell r="J2319">
            <v>92</v>
          </cell>
          <cell r="K2319">
            <v>1</v>
          </cell>
        </row>
        <row r="2320">
          <cell r="B2320" t="str">
            <v>pixelwheels</v>
          </cell>
          <cell r="C2320" t="str">
            <v>agateau/pixelwheels</v>
          </cell>
          <cell r="D2320" t="str">
            <v>agateau/pixelwheels</v>
          </cell>
          <cell r="E2320">
            <v>3001</v>
          </cell>
          <cell r="F2320">
            <v>164</v>
          </cell>
          <cell r="G2320">
            <v>22</v>
          </cell>
          <cell r="H2320">
            <v>57268</v>
          </cell>
          <cell r="I2320">
            <v>47</v>
          </cell>
          <cell r="J2320">
            <v>318</v>
          </cell>
          <cell r="K2320">
            <v>35</v>
          </cell>
        </row>
        <row r="2321">
          <cell r="B2321" t="str">
            <v>irmamobile</v>
          </cell>
          <cell r="C2321" t="str">
            <v>privacybydesign/irmamobile</v>
          </cell>
          <cell r="D2321" t="str">
            <v>privacybydesign/irmamobile</v>
          </cell>
          <cell r="E2321">
            <v>4124</v>
          </cell>
          <cell r="F2321">
            <v>164</v>
          </cell>
          <cell r="G2321">
            <v>21</v>
          </cell>
          <cell r="H2321">
            <v>19285</v>
          </cell>
          <cell r="I2321">
            <v>17</v>
          </cell>
          <cell r="J2321">
            <v>57</v>
          </cell>
          <cell r="K2321">
            <v>10</v>
          </cell>
        </row>
        <row r="2322">
          <cell r="B2322" t="str">
            <v>BombusMod</v>
          </cell>
          <cell r="C2322" t="str">
            <v>BombusMod/BombusMod</v>
          </cell>
          <cell r="D2322" t="str">
            <v>BombusMod/BombusMod</v>
          </cell>
          <cell r="E2322">
            <v>1584</v>
          </cell>
          <cell r="F2322">
            <v>166</v>
          </cell>
          <cell r="G2322">
            <v>10</v>
          </cell>
          <cell r="H2322">
            <v>18956</v>
          </cell>
          <cell r="I2322">
            <v>16</v>
          </cell>
          <cell r="J2322">
            <v>23</v>
          </cell>
          <cell r="K2322">
            <v>0</v>
          </cell>
        </row>
        <row r="2323">
          <cell r="B2323" t="str">
            <v>capgo</v>
          </cell>
          <cell r="C2323" t="str">
            <v>Cap-go/capgo</v>
          </cell>
          <cell r="D2323" t="str">
            <v>Cap-go/capgo</v>
          </cell>
          <cell r="E2323">
            <v>3917</v>
          </cell>
          <cell r="F2323">
            <v>167</v>
          </cell>
          <cell r="G2323">
            <v>24</v>
          </cell>
          <cell r="H2323">
            <v>23003</v>
          </cell>
          <cell r="I2323">
            <v>4</v>
          </cell>
          <cell r="J2323">
            <v>28</v>
          </cell>
          <cell r="K2323">
            <v>29</v>
          </cell>
        </row>
        <row r="2324">
          <cell r="B2324" t="str">
            <v>TBLauncher</v>
          </cell>
          <cell r="C2324" t="str">
            <v>TBog/TBLauncher</v>
          </cell>
          <cell r="D2324" t="str">
            <v>TBog/TBLauncher</v>
          </cell>
          <cell r="E2324">
            <v>1032</v>
          </cell>
          <cell r="F2324">
            <v>168</v>
          </cell>
          <cell r="G2324">
            <v>23</v>
          </cell>
          <cell r="H2324">
            <v>6243</v>
          </cell>
          <cell r="I2324">
            <v>13</v>
          </cell>
          <cell r="J2324">
            <v>99</v>
          </cell>
          <cell r="K2324">
            <v>46</v>
          </cell>
        </row>
        <row r="2325">
          <cell r="B2325" t="str">
            <v>learn-braille</v>
          </cell>
          <cell r="C2325" t="str">
            <v>braille-systems/learn-braille</v>
          </cell>
          <cell r="D2325" t="str">
            <v>braille-systems/learn-braille</v>
          </cell>
          <cell r="E2325">
            <v>1119</v>
          </cell>
          <cell r="F2325">
            <v>169</v>
          </cell>
          <cell r="G2325">
            <v>7</v>
          </cell>
          <cell r="H2325">
            <v>4218</v>
          </cell>
          <cell r="I2325">
            <v>3</v>
          </cell>
          <cell r="J2325">
            <v>9</v>
          </cell>
          <cell r="K2325">
            <v>35</v>
          </cell>
        </row>
        <row r="2326">
          <cell r="B2326" t="str">
            <v>Android-Iconics</v>
          </cell>
          <cell r="C2326" t="str">
            <v>mikepenz/Android-Iconics</v>
          </cell>
          <cell r="D2326" t="str">
            <v>mikepenz/Android-Iconics</v>
          </cell>
          <cell r="E2326">
            <v>1232</v>
          </cell>
          <cell r="F2326">
            <v>170</v>
          </cell>
          <cell r="G2326">
            <v>41</v>
          </cell>
          <cell r="H2326">
            <v>16123</v>
          </cell>
          <cell r="I2326">
            <v>637</v>
          </cell>
          <cell r="J2326">
            <v>5067</v>
          </cell>
          <cell r="K2326">
            <v>4</v>
          </cell>
        </row>
        <row r="2327">
          <cell r="B2327" t="str">
            <v>vanilla</v>
          </cell>
          <cell r="C2327" t="str">
            <v>vanilla-music/vanilla</v>
          </cell>
          <cell r="D2327" t="str">
            <v>vanilla-music/vanilla</v>
          </cell>
          <cell r="E2327">
            <v>2280</v>
          </cell>
          <cell r="F2327">
            <v>171</v>
          </cell>
          <cell r="G2327">
            <v>51</v>
          </cell>
          <cell r="H2327">
            <v>31307</v>
          </cell>
          <cell r="I2327">
            <v>281</v>
          </cell>
          <cell r="J2327">
            <v>1009</v>
          </cell>
          <cell r="K2327">
            <v>239</v>
          </cell>
        </row>
        <row r="2328">
          <cell r="B2328" t="str">
            <v>etopa</v>
          </cell>
          <cell r="C2328" t="str">
            <v>ltheinrich/etopa</v>
          </cell>
          <cell r="D2328" t="str">
            <v>ltheinrich/etopa</v>
          </cell>
          <cell r="E2328">
            <v>1102</v>
          </cell>
          <cell r="F2328">
            <v>171</v>
          </cell>
          <cell r="G2328">
            <v>5</v>
          </cell>
          <cell r="H2328">
            <v>4154</v>
          </cell>
          <cell r="I2328">
            <v>1</v>
          </cell>
          <cell r="J2328">
            <v>19</v>
          </cell>
          <cell r="K2328">
            <v>0</v>
          </cell>
        </row>
        <row r="2329">
          <cell r="B2329" t="str">
            <v>NoiseCapture</v>
          </cell>
          <cell r="C2329" t="str">
            <v>Universite-Gustave-Eiffel/NoiseCapture</v>
          </cell>
          <cell r="D2329" t="str">
            <v>Universite-Gustave-Eiffel/NoiseCapture</v>
          </cell>
          <cell r="E2329">
            <v>1002</v>
          </cell>
          <cell r="F2329">
            <v>173</v>
          </cell>
          <cell r="G2329">
            <v>8</v>
          </cell>
          <cell r="H2329">
            <v>80401</v>
          </cell>
          <cell r="I2329">
            <v>41</v>
          </cell>
          <cell r="J2329">
            <v>69</v>
          </cell>
          <cell r="K2329">
            <v>73</v>
          </cell>
        </row>
        <row r="2330">
          <cell r="B2330" t="str">
            <v>glucosio-android</v>
          </cell>
          <cell r="C2330" t="str">
            <v>Glucosio/glucosio-android</v>
          </cell>
          <cell r="D2330" t="str">
            <v>Glucosio/glucosio-android</v>
          </cell>
          <cell r="E2330">
            <v>1166</v>
          </cell>
          <cell r="F2330">
            <v>174</v>
          </cell>
          <cell r="G2330">
            <v>31</v>
          </cell>
          <cell r="H2330">
            <v>32732</v>
          </cell>
          <cell r="I2330">
            <v>166</v>
          </cell>
          <cell r="J2330">
            <v>335</v>
          </cell>
          <cell r="K2330">
            <v>82</v>
          </cell>
        </row>
        <row r="2331">
          <cell r="B2331" t="str">
            <v>Kaidan</v>
          </cell>
          <cell r="C2331" t="str">
            <v>KaidanIM/Kaidan</v>
          </cell>
          <cell r="D2331" t="str">
            <v>KaidanIM/Kaidan</v>
          </cell>
          <cell r="E2331">
            <v>1455</v>
          </cell>
          <cell r="F2331">
            <v>175</v>
          </cell>
          <cell r="G2331">
            <v>51</v>
          </cell>
          <cell r="H2331">
            <v>5128</v>
          </cell>
          <cell r="I2331">
            <v>16</v>
          </cell>
          <cell r="J2331">
            <v>77</v>
          </cell>
          <cell r="K2331">
            <v>18</v>
          </cell>
        </row>
        <row r="2332">
          <cell r="B2332" t="str">
            <v>Silence</v>
          </cell>
          <cell r="C2332" t="str">
            <v>SilenceIM/Silence</v>
          </cell>
          <cell r="D2332" t="str">
            <v>SilenceIM/Silence</v>
          </cell>
          <cell r="E2332">
            <v>2726</v>
          </cell>
          <cell r="F2332">
            <v>175</v>
          </cell>
          <cell r="G2332">
            <v>133</v>
          </cell>
          <cell r="H2332">
            <v>70158</v>
          </cell>
          <cell r="I2332">
            <v>156</v>
          </cell>
          <cell r="J2332">
            <v>1106</v>
          </cell>
          <cell r="K2332">
            <v>225</v>
          </cell>
        </row>
        <row r="2333">
          <cell r="B2333" t="str">
            <v>TOMB5</v>
          </cell>
          <cell r="C2333" t="str">
            <v>TOMB5/TOMB5</v>
          </cell>
          <cell r="D2333" t="str">
            <v>TOMB5/TOMB5</v>
          </cell>
          <cell r="E2333">
            <v>3771</v>
          </cell>
          <cell r="F2333">
            <v>177</v>
          </cell>
          <cell r="G2333">
            <v>7</v>
          </cell>
          <cell r="H2333">
            <v>7084</v>
          </cell>
          <cell r="I2333">
            <v>43</v>
          </cell>
          <cell r="J2333">
            <v>467</v>
          </cell>
          <cell r="K2333">
            <v>26</v>
          </cell>
        </row>
        <row r="2334">
          <cell r="B2334" t="str">
            <v>Android-App</v>
          </cell>
          <cell r="C2334" t="str">
            <v>Pattonville-App-Development-Team/Android-App</v>
          </cell>
          <cell r="D2334" t="str">
            <v>Pattonville-App-Development-Team/Android-App</v>
          </cell>
          <cell r="E2334">
            <v>1437</v>
          </cell>
          <cell r="F2334">
            <v>181</v>
          </cell>
          <cell r="G2334">
            <v>4</v>
          </cell>
          <cell r="H2334">
            <v>43053</v>
          </cell>
          <cell r="I2334">
            <v>0</v>
          </cell>
          <cell r="J2334">
            <v>4</v>
          </cell>
          <cell r="K2334">
            <v>9</v>
          </cell>
        </row>
        <row r="2335">
          <cell r="B2335" t="str">
            <v>FreezeYou</v>
          </cell>
          <cell r="C2335" t="str">
            <v>FreezeYou/FreezeYou</v>
          </cell>
          <cell r="D2335" t="str">
            <v>FreezeYou/FreezeYou</v>
          </cell>
          <cell r="E2335">
            <v>2481</v>
          </cell>
          <cell r="F2335">
            <v>182</v>
          </cell>
          <cell r="G2335">
            <v>4</v>
          </cell>
          <cell r="H2335">
            <v>11440</v>
          </cell>
          <cell r="I2335">
            <v>18</v>
          </cell>
          <cell r="J2335">
            <v>171</v>
          </cell>
          <cell r="K2335">
            <v>33</v>
          </cell>
        </row>
        <row r="2336">
          <cell r="B2336" t="str">
            <v>aaaaxy</v>
          </cell>
          <cell r="C2336" t="str">
            <v>divVerent/aaaaxy</v>
          </cell>
          <cell r="D2336" t="str">
            <v>divVerent/aaaaxy</v>
          </cell>
          <cell r="E2336">
            <v>3023</v>
          </cell>
          <cell r="F2336">
            <v>183</v>
          </cell>
          <cell r="G2336">
            <v>4</v>
          </cell>
          <cell r="H2336">
            <v>46007</v>
          </cell>
          <cell r="I2336">
            <v>5</v>
          </cell>
          <cell r="J2336">
            <v>134</v>
          </cell>
          <cell r="K2336">
            <v>9</v>
          </cell>
        </row>
        <row r="2337">
          <cell r="B2337" t="str">
            <v>Transportr</v>
          </cell>
          <cell r="C2337" t="str">
            <v>grote/Transportr</v>
          </cell>
          <cell r="D2337" t="str">
            <v>grote/Transportr</v>
          </cell>
          <cell r="E2337">
            <v>1274</v>
          </cell>
          <cell r="F2337">
            <v>185</v>
          </cell>
          <cell r="G2337">
            <v>47</v>
          </cell>
          <cell r="H2337">
            <v>46012</v>
          </cell>
          <cell r="I2337">
            <v>193</v>
          </cell>
          <cell r="J2337">
            <v>892</v>
          </cell>
          <cell r="K2337">
            <v>139</v>
          </cell>
        </row>
        <row r="2338">
          <cell r="B2338" t="str">
            <v>peercoin_flutter</v>
          </cell>
          <cell r="C2338" t="str">
            <v>peercoin/peercoin_flutter</v>
          </cell>
          <cell r="D2338" t="str">
            <v>peercoin/peercoin_flutter</v>
          </cell>
          <cell r="E2338">
            <v>1476</v>
          </cell>
          <cell r="F2338">
            <v>186</v>
          </cell>
          <cell r="G2338">
            <v>15</v>
          </cell>
          <cell r="H2338">
            <v>40964</v>
          </cell>
          <cell r="I2338">
            <v>11</v>
          </cell>
          <cell r="J2338">
            <v>21</v>
          </cell>
          <cell r="K2338">
            <v>0</v>
          </cell>
        </row>
        <row r="2339">
          <cell r="B2339" t="str">
            <v>instiapp-android</v>
          </cell>
          <cell r="C2339" t="str">
            <v>DevCom-IITB/instiapp-android</v>
          </cell>
          <cell r="D2339" t="str">
            <v>DevCom-IITB/instiapp-android</v>
          </cell>
          <cell r="E2339">
            <v>1112</v>
          </cell>
          <cell r="F2339">
            <v>187</v>
          </cell>
          <cell r="G2339">
            <v>22</v>
          </cell>
          <cell r="H2339">
            <v>8730</v>
          </cell>
          <cell r="I2339">
            <v>49</v>
          </cell>
          <cell r="J2339">
            <v>30</v>
          </cell>
          <cell r="K2339">
            <v>16</v>
          </cell>
        </row>
        <row r="2340">
          <cell r="B2340" t="str">
            <v>mupen64plus-ae</v>
          </cell>
          <cell r="C2340" t="str">
            <v>mupen64plus-ae/mupen64plus-ae</v>
          </cell>
          <cell r="D2340" t="str">
            <v>mupen64plus-ae/mupen64plus-ae</v>
          </cell>
          <cell r="E2340">
            <v>6817</v>
          </cell>
          <cell r="F2340">
            <v>190</v>
          </cell>
          <cell r="G2340">
            <v>38</v>
          </cell>
          <cell r="H2340">
            <v>167350</v>
          </cell>
          <cell r="I2340">
            <v>93</v>
          </cell>
          <cell r="J2340">
            <v>336</v>
          </cell>
          <cell r="K2340">
            <v>48</v>
          </cell>
        </row>
        <row r="2341">
          <cell r="B2341" t="str">
            <v>amethyst</v>
          </cell>
          <cell r="C2341" t="str">
            <v>vitorpamplona/amethyst</v>
          </cell>
          <cell r="D2341" t="str">
            <v>vitorpamplona/amethyst</v>
          </cell>
          <cell r="E2341">
            <v>1964</v>
          </cell>
          <cell r="F2341">
            <v>191</v>
          </cell>
          <cell r="G2341">
            <v>59</v>
          </cell>
          <cell r="H2341">
            <v>15143</v>
          </cell>
          <cell r="I2341">
            <v>112</v>
          </cell>
          <cell r="J2341">
            <v>794</v>
          </cell>
          <cell r="K2341">
            <v>123</v>
          </cell>
        </row>
        <row r="2342">
          <cell r="B2342" t="str">
            <v>OpenDocument.droid</v>
          </cell>
          <cell r="C2342" t="str">
            <v>opendocument-app/OpenDocument.droid</v>
          </cell>
          <cell r="D2342" t="str">
            <v>opendocument-app/OpenDocument.droid</v>
          </cell>
          <cell r="E2342">
            <v>5243</v>
          </cell>
          <cell r="F2342">
            <v>198</v>
          </cell>
          <cell r="G2342">
            <v>12</v>
          </cell>
          <cell r="H2342">
            <v>59381</v>
          </cell>
          <cell r="I2342">
            <v>37</v>
          </cell>
          <cell r="J2342">
            <v>190</v>
          </cell>
          <cell r="K2342">
            <v>19</v>
          </cell>
        </row>
        <row r="2343">
          <cell r="B2343" t="str">
            <v>DMS-Android</v>
          </cell>
          <cell r="C2343" t="str">
            <v>team-aliens/DMS-Android</v>
          </cell>
          <cell r="D2343" t="str">
            <v>team-aliens/DMS-Android</v>
          </cell>
          <cell r="E2343">
            <v>2105</v>
          </cell>
          <cell r="F2343">
            <v>199</v>
          </cell>
          <cell r="G2343">
            <v>8</v>
          </cell>
          <cell r="H2343">
            <v>2965</v>
          </cell>
          <cell r="I2343">
            <v>0</v>
          </cell>
          <cell r="J2343">
            <v>29</v>
          </cell>
          <cell r="K2343">
            <v>20</v>
          </cell>
        </row>
        <row r="2344">
          <cell r="B2344" t="str">
            <v>ToxAndroidRefImpl</v>
          </cell>
          <cell r="C2344" t="str">
            <v>zoff99/ToxAndroidRefImpl</v>
          </cell>
          <cell r="D2344" t="str">
            <v>zoff99/ToxAndroidRefImpl</v>
          </cell>
          <cell r="E2344">
            <v>3925</v>
          </cell>
          <cell r="F2344">
            <v>200</v>
          </cell>
          <cell r="G2344">
            <v>31</v>
          </cell>
          <cell r="H2344">
            <v>33887</v>
          </cell>
          <cell r="I2344">
            <v>50</v>
          </cell>
          <cell r="J2344">
            <v>224</v>
          </cell>
          <cell r="K2344">
            <v>28</v>
          </cell>
        </row>
        <row r="2345">
          <cell r="B2345" t="str">
            <v>dmix</v>
          </cell>
          <cell r="C2345" t="str">
            <v>abarisain/dmix</v>
          </cell>
          <cell r="D2345" t="str">
            <v>abarisain/dmix</v>
          </cell>
          <cell r="E2345">
            <v>2605</v>
          </cell>
          <cell r="F2345">
            <v>201</v>
          </cell>
          <cell r="G2345">
            <v>32</v>
          </cell>
          <cell r="H2345">
            <v>36138</v>
          </cell>
          <cell r="I2345">
            <v>204</v>
          </cell>
          <cell r="J2345">
            <v>585</v>
          </cell>
          <cell r="K2345">
            <v>168</v>
          </cell>
        </row>
        <row r="2346">
          <cell r="B2346" t="str">
            <v>PretendYoureXyzzyAndroid</v>
          </cell>
          <cell r="C2346" t="str">
            <v>devgianlu/PretendYoureXyzzyAndroid</v>
          </cell>
          <cell r="D2346" t="str">
            <v>devgianlu/PretendYoureXyzzyAndroid</v>
          </cell>
          <cell r="E2346">
            <v>1088</v>
          </cell>
          <cell r="F2346">
            <v>201</v>
          </cell>
          <cell r="G2346">
            <v>6</v>
          </cell>
          <cell r="H2346">
            <v>83394</v>
          </cell>
          <cell r="I2346">
            <v>5</v>
          </cell>
          <cell r="J2346">
            <v>61</v>
          </cell>
          <cell r="K2346">
            <v>12</v>
          </cell>
        </row>
        <row r="2347">
          <cell r="B2347" t="str">
            <v>lesspass</v>
          </cell>
          <cell r="C2347" t="str">
            <v>lesspass/lesspass</v>
          </cell>
          <cell r="D2347" t="str">
            <v>lesspass/lesspass</v>
          </cell>
          <cell r="E2347">
            <v>2340</v>
          </cell>
          <cell r="F2347">
            <v>202</v>
          </cell>
          <cell r="G2347">
            <v>60</v>
          </cell>
          <cell r="H2347">
            <v>44833</v>
          </cell>
          <cell r="I2347">
            <v>311</v>
          </cell>
          <cell r="J2347">
            <v>5497</v>
          </cell>
          <cell r="K2347">
            <v>50</v>
          </cell>
        </row>
        <row r="2348">
          <cell r="B2348" t="str">
            <v>openScale</v>
          </cell>
          <cell r="C2348" t="str">
            <v>oliexdev/openScale</v>
          </cell>
          <cell r="D2348" t="str">
            <v>oliexdev/openScale</v>
          </cell>
          <cell r="E2348">
            <v>2199</v>
          </cell>
          <cell r="F2348">
            <v>204</v>
          </cell>
          <cell r="G2348">
            <v>176</v>
          </cell>
          <cell r="H2348">
            <v>148526</v>
          </cell>
          <cell r="I2348">
            <v>266</v>
          </cell>
          <cell r="J2348">
            <v>1389</v>
          </cell>
          <cell r="K2348">
            <v>116</v>
          </cell>
        </row>
        <row r="2349">
          <cell r="B2349" t="str">
            <v>samourai-wallet-android</v>
          </cell>
          <cell r="C2349" t="str">
            <v>Samourai-Wallet/samourai-wallet-android</v>
          </cell>
          <cell r="D2349" t="str">
            <v>Samourai-Wallet/samourai-wallet-android</v>
          </cell>
          <cell r="E2349">
            <v>3167</v>
          </cell>
          <cell r="F2349">
            <v>208</v>
          </cell>
          <cell r="G2349">
            <v>34</v>
          </cell>
          <cell r="H2349">
            <v>39505</v>
          </cell>
          <cell r="I2349">
            <v>221</v>
          </cell>
          <cell r="J2349">
            <v>580</v>
          </cell>
          <cell r="K2349">
            <v>84</v>
          </cell>
        </row>
        <row r="2350">
          <cell r="B2350" t="str">
            <v>gpslogger</v>
          </cell>
          <cell r="C2350" t="str">
            <v>mendhak/gpslogger</v>
          </cell>
          <cell r="D2350" t="str">
            <v>mendhak/gpslogger</v>
          </cell>
          <cell r="E2350">
            <v>2788</v>
          </cell>
          <cell r="F2350">
            <v>210</v>
          </cell>
          <cell r="G2350">
            <v>115</v>
          </cell>
          <cell r="H2350">
            <v>31815</v>
          </cell>
          <cell r="I2350">
            <v>585</v>
          </cell>
          <cell r="J2350">
            <v>1691</v>
          </cell>
          <cell r="K2350">
            <v>144</v>
          </cell>
        </row>
        <row r="2351">
          <cell r="B2351" t="str">
            <v>app</v>
          </cell>
          <cell r="C2351" t="str">
            <v>mI-PIV/app</v>
          </cell>
          <cell r="D2351" t="str">
            <v>mI-PIV/app</v>
          </cell>
          <cell r="E2351">
            <v>1303</v>
          </cell>
          <cell r="F2351">
            <v>210</v>
          </cell>
          <cell r="G2351">
            <v>2</v>
          </cell>
          <cell r="H2351">
            <v>585408</v>
          </cell>
          <cell r="I2351">
            <v>4</v>
          </cell>
          <cell r="J2351">
            <v>8</v>
          </cell>
          <cell r="K2351">
            <v>20</v>
          </cell>
        </row>
        <row r="2352">
          <cell r="B2352" t="str">
            <v>simpletask-android</v>
          </cell>
          <cell r="C2352" t="str">
            <v>mpcjanssen/simpletask-android</v>
          </cell>
          <cell r="D2352" t="str">
            <v>mpcjanssen/simpletask-android</v>
          </cell>
          <cell r="E2352">
            <v>3741</v>
          </cell>
          <cell r="F2352">
            <v>218</v>
          </cell>
          <cell r="G2352">
            <v>17</v>
          </cell>
          <cell r="H2352">
            <v>57127</v>
          </cell>
          <cell r="I2352">
            <v>119</v>
          </cell>
          <cell r="J2352">
            <v>522</v>
          </cell>
          <cell r="K2352">
            <v>336</v>
          </cell>
        </row>
        <row r="2353">
          <cell r="B2353" t="str">
            <v>giggity</v>
          </cell>
          <cell r="C2353" t="str">
            <v>Wilm0r/giggity</v>
          </cell>
          <cell r="D2353" t="str">
            <v>Wilm0r/giggity</v>
          </cell>
          <cell r="E2353">
            <v>1107</v>
          </cell>
          <cell r="F2353">
            <v>221</v>
          </cell>
          <cell r="G2353">
            <v>77</v>
          </cell>
          <cell r="H2353">
            <v>10571</v>
          </cell>
          <cell r="I2353">
            <v>92</v>
          </cell>
          <cell r="J2353">
            <v>75</v>
          </cell>
          <cell r="K2353">
            <v>24</v>
          </cell>
        </row>
        <row r="2354">
          <cell r="B2354" t="str">
            <v>Music-Player-GO</v>
          </cell>
          <cell r="C2354" t="str">
            <v>enricocid/Music-Player-GO</v>
          </cell>
          <cell r="D2354" t="str">
            <v>enricocid/Music-Player-GO</v>
          </cell>
          <cell r="E2354">
            <v>2740</v>
          </cell>
          <cell r="F2354">
            <v>222</v>
          </cell>
          <cell r="G2354">
            <v>66</v>
          </cell>
          <cell r="H2354">
            <v>77975</v>
          </cell>
          <cell r="I2354">
            <v>176</v>
          </cell>
          <cell r="J2354">
            <v>1262</v>
          </cell>
          <cell r="K2354">
            <v>75</v>
          </cell>
        </row>
        <row r="2355">
          <cell r="B2355" t="str">
            <v>Presently</v>
          </cell>
          <cell r="C2355" t="str">
            <v>alisonthemonster/Presently</v>
          </cell>
          <cell r="D2355" t="str">
            <v>alisonthemonster/Presently</v>
          </cell>
          <cell r="E2355">
            <v>1191</v>
          </cell>
          <cell r="F2355">
            <v>222</v>
          </cell>
          <cell r="G2355">
            <v>26</v>
          </cell>
          <cell r="H2355">
            <v>3094</v>
          </cell>
          <cell r="I2355">
            <v>71</v>
          </cell>
          <cell r="J2355">
            <v>296</v>
          </cell>
          <cell r="K2355">
            <v>14</v>
          </cell>
        </row>
        <row r="2356">
          <cell r="B2356" t="str">
            <v>grocy-android</v>
          </cell>
          <cell r="C2356" t="str">
            <v>patzly/grocy-android</v>
          </cell>
          <cell r="D2356" t="str">
            <v>patzly/grocy-android</v>
          </cell>
          <cell r="E2356">
            <v>4099</v>
          </cell>
          <cell r="F2356">
            <v>224</v>
          </cell>
          <cell r="G2356">
            <v>26</v>
          </cell>
          <cell r="H2356">
            <v>42326</v>
          </cell>
          <cell r="I2356">
            <v>60</v>
          </cell>
          <cell r="J2356">
            <v>555</v>
          </cell>
          <cell r="K2356">
            <v>49</v>
          </cell>
        </row>
        <row r="2357">
          <cell r="B2357" t="str">
            <v>avare</v>
          </cell>
          <cell r="C2357" t="str">
            <v>apps4av/avare</v>
          </cell>
          <cell r="D2357" t="str">
            <v>apps4av/avare</v>
          </cell>
          <cell r="E2357">
            <v>2142</v>
          </cell>
          <cell r="F2357">
            <v>226</v>
          </cell>
          <cell r="G2357">
            <v>32</v>
          </cell>
          <cell r="H2357">
            <v>16902</v>
          </cell>
          <cell r="I2357">
            <v>118</v>
          </cell>
          <cell r="J2357">
            <v>132</v>
          </cell>
          <cell r="K2357">
            <v>132</v>
          </cell>
        </row>
        <row r="2358">
          <cell r="B2358" t="str">
            <v>brouter</v>
          </cell>
          <cell r="C2358" t="str">
            <v>abrensch/brouter</v>
          </cell>
          <cell r="D2358" t="str">
            <v>abrensch/brouter</v>
          </cell>
          <cell r="E2358">
            <v>1087</v>
          </cell>
          <cell r="F2358">
            <v>228</v>
          </cell>
          <cell r="G2358">
            <v>40</v>
          </cell>
          <cell r="H2358">
            <v>5730</v>
          </cell>
          <cell r="I2358">
            <v>93</v>
          </cell>
          <cell r="J2358">
            <v>381</v>
          </cell>
          <cell r="K2358">
            <v>166</v>
          </cell>
        </row>
        <row r="2359">
          <cell r="B2359" t="str">
            <v>AlarmClock</v>
          </cell>
          <cell r="C2359" t="str">
            <v>yuriykulikov/AlarmClock</v>
          </cell>
          <cell r="D2359" t="str">
            <v>yuriykulikov/AlarmClock</v>
          </cell>
          <cell r="E2359">
            <v>1969</v>
          </cell>
          <cell r="F2359">
            <v>229</v>
          </cell>
          <cell r="G2359">
            <v>28</v>
          </cell>
          <cell r="H2359">
            <v>16401</v>
          </cell>
          <cell r="I2359">
            <v>141</v>
          </cell>
          <cell r="J2359">
            <v>402</v>
          </cell>
          <cell r="K2359">
            <v>47</v>
          </cell>
        </row>
        <row r="2360">
          <cell r="B2360" t="str">
            <v>hyperrogue</v>
          </cell>
          <cell r="C2360" t="str">
            <v>zenorogue/hyperrogue</v>
          </cell>
          <cell r="D2360" t="str">
            <v>zenorogue/hyperrogue</v>
          </cell>
          <cell r="E2360">
            <v>9914</v>
          </cell>
          <cell r="F2360">
            <v>230</v>
          </cell>
          <cell r="G2360">
            <v>20</v>
          </cell>
          <cell r="H2360">
            <v>126341</v>
          </cell>
          <cell r="I2360">
            <v>57</v>
          </cell>
          <cell r="J2360">
            <v>458</v>
          </cell>
          <cell r="K2360">
            <v>53</v>
          </cell>
        </row>
        <row r="2361">
          <cell r="B2361" t="str">
            <v>relay</v>
          </cell>
          <cell r="C2361" t="str">
            <v>ForstaLabs/relay</v>
          </cell>
          <cell r="D2361" t="str">
            <v>ForstaLabs/relay</v>
          </cell>
          <cell r="E2361">
            <v>4672</v>
          </cell>
          <cell r="F2361">
            <v>231</v>
          </cell>
          <cell r="G2361">
            <v>128</v>
          </cell>
          <cell r="H2361">
            <v>86098</v>
          </cell>
          <cell r="I2361">
            <v>3</v>
          </cell>
          <cell r="J2361">
            <v>3</v>
          </cell>
          <cell r="K2361">
            <v>26</v>
          </cell>
        </row>
        <row r="2362">
          <cell r="B2362" t="str">
            <v>android</v>
          </cell>
          <cell r="C2362" t="str">
            <v>cyclestreets/android</v>
          </cell>
          <cell r="D2362" t="str">
            <v>cyclestreets/android</v>
          </cell>
          <cell r="E2362">
            <v>1642</v>
          </cell>
          <cell r="F2362">
            <v>232</v>
          </cell>
          <cell r="G2362">
            <v>19</v>
          </cell>
          <cell r="H2362">
            <v>15052</v>
          </cell>
          <cell r="I2362">
            <v>208</v>
          </cell>
          <cell r="J2362">
            <v>204</v>
          </cell>
          <cell r="K2362">
            <v>88</v>
          </cell>
        </row>
        <row r="2363">
          <cell r="B2363" t="str">
            <v>acs-upb-mobile</v>
          </cell>
          <cell r="C2363" t="str">
            <v>student-hub/acs-upb-mobile</v>
          </cell>
          <cell r="D2363" t="str">
            <v>student-hub/acs-upb-mobile</v>
          </cell>
          <cell r="E2363">
            <v>1028</v>
          </cell>
          <cell r="F2363">
            <v>234</v>
          </cell>
          <cell r="G2363">
            <v>23</v>
          </cell>
          <cell r="H2363">
            <v>29774</v>
          </cell>
          <cell r="I2363">
            <v>23</v>
          </cell>
          <cell r="J2363">
            <v>25</v>
          </cell>
          <cell r="K2363">
            <v>80</v>
          </cell>
        </row>
        <row r="2364">
          <cell r="B2364" t="str">
            <v>dfm</v>
          </cell>
          <cell r="C2364" t="str">
            <v>darakeon/dfm</v>
          </cell>
          <cell r="D2364" t="str">
            <v>darakeon/dfm</v>
          </cell>
          <cell r="E2364">
            <v>2054</v>
          </cell>
          <cell r="F2364">
            <v>235</v>
          </cell>
          <cell r="G2364">
            <v>3</v>
          </cell>
          <cell r="H2364">
            <v>50402</v>
          </cell>
          <cell r="I2364">
            <v>0</v>
          </cell>
          <cell r="J2364">
            <v>14</v>
          </cell>
          <cell r="K2364">
            <v>24</v>
          </cell>
        </row>
        <row r="2365">
          <cell r="B2365" t="str">
            <v>Butterfly</v>
          </cell>
          <cell r="C2365" t="str">
            <v>LinwoodDev/Butterfly</v>
          </cell>
          <cell r="D2365" t="str">
            <v>LinwoodDev/Butterfly</v>
          </cell>
          <cell r="E2365">
            <v>2668</v>
          </cell>
          <cell r="F2365">
            <v>237</v>
          </cell>
          <cell r="G2365">
            <v>16</v>
          </cell>
          <cell r="H2365">
            <v>52269</v>
          </cell>
          <cell r="I2365">
            <v>32</v>
          </cell>
          <cell r="J2365">
            <v>458</v>
          </cell>
          <cell r="K2365">
            <v>24</v>
          </cell>
        </row>
        <row r="2366">
          <cell r="B2366" t="str">
            <v>Sanmill</v>
          </cell>
          <cell r="C2366" t="str">
            <v>calcitem/Sanmill</v>
          </cell>
          <cell r="D2366" t="str">
            <v>calcitem/Sanmill</v>
          </cell>
          <cell r="E2366">
            <v>3548</v>
          </cell>
          <cell r="F2366">
            <v>241</v>
          </cell>
          <cell r="G2366">
            <v>26</v>
          </cell>
          <cell r="H2366">
            <v>77635</v>
          </cell>
          <cell r="I2366">
            <v>19</v>
          </cell>
          <cell r="J2366">
            <v>113</v>
          </cell>
          <cell r="K2366">
            <v>184</v>
          </cell>
        </row>
        <row r="2367">
          <cell r="B2367" t="str">
            <v>bbct-android</v>
          </cell>
          <cell r="C2367" t="str">
            <v>BaseballCardTracker/bbct-android</v>
          </cell>
          <cell r="D2367" t="str">
            <v>BaseballCardTracker/bbct-android</v>
          </cell>
          <cell r="E2367">
            <v>1947</v>
          </cell>
          <cell r="F2367">
            <v>241</v>
          </cell>
          <cell r="G2367">
            <v>7</v>
          </cell>
          <cell r="H2367">
            <v>9200</v>
          </cell>
          <cell r="I2367">
            <v>17</v>
          </cell>
          <cell r="J2367">
            <v>6</v>
          </cell>
          <cell r="K2367">
            <v>94</v>
          </cell>
        </row>
        <row r="2368">
          <cell r="B2368" t="str">
            <v>flutter</v>
          </cell>
          <cell r="C2368" t="str">
            <v>wger-project/flutter</v>
          </cell>
          <cell r="D2368" t="str">
            <v>wger-project/flutter</v>
          </cell>
          <cell r="E2368">
            <v>1778</v>
          </cell>
          <cell r="F2368">
            <v>243</v>
          </cell>
          <cell r="G2368">
            <v>150</v>
          </cell>
          <cell r="H2368">
            <v>82524</v>
          </cell>
          <cell r="I2368">
            <v>154</v>
          </cell>
          <cell r="J2368">
            <v>246</v>
          </cell>
          <cell r="K2368">
            <v>61</v>
          </cell>
        </row>
        <row r="2369">
          <cell r="B2369" t="str">
            <v>criticalmaps-android</v>
          </cell>
          <cell r="C2369" t="str">
            <v>criticalmaps/criticalmaps-android</v>
          </cell>
          <cell r="D2369" t="str">
            <v>criticalmaps/criticalmaps-android</v>
          </cell>
          <cell r="E2369">
            <v>1200</v>
          </cell>
          <cell r="F2369">
            <v>250</v>
          </cell>
          <cell r="G2369">
            <v>15</v>
          </cell>
          <cell r="H2369">
            <v>33115</v>
          </cell>
          <cell r="I2369">
            <v>28</v>
          </cell>
          <cell r="J2369">
            <v>129</v>
          </cell>
          <cell r="K2369">
            <v>22</v>
          </cell>
        </row>
        <row r="2370">
          <cell r="B2370" t="str">
            <v>DankChat</v>
          </cell>
          <cell r="C2370" t="str">
            <v>flex3r/DankChat</v>
          </cell>
          <cell r="D2370" t="str">
            <v>flex3r/DankChat</v>
          </cell>
          <cell r="E2370">
            <v>1729</v>
          </cell>
          <cell r="F2370">
            <v>255</v>
          </cell>
          <cell r="G2370">
            <v>35</v>
          </cell>
          <cell r="H2370">
            <v>31841</v>
          </cell>
          <cell r="I2370">
            <v>36</v>
          </cell>
          <cell r="J2370">
            <v>207</v>
          </cell>
          <cell r="K2370">
            <v>46</v>
          </cell>
        </row>
        <row r="2371">
          <cell r="B2371" t="str">
            <v>watomatic</v>
          </cell>
          <cell r="C2371" t="str">
            <v>adeekshith/watomatic</v>
          </cell>
          <cell r="D2371" t="str">
            <v>adeekshith/watomatic</v>
          </cell>
          <cell r="E2371">
            <v>1459</v>
          </cell>
          <cell r="F2371">
            <v>263</v>
          </cell>
          <cell r="G2371">
            <v>15</v>
          </cell>
          <cell r="H2371">
            <v>17057</v>
          </cell>
          <cell r="I2371">
            <v>67</v>
          </cell>
          <cell r="J2371">
            <v>351</v>
          </cell>
          <cell r="K2371">
            <v>59</v>
          </cell>
        </row>
        <row r="2372">
          <cell r="B2372" t="str">
            <v>Infinity-For-Reddit</v>
          </cell>
          <cell r="C2372" t="str">
            <v>Docile-Alligator/Infinity-For-Reddit</v>
          </cell>
          <cell r="D2372" t="str">
            <v>Docile-Alligator/Infinity-For-Reddit</v>
          </cell>
          <cell r="E2372">
            <v>2027</v>
          </cell>
          <cell r="F2372">
            <v>270</v>
          </cell>
          <cell r="G2372">
            <v>57</v>
          </cell>
          <cell r="H2372">
            <v>22366</v>
          </cell>
          <cell r="I2372">
            <v>356</v>
          </cell>
          <cell r="J2372">
            <v>3402</v>
          </cell>
          <cell r="K2372">
            <v>110</v>
          </cell>
        </row>
        <row r="2373">
          <cell r="B2373" t="str">
            <v>Runbhumi</v>
          </cell>
          <cell r="C2373" t="str">
            <v>Runbhumi/Runbhumi</v>
          </cell>
          <cell r="D2373" t="str">
            <v>Runbhumi/Runbhumi</v>
          </cell>
          <cell r="E2373">
            <v>1511</v>
          </cell>
          <cell r="F2373">
            <v>270</v>
          </cell>
          <cell r="G2373">
            <v>11</v>
          </cell>
          <cell r="H2373">
            <v>34946</v>
          </cell>
          <cell r="I2373">
            <v>23</v>
          </cell>
          <cell r="J2373">
            <v>111</v>
          </cell>
          <cell r="K2373">
            <v>20</v>
          </cell>
        </row>
        <row r="2374">
          <cell r="B2374" t="str">
            <v>VinylMusicPlayer</v>
          </cell>
          <cell r="C2374" t="str">
            <v>VinylMusicPlayer/VinylMusicPlayer</v>
          </cell>
          <cell r="D2374" t="str">
            <v>VinylMusicPlayer/VinylMusicPlayer</v>
          </cell>
          <cell r="E2374">
            <v>2723</v>
          </cell>
          <cell r="F2374">
            <v>271</v>
          </cell>
          <cell r="G2374">
            <v>69</v>
          </cell>
          <cell r="H2374">
            <v>21353</v>
          </cell>
          <cell r="I2374">
            <v>124</v>
          </cell>
          <cell r="J2374">
            <v>613</v>
          </cell>
          <cell r="K2374">
            <v>44</v>
          </cell>
        </row>
        <row r="2375">
          <cell r="B2375" t="str">
            <v>anitrend-v2</v>
          </cell>
          <cell r="C2375" t="str">
            <v>AniTrend/anitrend-v2</v>
          </cell>
          <cell r="D2375" t="str">
            <v>AniTrend/anitrend-v2</v>
          </cell>
          <cell r="E2375">
            <v>2324</v>
          </cell>
          <cell r="F2375">
            <v>273</v>
          </cell>
          <cell r="G2375">
            <v>10</v>
          </cell>
          <cell r="H2375">
            <v>9541</v>
          </cell>
          <cell r="I2375">
            <v>6</v>
          </cell>
          <cell r="J2375">
            <v>28</v>
          </cell>
          <cell r="K2375">
            <v>28</v>
          </cell>
        </row>
        <row r="2376">
          <cell r="B2376" t="str">
            <v>termux-app</v>
          </cell>
          <cell r="C2376" t="str">
            <v>termux/termux-app</v>
          </cell>
          <cell r="D2376" t="str">
            <v>termux/termux-app</v>
          </cell>
          <cell r="E2376">
            <v>1431</v>
          </cell>
          <cell r="F2376">
            <v>276</v>
          </cell>
          <cell r="G2376">
            <v>77</v>
          </cell>
          <cell r="H2376">
            <v>4325</v>
          </cell>
          <cell r="I2376">
            <v>2422</v>
          </cell>
          <cell r="J2376">
            <v>20058</v>
          </cell>
          <cell r="K2376">
            <v>328</v>
          </cell>
        </row>
        <row r="2377">
          <cell r="B2377" t="str">
            <v>trime</v>
          </cell>
          <cell r="C2377" t="str">
            <v>osfans/trime</v>
          </cell>
          <cell r="D2377" t="str">
            <v>osfans/trime</v>
          </cell>
          <cell r="E2377">
            <v>1682</v>
          </cell>
          <cell r="F2377">
            <v>277</v>
          </cell>
          <cell r="G2377">
            <v>35</v>
          </cell>
          <cell r="H2377">
            <v>28634</v>
          </cell>
          <cell r="I2377">
            <v>292</v>
          </cell>
          <cell r="J2377">
            <v>1951</v>
          </cell>
          <cell r="K2377">
            <v>107</v>
          </cell>
        </row>
        <row r="2378">
          <cell r="B2378" t="str">
            <v>jtxBoard</v>
          </cell>
          <cell r="C2378" t="str">
            <v>TechbeeAT/jtxBoard</v>
          </cell>
          <cell r="D2378" t="str">
            <v>TechbeeAT/jtxBoard</v>
          </cell>
          <cell r="E2378">
            <v>2619</v>
          </cell>
          <cell r="F2378">
            <v>285</v>
          </cell>
          <cell r="G2378">
            <v>7</v>
          </cell>
          <cell r="H2378">
            <v>25482</v>
          </cell>
          <cell r="I2378">
            <v>6</v>
          </cell>
          <cell r="J2378">
            <v>142</v>
          </cell>
          <cell r="K2378">
            <v>34</v>
          </cell>
        </row>
        <row r="2379">
          <cell r="B2379" t="str">
            <v>forecastie</v>
          </cell>
          <cell r="C2379" t="str">
            <v>martykan/forecastie</v>
          </cell>
          <cell r="D2379" t="str">
            <v>martykan/forecastie</v>
          </cell>
          <cell r="E2379">
            <v>1213</v>
          </cell>
          <cell r="F2379">
            <v>286</v>
          </cell>
          <cell r="G2379">
            <v>70</v>
          </cell>
          <cell r="H2379">
            <v>6829</v>
          </cell>
          <cell r="I2379">
            <v>329</v>
          </cell>
          <cell r="J2379">
            <v>799</v>
          </cell>
          <cell r="K2379">
            <v>121</v>
          </cell>
        </row>
        <row r="2380">
          <cell r="B2380" t="str">
            <v>thu-info-app</v>
          </cell>
          <cell r="C2380" t="str">
            <v>thu-info-community/thu-info-app</v>
          </cell>
          <cell r="D2380" t="str">
            <v>thu-info-community/thu-info-app</v>
          </cell>
          <cell r="E2380">
            <v>3696</v>
          </cell>
          <cell r="F2380">
            <v>287</v>
          </cell>
          <cell r="G2380">
            <v>14</v>
          </cell>
          <cell r="H2380">
            <v>15458</v>
          </cell>
          <cell r="I2380">
            <v>10</v>
          </cell>
          <cell r="J2380">
            <v>95</v>
          </cell>
          <cell r="K2380">
            <v>2</v>
          </cell>
        </row>
        <row r="2381">
          <cell r="B2381" t="str">
            <v>WeiPay</v>
          </cell>
          <cell r="C2381" t="str">
            <v>ChainSafe/WeiPay</v>
          </cell>
          <cell r="D2381" t="str">
            <v>ChainSafe/WeiPay</v>
          </cell>
          <cell r="E2381">
            <v>1159</v>
          </cell>
          <cell r="F2381">
            <v>288</v>
          </cell>
          <cell r="G2381">
            <v>8</v>
          </cell>
          <cell r="H2381">
            <v>38042</v>
          </cell>
          <cell r="I2381">
            <v>25</v>
          </cell>
          <cell r="J2381">
            <v>45</v>
          </cell>
          <cell r="K2381">
            <v>11</v>
          </cell>
        </row>
        <row r="2382">
          <cell r="B2382" t="str">
            <v>RetroMusicPlayer</v>
          </cell>
          <cell r="C2382" t="str">
            <v>RetroMusicPlayer/RetroMusicPlayer</v>
          </cell>
          <cell r="D2382" t="str">
            <v>RetroMusicPlayer/RetroMusicPlayer</v>
          </cell>
          <cell r="E2382">
            <v>3210</v>
          </cell>
          <cell r="F2382">
            <v>300</v>
          </cell>
          <cell r="G2382">
            <v>71</v>
          </cell>
          <cell r="H2382">
            <v>259506</v>
          </cell>
          <cell r="I2382">
            <v>622</v>
          </cell>
          <cell r="J2382">
            <v>2805</v>
          </cell>
          <cell r="K2382">
            <v>159</v>
          </cell>
        </row>
        <row r="2383">
          <cell r="B2383" t="str">
            <v>UpgradeAll</v>
          </cell>
          <cell r="C2383" t="str">
            <v>DUpdateSystem/UpgradeAll</v>
          </cell>
          <cell r="D2383" t="str">
            <v>DUpdateSystem/UpgradeAll</v>
          </cell>
          <cell r="E2383">
            <v>1316</v>
          </cell>
          <cell r="F2383">
            <v>305</v>
          </cell>
          <cell r="G2383">
            <v>24</v>
          </cell>
          <cell r="H2383">
            <v>7793</v>
          </cell>
          <cell r="I2383">
            <v>18</v>
          </cell>
          <cell r="J2383">
            <v>639</v>
          </cell>
          <cell r="K2383">
            <v>34</v>
          </cell>
        </row>
        <row r="2384">
          <cell r="B2384" t="str">
            <v>Android-IMSI-Catcher-Detector</v>
          </cell>
          <cell r="C2384" t="str">
            <v>CellularPrivacy/Android-IMSI-Catcher-Detector</v>
          </cell>
          <cell r="D2384" t="str">
            <v>CellularPrivacy/Android-IMSI-Catcher-Detector</v>
          </cell>
          <cell r="E2384">
            <v>2642</v>
          </cell>
          <cell r="F2384">
            <v>310</v>
          </cell>
          <cell r="G2384">
            <v>122</v>
          </cell>
          <cell r="H2384">
            <v>11129</v>
          </cell>
          <cell r="I2384">
            <v>936</v>
          </cell>
          <cell r="J2384">
            <v>4362</v>
          </cell>
          <cell r="K2384">
            <v>167</v>
          </cell>
        </row>
        <row r="2385">
          <cell r="B2385" t="str">
            <v>SunsetScrob</v>
          </cell>
          <cell r="C2385" t="str">
            <v>mataku/SunsetScrob</v>
          </cell>
          <cell r="D2385" t="str">
            <v>mataku/SunsetScrob</v>
          </cell>
          <cell r="E2385">
            <v>1993</v>
          </cell>
          <cell r="F2385">
            <v>314</v>
          </cell>
          <cell r="G2385">
            <v>5</v>
          </cell>
          <cell r="H2385">
            <v>29794</v>
          </cell>
          <cell r="I2385">
            <v>1</v>
          </cell>
          <cell r="J2385">
            <v>6</v>
          </cell>
          <cell r="K2385">
            <v>6</v>
          </cell>
        </row>
        <row r="2386">
          <cell r="B2386" t="str">
            <v>antimine-android</v>
          </cell>
          <cell r="C2386" t="str">
            <v>lucasnlm/antimine-android</v>
          </cell>
          <cell r="D2386" t="str">
            <v>lucasnlm/antimine-android</v>
          </cell>
          <cell r="E2386">
            <v>1950</v>
          </cell>
          <cell r="F2386">
            <v>318</v>
          </cell>
          <cell r="G2386">
            <v>19</v>
          </cell>
          <cell r="H2386">
            <v>22313</v>
          </cell>
          <cell r="I2386">
            <v>74</v>
          </cell>
          <cell r="J2386">
            <v>480</v>
          </cell>
          <cell r="K2386">
            <v>33</v>
          </cell>
        </row>
        <row r="2387">
          <cell r="B2387" t="str">
            <v>TwidereX-Android</v>
          </cell>
          <cell r="C2387" t="str">
            <v>TwidereProject/TwidereX-Android</v>
          </cell>
          <cell r="D2387" t="str">
            <v>TwidereProject/TwidereX-Android</v>
          </cell>
          <cell r="E2387">
            <v>2638</v>
          </cell>
          <cell r="F2387">
            <v>328</v>
          </cell>
          <cell r="G2387">
            <v>10</v>
          </cell>
          <cell r="H2387">
            <v>11256</v>
          </cell>
          <cell r="I2387">
            <v>48</v>
          </cell>
          <cell r="J2387">
            <v>924</v>
          </cell>
          <cell r="K2387">
            <v>87</v>
          </cell>
        </row>
        <row r="2388">
          <cell r="B2388" t="str">
            <v>compose-lobsters</v>
          </cell>
          <cell r="C2388" t="str">
            <v>msfjarvis/compose-lobsters</v>
          </cell>
          <cell r="D2388" t="str">
            <v>msfjarvis/compose-lobsters</v>
          </cell>
          <cell r="E2388">
            <v>1674</v>
          </cell>
          <cell r="F2388">
            <v>334</v>
          </cell>
          <cell r="G2388">
            <v>12</v>
          </cell>
          <cell r="H2388">
            <v>12644</v>
          </cell>
          <cell r="I2388">
            <v>6</v>
          </cell>
          <cell r="J2388">
            <v>45</v>
          </cell>
          <cell r="K2388">
            <v>3</v>
          </cell>
        </row>
        <row r="2389">
          <cell r="B2389" t="str">
            <v>gnucash-android</v>
          </cell>
          <cell r="C2389" t="str">
            <v>codinguser/gnucash-android</v>
          </cell>
          <cell r="D2389" t="str">
            <v>codinguser/gnucash-android</v>
          </cell>
          <cell r="E2389">
            <v>1730</v>
          </cell>
          <cell r="F2389">
            <v>340</v>
          </cell>
          <cell r="G2389">
            <v>42</v>
          </cell>
          <cell r="H2389">
            <v>20716</v>
          </cell>
          <cell r="I2389">
            <v>532</v>
          </cell>
          <cell r="J2389">
            <v>1182</v>
          </cell>
          <cell r="K2389">
            <v>165</v>
          </cell>
        </row>
        <row r="2390">
          <cell r="B2390" t="str">
            <v>news-android</v>
          </cell>
          <cell r="C2390" t="str">
            <v>nextcloud/news-android</v>
          </cell>
          <cell r="D2390" t="str">
            <v>nextcloud/news-android</v>
          </cell>
          <cell r="E2390">
            <v>3250</v>
          </cell>
          <cell r="F2390">
            <v>341</v>
          </cell>
          <cell r="G2390">
            <v>42</v>
          </cell>
          <cell r="H2390">
            <v>215294</v>
          </cell>
          <cell r="I2390">
            <v>240</v>
          </cell>
          <cell r="J2390">
            <v>624</v>
          </cell>
          <cell r="K2390">
            <v>97</v>
          </cell>
        </row>
        <row r="2391">
          <cell r="B2391" t="str">
            <v>EventFahrplan</v>
          </cell>
          <cell r="C2391" t="str">
            <v>EventFahrplan/EventFahrplan</v>
          </cell>
          <cell r="D2391" t="str">
            <v>EventFahrplan/EventFahrplan</v>
          </cell>
          <cell r="E2391">
            <v>2963</v>
          </cell>
          <cell r="F2391">
            <v>342</v>
          </cell>
          <cell r="G2391">
            <v>43</v>
          </cell>
          <cell r="H2391">
            <v>11511</v>
          </cell>
          <cell r="I2391">
            <v>84</v>
          </cell>
          <cell r="J2391">
            <v>172</v>
          </cell>
          <cell r="K2391">
            <v>69</v>
          </cell>
        </row>
        <row r="2392">
          <cell r="B2392" t="str">
            <v>ingress-intel-total-conversion</v>
          </cell>
          <cell r="C2392" t="str">
            <v>IITC-CE/ingress-intel-total-conversion</v>
          </cell>
          <cell r="D2392" t="str">
            <v>IITC-CE/ingress-intel-total-conversion</v>
          </cell>
          <cell r="E2392">
            <v>5193</v>
          </cell>
          <cell r="F2392">
            <v>344</v>
          </cell>
          <cell r="G2392">
            <v>138</v>
          </cell>
          <cell r="H2392">
            <v>20194</v>
          </cell>
          <cell r="I2392">
            <v>93</v>
          </cell>
          <cell r="J2392">
            <v>215</v>
          </cell>
          <cell r="K2392">
            <v>182</v>
          </cell>
        </row>
        <row r="2393">
          <cell r="B2393" t="str">
            <v>Aegis</v>
          </cell>
          <cell r="C2393" t="str">
            <v>beemdevelopment/Aegis</v>
          </cell>
          <cell r="D2393" t="str">
            <v>beemdevelopment/Aegis</v>
          </cell>
          <cell r="E2393">
            <v>1306</v>
          </cell>
          <cell r="F2393">
            <v>346</v>
          </cell>
          <cell r="G2393">
            <v>58</v>
          </cell>
          <cell r="H2393">
            <v>10780</v>
          </cell>
          <cell r="I2393">
            <v>280</v>
          </cell>
          <cell r="J2393">
            <v>5773</v>
          </cell>
          <cell r="K2393">
            <v>84</v>
          </cell>
        </row>
        <row r="2394">
          <cell r="B2394" t="str">
            <v>CovidCertificate-App-Android</v>
          </cell>
          <cell r="C2394" t="str">
            <v>admin-ch/CovidCertificate-App-Android</v>
          </cell>
          <cell r="D2394" t="str">
            <v>admin-ch/CovidCertificate-App-Android</v>
          </cell>
          <cell r="E2394">
            <v>1077</v>
          </cell>
          <cell r="F2394">
            <v>350</v>
          </cell>
          <cell r="G2394">
            <v>15</v>
          </cell>
          <cell r="H2394">
            <v>34779</v>
          </cell>
          <cell r="I2394">
            <v>44</v>
          </cell>
          <cell r="J2394">
            <v>177</v>
          </cell>
          <cell r="K2394">
            <v>25</v>
          </cell>
        </row>
        <row r="2395">
          <cell r="B2395" t="str">
            <v>bitportal-client</v>
          </cell>
          <cell r="C2395" t="str">
            <v>BitPortal/bitportal-client</v>
          </cell>
          <cell r="D2395" t="str">
            <v>BitPortal/bitportal-client</v>
          </cell>
          <cell r="E2395">
            <v>1559</v>
          </cell>
          <cell r="F2395">
            <v>351</v>
          </cell>
          <cell r="G2395">
            <v>6</v>
          </cell>
          <cell r="H2395">
            <v>78216</v>
          </cell>
          <cell r="I2395">
            <v>3</v>
          </cell>
          <cell r="J2395">
            <v>13</v>
          </cell>
          <cell r="K2395">
            <v>1</v>
          </cell>
        </row>
        <row r="2396">
          <cell r="B2396" t="str">
            <v>swisscovid-app-android</v>
          </cell>
          <cell r="C2396" t="str">
            <v>SwissCovid/swisscovid-app-android</v>
          </cell>
          <cell r="D2396" t="str">
            <v>SwissCovid/swisscovid-app-android</v>
          </cell>
          <cell r="E2396">
            <v>1088</v>
          </cell>
          <cell r="F2396">
            <v>360</v>
          </cell>
          <cell r="G2396">
            <v>12</v>
          </cell>
          <cell r="H2396">
            <v>30657</v>
          </cell>
          <cell r="I2396">
            <v>59</v>
          </cell>
          <cell r="J2396">
            <v>219</v>
          </cell>
          <cell r="K2396">
            <v>18</v>
          </cell>
        </row>
        <row r="2397">
          <cell r="B2397" t="str">
            <v>shadowsocks-android</v>
          </cell>
          <cell r="C2397" t="str">
            <v>shadowsocks/shadowsocks-android</v>
          </cell>
          <cell r="D2397" t="str">
            <v>shadowsocks/shadowsocks-android</v>
          </cell>
          <cell r="E2397">
            <v>3682</v>
          </cell>
          <cell r="F2397">
            <v>364</v>
          </cell>
          <cell r="G2397">
            <v>42</v>
          </cell>
          <cell r="H2397">
            <v>53587</v>
          </cell>
          <cell r="I2397">
            <v>11630</v>
          </cell>
          <cell r="J2397">
            <v>33475</v>
          </cell>
          <cell r="K2397">
            <v>32</v>
          </cell>
        </row>
        <row r="2398">
          <cell r="B2398" t="str">
            <v>projectBlue</v>
          </cell>
          <cell r="C2398" t="str">
            <v>namehillsoftware/projectBlue</v>
          </cell>
          <cell r="D2398" t="str">
            <v>namehillsoftware/projectBlue</v>
          </cell>
          <cell r="E2398">
            <v>6317</v>
          </cell>
          <cell r="F2398">
            <v>367</v>
          </cell>
          <cell r="G2398">
            <v>2</v>
          </cell>
          <cell r="H2398">
            <v>57836</v>
          </cell>
          <cell r="I2398">
            <v>1</v>
          </cell>
          <cell r="J2398">
            <v>6</v>
          </cell>
          <cell r="K2398">
            <v>8</v>
          </cell>
        </row>
        <row r="2399">
          <cell r="B2399" t="str">
            <v>anbox</v>
          </cell>
          <cell r="C2399" t="str">
            <v>anbox/anbox</v>
          </cell>
          <cell r="D2399" t="str">
            <v>anbox/anbox</v>
          </cell>
          <cell r="E2399">
            <v>1366</v>
          </cell>
          <cell r="F2399">
            <v>372</v>
          </cell>
          <cell r="G2399">
            <v>76</v>
          </cell>
          <cell r="H2399">
            <v>7063</v>
          </cell>
          <cell r="I2399">
            <v>1127</v>
          </cell>
          <cell r="J2399">
            <v>8283</v>
          </cell>
          <cell r="K2399">
            <v>363</v>
          </cell>
        </row>
        <row r="2400">
          <cell r="B2400" t="str">
            <v>RedReader</v>
          </cell>
          <cell r="C2400" t="str">
            <v>QuantumBadger/RedReader</v>
          </cell>
          <cell r="D2400" t="str">
            <v>QuantumBadger/RedReader</v>
          </cell>
          <cell r="E2400">
            <v>2136</v>
          </cell>
          <cell r="F2400">
            <v>373</v>
          </cell>
          <cell r="G2400">
            <v>139</v>
          </cell>
          <cell r="H2400">
            <v>9161</v>
          </cell>
          <cell r="I2400">
            <v>453</v>
          </cell>
          <cell r="J2400">
            <v>1583</v>
          </cell>
          <cell r="K2400">
            <v>316</v>
          </cell>
        </row>
        <row r="2401">
          <cell r="B2401" t="str">
            <v>notesnook</v>
          </cell>
          <cell r="C2401" t="str">
            <v>streetwriters/notesnook</v>
          </cell>
          <cell r="D2401" t="str">
            <v>streetwriters/notesnook</v>
          </cell>
          <cell r="E2401">
            <v>9809</v>
          </cell>
          <cell r="F2401">
            <v>376</v>
          </cell>
          <cell r="G2401">
            <v>37</v>
          </cell>
          <cell r="H2401">
            <v>165884</v>
          </cell>
          <cell r="I2401">
            <v>347</v>
          </cell>
          <cell r="J2401">
            <v>6480</v>
          </cell>
          <cell r="K2401">
            <v>479</v>
          </cell>
        </row>
        <row r="2402">
          <cell r="B2402" t="str">
            <v>RHVoice</v>
          </cell>
          <cell r="C2402" t="str">
            <v>RHVoice/RHVoice</v>
          </cell>
          <cell r="D2402" t="str">
            <v>RHVoice/RHVoice</v>
          </cell>
          <cell r="E2402">
            <v>1378</v>
          </cell>
          <cell r="F2402">
            <v>377</v>
          </cell>
          <cell r="G2402">
            <v>40</v>
          </cell>
          <cell r="H2402">
            <v>14258</v>
          </cell>
          <cell r="I2402">
            <v>203</v>
          </cell>
          <cell r="J2402">
            <v>1263</v>
          </cell>
          <cell r="K2402">
            <v>128</v>
          </cell>
        </row>
        <row r="2403">
          <cell r="B2403" t="str">
            <v>VueTube</v>
          </cell>
          <cell r="C2403" t="str">
            <v>VueTubeApp/VueTube</v>
          </cell>
          <cell r="D2403" t="str">
            <v>VueTubeApp/VueTube</v>
          </cell>
          <cell r="E2403">
            <v>1746</v>
          </cell>
          <cell r="F2403">
            <v>380</v>
          </cell>
          <cell r="G2403">
            <v>80</v>
          </cell>
          <cell r="H2403">
            <v>32614</v>
          </cell>
          <cell r="I2403">
            <v>147</v>
          </cell>
          <cell r="J2403">
            <v>2826</v>
          </cell>
          <cell r="K2403">
            <v>101</v>
          </cell>
        </row>
        <row r="2404">
          <cell r="B2404" t="str">
            <v>Frost-for-Facebook</v>
          </cell>
          <cell r="C2404" t="str">
            <v>AllanWang/Frost-for-Facebook</v>
          </cell>
          <cell r="D2404" t="str">
            <v>AllanWang/Frost-for-Facebook</v>
          </cell>
          <cell r="E2404">
            <v>1181</v>
          </cell>
          <cell r="F2404">
            <v>389</v>
          </cell>
          <cell r="G2404">
            <v>8</v>
          </cell>
          <cell r="H2404">
            <v>7272</v>
          </cell>
          <cell r="I2404">
            <v>86</v>
          </cell>
          <cell r="J2404">
            <v>932</v>
          </cell>
          <cell r="K2404">
            <v>172</v>
          </cell>
        </row>
        <row r="2405">
          <cell r="B2405" t="str">
            <v>TIC-80</v>
          </cell>
          <cell r="C2405" t="str">
            <v>nesbox/TIC-80</v>
          </cell>
          <cell r="D2405" t="str">
            <v>nesbox/TIC-80</v>
          </cell>
          <cell r="E2405">
            <v>2642</v>
          </cell>
          <cell r="F2405">
            <v>399</v>
          </cell>
          <cell r="G2405">
            <v>130</v>
          </cell>
          <cell r="H2405">
            <v>128058</v>
          </cell>
          <cell r="I2405">
            <v>391</v>
          </cell>
          <cell r="J2405">
            <v>4147</v>
          </cell>
          <cell r="K2405">
            <v>241</v>
          </cell>
        </row>
        <row r="2406">
          <cell r="B2406" t="str">
            <v>router-companion-android</v>
          </cell>
          <cell r="C2406" t="str">
            <v>lemra-org/router-companion-android</v>
          </cell>
          <cell r="D2406" t="str">
            <v>lemra-org/router-companion-android</v>
          </cell>
          <cell r="E2406">
            <v>2931</v>
          </cell>
          <cell r="F2406">
            <v>399</v>
          </cell>
          <cell r="G2406">
            <v>3</v>
          </cell>
          <cell r="H2406">
            <v>52615</v>
          </cell>
          <cell r="I2406">
            <v>7</v>
          </cell>
          <cell r="J2406">
            <v>28</v>
          </cell>
          <cell r="K2406">
            <v>43</v>
          </cell>
        </row>
        <row r="2407">
          <cell r="B2407" t="str">
            <v>stack_wallet</v>
          </cell>
          <cell r="C2407" t="str">
            <v>cypherstack/stack_wallet</v>
          </cell>
          <cell r="D2407" t="str">
            <v>cypherstack/stack_wallet</v>
          </cell>
          <cell r="E2407">
            <v>3593</v>
          </cell>
          <cell r="F2407">
            <v>400</v>
          </cell>
          <cell r="G2407">
            <v>14</v>
          </cell>
          <cell r="H2407">
            <v>58278</v>
          </cell>
          <cell r="I2407">
            <v>13</v>
          </cell>
          <cell r="J2407">
            <v>47</v>
          </cell>
          <cell r="K2407">
            <v>58</v>
          </cell>
        </row>
        <row r="2408">
          <cell r="B2408" t="str">
            <v>onebusaway-android</v>
          </cell>
          <cell r="C2408" t="str">
            <v>OneBusAway/onebusaway-android</v>
          </cell>
          <cell r="D2408" t="str">
            <v>OneBusAway/onebusaway-android</v>
          </cell>
          <cell r="E2408">
            <v>2384</v>
          </cell>
          <cell r="F2408">
            <v>401</v>
          </cell>
          <cell r="G2408">
            <v>41</v>
          </cell>
          <cell r="H2408">
            <v>15315</v>
          </cell>
          <cell r="I2408">
            <v>246</v>
          </cell>
          <cell r="J2408">
            <v>427</v>
          </cell>
          <cell r="K2408">
            <v>177</v>
          </cell>
        </row>
        <row r="2409">
          <cell r="B2409" t="str">
            <v>Trail-Sense</v>
          </cell>
          <cell r="C2409" t="str">
            <v>kylecorry31/Trail-Sense</v>
          </cell>
          <cell r="D2409" t="str">
            <v>kylecorry31/Trail-Sense</v>
          </cell>
          <cell r="E2409">
            <v>5052</v>
          </cell>
          <cell r="F2409">
            <v>404</v>
          </cell>
          <cell r="G2409">
            <v>118</v>
          </cell>
          <cell r="H2409">
            <v>59020</v>
          </cell>
          <cell r="I2409">
            <v>42</v>
          </cell>
          <cell r="J2409">
            <v>639</v>
          </cell>
          <cell r="K2409">
            <v>383</v>
          </cell>
        </row>
        <row r="2410">
          <cell r="B2410" t="str">
            <v>and-bible</v>
          </cell>
          <cell r="C2410" t="str">
            <v>AndBible/and-bible</v>
          </cell>
          <cell r="D2410" t="str">
            <v>AndBible/and-bible</v>
          </cell>
          <cell r="E2410">
            <v>9754</v>
          </cell>
          <cell r="F2410">
            <v>415</v>
          </cell>
          <cell r="G2410">
            <v>24</v>
          </cell>
          <cell r="H2410">
            <v>135255</v>
          </cell>
          <cell r="I2410">
            <v>187</v>
          </cell>
          <cell r="J2410">
            <v>448</v>
          </cell>
          <cell r="K2410">
            <v>643</v>
          </cell>
        </row>
        <row r="2411">
          <cell r="B2411" t="str">
            <v>AndroidX</v>
          </cell>
          <cell r="C2411" t="str">
            <v>xamarin/AndroidX</v>
          </cell>
          <cell r="D2411" t="str">
            <v>dotnet/android-libraries</v>
          </cell>
          <cell r="E2411">
            <v>2691</v>
          </cell>
          <cell r="F2411">
            <v>415</v>
          </cell>
          <cell r="G2411">
            <v>19</v>
          </cell>
          <cell r="H2411">
            <v>32778</v>
          </cell>
          <cell r="I2411">
            <v>39</v>
          </cell>
          <cell r="J2411">
            <v>144</v>
          </cell>
          <cell r="K2411">
            <v>48</v>
          </cell>
        </row>
        <row r="2412">
          <cell r="B2412" t="str">
            <v>floccus</v>
          </cell>
          <cell r="C2412" t="str">
            <v>floccusaddon/floccus</v>
          </cell>
          <cell r="D2412" t="str">
            <v>floccusaddon/floccus</v>
          </cell>
          <cell r="E2412">
            <v>2397</v>
          </cell>
          <cell r="F2412">
            <v>417</v>
          </cell>
          <cell r="G2412">
            <v>33</v>
          </cell>
          <cell r="H2412">
            <v>18169</v>
          </cell>
          <cell r="I2412">
            <v>203</v>
          </cell>
          <cell r="J2412">
            <v>4142</v>
          </cell>
          <cell r="K2412">
            <v>95</v>
          </cell>
        </row>
        <row r="2413">
          <cell r="B2413" t="str">
            <v>the-blue-alliance-android</v>
          </cell>
          <cell r="C2413" t="str">
            <v>the-blue-alliance/the-blue-alliance-android</v>
          </cell>
          <cell r="D2413" t="str">
            <v>the-blue-alliance/the-blue-alliance-android</v>
          </cell>
          <cell r="E2413">
            <v>2900</v>
          </cell>
          <cell r="F2413">
            <v>417</v>
          </cell>
          <cell r="G2413">
            <v>21</v>
          </cell>
          <cell r="H2413">
            <v>90278</v>
          </cell>
          <cell r="I2413">
            <v>31</v>
          </cell>
          <cell r="J2413">
            <v>72</v>
          </cell>
          <cell r="K2413">
            <v>113</v>
          </cell>
        </row>
        <row r="2414">
          <cell r="B2414" t="str">
            <v>probe-android</v>
          </cell>
          <cell r="C2414" t="str">
            <v>ooni/probe-android</v>
          </cell>
          <cell r="D2414" t="str">
            <v>ooni/probe-android</v>
          </cell>
          <cell r="E2414">
            <v>1692</v>
          </cell>
          <cell r="F2414">
            <v>425</v>
          </cell>
          <cell r="G2414">
            <v>18</v>
          </cell>
          <cell r="H2414">
            <v>34151</v>
          </cell>
          <cell r="I2414">
            <v>43</v>
          </cell>
          <cell r="J2414">
            <v>144</v>
          </cell>
          <cell r="K2414">
            <v>11</v>
          </cell>
        </row>
        <row r="2415">
          <cell r="B2415" t="str">
            <v>frisbee</v>
          </cell>
          <cell r="C2415" t="str">
            <v>gdg-x/frisbee</v>
          </cell>
          <cell r="D2415" t="str">
            <v>gdg-x/frisbee</v>
          </cell>
          <cell r="E2415">
            <v>2275</v>
          </cell>
          <cell r="F2415">
            <v>427</v>
          </cell>
          <cell r="G2415">
            <v>40</v>
          </cell>
          <cell r="H2415">
            <v>12475</v>
          </cell>
          <cell r="I2415">
            <v>169</v>
          </cell>
          <cell r="J2415">
            <v>264</v>
          </cell>
          <cell r="K2415">
            <v>35</v>
          </cell>
        </row>
        <row r="2416">
          <cell r="B2416" t="str">
            <v>lbry-android</v>
          </cell>
          <cell r="C2416" t="str">
            <v>lbryio/lbry-android</v>
          </cell>
          <cell r="D2416" t="str">
            <v>lbryio/lbry-android</v>
          </cell>
          <cell r="E2416">
            <v>1057</v>
          </cell>
          <cell r="F2416">
            <v>428</v>
          </cell>
          <cell r="G2416">
            <v>31</v>
          </cell>
          <cell r="H2416">
            <v>504088</v>
          </cell>
          <cell r="I2416">
            <v>116</v>
          </cell>
          <cell r="J2416">
            <v>2519</v>
          </cell>
          <cell r="K2416">
            <v>162</v>
          </cell>
        </row>
        <row r="2417">
          <cell r="B2417" t="str">
            <v>uhabits</v>
          </cell>
          <cell r="C2417" t="str">
            <v>iSoron/uhabits</v>
          </cell>
          <cell r="D2417" t="str">
            <v>iSoron/uhabits</v>
          </cell>
          <cell r="E2417">
            <v>2408</v>
          </cell>
          <cell r="F2417">
            <v>434</v>
          </cell>
          <cell r="G2417">
            <v>62</v>
          </cell>
          <cell r="H2417">
            <v>39741</v>
          </cell>
          <cell r="I2417">
            <v>852</v>
          </cell>
          <cell r="J2417">
            <v>6284</v>
          </cell>
          <cell r="K2417">
            <v>31</v>
          </cell>
        </row>
        <row r="2418">
          <cell r="B2418" t="str">
            <v>osmeditor4android</v>
          </cell>
          <cell r="C2418" t="str">
            <v>MarcusWolschon/osmeditor4android</v>
          </cell>
          <cell r="D2418" t="str">
            <v>MarcusWolschon/osmeditor4android</v>
          </cell>
          <cell r="E2418">
            <v>6850</v>
          </cell>
          <cell r="F2418">
            <v>443</v>
          </cell>
          <cell r="G2418">
            <v>32</v>
          </cell>
          <cell r="H2418">
            <v>281610</v>
          </cell>
          <cell r="I2418">
            <v>80</v>
          </cell>
          <cell r="J2418">
            <v>303</v>
          </cell>
          <cell r="K2418">
            <v>188</v>
          </cell>
        </row>
        <row r="2419">
          <cell r="B2419" t="str">
            <v>WavesWallet-android</v>
          </cell>
          <cell r="C2419" t="str">
            <v>wavesplatform/WavesWallet-android</v>
          </cell>
          <cell r="D2419" t="str">
            <v>wavesplatform/WavesWallet-android</v>
          </cell>
          <cell r="E2419">
            <v>2511</v>
          </cell>
          <cell r="F2419">
            <v>465</v>
          </cell>
          <cell r="G2419">
            <v>6</v>
          </cell>
          <cell r="H2419">
            <v>13482</v>
          </cell>
          <cell r="I2419">
            <v>53</v>
          </cell>
          <cell r="J2419">
            <v>54</v>
          </cell>
          <cell r="K2419">
            <v>2</v>
          </cell>
        </row>
        <row r="2420">
          <cell r="B2420" t="str">
            <v>UserLAnd</v>
          </cell>
          <cell r="C2420" t="str">
            <v>CypherpunkArmory/UserLAnd</v>
          </cell>
          <cell r="D2420" t="str">
            <v>CypherpunkArmory/UserLAnd</v>
          </cell>
          <cell r="E2420">
            <v>1108</v>
          </cell>
          <cell r="F2420">
            <v>475</v>
          </cell>
          <cell r="G2420">
            <v>25</v>
          </cell>
          <cell r="H2420">
            <v>5973</v>
          </cell>
          <cell r="I2420">
            <v>329</v>
          </cell>
          <cell r="J2420">
            <v>2995</v>
          </cell>
          <cell r="K2420">
            <v>604</v>
          </cell>
        </row>
        <row r="2421">
          <cell r="B2421" t="str">
            <v>conference-app-2021</v>
          </cell>
          <cell r="C2421" t="str">
            <v>DroidKaigi/conference-app-2021</v>
          </cell>
          <cell r="D2421" t="str">
            <v>DroidKaigi/conference-app-2021</v>
          </cell>
          <cell r="E2421">
            <v>1999</v>
          </cell>
          <cell r="F2421">
            <v>483</v>
          </cell>
          <cell r="G2421">
            <v>98</v>
          </cell>
          <cell r="H2421">
            <v>18972</v>
          </cell>
          <cell r="I2421">
            <v>189</v>
          </cell>
          <cell r="J2421">
            <v>634</v>
          </cell>
          <cell r="K2421">
            <v>45</v>
          </cell>
        </row>
        <row r="2422">
          <cell r="B2422" t="str">
            <v>seadroid</v>
          </cell>
          <cell r="C2422" t="str">
            <v>haiwen/seadroid</v>
          </cell>
          <cell r="D2422" t="str">
            <v>haiwen/seadroid</v>
          </cell>
          <cell r="E2422">
            <v>2334</v>
          </cell>
          <cell r="F2422">
            <v>494</v>
          </cell>
          <cell r="G2422">
            <v>40</v>
          </cell>
          <cell r="H2422">
            <v>12015</v>
          </cell>
          <cell r="I2422">
            <v>274</v>
          </cell>
          <cell r="J2422">
            <v>473</v>
          </cell>
          <cell r="K2422">
            <v>159</v>
          </cell>
        </row>
        <row r="2423">
          <cell r="B2423" t="str">
            <v>MPD</v>
          </cell>
          <cell r="C2423" t="str">
            <v>MusicPlayerDaemon/MPD</v>
          </cell>
          <cell r="D2423" t="str">
            <v>MusicPlayerDaemon/MPD</v>
          </cell>
          <cell r="E2423">
            <v>16211</v>
          </cell>
          <cell r="F2423">
            <v>500</v>
          </cell>
          <cell r="G2423">
            <v>264</v>
          </cell>
          <cell r="H2423">
            <v>53703</v>
          </cell>
          <cell r="I2423">
            <v>323</v>
          </cell>
          <cell r="J2423">
            <v>1879</v>
          </cell>
          <cell r="K2423">
            <v>160</v>
          </cell>
        </row>
        <row r="2424">
          <cell r="B2424" t="str">
            <v>tasks</v>
          </cell>
          <cell r="C2424" t="str">
            <v>tasks/tasks</v>
          </cell>
          <cell r="D2424" t="str">
            <v>tasks/tasks</v>
          </cell>
          <cell r="E2424">
            <v>11854</v>
          </cell>
          <cell r="F2424">
            <v>512</v>
          </cell>
          <cell r="G2424">
            <v>237</v>
          </cell>
          <cell r="H2424">
            <v>120230</v>
          </cell>
          <cell r="I2424">
            <v>440</v>
          </cell>
          <cell r="J2424">
            <v>2723</v>
          </cell>
          <cell r="K2424">
            <v>646</v>
          </cell>
        </row>
        <row r="2425">
          <cell r="B2425" t="str">
            <v>treetracker-android</v>
          </cell>
          <cell r="C2425" t="str">
            <v>Greenstand/treetracker-android</v>
          </cell>
          <cell r="D2425" t="str">
            <v>Greenstand/treetracker-android</v>
          </cell>
          <cell r="E2425">
            <v>1901</v>
          </cell>
          <cell r="F2425">
            <v>532</v>
          </cell>
          <cell r="G2425">
            <v>40</v>
          </cell>
          <cell r="H2425">
            <v>10935</v>
          </cell>
          <cell r="I2425">
            <v>84</v>
          </cell>
          <cell r="J2425">
            <v>77</v>
          </cell>
          <cell r="K2425">
            <v>80</v>
          </cell>
        </row>
        <row r="2426">
          <cell r="B2426" t="str">
            <v>SkyTube</v>
          </cell>
          <cell r="C2426" t="str">
            <v>SkyTubeTeam/SkyTube</v>
          </cell>
          <cell r="D2426" t="str">
            <v>SkyTubeTeam/SkyTube</v>
          </cell>
          <cell r="E2426">
            <v>4104</v>
          </cell>
          <cell r="F2426">
            <v>539</v>
          </cell>
          <cell r="G2426">
            <v>173</v>
          </cell>
          <cell r="H2426">
            <v>26914</v>
          </cell>
          <cell r="I2426">
            <v>312</v>
          </cell>
          <cell r="J2426">
            <v>1973</v>
          </cell>
          <cell r="K2426">
            <v>209</v>
          </cell>
        </row>
        <row r="2427">
          <cell r="B2427" t="str">
            <v>androidx</v>
          </cell>
          <cell r="C2427" t="str">
            <v>androidx/androidx</v>
          </cell>
          <cell r="D2427" t="str">
            <v>androidx/androidx</v>
          </cell>
          <cell r="E2427">
            <v>159846</v>
          </cell>
          <cell r="F2427">
            <v>545</v>
          </cell>
          <cell r="G2427">
            <v>248</v>
          </cell>
          <cell r="H2427">
            <v>679328</v>
          </cell>
          <cell r="I2427">
            <v>724</v>
          </cell>
          <cell r="J2427">
            <v>4318</v>
          </cell>
          <cell r="K2427">
            <v>19</v>
          </cell>
        </row>
        <row r="2428">
          <cell r="B2428" t="str">
            <v>regObs4</v>
          </cell>
          <cell r="C2428" t="str">
            <v>NVE/regObs4</v>
          </cell>
          <cell r="D2428" t="str">
            <v>NVE/regObs4</v>
          </cell>
          <cell r="E2428">
            <v>2372</v>
          </cell>
          <cell r="F2428">
            <v>560</v>
          </cell>
          <cell r="G2428">
            <v>10</v>
          </cell>
          <cell r="H2428">
            <v>450589</v>
          </cell>
          <cell r="I2428">
            <v>6</v>
          </cell>
          <cell r="J2428">
            <v>3</v>
          </cell>
          <cell r="K2428">
            <v>9</v>
          </cell>
        </row>
        <row r="2429">
          <cell r="B2429" t="str">
            <v>MobileRT</v>
          </cell>
          <cell r="C2429" t="str">
            <v>TiagoMSSantos/MobileRT</v>
          </cell>
          <cell r="D2429" t="str">
            <v>TiagoMSSantos/MobileRT</v>
          </cell>
          <cell r="E2429">
            <v>1267</v>
          </cell>
          <cell r="F2429">
            <v>560</v>
          </cell>
          <cell r="G2429">
            <v>5</v>
          </cell>
          <cell r="H2429">
            <v>645751</v>
          </cell>
          <cell r="I2429">
            <v>3</v>
          </cell>
          <cell r="J2429">
            <v>9</v>
          </cell>
          <cell r="K2429">
            <v>2</v>
          </cell>
        </row>
        <row r="2430">
          <cell r="B2430" t="str">
            <v>ace-android</v>
          </cell>
          <cell r="C2430" t="str">
            <v>VTCSecureLLC/ace-android</v>
          </cell>
          <cell r="D2430" t="str">
            <v>VTCSecureLLC/ace-android</v>
          </cell>
          <cell r="E2430">
            <v>4873</v>
          </cell>
          <cell r="F2430">
            <v>567</v>
          </cell>
          <cell r="G2430">
            <v>19</v>
          </cell>
          <cell r="H2430">
            <v>71072</v>
          </cell>
          <cell r="I2430">
            <v>13</v>
          </cell>
          <cell r="J2430">
            <v>1</v>
          </cell>
          <cell r="K2430">
            <v>0</v>
          </cell>
        </row>
        <row r="2431">
          <cell r="B2431" t="str">
            <v>yubioath-flutter</v>
          </cell>
          <cell r="C2431" t="str">
            <v>Yubico/yubioath-flutter</v>
          </cell>
          <cell r="D2431" t="str">
            <v>Yubico/yubioath-flutter</v>
          </cell>
          <cell r="E2431">
            <v>1688</v>
          </cell>
          <cell r="F2431">
            <v>572</v>
          </cell>
          <cell r="G2431">
            <v>16</v>
          </cell>
          <cell r="H2431">
            <v>37207</v>
          </cell>
          <cell r="I2431">
            <v>114</v>
          </cell>
          <cell r="J2431">
            <v>801</v>
          </cell>
          <cell r="K2431">
            <v>41</v>
          </cell>
        </row>
        <row r="2432">
          <cell r="B2432" t="str">
            <v>SojoDia-android</v>
          </cell>
          <cell r="C2432" t="str">
            <v>NUmeroAndDev/SojoDia-android</v>
          </cell>
          <cell r="D2432" t="str">
            <v>NUmeroAndDev/SojoDia-android</v>
          </cell>
          <cell r="E2432">
            <v>1158</v>
          </cell>
          <cell r="F2432">
            <v>572</v>
          </cell>
          <cell r="G2432">
            <v>4</v>
          </cell>
          <cell r="H2432">
            <v>2290</v>
          </cell>
          <cell r="I2432">
            <v>2</v>
          </cell>
          <cell r="J2432">
            <v>11</v>
          </cell>
          <cell r="K2432">
            <v>15</v>
          </cell>
        </row>
        <row r="2433">
          <cell r="B2433" t="str">
            <v>jellyfin-android</v>
          </cell>
          <cell r="C2433" t="str">
            <v>jellyfin/jellyfin-android</v>
          </cell>
          <cell r="D2433" t="str">
            <v>jellyfin/jellyfin-android</v>
          </cell>
          <cell r="E2433">
            <v>1764</v>
          </cell>
          <cell r="F2433">
            <v>574</v>
          </cell>
          <cell r="G2433">
            <v>420</v>
          </cell>
          <cell r="H2433">
            <v>6511</v>
          </cell>
          <cell r="I2433">
            <v>131</v>
          </cell>
          <cell r="J2433">
            <v>691</v>
          </cell>
          <cell r="K2433">
            <v>139</v>
          </cell>
        </row>
        <row r="2434">
          <cell r="B2434" t="str">
            <v>android</v>
          </cell>
          <cell r="C2434" t="str">
            <v>Delta-Icons/android</v>
          </cell>
          <cell r="D2434" t="str">
            <v>Delta-Icons/android</v>
          </cell>
          <cell r="E2434">
            <v>5351</v>
          </cell>
          <cell r="F2434">
            <v>574</v>
          </cell>
          <cell r="G2434">
            <v>93</v>
          </cell>
          <cell r="H2434">
            <v>252526</v>
          </cell>
          <cell r="I2434">
            <v>102</v>
          </cell>
          <cell r="J2434">
            <v>415</v>
          </cell>
          <cell r="K2434">
            <v>1</v>
          </cell>
        </row>
        <row r="2435">
          <cell r="B2435" t="str">
            <v>RadioDroid</v>
          </cell>
          <cell r="C2435" t="str">
            <v>segler-alex/RadioDroid</v>
          </cell>
          <cell r="D2435" t="str">
            <v>segler-alex/RadioDroid</v>
          </cell>
          <cell r="E2435">
            <v>1216</v>
          </cell>
          <cell r="F2435">
            <v>585</v>
          </cell>
          <cell r="G2435">
            <v>40</v>
          </cell>
          <cell r="H2435">
            <v>5163</v>
          </cell>
          <cell r="I2435">
            <v>135</v>
          </cell>
          <cell r="J2435">
            <v>557</v>
          </cell>
          <cell r="K2435">
            <v>277</v>
          </cell>
        </row>
        <row r="2436">
          <cell r="B2436" t="str">
            <v>NotyKT</v>
          </cell>
          <cell r="C2436" t="str">
            <v>PatilShreyas/NotyKT</v>
          </cell>
          <cell r="D2436" t="str">
            <v>PatilShreyas/NotyKT</v>
          </cell>
          <cell r="E2436">
            <v>1572</v>
          </cell>
          <cell r="F2436">
            <v>585</v>
          </cell>
          <cell r="G2436">
            <v>17</v>
          </cell>
          <cell r="H2436">
            <v>4528</v>
          </cell>
          <cell r="I2436">
            <v>197</v>
          </cell>
          <cell r="J2436">
            <v>1450</v>
          </cell>
          <cell r="K2436">
            <v>6</v>
          </cell>
        </row>
        <row r="2437">
          <cell r="B2437" t="str">
            <v>Etar-Calendar</v>
          </cell>
          <cell r="C2437" t="str">
            <v>Etar-Group/Etar-Calendar</v>
          </cell>
          <cell r="D2437" t="str">
            <v>Etar-Group/Etar-Calendar</v>
          </cell>
          <cell r="E2437">
            <v>6576</v>
          </cell>
          <cell r="F2437">
            <v>586</v>
          </cell>
          <cell r="G2437">
            <v>235</v>
          </cell>
          <cell r="H2437">
            <v>40388</v>
          </cell>
          <cell r="I2437">
            <v>370</v>
          </cell>
          <cell r="J2437">
            <v>1655</v>
          </cell>
          <cell r="K2437">
            <v>373</v>
          </cell>
        </row>
        <row r="2438">
          <cell r="B2438" t="str">
            <v>persian-calendar</v>
          </cell>
          <cell r="C2438" t="str">
            <v>persian-calendar/persian-calendar</v>
          </cell>
          <cell r="D2438" t="str">
            <v>persian-calendar/persian-calendar</v>
          </cell>
          <cell r="E2438">
            <v>7175</v>
          </cell>
          <cell r="F2438">
            <v>607</v>
          </cell>
          <cell r="G2438">
            <v>63</v>
          </cell>
          <cell r="H2438">
            <v>43533</v>
          </cell>
          <cell r="I2438">
            <v>170</v>
          </cell>
          <cell r="J2438">
            <v>612</v>
          </cell>
          <cell r="K2438">
            <v>132</v>
          </cell>
        </row>
        <row r="2439">
          <cell r="B2439" t="str">
            <v>Stax</v>
          </cell>
          <cell r="C2439" t="str">
            <v>UseHover/Stax</v>
          </cell>
          <cell r="D2439" t="str">
            <v>UseHover/Stax</v>
          </cell>
          <cell r="E2439">
            <v>3476</v>
          </cell>
          <cell r="F2439">
            <v>607</v>
          </cell>
          <cell r="G2439">
            <v>16</v>
          </cell>
          <cell r="H2439">
            <v>22610</v>
          </cell>
          <cell r="I2439">
            <v>46</v>
          </cell>
          <cell r="J2439">
            <v>50</v>
          </cell>
          <cell r="K2439">
            <v>105</v>
          </cell>
        </row>
        <row r="2440">
          <cell r="B2440" t="str">
            <v>runnerup</v>
          </cell>
          <cell r="C2440" t="str">
            <v>jonasoreland/runnerup</v>
          </cell>
          <cell r="D2440" t="str">
            <v>jonasoreland/runnerup</v>
          </cell>
          <cell r="E2440">
            <v>3128</v>
          </cell>
          <cell r="F2440">
            <v>609</v>
          </cell>
          <cell r="G2440">
            <v>56</v>
          </cell>
          <cell r="H2440">
            <v>11482</v>
          </cell>
          <cell r="I2440">
            <v>263</v>
          </cell>
          <cell r="J2440">
            <v>662</v>
          </cell>
          <cell r="K2440">
            <v>177</v>
          </cell>
        </row>
        <row r="2441">
          <cell r="B2441" t="str">
            <v>Neko</v>
          </cell>
          <cell r="C2441" t="str">
            <v>CarlosEsco/Neko</v>
          </cell>
          <cell r="D2441" t="str">
            <v>nekomangaorg/Neko</v>
          </cell>
          <cell r="E2441">
            <v>6036</v>
          </cell>
          <cell r="F2441">
            <v>611</v>
          </cell>
          <cell r="G2441">
            <v>113</v>
          </cell>
          <cell r="H2441">
            <v>101187</v>
          </cell>
          <cell r="I2441">
            <v>94</v>
          </cell>
          <cell r="J2441">
            <v>1478</v>
          </cell>
          <cell r="K2441">
            <v>72</v>
          </cell>
        </row>
        <row r="2442">
          <cell r="B2442" t="str">
            <v>mysterium-vpn-mobile</v>
          </cell>
          <cell r="C2442" t="str">
            <v>mysteriumnetwork/mysterium-vpn-mobile</v>
          </cell>
          <cell r="D2442" t="str">
            <v>mysteriumnetwork/mysterium-vpn-mobile</v>
          </cell>
          <cell r="E2442">
            <v>2232</v>
          </cell>
          <cell r="F2442">
            <v>621</v>
          </cell>
          <cell r="G2442">
            <v>26</v>
          </cell>
          <cell r="H2442">
            <v>33823</v>
          </cell>
          <cell r="I2442">
            <v>47</v>
          </cell>
          <cell r="J2442">
            <v>168</v>
          </cell>
          <cell r="K2442">
            <v>41</v>
          </cell>
        </row>
        <row r="2443">
          <cell r="B2443" t="str">
            <v>openmsupply-client</v>
          </cell>
          <cell r="C2443" t="str">
            <v>openmsupply/openmsupply-client</v>
          </cell>
          <cell r="D2443" t="str">
            <v>msupply-foundation/openmsupply-client</v>
          </cell>
          <cell r="E2443">
            <v>3120</v>
          </cell>
          <cell r="F2443">
            <v>621</v>
          </cell>
          <cell r="G2443">
            <v>8</v>
          </cell>
          <cell r="H2443">
            <v>67466</v>
          </cell>
          <cell r="I2443">
            <v>0</v>
          </cell>
          <cell r="J2443">
            <v>2</v>
          </cell>
          <cell r="K2443">
            <v>24</v>
          </cell>
        </row>
        <row r="2444">
          <cell r="B2444" t="str">
            <v>house</v>
          </cell>
          <cell r="C2444" t="str">
            <v>bradyhouse/house</v>
          </cell>
          <cell r="D2444" t="str">
            <v>bradyhouse/house</v>
          </cell>
          <cell r="E2444">
            <v>2672</v>
          </cell>
          <cell r="F2444">
            <v>621</v>
          </cell>
          <cell r="G2444">
            <v>4</v>
          </cell>
          <cell r="H2444">
            <v>438462</v>
          </cell>
          <cell r="I2444">
            <v>5</v>
          </cell>
          <cell r="J2444">
            <v>7</v>
          </cell>
          <cell r="K2444">
            <v>15</v>
          </cell>
        </row>
        <row r="2445">
          <cell r="B2445" t="str">
            <v>hydra-android</v>
          </cell>
          <cell r="C2445" t="str">
            <v>ZeusWPI/hydra-android</v>
          </cell>
          <cell r="D2445" t="str">
            <v>ZeusWPI/hydra-android</v>
          </cell>
          <cell r="E2445">
            <v>2962</v>
          </cell>
          <cell r="F2445">
            <v>625</v>
          </cell>
          <cell r="G2445">
            <v>45</v>
          </cell>
          <cell r="H2445">
            <v>12397</v>
          </cell>
          <cell r="I2445">
            <v>12</v>
          </cell>
          <cell r="J2445">
            <v>20</v>
          </cell>
          <cell r="K2445">
            <v>18</v>
          </cell>
        </row>
        <row r="2446">
          <cell r="B2446" t="str">
            <v>XCSoar</v>
          </cell>
          <cell r="C2446" t="str">
            <v>XCSoar/XCSoar</v>
          </cell>
          <cell r="D2446" t="str">
            <v>XCSoar/XCSoar</v>
          </cell>
          <cell r="E2446">
            <v>38984</v>
          </cell>
          <cell r="F2446">
            <v>626</v>
          </cell>
          <cell r="G2446">
            <v>258</v>
          </cell>
          <cell r="H2446">
            <v>144510</v>
          </cell>
          <cell r="I2446">
            <v>249</v>
          </cell>
          <cell r="J2446">
            <v>282</v>
          </cell>
          <cell r="K2446">
            <v>132</v>
          </cell>
        </row>
        <row r="2447">
          <cell r="B2447" t="str">
            <v>simlar-android</v>
          </cell>
          <cell r="C2447" t="str">
            <v>simlar/simlar-android</v>
          </cell>
          <cell r="D2447" t="str">
            <v>simlar/simlar-android</v>
          </cell>
          <cell r="E2447">
            <v>3464</v>
          </cell>
          <cell r="F2447">
            <v>633</v>
          </cell>
          <cell r="G2447">
            <v>11</v>
          </cell>
          <cell r="H2447">
            <v>416835</v>
          </cell>
          <cell r="I2447">
            <v>15</v>
          </cell>
          <cell r="J2447">
            <v>78</v>
          </cell>
          <cell r="K2447">
            <v>48</v>
          </cell>
        </row>
        <row r="2448">
          <cell r="B2448" t="str">
            <v>android-kDrive</v>
          </cell>
          <cell r="C2448" t="str">
            <v>Infomaniak/android-kDrive</v>
          </cell>
          <cell r="D2448" t="str">
            <v>Infomaniak/android-kDrive</v>
          </cell>
          <cell r="E2448">
            <v>3056</v>
          </cell>
          <cell r="F2448">
            <v>656</v>
          </cell>
          <cell r="G2448">
            <v>12</v>
          </cell>
          <cell r="H2448">
            <v>37622</v>
          </cell>
          <cell r="I2448">
            <v>4</v>
          </cell>
          <cell r="J2448">
            <v>56</v>
          </cell>
          <cell r="K2448">
            <v>80</v>
          </cell>
        </row>
        <row r="2449">
          <cell r="B2449" t="str">
            <v>uTox</v>
          </cell>
          <cell r="C2449" t="str">
            <v>uTox/uTox</v>
          </cell>
          <cell r="D2449" t="str">
            <v>uTox/uTox</v>
          </cell>
          <cell r="E2449">
            <v>4809</v>
          </cell>
          <cell r="F2449">
            <v>664</v>
          </cell>
          <cell r="G2449">
            <v>108</v>
          </cell>
          <cell r="H2449">
            <v>14574</v>
          </cell>
          <cell r="I2449">
            <v>188</v>
          </cell>
          <cell r="J2449">
            <v>911</v>
          </cell>
          <cell r="K2449">
            <v>264</v>
          </cell>
        </row>
        <row r="2450">
          <cell r="B2450" t="str">
            <v>andFHEM</v>
          </cell>
          <cell r="C2450" t="str">
            <v>klassm/andFHEM</v>
          </cell>
          <cell r="D2450" t="str">
            <v>klassm/andFHEM</v>
          </cell>
          <cell r="E2450">
            <v>3944</v>
          </cell>
          <cell r="F2450">
            <v>669</v>
          </cell>
          <cell r="G2450">
            <v>12</v>
          </cell>
          <cell r="H2450">
            <v>31969</v>
          </cell>
          <cell r="I2450">
            <v>20</v>
          </cell>
          <cell r="J2450">
            <v>58</v>
          </cell>
          <cell r="K2450">
            <v>42</v>
          </cell>
        </row>
        <row r="2451">
          <cell r="B2451" t="str">
            <v>KISS</v>
          </cell>
          <cell r="C2451" t="str">
            <v>Neamar/KISS</v>
          </cell>
          <cell r="D2451" t="str">
            <v>Neamar/KISS</v>
          </cell>
          <cell r="E2451">
            <v>5137</v>
          </cell>
          <cell r="F2451">
            <v>683</v>
          </cell>
          <cell r="G2451">
            <v>259</v>
          </cell>
          <cell r="H2451">
            <v>164293</v>
          </cell>
          <cell r="I2451">
            <v>569</v>
          </cell>
          <cell r="J2451">
            <v>2530</v>
          </cell>
          <cell r="K2451">
            <v>280</v>
          </cell>
        </row>
        <row r="2452">
          <cell r="B2452" t="str">
            <v>pjproject</v>
          </cell>
          <cell r="C2452" t="str">
            <v>pjsip/pjproject</v>
          </cell>
          <cell r="D2452" t="str">
            <v>pjsip/pjproject</v>
          </cell>
          <cell r="E2452">
            <v>4826</v>
          </cell>
          <cell r="F2452">
            <v>714</v>
          </cell>
          <cell r="G2452">
            <v>114</v>
          </cell>
          <cell r="H2452">
            <v>40629</v>
          </cell>
          <cell r="I2452">
            <v>609</v>
          </cell>
          <cell r="J2452">
            <v>1434</v>
          </cell>
          <cell r="K2452">
            <v>104</v>
          </cell>
        </row>
        <row r="2453">
          <cell r="B2453" t="str">
            <v>OpenTracks</v>
          </cell>
          <cell r="C2453" t="str">
            <v>OpenTracksApp/OpenTracks</v>
          </cell>
          <cell r="D2453" t="str">
            <v>OpenTracksApp/OpenTracks</v>
          </cell>
          <cell r="E2453">
            <v>5228</v>
          </cell>
          <cell r="F2453">
            <v>723</v>
          </cell>
          <cell r="G2453">
            <v>138</v>
          </cell>
          <cell r="H2453">
            <v>82815</v>
          </cell>
          <cell r="I2453">
            <v>143</v>
          </cell>
          <cell r="J2453">
            <v>598</v>
          </cell>
          <cell r="K2453">
            <v>78</v>
          </cell>
        </row>
        <row r="2454">
          <cell r="B2454" t="str">
            <v>android-app</v>
          </cell>
          <cell r="C2454" t="str">
            <v>wallabag/android-app</v>
          </cell>
          <cell r="D2454" t="str">
            <v>wallabag/android-app</v>
          </cell>
          <cell r="E2454">
            <v>2124</v>
          </cell>
          <cell r="F2454">
            <v>726</v>
          </cell>
          <cell r="G2454">
            <v>104</v>
          </cell>
          <cell r="H2454">
            <v>7065</v>
          </cell>
          <cell r="I2454">
            <v>254</v>
          </cell>
          <cell r="J2454">
            <v>402</v>
          </cell>
          <cell r="K2454">
            <v>178</v>
          </cell>
        </row>
        <row r="2455">
          <cell r="B2455" t="str">
            <v>open-keychain</v>
          </cell>
          <cell r="C2455" t="str">
            <v>open-keychain/open-keychain</v>
          </cell>
          <cell r="D2455" t="str">
            <v>open-keychain/open-keychain</v>
          </cell>
          <cell r="E2455">
            <v>7305</v>
          </cell>
          <cell r="F2455">
            <v>728</v>
          </cell>
          <cell r="G2455">
            <v>108</v>
          </cell>
          <cell r="H2455">
            <v>79809</v>
          </cell>
          <cell r="I2455">
            <v>480</v>
          </cell>
          <cell r="J2455">
            <v>1875</v>
          </cell>
          <cell r="K2455">
            <v>425</v>
          </cell>
        </row>
        <row r="2456">
          <cell r="B2456" t="str">
            <v>markor</v>
          </cell>
          <cell r="C2456" t="str">
            <v>gsantner/markor</v>
          </cell>
          <cell r="D2456" t="str">
            <v>gsantner/markor</v>
          </cell>
          <cell r="E2456">
            <v>1908</v>
          </cell>
          <cell r="F2456">
            <v>731</v>
          </cell>
          <cell r="G2456">
            <v>120</v>
          </cell>
          <cell r="H2456">
            <v>31870</v>
          </cell>
          <cell r="I2456">
            <v>312</v>
          </cell>
          <cell r="J2456">
            <v>2778</v>
          </cell>
          <cell r="K2456">
            <v>45</v>
          </cell>
        </row>
        <row r="2457">
          <cell r="B2457" t="str">
            <v>metrodroid</v>
          </cell>
          <cell r="C2457" t="str">
            <v>metrodroid/metrodroid</v>
          </cell>
          <cell r="D2457" t="str">
            <v>metrodroid/metrodroid</v>
          </cell>
          <cell r="E2457">
            <v>4679</v>
          </cell>
          <cell r="F2457">
            <v>736</v>
          </cell>
          <cell r="G2457">
            <v>98</v>
          </cell>
          <cell r="H2457">
            <v>69624</v>
          </cell>
          <cell r="I2457">
            <v>61</v>
          </cell>
          <cell r="J2457">
            <v>417</v>
          </cell>
          <cell r="K2457">
            <v>45</v>
          </cell>
        </row>
        <row r="2458">
          <cell r="B2458" t="str">
            <v>lawnchair</v>
          </cell>
          <cell r="C2458" t="str">
            <v>LawnchairLauncher/lawnchair</v>
          </cell>
          <cell r="D2458" t="str">
            <v>LawnchairLauncher/lawnchair</v>
          </cell>
          <cell r="E2458">
            <v>68567</v>
          </cell>
          <cell r="F2458">
            <v>739</v>
          </cell>
          <cell r="G2458">
            <v>163</v>
          </cell>
          <cell r="H2458">
            <v>411218</v>
          </cell>
          <cell r="I2458">
            <v>967</v>
          </cell>
          <cell r="J2458">
            <v>6924</v>
          </cell>
          <cell r="K2458">
            <v>108</v>
          </cell>
        </row>
        <row r="2459">
          <cell r="B2459" t="str">
            <v>connectbot</v>
          </cell>
          <cell r="C2459" t="str">
            <v>connectbot/connectbot</v>
          </cell>
          <cell r="D2459" t="str">
            <v>connectbot/connectbot</v>
          </cell>
          <cell r="E2459">
            <v>2127</v>
          </cell>
          <cell r="F2459">
            <v>766</v>
          </cell>
          <cell r="G2459">
            <v>60</v>
          </cell>
          <cell r="H2459">
            <v>8522</v>
          </cell>
          <cell r="I2459">
            <v>600</v>
          </cell>
          <cell r="J2459">
            <v>2027</v>
          </cell>
          <cell r="K2459">
            <v>301</v>
          </cell>
        </row>
        <row r="2460">
          <cell r="B2460" t="str">
            <v>Campus-Android</v>
          </cell>
          <cell r="C2460" t="str">
            <v>TUM-Dev/Campus-Android</v>
          </cell>
          <cell r="D2460" t="str">
            <v>TUM-Dev/Campus-Android</v>
          </cell>
          <cell r="E2460">
            <v>2785</v>
          </cell>
          <cell r="F2460">
            <v>767</v>
          </cell>
          <cell r="G2460">
            <v>66</v>
          </cell>
          <cell r="H2460">
            <v>142050</v>
          </cell>
          <cell r="I2460">
            <v>86</v>
          </cell>
          <cell r="J2460">
            <v>207</v>
          </cell>
          <cell r="K2460">
            <v>44</v>
          </cell>
        </row>
        <row r="2461">
          <cell r="B2461" t="str">
            <v>AtomicGameEngine</v>
          </cell>
          <cell r="C2461" t="str">
            <v>AtomicGameEngine/AtomicGameEngine</v>
          </cell>
          <cell r="D2461" t="str">
            <v>AtomicGameEngine/AtomicGameEngine</v>
          </cell>
          <cell r="E2461">
            <v>3398</v>
          </cell>
          <cell r="F2461">
            <v>794</v>
          </cell>
          <cell r="G2461">
            <v>31</v>
          </cell>
          <cell r="H2461">
            <v>113686</v>
          </cell>
          <cell r="I2461">
            <v>510</v>
          </cell>
          <cell r="J2461">
            <v>2879</v>
          </cell>
          <cell r="K2461">
            <v>396</v>
          </cell>
        </row>
        <row r="2462">
          <cell r="B2462" t="str">
            <v>dev-feed</v>
          </cell>
          <cell r="C2462" t="str">
            <v>rm3l/dev-feed</v>
          </cell>
          <cell r="D2462" t="str">
            <v>rm3l/dev-feed</v>
          </cell>
          <cell r="E2462">
            <v>1261</v>
          </cell>
          <cell r="F2462">
            <v>795</v>
          </cell>
          <cell r="G2462">
            <v>4</v>
          </cell>
          <cell r="H2462">
            <v>49827</v>
          </cell>
          <cell r="I2462">
            <v>11</v>
          </cell>
          <cell r="J2462">
            <v>22</v>
          </cell>
          <cell r="K2462">
            <v>12</v>
          </cell>
        </row>
        <row r="2463">
          <cell r="B2463" t="str">
            <v>espeak-ng</v>
          </cell>
          <cell r="C2463" t="str">
            <v>espeak-ng/espeak-ng</v>
          </cell>
          <cell r="D2463" t="str">
            <v>espeak-ng/espeak-ng</v>
          </cell>
          <cell r="E2463">
            <v>5523</v>
          </cell>
          <cell r="F2463">
            <v>796</v>
          </cell>
          <cell r="G2463">
            <v>148</v>
          </cell>
          <cell r="H2463">
            <v>57915</v>
          </cell>
          <cell r="I2463">
            <v>679</v>
          </cell>
          <cell r="J2463">
            <v>2144</v>
          </cell>
          <cell r="K2463">
            <v>430</v>
          </cell>
        </row>
        <row r="2464">
          <cell r="B2464" t="str">
            <v>rtchat</v>
          </cell>
          <cell r="C2464" t="str">
            <v>muxable/rtchat</v>
          </cell>
          <cell r="D2464" t="str">
            <v>muxable/rtchat</v>
          </cell>
          <cell r="E2464">
            <v>1294</v>
          </cell>
          <cell r="F2464">
            <v>805</v>
          </cell>
          <cell r="G2464">
            <v>16</v>
          </cell>
          <cell r="H2464">
            <v>5496</v>
          </cell>
          <cell r="I2464">
            <v>13</v>
          </cell>
          <cell r="J2464">
            <v>31</v>
          </cell>
          <cell r="K2464">
            <v>51</v>
          </cell>
        </row>
        <row r="2465">
          <cell r="B2465" t="str">
            <v>nextcloud-deck</v>
          </cell>
          <cell r="C2465" t="str">
            <v>stefan-niedermann/nextcloud-deck</v>
          </cell>
          <cell r="D2465" t="str">
            <v>stefan-niedermann/nextcloud-deck</v>
          </cell>
          <cell r="E2465">
            <v>4215</v>
          </cell>
          <cell r="F2465">
            <v>818</v>
          </cell>
          <cell r="G2465">
            <v>22</v>
          </cell>
          <cell r="H2465">
            <v>45592</v>
          </cell>
          <cell r="I2465">
            <v>51</v>
          </cell>
          <cell r="J2465">
            <v>429</v>
          </cell>
          <cell r="K2465">
            <v>59</v>
          </cell>
        </row>
        <row r="2466">
          <cell r="B2466" t="str">
            <v>android-kMail</v>
          </cell>
          <cell r="C2466" t="str">
            <v>Infomaniak/android-kMail</v>
          </cell>
          <cell r="D2466" t="str">
            <v>Infomaniak/android-kMail</v>
          </cell>
          <cell r="E2466">
            <v>3791</v>
          </cell>
          <cell r="F2466">
            <v>847</v>
          </cell>
          <cell r="G2466">
            <v>11</v>
          </cell>
          <cell r="H2466">
            <v>29527</v>
          </cell>
          <cell r="I2466">
            <v>1</v>
          </cell>
          <cell r="J2466">
            <v>46</v>
          </cell>
          <cell r="K2466">
            <v>39</v>
          </cell>
        </row>
        <row r="2467">
          <cell r="B2467" t="str">
            <v>notes-android</v>
          </cell>
          <cell r="C2467" t="str">
            <v>nextcloud/notes-android</v>
          </cell>
          <cell r="D2467" t="str">
            <v>nextcloud/notes-android</v>
          </cell>
          <cell r="E2467">
            <v>3032</v>
          </cell>
          <cell r="F2467">
            <v>852</v>
          </cell>
          <cell r="G2467">
            <v>62</v>
          </cell>
          <cell r="H2467">
            <v>26183</v>
          </cell>
          <cell r="I2467">
            <v>127</v>
          </cell>
          <cell r="J2467">
            <v>787</v>
          </cell>
          <cell r="K2467">
            <v>74</v>
          </cell>
        </row>
        <row r="2468">
          <cell r="B2468" t="str">
            <v>Android</v>
          </cell>
          <cell r="C2468" t="str">
            <v>CatimaLoyalty/Android</v>
          </cell>
          <cell r="D2468" t="str">
            <v>CatimaLoyalty/Android</v>
          </cell>
          <cell r="E2468">
            <v>3736</v>
          </cell>
          <cell r="F2468">
            <v>856</v>
          </cell>
          <cell r="G2468">
            <v>334</v>
          </cell>
          <cell r="H2468">
            <v>23606</v>
          </cell>
          <cell r="I2468">
            <v>113</v>
          </cell>
          <cell r="J2468">
            <v>503</v>
          </cell>
          <cell r="K2468">
            <v>87</v>
          </cell>
        </row>
        <row r="2469">
          <cell r="B2469" t="str">
            <v>lawnicons</v>
          </cell>
          <cell r="C2469" t="str">
            <v>LawnchairLauncher/lawnicons</v>
          </cell>
          <cell r="D2469" t="str">
            <v>LawnchairLauncher/lawnicons</v>
          </cell>
          <cell r="E2469">
            <v>1188</v>
          </cell>
          <cell r="F2469">
            <v>857</v>
          </cell>
          <cell r="G2469">
            <v>204</v>
          </cell>
          <cell r="H2469">
            <v>8864</v>
          </cell>
          <cell r="I2469">
            <v>300</v>
          </cell>
          <cell r="J2469">
            <v>669</v>
          </cell>
          <cell r="K2469">
            <v>23</v>
          </cell>
        </row>
        <row r="2470">
          <cell r="B2470" t="str">
            <v>akvo-flow-mobile</v>
          </cell>
          <cell r="C2470" t="str">
            <v>akvo/akvo-flow-mobile</v>
          </cell>
          <cell r="D2470" t="str">
            <v>akvo/akvo-flow-mobile</v>
          </cell>
          <cell r="E2470">
            <v>5662</v>
          </cell>
          <cell r="F2470">
            <v>858</v>
          </cell>
          <cell r="G2470">
            <v>16</v>
          </cell>
          <cell r="H2470">
            <v>145996</v>
          </cell>
          <cell r="I2470">
            <v>16</v>
          </cell>
          <cell r="J2470">
            <v>18</v>
          </cell>
          <cell r="K2470">
            <v>12</v>
          </cell>
        </row>
        <row r="2471">
          <cell r="B2471" t="str">
            <v>Milktea</v>
          </cell>
          <cell r="C2471" t="str">
            <v>pantasystem/Milktea</v>
          </cell>
          <cell r="D2471" t="str">
            <v>pantasystem/Milktea</v>
          </cell>
          <cell r="E2471">
            <v>6657</v>
          </cell>
          <cell r="F2471">
            <v>887</v>
          </cell>
          <cell r="G2471">
            <v>13</v>
          </cell>
          <cell r="H2471">
            <v>13221</v>
          </cell>
          <cell r="I2471">
            <v>15</v>
          </cell>
          <cell r="J2471">
            <v>148</v>
          </cell>
          <cell r="K2471">
            <v>118</v>
          </cell>
        </row>
        <row r="2472">
          <cell r="B2472" t="str">
            <v>aTox</v>
          </cell>
          <cell r="C2472" t="str">
            <v>evilcorpltd/aTox</v>
          </cell>
          <cell r="D2472" t="str">
            <v>evilcorpltd/aTox</v>
          </cell>
          <cell r="E2472">
            <v>1261</v>
          </cell>
          <cell r="F2472">
            <v>890</v>
          </cell>
          <cell r="G2472">
            <v>63</v>
          </cell>
          <cell r="H2472">
            <v>3785</v>
          </cell>
          <cell r="I2472">
            <v>46</v>
          </cell>
          <cell r="J2472">
            <v>276</v>
          </cell>
          <cell r="K2472">
            <v>95</v>
          </cell>
        </row>
        <row r="2473">
          <cell r="B2473" t="str">
            <v>talawa</v>
          </cell>
          <cell r="C2473" t="str">
            <v>PalisadoesFoundation/talawa</v>
          </cell>
          <cell r="D2473" t="str">
            <v>PalisadoesFoundation/talawa</v>
          </cell>
          <cell r="E2473">
            <v>1662</v>
          </cell>
          <cell r="F2473">
            <v>916</v>
          </cell>
          <cell r="G2473">
            <v>53</v>
          </cell>
          <cell r="H2473">
            <v>17237</v>
          </cell>
          <cell r="I2473">
            <v>305</v>
          </cell>
          <cell r="J2473">
            <v>197</v>
          </cell>
          <cell r="K2473">
            <v>71</v>
          </cell>
        </row>
        <row r="2474">
          <cell r="B2474" t="str">
            <v>exokit</v>
          </cell>
          <cell r="C2474" t="str">
            <v>exokitxr/exokit</v>
          </cell>
          <cell r="D2474" t="str">
            <v>exokitxr/exokit</v>
          </cell>
          <cell r="E2474">
            <v>9412</v>
          </cell>
          <cell r="F2474">
            <v>952</v>
          </cell>
          <cell r="G2474">
            <v>20</v>
          </cell>
          <cell r="H2474">
            <v>245031</v>
          </cell>
          <cell r="I2474">
            <v>116</v>
          </cell>
          <cell r="J2474">
            <v>951</v>
          </cell>
          <cell r="K2474">
            <v>209</v>
          </cell>
        </row>
        <row r="2475">
          <cell r="B2475" t="str">
            <v>Nekome</v>
          </cell>
          <cell r="C2475" t="str">
            <v>Chesire/Nekome</v>
          </cell>
          <cell r="D2475" t="str">
            <v>Chesire/Nekome</v>
          </cell>
          <cell r="E2475">
            <v>2993</v>
          </cell>
          <cell r="F2475">
            <v>954</v>
          </cell>
          <cell r="G2475">
            <v>13</v>
          </cell>
          <cell r="H2475">
            <v>29473</v>
          </cell>
          <cell r="I2475">
            <v>37</v>
          </cell>
          <cell r="J2475">
            <v>315</v>
          </cell>
          <cell r="K2475">
            <v>16</v>
          </cell>
        </row>
        <row r="2476">
          <cell r="B2476" t="str">
            <v>android-app</v>
          </cell>
          <cell r="C2476" t="str">
            <v>trynoice/android-app</v>
          </cell>
          <cell r="D2476" t="str">
            <v>trynoice/android-app</v>
          </cell>
          <cell r="E2476">
            <v>2358</v>
          </cell>
          <cell r="F2476">
            <v>970</v>
          </cell>
          <cell r="G2476">
            <v>38</v>
          </cell>
          <cell r="H2476">
            <v>195703</v>
          </cell>
          <cell r="I2476">
            <v>78</v>
          </cell>
          <cell r="J2476">
            <v>692</v>
          </cell>
          <cell r="K2476">
            <v>13</v>
          </cell>
        </row>
        <row r="2477">
          <cell r="B2477" t="str">
            <v>autonomy-client</v>
          </cell>
          <cell r="C2477" t="str">
            <v>bitmark-inc/autonomy-client</v>
          </cell>
          <cell r="D2477" t="str">
            <v>bitmark-inc/feralfile-app</v>
          </cell>
          <cell r="E2477">
            <v>2809</v>
          </cell>
          <cell r="F2477">
            <v>978</v>
          </cell>
          <cell r="G2477">
            <v>13</v>
          </cell>
          <cell r="H2477">
            <v>25749</v>
          </cell>
          <cell r="I2477">
            <v>3</v>
          </cell>
          <cell r="J2477">
            <v>19</v>
          </cell>
          <cell r="K2477">
            <v>8</v>
          </cell>
        </row>
        <row r="2478">
          <cell r="B2478" t="str">
            <v>stk-code</v>
          </cell>
          <cell r="C2478" t="str">
            <v>supertuxkart/stk-code</v>
          </cell>
          <cell r="D2478" t="str">
            <v>supertuxkart/stk-code</v>
          </cell>
          <cell r="E2478">
            <v>23021</v>
          </cell>
          <cell r="F2478">
            <v>987</v>
          </cell>
          <cell r="G2478">
            <v>186</v>
          </cell>
          <cell r="H2478">
            <v>370175</v>
          </cell>
          <cell r="I2478">
            <v>1021</v>
          </cell>
          <cell r="J2478">
            <v>4030</v>
          </cell>
          <cell r="K2478">
            <v>360</v>
          </cell>
        </row>
        <row r="2479">
          <cell r="B2479" t="str">
            <v>EngineDriver</v>
          </cell>
          <cell r="C2479" t="str">
            <v>JMRI/EngineDriver</v>
          </cell>
          <cell r="D2479" t="str">
            <v>JMRI/EngineDriver</v>
          </cell>
          <cell r="E2479">
            <v>3244</v>
          </cell>
          <cell r="F2479">
            <v>1005</v>
          </cell>
          <cell r="G2479">
            <v>10</v>
          </cell>
          <cell r="H2479">
            <v>197971</v>
          </cell>
          <cell r="I2479">
            <v>17</v>
          </cell>
          <cell r="J2479">
            <v>24</v>
          </cell>
          <cell r="K2479">
            <v>9</v>
          </cell>
        </row>
        <row r="2480">
          <cell r="B2480" t="str">
            <v>dash-wallet</v>
          </cell>
          <cell r="C2480" t="str">
            <v>dashpay/dash-wallet</v>
          </cell>
          <cell r="D2480" t="str">
            <v>dashpay/dash-wallet</v>
          </cell>
          <cell r="E2480">
            <v>4443</v>
          </cell>
          <cell r="F2480">
            <v>1020</v>
          </cell>
          <cell r="G2480">
            <v>30</v>
          </cell>
          <cell r="H2480">
            <v>106198</v>
          </cell>
          <cell r="I2480">
            <v>165</v>
          </cell>
          <cell r="J2480">
            <v>159</v>
          </cell>
          <cell r="K2480">
            <v>18</v>
          </cell>
        </row>
        <row r="2481">
          <cell r="B2481" t="str">
            <v>flare-engine</v>
          </cell>
          <cell r="C2481" t="str">
            <v>flareteam/flare-engine</v>
          </cell>
          <cell r="D2481" t="str">
            <v>flareteam/flare-engine</v>
          </cell>
          <cell r="E2481">
            <v>7268</v>
          </cell>
          <cell r="F2481">
            <v>1027</v>
          </cell>
          <cell r="G2481">
            <v>71</v>
          </cell>
          <cell r="H2481">
            <v>29488</v>
          </cell>
          <cell r="I2481">
            <v>181</v>
          </cell>
          <cell r="J2481">
            <v>1003</v>
          </cell>
          <cell r="K2481">
            <v>88</v>
          </cell>
        </row>
        <row r="2482">
          <cell r="B2482" t="str">
            <v>photos-app</v>
          </cell>
          <cell r="C2482" t="str">
            <v>ente-io/photos-app</v>
          </cell>
          <cell r="D2482" t="str">
            <v>ente-io/photos-app</v>
          </cell>
          <cell r="E2482">
            <v>8491</v>
          </cell>
          <cell r="F2482">
            <v>1128</v>
          </cell>
          <cell r="G2482">
            <v>16</v>
          </cell>
          <cell r="H2482">
            <v>324305</v>
          </cell>
          <cell r="I2482">
            <v>18</v>
          </cell>
          <cell r="J2482">
            <v>342</v>
          </cell>
          <cell r="K2482">
            <v>35</v>
          </cell>
        </row>
        <row r="2483">
          <cell r="B2483" t="str">
            <v>Paintroid</v>
          </cell>
          <cell r="C2483" t="str">
            <v>Catrobat/Paintroid</v>
          </cell>
          <cell r="D2483" t="str">
            <v>Catrobat/Paintroid</v>
          </cell>
          <cell r="E2483">
            <v>4057</v>
          </cell>
          <cell r="F2483">
            <v>1221</v>
          </cell>
          <cell r="G2483">
            <v>78</v>
          </cell>
          <cell r="H2483">
            <v>43124</v>
          </cell>
          <cell r="I2483">
            <v>263</v>
          </cell>
          <cell r="J2483">
            <v>279</v>
          </cell>
          <cell r="K2483">
            <v>61</v>
          </cell>
        </row>
        <row r="2484">
          <cell r="B2484" t="str">
            <v>pslab-android</v>
          </cell>
          <cell r="C2484" t="str">
            <v>fossasia/pslab-android</v>
          </cell>
          <cell r="D2484" t="str">
            <v>fossasia/pslab-android</v>
          </cell>
          <cell r="E2484">
            <v>1246</v>
          </cell>
          <cell r="F2484">
            <v>1233</v>
          </cell>
          <cell r="G2484">
            <v>95</v>
          </cell>
          <cell r="H2484">
            <v>172582</v>
          </cell>
          <cell r="I2484">
            <v>820</v>
          </cell>
          <cell r="J2484">
            <v>2026</v>
          </cell>
          <cell r="K2484">
            <v>38</v>
          </cell>
        </row>
        <row r="2485">
          <cell r="B2485" t="str">
            <v>Transmissionic</v>
          </cell>
          <cell r="C2485" t="str">
            <v>6c65726f79/Transmissionic</v>
          </cell>
          <cell r="D2485" t="str">
            <v>6c65726f79/Transmissionic</v>
          </cell>
          <cell r="E2485">
            <v>2985</v>
          </cell>
          <cell r="F2485">
            <v>1281</v>
          </cell>
          <cell r="G2485">
            <v>6</v>
          </cell>
          <cell r="H2485">
            <v>14563</v>
          </cell>
          <cell r="I2485">
            <v>13</v>
          </cell>
          <cell r="J2485">
            <v>213</v>
          </cell>
          <cell r="K2485">
            <v>8</v>
          </cell>
        </row>
        <row r="2486">
          <cell r="B2486" t="str">
            <v>Player</v>
          </cell>
          <cell r="C2486" t="str">
            <v>EasyRPG/Player</v>
          </cell>
          <cell r="D2486" t="str">
            <v>EasyRPG/Player</v>
          </cell>
          <cell r="E2486">
            <v>8851</v>
          </cell>
          <cell r="F2486">
            <v>1349</v>
          </cell>
          <cell r="G2486">
            <v>76</v>
          </cell>
          <cell r="H2486">
            <v>40590</v>
          </cell>
          <cell r="I2486">
            <v>170</v>
          </cell>
          <cell r="J2486">
            <v>859</v>
          </cell>
          <cell r="K2486">
            <v>253</v>
          </cell>
        </row>
        <row r="2487">
          <cell r="B2487" t="str">
            <v>AnySoftKeyboard</v>
          </cell>
          <cell r="C2487" t="str">
            <v>AnySoftKeyboard/AnySoftKeyboard</v>
          </cell>
          <cell r="D2487" t="str">
            <v>AnySoftKeyboard/AnySoftKeyboard</v>
          </cell>
          <cell r="E2487">
            <v>7411</v>
          </cell>
          <cell r="F2487">
            <v>1402</v>
          </cell>
          <cell r="G2487">
            <v>140</v>
          </cell>
          <cell r="H2487">
            <v>267775</v>
          </cell>
          <cell r="I2487">
            <v>783</v>
          </cell>
          <cell r="J2487">
            <v>2486</v>
          </cell>
          <cell r="K2487">
            <v>807</v>
          </cell>
        </row>
        <row r="2488">
          <cell r="B2488" t="str">
            <v>tutanota</v>
          </cell>
          <cell r="C2488" t="str">
            <v>tutao/tutanota</v>
          </cell>
          <cell r="D2488" t="str">
            <v>tutao/tutanota</v>
          </cell>
          <cell r="E2488">
            <v>8477</v>
          </cell>
          <cell r="F2488">
            <v>1428</v>
          </cell>
          <cell r="G2488">
            <v>87</v>
          </cell>
          <cell r="H2488">
            <v>177653</v>
          </cell>
          <cell r="I2488">
            <v>499</v>
          </cell>
          <cell r="J2488">
            <v>5363</v>
          </cell>
          <cell r="K2488">
            <v>708</v>
          </cell>
        </row>
        <row r="2489">
          <cell r="B2489" t="str">
            <v>electrode-native</v>
          </cell>
          <cell r="C2489" t="str">
            <v>electrode-io/electrode-native</v>
          </cell>
          <cell r="D2489" t="str">
            <v>electrode-io/electrode-native</v>
          </cell>
          <cell r="E2489">
            <v>4106</v>
          </cell>
          <cell r="F2489">
            <v>1487</v>
          </cell>
          <cell r="G2489">
            <v>39</v>
          </cell>
          <cell r="H2489">
            <v>22344</v>
          </cell>
          <cell r="I2489">
            <v>114</v>
          </cell>
          <cell r="J2489">
            <v>705</v>
          </cell>
          <cell r="K2489">
            <v>92</v>
          </cell>
        </row>
        <row r="2490">
          <cell r="B2490" t="str">
            <v>reference-browser</v>
          </cell>
          <cell r="C2490" t="str">
            <v>mozilla-mobile/reference-browser</v>
          </cell>
          <cell r="D2490" t="str">
            <v>mozilla-mobile/reference-browser</v>
          </cell>
          <cell r="E2490">
            <v>1662</v>
          </cell>
          <cell r="F2490">
            <v>1513</v>
          </cell>
          <cell r="G2490">
            <v>58</v>
          </cell>
          <cell r="H2490">
            <v>3945</v>
          </cell>
          <cell r="I2490">
            <v>140</v>
          </cell>
          <cell r="J2490">
            <v>483</v>
          </cell>
          <cell r="K2490">
            <v>371</v>
          </cell>
        </row>
        <row r="2491">
          <cell r="B2491" t="str">
            <v>AmazeFileManager</v>
          </cell>
          <cell r="C2491" t="str">
            <v>TeamAmaze/AmazeFileManager</v>
          </cell>
          <cell r="D2491" t="str">
            <v>TeamAmaze/AmazeFileManager</v>
          </cell>
          <cell r="E2491">
            <v>5939</v>
          </cell>
          <cell r="F2491">
            <v>1551</v>
          </cell>
          <cell r="G2491">
            <v>142</v>
          </cell>
          <cell r="H2491">
            <v>58427</v>
          </cell>
          <cell r="I2491">
            <v>1412</v>
          </cell>
          <cell r="J2491">
            <v>4383</v>
          </cell>
          <cell r="K2491">
            <v>508</v>
          </cell>
        </row>
        <row r="2492">
          <cell r="B2492" t="str">
            <v>talk-android</v>
          </cell>
          <cell r="C2492" t="str">
            <v>nextcloud/talk-android</v>
          </cell>
          <cell r="D2492" t="str">
            <v>nextcloud/talk-android</v>
          </cell>
          <cell r="E2492">
            <v>6945</v>
          </cell>
          <cell r="F2492">
            <v>1563</v>
          </cell>
          <cell r="G2492">
            <v>43</v>
          </cell>
          <cell r="H2492">
            <v>41205</v>
          </cell>
          <cell r="I2492">
            <v>195</v>
          </cell>
          <cell r="J2492">
            <v>434</v>
          </cell>
          <cell r="K2492">
            <v>305</v>
          </cell>
        </row>
        <row r="2493">
          <cell r="B2493" t="str">
            <v>kiwix-android</v>
          </cell>
          <cell r="C2493" t="str">
            <v>kiwix/kiwix-android</v>
          </cell>
          <cell r="D2493" t="str">
            <v>kiwix/kiwix-android</v>
          </cell>
          <cell r="E2493">
            <v>6803</v>
          </cell>
          <cell r="F2493">
            <v>1573</v>
          </cell>
          <cell r="G2493">
            <v>125</v>
          </cell>
          <cell r="H2493">
            <v>329042</v>
          </cell>
          <cell r="I2493">
            <v>424</v>
          </cell>
          <cell r="J2493">
            <v>675</v>
          </cell>
          <cell r="K2493">
            <v>122</v>
          </cell>
        </row>
        <row r="2494">
          <cell r="B2494" t="str">
            <v>jellyfin-androidtv</v>
          </cell>
          <cell r="C2494" t="str">
            <v>jellyfin/jellyfin-androidtv</v>
          </cell>
          <cell r="D2494" t="str">
            <v>jellyfin/jellyfin-androidtv</v>
          </cell>
          <cell r="E2494">
            <v>6840</v>
          </cell>
          <cell r="F2494">
            <v>1629</v>
          </cell>
          <cell r="G2494">
            <v>402</v>
          </cell>
          <cell r="H2494">
            <v>30587</v>
          </cell>
          <cell r="I2494">
            <v>299</v>
          </cell>
          <cell r="J2494">
            <v>1515</v>
          </cell>
          <cell r="K2494">
            <v>246</v>
          </cell>
        </row>
        <row r="2495">
          <cell r="B2495" t="str">
            <v>Android-Password-Store</v>
          </cell>
          <cell r="C2495" t="str">
            <v>android-password-store/Android-Password-Store</v>
          </cell>
          <cell r="D2495" t="str">
            <v>android-password-store/Android-Password-Store</v>
          </cell>
          <cell r="E2495">
            <v>3021</v>
          </cell>
          <cell r="F2495">
            <v>1657</v>
          </cell>
          <cell r="G2495">
            <v>97</v>
          </cell>
          <cell r="H2495">
            <v>120142</v>
          </cell>
          <cell r="I2495">
            <v>234</v>
          </cell>
          <cell r="J2495">
            <v>2265</v>
          </cell>
          <cell r="K2495">
            <v>18</v>
          </cell>
        </row>
        <row r="2496">
          <cell r="B2496" t="str">
            <v>android-oss</v>
          </cell>
          <cell r="C2496" t="str">
            <v>kickstarter/android-oss</v>
          </cell>
          <cell r="D2496" t="str">
            <v>kickstarter/android-oss</v>
          </cell>
          <cell r="E2496">
            <v>5038</v>
          </cell>
          <cell r="F2496">
            <v>1712</v>
          </cell>
          <cell r="G2496">
            <v>38</v>
          </cell>
          <cell r="H2496">
            <v>42965</v>
          </cell>
          <cell r="I2496">
            <v>1011</v>
          </cell>
          <cell r="J2496">
            <v>5691</v>
          </cell>
          <cell r="K2496">
            <v>3</v>
          </cell>
        </row>
        <row r="2497">
          <cell r="B2497" t="str">
            <v>app</v>
          </cell>
          <cell r="C2497" t="str">
            <v>standardnotes/app</v>
          </cell>
          <cell r="D2497" t="str">
            <v>standardnotes/app</v>
          </cell>
          <cell r="E2497">
            <v>5514</v>
          </cell>
          <cell r="F2497">
            <v>1810</v>
          </cell>
          <cell r="G2497">
            <v>43</v>
          </cell>
          <cell r="H2497">
            <v>1363314</v>
          </cell>
          <cell r="I2497">
            <v>345</v>
          </cell>
          <cell r="J2497">
            <v>4377</v>
          </cell>
          <cell r="K2497">
            <v>39</v>
          </cell>
        </row>
        <row r="2498">
          <cell r="B2498" t="str">
            <v>android</v>
          </cell>
          <cell r="C2498" t="str">
            <v>owncloud/android</v>
          </cell>
          <cell r="D2498" t="str">
            <v>owncloud/android</v>
          </cell>
          <cell r="E2498">
            <v>11564</v>
          </cell>
          <cell r="F2498">
            <v>1829</v>
          </cell>
          <cell r="G2498">
            <v>96</v>
          </cell>
          <cell r="H2498">
            <v>261684</v>
          </cell>
          <cell r="I2498">
            <v>3024</v>
          </cell>
          <cell r="J2498">
            <v>3532</v>
          </cell>
          <cell r="K2498">
            <v>268</v>
          </cell>
        </row>
        <row r="2499">
          <cell r="B2499" t="str">
            <v>RetroShare</v>
          </cell>
          <cell r="C2499" t="str">
            <v>RetroShare/RetroShare</v>
          </cell>
          <cell r="D2499" t="str">
            <v>RetroShare/RetroShare</v>
          </cell>
          <cell r="E2499">
            <v>16588</v>
          </cell>
          <cell r="F2499">
            <v>1863</v>
          </cell>
          <cell r="G2499">
            <v>63</v>
          </cell>
          <cell r="H2499">
            <v>127829</v>
          </cell>
          <cell r="I2499">
            <v>259</v>
          </cell>
          <cell r="J2499">
            <v>1563</v>
          </cell>
          <cell r="K2499">
            <v>464</v>
          </cell>
        </row>
        <row r="2500">
          <cell r="B2500" t="str">
            <v>Magisk</v>
          </cell>
          <cell r="C2500" t="str">
            <v>topjohnwu/Magisk</v>
          </cell>
          <cell r="D2500" t="str">
            <v>topjohnwu/Magisk</v>
          </cell>
          <cell r="E2500">
            <v>6322</v>
          </cell>
          <cell r="F2500">
            <v>1919</v>
          </cell>
          <cell r="G2500">
            <v>280</v>
          </cell>
          <cell r="H2500">
            <v>58446</v>
          </cell>
          <cell r="I2500">
            <v>9547</v>
          </cell>
          <cell r="J2500">
            <v>35991</v>
          </cell>
          <cell r="K2500">
            <v>39</v>
          </cell>
        </row>
        <row r="2501">
          <cell r="B2501" t="str">
            <v>NewPipe</v>
          </cell>
          <cell r="C2501" t="str">
            <v>TeamNewPipe/NewPipe</v>
          </cell>
          <cell r="D2501" t="str">
            <v>TeamNewPipe/NewPipe</v>
          </cell>
          <cell r="E2501">
            <v>10736</v>
          </cell>
          <cell r="F2501">
            <v>1936</v>
          </cell>
          <cell r="G2501">
            <v>307</v>
          </cell>
          <cell r="H2501">
            <v>66096</v>
          </cell>
          <cell r="I2501">
            <v>2606</v>
          </cell>
          <cell r="J2501">
            <v>23035</v>
          </cell>
          <cell r="K2501">
            <v>1222</v>
          </cell>
        </row>
        <row r="2502">
          <cell r="B2502" t="str">
            <v>simplex-chat</v>
          </cell>
          <cell r="C2502" t="str">
            <v>simplex-chat/simplex-chat</v>
          </cell>
          <cell r="D2502" t="str">
            <v>simplex-chat/simplex-chat</v>
          </cell>
          <cell r="E2502">
            <v>2630</v>
          </cell>
          <cell r="F2502">
            <v>2013</v>
          </cell>
          <cell r="G2502">
            <v>40</v>
          </cell>
          <cell r="H2502">
            <v>156299</v>
          </cell>
          <cell r="I2502">
            <v>155</v>
          </cell>
          <cell r="J2502">
            <v>3456</v>
          </cell>
          <cell r="K2502">
            <v>296</v>
          </cell>
        </row>
        <row r="2503">
          <cell r="B2503" t="str">
            <v>organicmaps</v>
          </cell>
          <cell r="C2503" t="str">
            <v>organicmaps/organicmaps</v>
          </cell>
          <cell r="D2503" t="str">
            <v>organicmaps/organicmaps</v>
          </cell>
          <cell r="E2503">
            <v>38511</v>
          </cell>
          <cell r="F2503">
            <v>2101</v>
          </cell>
          <cell r="G2503">
            <v>292</v>
          </cell>
          <cell r="H2503">
            <v>6147514</v>
          </cell>
          <cell r="I2503">
            <v>552</v>
          </cell>
          <cell r="J2503">
            <v>5292</v>
          </cell>
          <cell r="K2503">
            <v>1732</v>
          </cell>
        </row>
        <row r="2504">
          <cell r="B2504" t="str">
            <v>AdAway</v>
          </cell>
          <cell r="C2504" t="str">
            <v>AdAway/AdAway</v>
          </cell>
          <cell r="D2504" t="str">
            <v>AdAway/AdAway</v>
          </cell>
          <cell r="E2504">
            <v>3753</v>
          </cell>
          <cell r="F2504">
            <v>2131</v>
          </cell>
          <cell r="G2504">
            <v>46</v>
          </cell>
          <cell r="H2504">
            <v>39965</v>
          </cell>
          <cell r="I2504">
            <v>490</v>
          </cell>
          <cell r="J2504">
            <v>5103</v>
          </cell>
          <cell r="K2504">
            <v>433</v>
          </cell>
        </row>
        <row r="2505">
          <cell r="B2505" t="str">
            <v>crawl</v>
          </cell>
          <cell r="C2505" t="str">
            <v>crawl/crawl</v>
          </cell>
          <cell r="D2505" t="str">
            <v>crawl/crawl</v>
          </cell>
          <cell r="E2505">
            <v>64167</v>
          </cell>
          <cell r="F2505">
            <v>2157</v>
          </cell>
          <cell r="G2505">
            <v>317</v>
          </cell>
          <cell r="H2505">
            <v>276854</v>
          </cell>
          <cell r="I2505">
            <v>1078</v>
          </cell>
          <cell r="J2505">
            <v>2020</v>
          </cell>
          <cell r="K2505">
            <v>286</v>
          </cell>
        </row>
        <row r="2506">
          <cell r="B2506" t="str">
            <v>smooth-app</v>
          </cell>
          <cell r="C2506" t="str">
            <v>openfoodfacts/smooth-app</v>
          </cell>
          <cell r="D2506" t="str">
            <v>openfoodfacts/smooth-app</v>
          </cell>
          <cell r="E2506">
            <v>3346</v>
          </cell>
          <cell r="F2506">
            <v>2157</v>
          </cell>
          <cell r="G2506">
            <v>97</v>
          </cell>
          <cell r="H2506">
            <v>40795</v>
          </cell>
          <cell r="I2506">
            <v>145</v>
          </cell>
          <cell r="J2506">
            <v>337</v>
          </cell>
          <cell r="K2506">
            <v>312</v>
          </cell>
        </row>
        <row r="2507">
          <cell r="B2507" t="str">
            <v>openhab-android</v>
          </cell>
          <cell r="C2507" t="str">
            <v>openhab/openhab-android</v>
          </cell>
          <cell r="D2507" t="str">
            <v>openhab/openhab-android</v>
          </cell>
          <cell r="E2507">
            <v>2864</v>
          </cell>
          <cell r="F2507">
            <v>2359</v>
          </cell>
          <cell r="G2507">
            <v>57</v>
          </cell>
          <cell r="H2507">
            <v>54594</v>
          </cell>
          <cell r="I2507">
            <v>312</v>
          </cell>
          <cell r="J2507">
            <v>535</v>
          </cell>
          <cell r="K2507">
            <v>70</v>
          </cell>
        </row>
        <row r="2508">
          <cell r="B2508" t="str">
            <v>boinc</v>
          </cell>
          <cell r="C2508" t="str">
            <v>BOINC/boinc</v>
          </cell>
          <cell r="D2508" t="str">
            <v>BOINC/boinc</v>
          </cell>
          <cell r="E2508">
            <v>24536</v>
          </cell>
          <cell r="F2508">
            <v>2378</v>
          </cell>
          <cell r="G2508">
            <v>137</v>
          </cell>
          <cell r="H2508">
            <v>272723</v>
          </cell>
          <cell r="I2508">
            <v>414</v>
          </cell>
          <cell r="J2508">
            <v>1697</v>
          </cell>
          <cell r="K2508">
            <v>533</v>
          </cell>
        </row>
        <row r="2509">
          <cell r="B2509" t="str">
            <v>Android</v>
          </cell>
          <cell r="C2509" t="str">
            <v>duckduckgo/Android</v>
          </cell>
          <cell r="D2509" t="str">
            <v>duckduckgo/Android</v>
          </cell>
          <cell r="E2509">
            <v>3114</v>
          </cell>
          <cell r="F2509">
            <v>2500</v>
          </cell>
          <cell r="G2509">
            <v>90</v>
          </cell>
          <cell r="H2509">
            <v>94421</v>
          </cell>
          <cell r="I2509">
            <v>819</v>
          </cell>
          <cell r="J2509">
            <v>3124</v>
          </cell>
          <cell r="K2509">
            <v>46</v>
          </cell>
        </row>
        <row r="2510">
          <cell r="B2510" t="str">
            <v>commcare-android</v>
          </cell>
          <cell r="C2510" t="str">
            <v>dimagi/commcare-android</v>
          </cell>
          <cell r="D2510" t="str">
            <v>dimagi/commcare-android</v>
          </cell>
          <cell r="E2510">
            <v>13817</v>
          </cell>
          <cell r="F2510">
            <v>2662</v>
          </cell>
          <cell r="G2510">
            <v>29</v>
          </cell>
          <cell r="H2510">
            <v>259939</v>
          </cell>
          <cell r="I2510">
            <v>22</v>
          </cell>
          <cell r="J2510">
            <v>29</v>
          </cell>
          <cell r="K2510">
            <v>23</v>
          </cell>
        </row>
        <row r="2511">
          <cell r="B2511" t="str">
            <v>AntennaPod</v>
          </cell>
          <cell r="C2511" t="str">
            <v>AntennaPod/AntennaPod</v>
          </cell>
          <cell r="D2511" t="str">
            <v>AntennaPod/AntennaPod</v>
          </cell>
          <cell r="E2511">
            <v>8547</v>
          </cell>
          <cell r="F2511">
            <v>2844</v>
          </cell>
          <cell r="G2511">
            <v>258</v>
          </cell>
          <cell r="H2511">
            <v>104601</v>
          </cell>
          <cell r="I2511">
            <v>1233</v>
          </cell>
          <cell r="J2511">
            <v>4995</v>
          </cell>
          <cell r="K2511">
            <v>215</v>
          </cell>
        </row>
        <row r="2512">
          <cell r="B2512" t="str">
            <v>k-9</v>
          </cell>
          <cell r="C2512" t="str">
            <v>thundernest/k-9</v>
          </cell>
          <cell r="D2512" t="str">
            <v>thunderbird/thunderbird-android</v>
          </cell>
          <cell r="E2512">
            <v>12346</v>
          </cell>
          <cell r="F2512">
            <v>2852</v>
          </cell>
          <cell r="G2512">
            <v>290</v>
          </cell>
          <cell r="H2512">
            <v>85972</v>
          </cell>
          <cell r="I2512">
            <v>2325</v>
          </cell>
          <cell r="J2512">
            <v>7738</v>
          </cell>
          <cell r="K2512">
            <v>635</v>
          </cell>
        </row>
        <row r="2513">
          <cell r="B2513" t="str">
            <v>joplin</v>
          </cell>
          <cell r="C2513" t="str">
            <v>laurent22/joplin</v>
          </cell>
          <cell r="D2513" t="str">
            <v>laurent22/joplin</v>
          </cell>
          <cell r="E2513">
            <v>9286</v>
          </cell>
          <cell r="F2513">
            <v>2860</v>
          </cell>
          <cell r="G2513">
            <v>437</v>
          </cell>
          <cell r="H2513">
            <v>380654</v>
          </cell>
          <cell r="I2513">
            <v>4023</v>
          </cell>
          <cell r="J2513">
            <v>36541</v>
          </cell>
          <cell r="K2513">
            <v>328</v>
          </cell>
        </row>
        <row r="2514">
          <cell r="B2514" t="str">
            <v>unstoppable-wallet-android</v>
          </cell>
          <cell r="C2514" t="str">
            <v>horizontalsystems/unstoppable-wallet-android</v>
          </cell>
          <cell r="D2514" t="str">
            <v>horizontalsystems/unstoppable-wallet-android</v>
          </cell>
          <cell r="E2514">
            <v>7728</v>
          </cell>
          <cell r="F2514">
            <v>3355</v>
          </cell>
          <cell r="G2514">
            <v>21</v>
          </cell>
          <cell r="H2514">
            <v>83121</v>
          </cell>
          <cell r="I2514">
            <v>324</v>
          </cell>
          <cell r="J2514">
            <v>633</v>
          </cell>
          <cell r="K2514">
            <v>62</v>
          </cell>
        </row>
        <row r="2515">
          <cell r="B2515" t="str">
            <v>Rocket.Chat.ReactNative</v>
          </cell>
          <cell r="C2515" t="str">
            <v>RocketChat/Rocket.Chat.ReactNative</v>
          </cell>
          <cell r="D2515" t="str">
            <v>RocketChat/Rocket.Chat.ReactNative</v>
          </cell>
          <cell r="E2515">
            <v>2497</v>
          </cell>
          <cell r="F2515">
            <v>3402</v>
          </cell>
          <cell r="G2515">
            <v>122</v>
          </cell>
          <cell r="H2515">
            <v>311896</v>
          </cell>
          <cell r="I2515">
            <v>1014</v>
          </cell>
          <cell r="J2515">
            <v>1678</v>
          </cell>
          <cell r="K2515">
            <v>230</v>
          </cell>
        </row>
        <row r="2516">
          <cell r="B2516" t="str">
            <v>berty</v>
          </cell>
          <cell r="C2516" t="str">
            <v>berty/berty</v>
          </cell>
          <cell r="D2516" t="str">
            <v>berty/berty</v>
          </cell>
          <cell r="E2516">
            <v>8020</v>
          </cell>
          <cell r="F2516">
            <v>3460</v>
          </cell>
          <cell r="G2516">
            <v>58</v>
          </cell>
          <cell r="H2516">
            <v>265853</v>
          </cell>
          <cell r="I2516">
            <v>317</v>
          </cell>
          <cell r="J2516">
            <v>6636</v>
          </cell>
          <cell r="K2516">
            <v>133</v>
          </cell>
        </row>
        <row r="2517">
          <cell r="B2517" t="str">
            <v>mattermost-mobile</v>
          </cell>
          <cell r="C2517" t="str">
            <v>mattermost/mattermost-mobile</v>
          </cell>
          <cell r="D2517" t="str">
            <v>mattermost/mattermost-mobile</v>
          </cell>
          <cell r="E2517">
            <v>1608</v>
          </cell>
          <cell r="F2517">
            <v>6457</v>
          </cell>
          <cell r="G2517">
            <v>165</v>
          </cell>
          <cell r="H2517">
            <v>112819</v>
          </cell>
          <cell r="I2517">
            <v>1168</v>
          </cell>
          <cell r="J2517">
            <v>1909</v>
          </cell>
          <cell r="K2517">
            <v>107</v>
          </cell>
        </row>
        <row r="2518">
          <cell r="B2518" t="str">
            <v>AdaptiveCards</v>
          </cell>
          <cell r="C2518" t="str">
            <v>microsoft/AdaptiveCards</v>
          </cell>
          <cell r="D2518" t="str">
            <v>microsoft/AdaptiveCards</v>
          </cell>
          <cell r="E2518">
            <v>3677</v>
          </cell>
          <cell r="F2518">
            <v>3545</v>
          </cell>
          <cell r="G2518">
            <v>132</v>
          </cell>
          <cell r="H2518">
            <v>367602</v>
          </cell>
          <cell r="I2518">
            <v>498</v>
          </cell>
          <cell r="J2518">
            <v>1473</v>
          </cell>
          <cell r="K2518">
            <v>830</v>
          </cell>
        </row>
        <row r="2519">
          <cell r="B2519" t="str">
            <v>Unciv</v>
          </cell>
          <cell r="C2519" t="str">
            <v>yairm210/Unciv</v>
          </cell>
          <cell r="D2519" t="str">
            <v>yairm210/Unciv</v>
          </cell>
          <cell r="E2519">
            <v>8889</v>
          </cell>
          <cell r="F2519">
            <v>6342</v>
          </cell>
          <cell r="G2519">
            <v>235</v>
          </cell>
          <cell r="H2519">
            <v>733138</v>
          </cell>
          <cell r="I2519">
            <v>1255</v>
          </cell>
          <cell r="J2519">
            <v>5642</v>
          </cell>
          <cell r="K2519">
            <v>156</v>
          </cell>
        </row>
        <row r="2520">
          <cell r="B2520" t="str">
            <v>zulip-mobile</v>
          </cell>
          <cell r="C2520" t="str">
            <v>zulip/zulip-mobile</v>
          </cell>
          <cell r="D2520" t="str">
            <v>zulip/zulip-mobile</v>
          </cell>
          <cell r="E2520">
            <v>10360</v>
          </cell>
          <cell r="F2520">
            <v>3700</v>
          </cell>
          <cell r="G2520">
            <v>88</v>
          </cell>
          <cell r="H2520">
            <v>42091</v>
          </cell>
          <cell r="I2520">
            <v>606</v>
          </cell>
          <cell r="J2520">
            <v>1163</v>
          </cell>
          <cell r="K2520">
            <v>730</v>
          </cell>
        </row>
        <row r="2521">
          <cell r="B2521" t="str">
            <v>jitsi-meet</v>
          </cell>
          <cell r="C2521" t="str">
            <v>jitsi/jitsi-meet</v>
          </cell>
          <cell r="D2521" t="str">
            <v>jitsi/jitsi-meet</v>
          </cell>
          <cell r="E2521">
            <v>11474</v>
          </cell>
          <cell r="F2521">
            <v>7667</v>
          </cell>
          <cell r="G2521">
            <v>369</v>
          </cell>
          <cell r="H2521">
            <v>264062</v>
          </cell>
          <cell r="I2521">
            <v>6233</v>
          </cell>
          <cell r="J2521">
            <v>20005</v>
          </cell>
          <cell r="K2521">
            <v>398</v>
          </cell>
        </row>
        <row r="2522">
          <cell r="B2522" t="str">
            <v>Mindustry</v>
          </cell>
          <cell r="C2522" t="str">
            <v>Anuken/Mindustry</v>
          </cell>
          <cell r="D2522" t="str">
            <v>Anuken/Mindustry</v>
          </cell>
          <cell r="E2522">
            <v>16476</v>
          </cell>
          <cell r="F2522">
            <v>4721</v>
          </cell>
          <cell r="G2522">
            <v>384</v>
          </cell>
          <cell r="H2522">
            <v>1821796</v>
          </cell>
          <cell r="I2522">
            <v>2414</v>
          </cell>
          <cell r="J2522">
            <v>17339</v>
          </cell>
          <cell r="K2522">
            <v>160</v>
          </cell>
        </row>
        <row r="2523">
          <cell r="B2523" t="str">
            <v>mullvadvpn-app</v>
          </cell>
          <cell r="C2523" t="str">
            <v>mullvad/mullvadvpn-app</v>
          </cell>
          <cell r="D2523" t="str">
            <v>mullvad/mullvadvpn-app</v>
          </cell>
          <cell r="E2523">
            <v>17216</v>
          </cell>
          <cell r="F2523">
            <v>3926</v>
          </cell>
          <cell r="G2523">
            <v>71</v>
          </cell>
          <cell r="H2523">
            <v>103797</v>
          </cell>
          <cell r="I2523">
            <v>286</v>
          </cell>
          <cell r="J2523">
            <v>3693</v>
          </cell>
          <cell r="K2523">
            <v>259</v>
          </cell>
        </row>
        <row r="2524">
          <cell r="B2524" t="str">
            <v>Anki-Android</v>
          </cell>
          <cell r="C2524" t="str">
            <v>ankidroid/Anki-Android</v>
          </cell>
          <cell r="D2524" t="str">
            <v>ankidroid/Anki-Android</v>
          </cell>
          <cell r="E2524">
            <v>17531</v>
          </cell>
          <cell r="F2524">
            <v>7193</v>
          </cell>
          <cell r="G2524">
            <v>349</v>
          </cell>
          <cell r="H2524">
            <v>205532</v>
          </cell>
          <cell r="I2524">
            <v>1878</v>
          </cell>
          <cell r="J2524">
            <v>6127</v>
          </cell>
          <cell r="K2524">
            <v>372</v>
          </cell>
        </row>
        <row r="2525">
          <cell r="B2525" t="str">
            <v>apps-android-wikipedia</v>
          </cell>
          <cell r="C2525" t="str">
            <v>wikimedia/apps-android-wikipedia</v>
          </cell>
          <cell r="D2525" t="str">
            <v>wikimedia/apps-android-wikipedia</v>
          </cell>
          <cell r="E2525">
            <v>18879</v>
          </cell>
          <cell r="F2525">
            <v>4006</v>
          </cell>
          <cell r="G2525">
            <v>120</v>
          </cell>
          <cell r="H2525">
            <v>277576</v>
          </cell>
          <cell r="I2525">
            <v>554</v>
          </cell>
          <cell r="J2525">
            <v>1960</v>
          </cell>
          <cell r="K2525">
            <v>23</v>
          </cell>
        </row>
        <row r="2526">
          <cell r="B2526" t="str">
            <v>android</v>
          </cell>
          <cell r="C2526" t="str">
            <v>nextcloud/android</v>
          </cell>
          <cell r="D2526" t="str">
            <v>nextcloud/android</v>
          </cell>
          <cell r="E2526">
            <v>20520</v>
          </cell>
          <cell r="F2526">
            <v>5076</v>
          </cell>
          <cell r="G2526">
            <v>213</v>
          </cell>
          <cell r="H2526">
            <v>447203</v>
          </cell>
          <cell r="I2526">
            <v>1525</v>
          </cell>
          <cell r="J2526">
            <v>3312</v>
          </cell>
          <cell r="K2526">
            <v>1199</v>
          </cell>
        </row>
        <row r="2527">
          <cell r="B2527" t="str">
            <v>element-android</v>
          </cell>
          <cell r="C2527" t="str">
            <v>vector-im/element-android</v>
          </cell>
          <cell r="D2527" t="str">
            <v>element-hq/element-android</v>
          </cell>
          <cell r="E2527">
            <v>23109</v>
          </cell>
          <cell r="F2527">
            <v>3679</v>
          </cell>
          <cell r="G2527">
            <v>308</v>
          </cell>
          <cell r="H2527">
            <v>209124</v>
          </cell>
          <cell r="I2527">
            <v>602</v>
          </cell>
          <cell r="J2527">
            <v>2910</v>
          </cell>
          <cell r="K2527">
            <v>2021</v>
          </cell>
        </row>
        <row r="2528">
          <cell r="B2528" t="str">
            <v>ppsspp</v>
          </cell>
          <cell r="C2528" t="str">
            <v>hrydgard/ppsspp</v>
          </cell>
          <cell r="D2528" t="str">
            <v>hrydgard/ppsspp</v>
          </cell>
          <cell r="E2528">
            <v>36873</v>
          </cell>
          <cell r="F2528">
            <v>8949</v>
          </cell>
          <cell r="G2528">
            <v>343</v>
          </cell>
          <cell r="H2528">
            <v>282817</v>
          </cell>
          <cell r="I2528">
            <v>2001</v>
          </cell>
          <cell r="J2528">
            <v>8926</v>
          </cell>
          <cell r="K2528">
            <v>1067</v>
          </cell>
        </row>
        <row r="2529">
          <cell r="B2529" t="str">
            <v>godot</v>
          </cell>
          <cell r="C2529" t="str">
            <v>godotengine/godot</v>
          </cell>
          <cell r="D2529" t="str">
            <v>godotengine/godot</v>
          </cell>
          <cell r="E2529">
            <v>54581</v>
          </cell>
          <cell r="F2529">
            <v>33927</v>
          </cell>
          <cell r="G2529">
            <v>462</v>
          </cell>
          <cell r="H2529">
            <v>1317005</v>
          </cell>
          <cell r="I2529">
            <v>12445</v>
          </cell>
          <cell r="J2529">
            <v>62422</v>
          </cell>
          <cell r="K2529">
            <v>9709</v>
          </cell>
        </row>
        <row r="2530">
          <cell r="B2530" t="str">
            <v>xbmc</v>
          </cell>
          <cell r="C2530" t="str">
            <v>xbmc/xbmc</v>
          </cell>
          <cell r="D2530" t="str">
            <v>xbmc/xbmc</v>
          </cell>
          <cell r="E2530">
            <v>63193</v>
          </cell>
          <cell r="F2530">
            <v>19686</v>
          </cell>
          <cell r="G2530">
            <v>246</v>
          </cell>
          <cell r="H2530">
            <v>1596886</v>
          </cell>
          <cell r="I2530">
            <v>6173</v>
          </cell>
          <cell r="J2530">
            <v>15972</v>
          </cell>
          <cell r="K2530">
            <v>779</v>
          </cell>
        </row>
        <row r="2531">
          <cell r="B2531" t="str">
            <v>OsmAnd</v>
          </cell>
          <cell r="C2531" t="str">
            <v>osmandapp/OsmAnd</v>
          </cell>
          <cell r="D2531" t="str">
            <v>osmandapp/OsmAnd</v>
          </cell>
          <cell r="E2531">
            <v>84662</v>
          </cell>
          <cell r="F2531">
            <v>5957</v>
          </cell>
          <cell r="G2531">
            <v>248</v>
          </cell>
          <cell r="H2531">
            <v>790203</v>
          </cell>
          <cell r="I2531">
            <v>943</v>
          </cell>
          <cell r="J2531">
            <v>3755</v>
          </cell>
          <cell r="K2531">
            <v>2583</v>
          </cell>
        </row>
        <row r="2532">
          <cell r="B2532" t="str">
            <v>scummvm</v>
          </cell>
          <cell r="C2532" t="str">
            <v>scummvm/scummvm</v>
          </cell>
          <cell r="D2532" t="str">
            <v>scummvm/scummvm</v>
          </cell>
          <cell r="E2532">
            <v>142457</v>
          </cell>
          <cell r="F2532">
            <v>5048</v>
          </cell>
          <cell r="G2532">
            <v>250</v>
          </cell>
          <cell r="H2532">
            <v>1477319</v>
          </cell>
          <cell r="I2532">
            <v>903</v>
          </cell>
          <cell r="J2532">
            <v>2030</v>
          </cell>
          <cell r="K2532">
            <v>34</v>
          </cell>
        </row>
        <row r="2533">
          <cell r="B2533" t="str">
            <v>NekoX</v>
          </cell>
          <cell r="C2533" t="str">
            <v>NekoX-Dev/NekoX</v>
          </cell>
          <cell r="H2533">
            <v>1078173</v>
          </cell>
          <cell r="I2533">
            <v>309</v>
          </cell>
          <cell r="J2533">
            <v>3746</v>
          </cell>
          <cell r="K2533">
            <v>187</v>
          </cell>
        </row>
        <row r="2534">
          <cell r="B2534" t="str">
            <v>BlackHole</v>
          </cell>
          <cell r="C2534" t="str">
            <v>Sangwan5688/BlackHole</v>
          </cell>
          <cell r="H2534">
            <v>65469</v>
          </cell>
          <cell r="I2534">
            <v>775</v>
          </cell>
          <cell r="J2534">
            <v>5718</v>
          </cell>
          <cell r="K2534">
            <v>192</v>
          </cell>
        </row>
        <row r="2535">
          <cell r="B2535" t="str">
            <v>tripmobile</v>
          </cell>
          <cell r="C2535" t="str">
            <v>TripSit/tripmobile</v>
          </cell>
          <cell r="H2535">
            <v>42192</v>
          </cell>
          <cell r="I2535">
            <v>3</v>
          </cell>
          <cell r="J2535">
            <v>10</v>
          </cell>
          <cell r="K2535">
            <v>21</v>
          </cell>
        </row>
        <row r="2536">
          <cell r="B2536" t="str">
            <v>WallMe-Wallpaper</v>
          </cell>
          <cell r="C2536" t="str">
            <v>Alaory/WallMe-Wallpaper</v>
          </cell>
          <cell r="H2536">
            <v>41963</v>
          </cell>
          <cell r="I2536">
            <v>8</v>
          </cell>
          <cell r="J2536">
            <v>113</v>
          </cell>
          <cell r="K2536">
            <v>5</v>
          </cell>
        </row>
        <row r="2537">
          <cell r="B2537" t="str">
            <v>LTECleanerFOSS</v>
          </cell>
          <cell r="C2537" t="str">
            <v>TheRedSpy15/LTECleanerFOSS</v>
          </cell>
          <cell r="H2537">
            <v>49029</v>
          </cell>
          <cell r="I2537">
            <v>81</v>
          </cell>
          <cell r="J2537">
            <v>516</v>
          </cell>
          <cell r="K2537">
            <v>30</v>
          </cell>
        </row>
        <row r="2538">
          <cell r="B2538" t="str">
            <v>UniSHARE</v>
          </cell>
          <cell r="C2538" t="str">
            <v>kudoabhijeet/UniSHARE</v>
          </cell>
          <cell r="H2538">
            <v>264</v>
          </cell>
          <cell r="I2538">
            <v>2</v>
          </cell>
          <cell r="J2538">
            <v>9</v>
          </cell>
          <cell r="K2538">
            <v>0</v>
          </cell>
        </row>
        <row r="2539">
          <cell r="B2539" t="str">
            <v>sublite</v>
          </cell>
          <cell r="C2539" t="str">
            <v>M4trixtm/sublite</v>
          </cell>
          <cell r="H2539">
            <v>569</v>
          </cell>
          <cell r="I2539">
            <v>1</v>
          </cell>
          <cell r="J2539">
            <v>6</v>
          </cell>
          <cell r="K2539">
            <v>8</v>
          </cell>
        </row>
        <row r="2540">
          <cell r="B2540" t="str">
            <v>android.SlabLauncher</v>
          </cell>
          <cell r="C2540" t="str">
            <v>zaguragit/android.SlabLauncher</v>
          </cell>
          <cell r="H2540">
            <v>2200</v>
          </cell>
          <cell r="I2540">
            <v>2</v>
          </cell>
          <cell r="J2540">
            <v>24</v>
          </cell>
          <cell r="K2540">
            <v>3</v>
          </cell>
        </row>
        <row r="2541">
          <cell r="B2541" t="str">
            <v>ReadLax</v>
          </cell>
          <cell r="C2541" t="str">
            <v>Read-Lax/ReadLax</v>
          </cell>
          <cell r="H2541">
            <v>2468</v>
          </cell>
          <cell r="I2541">
            <v>0</v>
          </cell>
          <cell r="J2541">
            <v>3</v>
          </cell>
          <cell r="K2541">
            <v>3</v>
          </cell>
        </row>
        <row r="2542">
          <cell r="B2542" t="str">
            <v>kicpa-wordquiz</v>
          </cell>
          <cell r="C2542" t="str">
            <v>yoonseopshin/kicpa-wordquiz</v>
          </cell>
          <cell r="H2542">
            <v>106030</v>
          </cell>
          <cell r="I2542">
            <v>0</v>
          </cell>
          <cell r="J2542">
            <v>4</v>
          </cell>
          <cell r="K2542">
            <v>4</v>
          </cell>
        </row>
        <row r="2543">
          <cell r="B2543" t="str">
            <v>LayoutEditor</v>
          </cell>
          <cell r="C2543" t="str">
            <v>itsvks19/LayoutEditor</v>
          </cell>
          <cell r="H2543">
            <v>2720</v>
          </cell>
          <cell r="I2543">
            <v>13</v>
          </cell>
          <cell r="J2543">
            <v>65</v>
          </cell>
          <cell r="K2543">
            <v>6</v>
          </cell>
        </row>
        <row r="2544">
          <cell r="B2544" t="str">
            <v>cis-android</v>
          </cell>
          <cell r="C2544" t="str">
            <v>TinasheMzondiwa/cis-android</v>
          </cell>
          <cell r="H2544">
            <v>4358</v>
          </cell>
          <cell r="I2544">
            <v>14</v>
          </cell>
          <cell r="J2544">
            <v>33</v>
          </cell>
          <cell r="K2544">
            <v>3</v>
          </cell>
        </row>
        <row r="2545">
          <cell r="B2545" t="str">
            <v>Plasma-Donor-App</v>
          </cell>
          <cell r="C2545" t="str">
            <v>DSC-JSS-NOIDA/Plasma-Donor-App</v>
          </cell>
          <cell r="H2545">
            <v>5249</v>
          </cell>
          <cell r="I2545">
            <v>63</v>
          </cell>
          <cell r="J2545">
            <v>58</v>
          </cell>
          <cell r="K2545">
            <v>0</v>
          </cell>
        </row>
        <row r="2546">
          <cell r="B2546" t="str">
            <v>myPesa</v>
          </cell>
          <cell r="C2546" t="str">
            <v>williamluke4/myPesa</v>
          </cell>
          <cell r="H2546">
            <v>6631</v>
          </cell>
          <cell r="I2546">
            <v>1</v>
          </cell>
          <cell r="J2546">
            <v>1</v>
          </cell>
          <cell r="K2546">
            <v>16</v>
          </cell>
        </row>
        <row r="2547">
          <cell r="B2547" t="str">
            <v>android</v>
          </cell>
          <cell r="C2547" t="str">
            <v>Aperii/android</v>
          </cell>
          <cell r="H2547">
            <v>41359</v>
          </cell>
          <cell r="I2547">
            <v>1</v>
          </cell>
          <cell r="J2547">
            <v>9</v>
          </cell>
          <cell r="K2547">
            <v>0</v>
          </cell>
        </row>
        <row r="2548">
          <cell r="B2548" t="str">
            <v>Crazie</v>
          </cell>
          <cell r="C2548" t="str">
            <v>Rajeshkeshoju/Crazie</v>
          </cell>
          <cell r="H2548">
            <v>10651</v>
          </cell>
          <cell r="I2548">
            <v>0</v>
          </cell>
          <cell r="J2548">
            <v>2</v>
          </cell>
          <cell r="K2548">
            <v>0</v>
          </cell>
        </row>
        <row r="2549">
          <cell r="B2549" t="str">
            <v>Paisa</v>
          </cell>
          <cell r="C2549" t="str">
            <v>RetroMusicPlayer/Paisa</v>
          </cell>
          <cell r="H2549">
            <v>10919</v>
          </cell>
          <cell r="I2549">
            <v>42</v>
          </cell>
          <cell r="J2549">
            <v>307</v>
          </cell>
          <cell r="K2549">
            <v>39</v>
          </cell>
        </row>
        <row r="2550">
          <cell r="B2550" t="str">
            <v>vmConsole</v>
          </cell>
          <cell r="C2550" t="str">
            <v>sylirre/vmConsole</v>
          </cell>
          <cell r="H2550">
            <v>24679</v>
          </cell>
          <cell r="I2550">
            <v>22</v>
          </cell>
          <cell r="J2550">
            <v>127</v>
          </cell>
          <cell r="K2550">
            <v>0</v>
          </cell>
        </row>
        <row r="2551">
          <cell r="B2551" t="str">
            <v>drone-scanner</v>
          </cell>
          <cell r="C2551" t="str">
            <v>dronetag/drone-scanner</v>
          </cell>
          <cell r="H2551">
            <v>19260</v>
          </cell>
          <cell r="I2551">
            <v>8</v>
          </cell>
          <cell r="J2551">
            <v>35</v>
          </cell>
          <cell r="K2551">
            <v>1</v>
          </cell>
        </row>
        <row r="2552">
          <cell r="B2552" t="str">
            <v>flutsapp</v>
          </cell>
          <cell r="C2552" t="str">
            <v>Mastersam07/flutsapp</v>
          </cell>
          <cell r="H2552">
            <v>86</v>
          </cell>
          <cell r="I2552">
            <v>0</v>
          </cell>
          <cell r="J2552">
            <v>1</v>
          </cell>
          <cell r="K2552">
            <v>0</v>
          </cell>
        </row>
        <row r="2553">
          <cell r="B2553" t="str">
            <v>shachi</v>
          </cell>
          <cell r="C2553" t="str">
            <v>faldez/shachi</v>
          </cell>
          <cell r="H2553">
            <v>9061</v>
          </cell>
          <cell r="I2553">
            <v>0</v>
          </cell>
          <cell r="J2553">
            <v>19</v>
          </cell>
          <cell r="K2553">
            <v>8</v>
          </cell>
        </row>
        <row r="2554">
          <cell r="B2554" t="str">
            <v>android-2048-compose-material3</v>
          </cell>
          <cell r="C2554" t="str">
            <v>8cAyqpVKio/android-2048-compose-material3</v>
          </cell>
          <cell r="H2554">
            <v>2035</v>
          </cell>
          <cell r="I2554">
            <v>0</v>
          </cell>
          <cell r="J2554">
            <v>2</v>
          </cell>
          <cell r="K2554">
            <v>0</v>
          </cell>
        </row>
        <row r="2555">
          <cell r="B2555" t="str">
            <v>android-nfc-timestamp</v>
          </cell>
          <cell r="C2555" t="str">
            <v>thomasleplus/android-nfc-timestamp</v>
          </cell>
          <cell r="H2555">
            <v>356</v>
          </cell>
          <cell r="I2555">
            <v>4</v>
          </cell>
          <cell r="J2555">
            <v>5</v>
          </cell>
          <cell r="K2555">
            <v>0</v>
          </cell>
        </row>
        <row r="2556">
          <cell r="B2556" t="str">
            <v>Apollo-Music</v>
          </cell>
          <cell r="C2556" t="str">
            <v>nuclearfog/Apollo-Music</v>
          </cell>
          <cell r="H2556">
            <v>4175</v>
          </cell>
          <cell r="I2556">
            <v>1</v>
          </cell>
          <cell r="J2556">
            <v>26</v>
          </cell>
          <cell r="K2556">
            <v>3</v>
          </cell>
        </row>
        <row r="2557">
          <cell r="B2557" t="str">
            <v>flutter-learn</v>
          </cell>
          <cell r="C2557" t="str">
            <v>ska2519/flutter-learn</v>
          </cell>
          <cell r="H2557">
            <v>62948</v>
          </cell>
          <cell r="I2557">
            <v>0</v>
          </cell>
          <cell r="J2557">
            <v>5</v>
          </cell>
          <cell r="K2557">
            <v>8</v>
          </cell>
        </row>
        <row r="2558">
          <cell r="B2558" t="str">
            <v>My-Bank</v>
          </cell>
          <cell r="C2558" t="str">
            <v>sbmvirdi/My-Bank</v>
          </cell>
          <cell r="H2558">
            <v>32374</v>
          </cell>
          <cell r="I2558">
            <v>3</v>
          </cell>
          <cell r="J2558">
            <v>5</v>
          </cell>
          <cell r="K2558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07"/>
  <sheetViews>
    <sheetView tabSelected="1" workbookViewId="0">
      <selection activeCell="AD1" sqref="AD1"/>
    </sheetView>
  </sheetViews>
  <sheetFormatPr defaultRowHeight="15"/>
  <cols>
    <col min="1" max="1" width="48.85546875" bestFit="1" customWidth="1"/>
    <col min="2" max="2" width="8.85546875" bestFit="1" customWidth="1"/>
    <col min="3" max="3" width="22.7109375" bestFit="1" customWidth="1"/>
    <col min="4" max="4" width="13.42578125" bestFit="1" customWidth="1"/>
    <col min="5" max="5" width="58.140625" bestFit="1" customWidth="1"/>
    <col min="6" max="6" width="11.140625" bestFit="1" customWidth="1"/>
    <col min="7" max="7" width="51.85546875" bestFit="1" customWidth="1"/>
    <col min="8" max="8" width="33.28515625" bestFit="1" customWidth="1"/>
    <col min="9" max="9" width="23.5703125" bestFit="1" customWidth="1"/>
    <col min="10" max="25" width="7" bestFit="1" customWidth="1"/>
    <col min="26" max="26" width="8.85546875" bestFit="1" customWidth="1"/>
    <col min="27" max="27" width="10.28515625" bestFit="1" customWidth="1"/>
    <col min="28" max="28" width="11.5703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b">
        <v>1</v>
      </c>
      <c r="C2" t="b">
        <v>1</v>
      </c>
      <c r="D2" t="b">
        <v>1</v>
      </c>
      <c r="E2" t="s">
        <v>36</v>
      </c>
      <c r="F2" t="b">
        <v>0</v>
      </c>
      <c r="H2" t="s">
        <v>37</v>
      </c>
      <c r="I2" t="s">
        <v>37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>
        <v>1</v>
      </c>
      <c r="AA2">
        <v>3</v>
      </c>
      <c r="AB2">
        <v>0</v>
      </c>
      <c r="AC2">
        <f>VLOOKUP(A:A,[1]android_repos_all_metrics!B:K,4,FALSE)</f>
        <v>164</v>
      </c>
      <c r="AD2">
        <f>VLOOKUP(A:A,[1]android_repos_all_metrics!B:K,5,FALSE)</f>
        <v>3</v>
      </c>
      <c r="AE2">
        <f>VLOOKUP(A:A,[1]android_repos_all_metrics!B:K,6,FALSE)</f>
        <v>2</v>
      </c>
      <c r="AF2">
        <f>VLOOKUP(A:A,[1]android_repos_all_metrics!B:K,7,FALSE)</f>
        <v>5994</v>
      </c>
      <c r="AG2">
        <f>VLOOKUP(A:A,[1]android_repos_all_metrics!B:K,8,FALSE)</f>
        <v>67</v>
      </c>
      <c r="AH2">
        <f>VLOOKUP(A:A,[1]android_repos_all_metrics!B:K,9,FALSE)</f>
        <v>190</v>
      </c>
      <c r="AI2">
        <f>VLOOKUP(A:A,[1]android_repos_all_metrics!B:K,10,FALSE)</f>
        <v>2</v>
      </c>
    </row>
    <row r="3" spans="1:35">
      <c r="A3" t="s">
        <v>38</v>
      </c>
      <c r="B3" t="b">
        <v>1</v>
      </c>
      <c r="C3" t="b">
        <v>1</v>
      </c>
      <c r="D3" t="b">
        <v>0</v>
      </c>
      <c r="F3" t="b">
        <v>1</v>
      </c>
      <c r="G3" t="s">
        <v>39</v>
      </c>
      <c r="H3" t="s">
        <v>40</v>
      </c>
      <c r="I3" t="s">
        <v>41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>
        <v>2</v>
      </c>
      <c r="AB3">
        <v>0</v>
      </c>
      <c r="AC3">
        <f>VLOOKUP(A:A,[1]android_repos_all_metrics!B:K,4,FALSE)</f>
        <v>322</v>
      </c>
      <c r="AD3">
        <f>VLOOKUP(A:A,[1]android_repos_all_metrics!B:K,5,FALSE)</f>
        <v>173</v>
      </c>
      <c r="AE3">
        <f>VLOOKUP(A:A,[1]android_repos_all_metrics!B:K,6,FALSE)</f>
        <v>3</v>
      </c>
      <c r="AF3">
        <f>VLOOKUP(A:A,[1]android_repos_all_metrics!B:K,7,FALSE)</f>
        <v>17261</v>
      </c>
      <c r="AG3">
        <f>VLOOKUP(A:A,[1]android_repos_all_metrics!B:K,8,FALSE)</f>
        <v>7</v>
      </c>
      <c r="AH3">
        <f>VLOOKUP(A:A,[1]android_repos_all_metrics!B:K,9,FALSE)</f>
        <v>26</v>
      </c>
      <c r="AI3">
        <f>VLOOKUP(A:A,[1]android_repos_all_metrics!B:K,10,FALSE)</f>
        <v>24</v>
      </c>
    </row>
    <row r="4" spans="1:35">
      <c r="A4" t="s">
        <v>42</v>
      </c>
      <c r="B4" t="b">
        <v>1</v>
      </c>
      <c r="C4" t="b">
        <v>0</v>
      </c>
      <c r="D4" t="b">
        <v>0</v>
      </c>
      <c r="F4" t="b">
        <v>0</v>
      </c>
      <c r="H4" t="s">
        <v>43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>
        <v>1</v>
      </c>
      <c r="AB4">
        <v>0</v>
      </c>
      <c r="AC4">
        <f>VLOOKUP(A:A,[1]android_repos_all_metrics!B:K,4,FALSE)</f>
        <v>103</v>
      </c>
      <c r="AD4">
        <f>VLOOKUP(A:A,[1]android_repos_all_metrics!B:K,5,FALSE)</f>
        <v>10</v>
      </c>
      <c r="AE4">
        <f>VLOOKUP(A:A,[1]android_repos_all_metrics!B:K,6,FALSE)</f>
        <v>4</v>
      </c>
      <c r="AF4">
        <f>VLOOKUP(A:A,[1]android_repos_all_metrics!B:K,7,FALSE)</f>
        <v>7939</v>
      </c>
      <c r="AG4">
        <f>VLOOKUP(A:A,[1]android_repos_all_metrics!B:K,8,FALSE)</f>
        <v>4</v>
      </c>
      <c r="AH4">
        <f>VLOOKUP(A:A,[1]android_repos_all_metrics!B:K,9,FALSE)</f>
        <v>8</v>
      </c>
      <c r="AI4">
        <f>VLOOKUP(A:A,[1]android_repos_all_metrics!B:K,10,FALSE)</f>
        <v>5</v>
      </c>
    </row>
    <row r="5" spans="1:35">
      <c r="A5" t="s">
        <v>44</v>
      </c>
      <c r="B5" t="b">
        <v>1</v>
      </c>
      <c r="C5" t="b">
        <v>0</v>
      </c>
      <c r="D5" t="b">
        <v>0</v>
      </c>
      <c r="F5" t="b">
        <v>0</v>
      </c>
      <c r="H5" t="s">
        <v>37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>
        <v>1</v>
      </c>
      <c r="AB5">
        <v>0</v>
      </c>
      <c r="AC5">
        <f>VLOOKUP(A:A,[1]android_repos_all_metrics!B:K,4,FALSE)</f>
        <v>775</v>
      </c>
      <c r="AD5">
        <f>VLOOKUP(A:A,[1]android_repos_all_metrics!B:K,5,FALSE)</f>
        <v>73</v>
      </c>
      <c r="AE5">
        <f>VLOOKUP(A:A,[1]android_repos_all_metrics!B:K,6,FALSE)</f>
        <v>4</v>
      </c>
      <c r="AF5">
        <f>VLOOKUP(A:A,[1]android_repos_all_metrics!B:K,7,FALSE)</f>
        <v>27954</v>
      </c>
      <c r="AG5">
        <f>VLOOKUP(A:A,[1]android_repos_all_metrics!B:K,8,FALSE)</f>
        <v>4</v>
      </c>
      <c r="AH5">
        <f>VLOOKUP(A:A,[1]android_repos_all_metrics!B:K,9,FALSE)</f>
        <v>11</v>
      </c>
      <c r="AI5">
        <f>VLOOKUP(A:A,[1]android_repos_all_metrics!B:K,10,FALSE)</f>
        <v>5</v>
      </c>
    </row>
    <row r="6" spans="1:35">
      <c r="A6" t="s">
        <v>45</v>
      </c>
      <c r="B6" t="b">
        <v>0</v>
      </c>
      <c r="C6" t="b">
        <v>0</v>
      </c>
      <c r="D6" t="b">
        <v>0</v>
      </c>
      <c r="F6" t="b">
        <v>0</v>
      </c>
      <c r="H6" t="s">
        <v>41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>
        <v>1</v>
      </c>
      <c r="AB6">
        <v>0</v>
      </c>
      <c r="AC6">
        <f>VLOOKUP(A:A,[1]android_repos_all_metrics!B:K,4,FALSE)</f>
        <v>92</v>
      </c>
      <c r="AD6">
        <f>VLOOKUP(A:A,[1]android_repos_all_metrics!B:K,5,FALSE)</f>
        <v>43</v>
      </c>
      <c r="AE6">
        <f>VLOOKUP(A:A,[1]android_repos_all_metrics!B:K,6,FALSE)</f>
        <v>20</v>
      </c>
      <c r="AF6">
        <f>VLOOKUP(A:A,[1]android_repos_all_metrics!B:K,7,FALSE)</f>
        <v>8156</v>
      </c>
      <c r="AG6">
        <f>VLOOKUP(A:A,[1]android_repos_all_metrics!B:K,8,FALSE)</f>
        <v>803</v>
      </c>
      <c r="AH6">
        <f>VLOOKUP(A:A,[1]android_repos_all_metrics!B:K,9,FALSE)</f>
        <v>1014</v>
      </c>
      <c r="AI6">
        <f>VLOOKUP(A:A,[1]android_repos_all_metrics!B:K,10,FALSE)</f>
        <v>24</v>
      </c>
    </row>
    <row r="7" spans="1:35">
      <c r="A7" t="s">
        <v>46</v>
      </c>
      <c r="B7" t="b">
        <v>1</v>
      </c>
      <c r="C7" t="b">
        <v>0</v>
      </c>
      <c r="D7" t="b">
        <v>0</v>
      </c>
      <c r="F7" t="b">
        <v>0</v>
      </c>
      <c r="H7" t="s">
        <v>43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>
        <v>1</v>
      </c>
      <c r="AB7">
        <v>0</v>
      </c>
      <c r="AC7">
        <f>VLOOKUP(A:A,[1]android_repos_all_metrics!B:K,4,FALSE)</f>
        <v>446</v>
      </c>
      <c r="AD7">
        <f>VLOOKUP(A:A,[1]android_repos_all_metrics!B:K,5,FALSE)</f>
        <v>7</v>
      </c>
      <c r="AE7">
        <f>VLOOKUP(A:A,[1]android_repos_all_metrics!B:K,6,FALSE)</f>
        <v>1</v>
      </c>
      <c r="AF7">
        <f>VLOOKUP(A:A,[1]android_repos_all_metrics!B:K,7,FALSE)</f>
        <v>614147</v>
      </c>
      <c r="AG7">
        <f>VLOOKUP(A:A,[1]android_repos_all_metrics!B:K,8,FALSE)</f>
        <v>4</v>
      </c>
      <c r="AH7">
        <f>VLOOKUP(A:A,[1]android_repos_all_metrics!B:K,9,FALSE)</f>
        <v>8</v>
      </c>
      <c r="AI7">
        <f>VLOOKUP(A:A,[1]android_repos_all_metrics!B:K,10,FALSE)</f>
        <v>13</v>
      </c>
    </row>
    <row r="8" spans="1:35">
      <c r="A8" t="s">
        <v>47</v>
      </c>
      <c r="B8" t="b">
        <v>1</v>
      </c>
      <c r="C8" t="b">
        <v>0</v>
      </c>
      <c r="D8" t="b">
        <v>0</v>
      </c>
      <c r="F8" t="b">
        <v>0</v>
      </c>
      <c r="H8" t="s">
        <v>37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>
        <v>2</v>
      </c>
      <c r="AB8">
        <v>0</v>
      </c>
      <c r="AC8">
        <f>VLOOKUP(A:A,[1]android_repos_all_metrics!B:K,4,FALSE)</f>
        <v>2313</v>
      </c>
      <c r="AD8">
        <f>VLOOKUP(A:A,[1]android_repos_all_metrics!B:K,5,FALSE)</f>
        <v>84</v>
      </c>
      <c r="AE8">
        <f>VLOOKUP(A:A,[1]android_repos_all_metrics!B:K,6,FALSE)</f>
        <v>8</v>
      </c>
      <c r="AF8">
        <f>VLOOKUP(A:A,[1]android_repos_all_metrics!B:K,7,FALSE)</f>
        <v>158402</v>
      </c>
      <c r="AG8">
        <f>VLOOKUP(A:A,[1]android_repos_all_metrics!B:K,8,FALSE)</f>
        <v>15</v>
      </c>
      <c r="AH8">
        <f>VLOOKUP(A:A,[1]android_repos_all_metrics!B:K,9,FALSE)</f>
        <v>66</v>
      </c>
      <c r="AI8">
        <f>VLOOKUP(A:A,[1]android_repos_all_metrics!B:K,10,FALSE)</f>
        <v>11</v>
      </c>
    </row>
    <row r="9" spans="1:35">
      <c r="A9" t="s">
        <v>48</v>
      </c>
      <c r="B9" t="b">
        <v>1</v>
      </c>
      <c r="C9" t="b">
        <v>0</v>
      </c>
      <c r="D9" t="b">
        <v>0</v>
      </c>
      <c r="F9" t="b">
        <v>0</v>
      </c>
      <c r="H9" t="s">
        <v>37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>
        <v>1</v>
      </c>
      <c r="AB9">
        <v>0</v>
      </c>
      <c r="AC9">
        <f>VLOOKUP(A:A,[1]android_repos_all_metrics!B:K,4,FALSE)</f>
        <v>148</v>
      </c>
      <c r="AD9">
        <f>VLOOKUP(A:A,[1]android_repos_all_metrics!B:K,5,FALSE)</f>
        <v>1</v>
      </c>
      <c r="AE9">
        <f>VLOOKUP(A:A,[1]android_repos_all_metrics!B:K,6,FALSE)</f>
        <v>1</v>
      </c>
      <c r="AF9">
        <f>VLOOKUP(A:A,[1]android_repos_all_metrics!B:K,7,FALSE)</f>
        <v>1078236</v>
      </c>
      <c r="AG9">
        <f>VLOOKUP(A:A,[1]android_repos_all_metrics!B:K,8,FALSE)</f>
        <v>2</v>
      </c>
      <c r="AH9">
        <f>VLOOKUP(A:A,[1]android_repos_all_metrics!B:K,9,FALSE)</f>
        <v>1</v>
      </c>
      <c r="AI9">
        <f>VLOOKUP(A:A,[1]android_repos_all_metrics!B:K,10,FALSE)</f>
        <v>0</v>
      </c>
    </row>
    <row r="10" spans="1:35">
      <c r="A10" t="s">
        <v>49</v>
      </c>
      <c r="B10" t="b">
        <v>0</v>
      </c>
      <c r="C10" t="b">
        <v>0</v>
      </c>
      <c r="D10" t="b">
        <v>0</v>
      </c>
      <c r="F10" t="b">
        <v>0</v>
      </c>
      <c r="H10" t="s">
        <v>41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>
        <v>1</v>
      </c>
      <c r="AB10">
        <v>0</v>
      </c>
      <c r="AC10">
        <f>VLOOKUP(A:A,[1]android_repos_all_metrics!B:K,4,FALSE)</f>
        <v>43</v>
      </c>
      <c r="AD10">
        <f>VLOOKUP(A:A,[1]android_repos_all_metrics!B:K,5,FALSE)</f>
        <v>3</v>
      </c>
      <c r="AE10">
        <f>VLOOKUP(A:A,[1]android_repos_all_metrics!B:K,6,FALSE)</f>
        <v>1</v>
      </c>
      <c r="AF10">
        <f>VLOOKUP(A:A,[1]android_repos_all_metrics!B:K,7,FALSE)</f>
        <v>1037</v>
      </c>
      <c r="AG10">
        <f>VLOOKUP(A:A,[1]android_repos_all_metrics!B:K,8,FALSE)</f>
        <v>3</v>
      </c>
      <c r="AH10">
        <f>VLOOKUP(A:A,[1]android_repos_all_metrics!B:K,9,FALSE)</f>
        <v>13</v>
      </c>
      <c r="AI10">
        <f>VLOOKUP(A:A,[1]android_repos_all_metrics!B:K,10,FALSE)</f>
        <v>0</v>
      </c>
    </row>
    <row r="11" spans="1:35">
      <c r="A11" t="s">
        <v>50</v>
      </c>
      <c r="B11" t="b">
        <v>0</v>
      </c>
      <c r="C11" t="b">
        <v>0</v>
      </c>
      <c r="D11" t="b">
        <v>0</v>
      </c>
      <c r="F11" t="b">
        <v>0</v>
      </c>
      <c r="H11" t="s">
        <v>41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>
        <v>1</v>
      </c>
      <c r="AB11">
        <v>0</v>
      </c>
      <c r="AC11">
        <f>VLOOKUP(A:A,[1]android_repos_all_metrics!B:K,4,FALSE)</f>
        <v>138</v>
      </c>
      <c r="AD11">
        <f>VLOOKUP(A:A,[1]android_repos_all_metrics!B:K,5,FALSE)</f>
        <v>13</v>
      </c>
      <c r="AE11">
        <f>VLOOKUP(A:A,[1]android_repos_all_metrics!B:K,6,FALSE)</f>
        <v>3</v>
      </c>
      <c r="AF11">
        <f>VLOOKUP(A:A,[1]android_repos_all_metrics!B:K,7,FALSE)</f>
        <v>46571</v>
      </c>
      <c r="AG11">
        <f>VLOOKUP(A:A,[1]android_repos_all_metrics!B:K,8,FALSE)</f>
        <v>2</v>
      </c>
      <c r="AH11">
        <f>VLOOKUP(A:A,[1]android_repos_all_metrics!B:K,9,FALSE)</f>
        <v>1</v>
      </c>
      <c r="AI11">
        <f>VLOOKUP(A:A,[1]android_repos_all_metrics!B:K,10,FALSE)</f>
        <v>38</v>
      </c>
    </row>
    <row r="12" spans="1:35">
      <c r="A12" t="s">
        <v>51</v>
      </c>
      <c r="B12" t="b">
        <v>1</v>
      </c>
      <c r="C12" t="b">
        <v>0</v>
      </c>
      <c r="D12" t="b">
        <v>0</v>
      </c>
      <c r="F12" t="b">
        <v>0</v>
      </c>
      <c r="H12" t="s">
        <v>37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>
        <v>1</v>
      </c>
      <c r="AB12">
        <v>0</v>
      </c>
      <c r="AC12">
        <f>VLOOKUP(A:A,[1]android_repos_all_metrics!B:K,4,FALSE)</f>
        <v>111</v>
      </c>
      <c r="AD12">
        <f>VLOOKUP(A:A,[1]android_repos_all_metrics!B:K,5,FALSE)</f>
        <v>15</v>
      </c>
      <c r="AE12">
        <f>VLOOKUP(A:A,[1]android_repos_all_metrics!B:K,6,FALSE)</f>
        <v>6</v>
      </c>
      <c r="AF12">
        <f>VLOOKUP(A:A,[1]android_repos_all_metrics!B:K,7,FALSE)</f>
        <v>3613</v>
      </c>
      <c r="AG12">
        <f>VLOOKUP(A:A,[1]android_repos_all_metrics!B:K,8,FALSE)</f>
        <v>3</v>
      </c>
      <c r="AH12">
        <f>VLOOKUP(A:A,[1]android_repos_all_metrics!B:K,9,FALSE)</f>
        <v>49</v>
      </c>
      <c r="AI12">
        <f>VLOOKUP(A:A,[1]android_repos_all_metrics!B:K,10,FALSE)</f>
        <v>1</v>
      </c>
    </row>
    <row r="13" spans="1:35">
      <c r="A13" t="s">
        <v>52</v>
      </c>
      <c r="B13" t="b">
        <v>1</v>
      </c>
      <c r="C13" t="b">
        <v>0</v>
      </c>
      <c r="D13" t="b">
        <v>0</v>
      </c>
      <c r="F13" t="b">
        <v>0</v>
      </c>
      <c r="H13" t="s">
        <v>37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>
        <v>9</v>
      </c>
      <c r="AB13">
        <v>0</v>
      </c>
      <c r="AC13">
        <f>VLOOKUP(A:A,[1]android_repos_all_metrics!B:K,4,FALSE)</f>
        <v>3023</v>
      </c>
      <c r="AD13">
        <f>VLOOKUP(A:A,[1]android_repos_all_metrics!B:K,5,FALSE)</f>
        <v>183</v>
      </c>
      <c r="AE13">
        <f>VLOOKUP(A:A,[1]android_repos_all_metrics!B:K,6,FALSE)</f>
        <v>4</v>
      </c>
      <c r="AF13">
        <f>VLOOKUP(A:A,[1]android_repos_all_metrics!B:K,7,FALSE)</f>
        <v>46007</v>
      </c>
      <c r="AG13">
        <f>VLOOKUP(A:A,[1]android_repos_all_metrics!B:K,8,FALSE)</f>
        <v>5</v>
      </c>
      <c r="AH13">
        <f>VLOOKUP(A:A,[1]android_repos_all_metrics!B:K,9,FALSE)</f>
        <v>134</v>
      </c>
      <c r="AI13">
        <f>VLOOKUP(A:A,[1]android_repos_all_metrics!B:K,10,FALSE)</f>
        <v>9</v>
      </c>
    </row>
    <row r="14" spans="1:35">
      <c r="A14" t="s">
        <v>53</v>
      </c>
      <c r="B14" t="b">
        <v>0</v>
      </c>
      <c r="C14" t="b">
        <v>0</v>
      </c>
      <c r="D14" t="b">
        <v>0</v>
      </c>
      <c r="F14" t="b">
        <v>0</v>
      </c>
      <c r="H14" t="s">
        <v>37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>
        <v>1</v>
      </c>
      <c r="AB14">
        <v>0</v>
      </c>
      <c r="AC14">
        <f>VLOOKUP(A:A,[1]android_repos_all_metrics!B:K,4,FALSE)</f>
        <v>32</v>
      </c>
      <c r="AD14">
        <f>VLOOKUP(A:A,[1]android_repos_all_metrics!B:K,5,FALSE)</f>
        <v>0</v>
      </c>
      <c r="AE14">
        <f>VLOOKUP(A:A,[1]android_repos_all_metrics!B:K,6,FALSE)</f>
        <v>1</v>
      </c>
      <c r="AF14">
        <f>VLOOKUP(A:A,[1]android_repos_all_metrics!B:K,7,FALSE)</f>
        <v>102</v>
      </c>
      <c r="AG14">
        <f>VLOOKUP(A:A,[1]android_repos_all_metrics!B:K,8,FALSE)</f>
        <v>0</v>
      </c>
      <c r="AH14">
        <f>VLOOKUP(A:A,[1]android_repos_all_metrics!B:K,9,FALSE)</f>
        <v>1</v>
      </c>
      <c r="AI14">
        <f>VLOOKUP(A:A,[1]android_repos_all_metrics!B:K,10,FALSE)</f>
        <v>0</v>
      </c>
    </row>
    <row r="15" spans="1:35">
      <c r="A15" t="s">
        <v>54</v>
      </c>
      <c r="B15" t="b">
        <v>1</v>
      </c>
      <c r="C15" t="b">
        <v>0</v>
      </c>
      <c r="D15" t="b">
        <v>0</v>
      </c>
      <c r="F15" t="b">
        <v>0</v>
      </c>
      <c r="H15" t="s">
        <v>37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>
        <v>1</v>
      </c>
      <c r="AB15">
        <v>0</v>
      </c>
      <c r="AC15">
        <f>VLOOKUP(A:A,[1]android_repos_all_metrics!B:K,4,FALSE)</f>
        <v>1333</v>
      </c>
      <c r="AD15">
        <f>VLOOKUP(A:A,[1]android_repos_all_metrics!B:K,5,FALSE)</f>
        <v>45</v>
      </c>
      <c r="AE15">
        <f>VLOOKUP(A:A,[1]android_repos_all_metrics!B:K,6,FALSE)</f>
        <v>15</v>
      </c>
      <c r="AF15">
        <f>VLOOKUP(A:A,[1]android_repos_all_metrics!B:K,7,FALSE)</f>
        <v>15280</v>
      </c>
      <c r="AG15">
        <f>VLOOKUP(A:A,[1]android_repos_all_metrics!B:K,8,FALSE)</f>
        <v>39</v>
      </c>
      <c r="AH15">
        <f>VLOOKUP(A:A,[1]android_repos_all_metrics!B:K,9,FALSE)</f>
        <v>144</v>
      </c>
      <c r="AI15">
        <f>VLOOKUP(A:A,[1]android_repos_all_metrics!B:K,10,FALSE)</f>
        <v>21</v>
      </c>
    </row>
    <row r="16" spans="1:35">
      <c r="A16" t="s">
        <v>55</v>
      </c>
      <c r="B16" t="b">
        <v>1</v>
      </c>
      <c r="C16" t="b">
        <v>1</v>
      </c>
      <c r="D16" t="b">
        <v>0</v>
      </c>
      <c r="F16" t="b">
        <v>1</v>
      </c>
      <c r="G16" t="s">
        <v>39</v>
      </c>
      <c r="H16" t="s">
        <v>41</v>
      </c>
      <c r="I16" t="s">
        <v>41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>
        <v>1</v>
      </c>
      <c r="AB16">
        <v>0</v>
      </c>
      <c r="AC16">
        <f>VLOOKUP(A:A,[1]android_repos_all_metrics!B:K,4,FALSE)</f>
        <v>295</v>
      </c>
      <c r="AD16">
        <f>VLOOKUP(A:A,[1]android_repos_all_metrics!B:K,5,FALSE)</f>
        <v>40</v>
      </c>
      <c r="AE16">
        <f>VLOOKUP(A:A,[1]android_repos_all_metrics!B:K,6,FALSE)</f>
        <v>7</v>
      </c>
      <c r="AF16">
        <f>VLOOKUP(A:A,[1]android_repos_all_metrics!B:K,7,FALSE)</f>
        <v>11346</v>
      </c>
      <c r="AG16">
        <f>VLOOKUP(A:A,[1]android_repos_all_metrics!B:K,8,FALSE)</f>
        <v>61</v>
      </c>
      <c r="AH16">
        <f>VLOOKUP(A:A,[1]android_repos_all_metrics!B:K,9,FALSE)</f>
        <v>155</v>
      </c>
      <c r="AI16">
        <f>VLOOKUP(A:A,[1]android_repos_all_metrics!B:K,10,FALSE)</f>
        <v>42</v>
      </c>
    </row>
    <row r="17" spans="1:35">
      <c r="A17" t="s">
        <v>56</v>
      </c>
      <c r="B17" t="b">
        <v>1</v>
      </c>
      <c r="C17" t="b">
        <v>0</v>
      </c>
      <c r="D17" t="b">
        <v>0</v>
      </c>
      <c r="F17" t="b">
        <v>0</v>
      </c>
      <c r="H17" t="s">
        <v>37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>
        <v>2</v>
      </c>
      <c r="AB17">
        <v>0</v>
      </c>
      <c r="AC17">
        <f>VLOOKUP(A:A,[1]android_repos_all_metrics!B:K,4,FALSE)</f>
        <v>135</v>
      </c>
      <c r="AD17">
        <f>VLOOKUP(A:A,[1]android_repos_all_metrics!B:K,5,FALSE)</f>
        <v>5</v>
      </c>
      <c r="AE17">
        <f>VLOOKUP(A:A,[1]android_repos_all_metrics!B:K,6,FALSE)</f>
        <v>4</v>
      </c>
      <c r="AF17">
        <f>VLOOKUP(A:A,[1]android_repos_all_metrics!B:K,7,FALSE)</f>
        <v>22901</v>
      </c>
      <c r="AG17">
        <f>VLOOKUP(A:A,[1]android_repos_all_metrics!B:K,8,FALSE)</f>
        <v>8</v>
      </c>
      <c r="AH17">
        <f>VLOOKUP(A:A,[1]android_repos_all_metrics!B:K,9,FALSE)</f>
        <v>27</v>
      </c>
      <c r="AI17">
        <f>VLOOKUP(A:A,[1]android_repos_all_metrics!B:K,10,FALSE)</f>
        <v>0</v>
      </c>
    </row>
    <row r="18" spans="1:35">
      <c r="A18" t="s">
        <v>57</v>
      </c>
      <c r="B18" t="b">
        <v>1</v>
      </c>
      <c r="C18" t="b">
        <v>0</v>
      </c>
      <c r="D18" t="b">
        <v>0</v>
      </c>
      <c r="F18" t="b">
        <v>0</v>
      </c>
      <c r="H18" t="s">
        <v>37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>
        <v>3</v>
      </c>
      <c r="AB18">
        <v>0</v>
      </c>
      <c r="AC18">
        <f>VLOOKUP(A:A,[1]android_repos_all_metrics!B:K,4,FALSE)</f>
        <v>630</v>
      </c>
      <c r="AD18">
        <f>VLOOKUP(A:A,[1]android_repos_all_metrics!B:K,5,FALSE)</f>
        <v>190</v>
      </c>
      <c r="AE18">
        <f>VLOOKUP(A:A,[1]android_repos_all_metrics!B:K,6,FALSE)</f>
        <v>70</v>
      </c>
      <c r="AF18">
        <f>VLOOKUP(A:A,[1]android_repos_all_metrics!B:K,7,FALSE)</f>
        <v>1040</v>
      </c>
      <c r="AG18">
        <f>VLOOKUP(A:A,[1]android_repos_all_metrics!B:K,8,FALSE)</f>
        <v>8</v>
      </c>
      <c r="AH18">
        <f>VLOOKUP(A:A,[1]android_repos_all_metrics!B:K,9,FALSE)</f>
        <v>258</v>
      </c>
      <c r="AI18">
        <f>VLOOKUP(A:A,[1]android_repos_all_metrics!B:K,10,FALSE)</f>
        <v>23</v>
      </c>
    </row>
    <row r="19" spans="1:35">
      <c r="A19" t="s">
        <v>58</v>
      </c>
      <c r="B19" t="b">
        <v>1</v>
      </c>
      <c r="C19" t="b">
        <v>1</v>
      </c>
      <c r="D19" t="b">
        <v>0</v>
      </c>
      <c r="F19" t="b">
        <v>1</v>
      </c>
      <c r="G19" t="s">
        <v>39</v>
      </c>
      <c r="H19" t="s">
        <v>41</v>
      </c>
      <c r="I19" t="s">
        <v>41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>
        <v>1</v>
      </c>
      <c r="AB19">
        <v>0</v>
      </c>
      <c r="AC19">
        <f>VLOOKUP(A:A,[1]android_repos_all_metrics!B:K,4,FALSE)</f>
        <v>1114</v>
      </c>
      <c r="AD19">
        <f>VLOOKUP(A:A,[1]android_repos_all_metrics!B:K,5,FALSE)</f>
        <v>31</v>
      </c>
      <c r="AE19">
        <f>VLOOKUP(A:A,[1]android_repos_all_metrics!B:K,6,FALSE)</f>
        <v>7</v>
      </c>
      <c r="AF19">
        <f>VLOOKUP(A:A,[1]android_repos_all_metrics!B:K,7,FALSE)</f>
        <v>15745</v>
      </c>
      <c r="AG19">
        <f>VLOOKUP(A:A,[1]android_repos_all_metrics!B:K,8,FALSE)</f>
        <v>230</v>
      </c>
      <c r="AH19">
        <f>VLOOKUP(A:A,[1]android_repos_all_metrics!B:K,9,FALSE)</f>
        <v>739</v>
      </c>
      <c r="AI19">
        <f>VLOOKUP(A:A,[1]android_repos_all_metrics!B:K,10,FALSE)</f>
        <v>41</v>
      </c>
    </row>
    <row r="20" spans="1:35">
      <c r="A20" t="s">
        <v>59</v>
      </c>
      <c r="B20" t="b">
        <v>0</v>
      </c>
      <c r="C20" t="b">
        <v>0</v>
      </c>
      <c r="D20" t="b">
        <v>0</v>
      </c>
      <c r="F20" t="b">
        <v>0</v>
      </c>
      <c r="H20" t="s">
        <v>41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>
        <v>1</v>
      </c>
      <c r="AB20">
        <v>0</v>
      </c>
      <c r="AC20">
        <f>VLOOKUP(A:A,[1]android_repos_all_metrics!B:K,4,FALSE)</f>
        <v>4873</v>
      </c>
      <c r="AD20">
        <f>VLOOKUP(A:A,[1]android_repos_all_metrics!B:K,5,FALSE)</f>
        <v>567</v>
      </c>
      <c r="AE20">
        <f>VLOOKUP(A:A,[1]android_repos_all_metrics!B:K,6,FALSE)</f>
        <v>19</v>
      </c>
      <c r="AF20">
        <f>VLOOKUP(A:A,[1]android_repos_all_metrics!B:K,7,FALSE)</f>
        <v>71072</v>
      </c>
      <c r="AG20">
        <f>VLOOKUP(A:A,[1]android_repos_all_metrics!B:K,8,FALSE)</f>
        <v>13</v>
      </c>
      <c r="AH20">
        <f>VLOOKUP(A:A,[1]android_repos_all_metrics!B:K,9,FALSE)</f>
        <v>1</v>
      </c>
      <c r="AI20">
        <f>VLOOKUP(A:A,[1]android_repos_all_metrics!B:K,10,FALSE)</f>
        <v>0</v>
      </c>
    </row>
    <row r="21" spans="1:35">
      <c r="A21" t="s">
        <v>60</v>
      </c>
      <c r="B21" t="b">
        <v>1</v>
      </c>
      <c r="C21" t="b">
        <v>0</v>
      </c>
      <c r="D21" t="b">
        <v>0</v>
      </c>
      <c r="F21" t="b">
        <v>0</v>
      </c>
      <c r="H21" t="s">
        <v>37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>
        <v>3</v>
      </c>
      <c r="AB21">
        <v>0</v>
      </c>
      <c r="AC21">
        <f>VLOOKUP(A:A,[1]android_repos_all_metrics!B:K,4,FALSE)</f>
        <v>1028</v>
      </c>
      <c r="AD21">
        <f>VLOOKUP(A:A,[1]android_repos_all_metrics!B:K,5,FALSE)</f>
        <v>234</v>
      </c>
      <c r="AE21">
        <f>VLOOKUP(A:A,[1]android_repos_all_metrics!B:K,6,FALSE)</f>
        <v>23</v>
      </c>
      <c r="AF21">
        <f>VLOOKUP(A:A,[1]android_repos_all_metrics!B:K,7,FALSE)</f>
        <v>29774</v>
      </c>
      <c r="AG21">
        <f>VLOOKUP(A:A,[1]android_repos_all_metrics!B:K,8,FALSE)</f>
        <v>23</v>
      </c>
      <c r="AH21">
        <f>VLOOKUP(A:A,[1]android_repos_all_metrics!B:K,9,FALSE)</f>
        <v>25</v>
      </c>
      <c r="AI21">
        <f>VLOOKUP(A:A,[1]android_repos_all_metrics!B:K,10,FALSE)</f>
        <v>80</v>
      </c>
    </row>
    <row r="22" spans="1:35">
      <c r="A22" t="s">
        <v>61</v>
      </c>
      <c r="B22" t="b">
        <v>1</v>
      </c>
      <c r="C22" t="b">
        <v>0</v>
      </c>
      <c r="D22" t="b">
        <v>0</v>
      </c>
      <c r="F22" t="b">
        <v>0</v>
      </c>
      <c r="H22" t="s">
        <v>37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>
        <v>1</v>
      </c>
      <c r="AB22">
        <v>0</v>
      </c>
      <c r="AC22">
        <f>VLOOKUP(A:A,[1]android_repos_all_metrics!B:K,4,FALSE)</f>
        <v>137</v>
      </c>
      <c r="AD22">
        <f>VLOOKUP(A:A,[1]android_repos_all_metrics!B:K,5,FALSE)</f>
        <v>57</v>
      </c>
      <c r="AE22">
        <f>VLOOKUP(A:A,[1]android_repos_all_metrics!B:K,6,FALSE)</f>
        <v>11</v>
      </c>
      <c r="AF22">
        <f>VLOOKUP(A:A,[1]android_repos_all_metrics!B:K,7,FALSE)</f>
        <v>855</v>
      </c>
      <c r="AG22">
        <f>VLOOKUP(A:A,[1]android_repos_all_metrics!B:K,8,FALSE)</f>
        <v>29</v>
      </c>
      <c r="AH22">
        <f>VLOOKUP(A:A,[1]android_repos_all_metrics!B:K,9,FALSE)</f>
        <v>14</v>
      </c>
      <c r="AI22">
        <f>VLOOKUP(A:A,[1]android_repos_all_metrics!B:K,10,FALSE)</f>
        <v>10</v>
      </c>
    </row>
    <row r="23" spans="1:35">
      <c r="A23" t="s">
        <v>62</v>
      </c>
      <c r="B23" t="b">
        <v>1</v>
      </c>
      <c r="C23" t="b">
        <v>0</v>
      </c>
      <c r="D23" t="b">
        <v>0</v>
      </c>
      <c r="F23" t="b">
        <v>0</v>
      </c>
      <c r="H23" t="s">
        <v>41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>
        <v>1</v>
      </c>
      <c r="AB23">
        <v>0</v>
      </c>
      <c r="AC23">
        <f>VLOOKUP(A:A,[1]android_repos_all_metrics!B:K,4,FALSE)</f>
        <v>2143</v>
      </c>
      <c r="AD23">
        <f>VLOOKUP(A:A,[1]android_repos_all_metrics!B:K,5,FALSE)</f>
        <v>84</v>
      </c>
      <c r="AE23">
        <f>VLOOKUP(A:A,[1]android_repos_all_metrics!B:K,6,FALSE)</f>
        <v>9</v>
      </c>
      <c r="AF23">
        <f>VLOOKUP(A:A,[1]android_repos_all_metrics!B:K,7,FALSE)</f>
        <v>10162</v>
      </c>
      <c r="AG23">
        <f>VLOOKUP(A:A,[1]android_repos_all_metrics!B:K,8,FALSE)</f>
        <v>31</v>
      </c>
      <c r="AH23">
        <f>VLOOKUP(A:A,[1]android_repos_all_metrics!B:K,9,FALSE)</f>
        <v>68</v>
      </c>
      <c r="AI23">
        <f>VLOOKUP(A:A,[1]android_repos_all_metrics!B:K,10,FALSE)</f>
        <v>102</v>
      </c>
    </row>
    <row r="24" spans="1:35">
      <c r="A24" t="s">
        <v>63</v>
      </c>
      <c r="B24" t="b">
        <v>1</v>
      </c>
      <c r="C24" t="b">
        <v>0</v>
      </c>
      <c r="D24" t="b">
        <v>0</v>
      </c>
      <c r="F24" t="b">
        <v>0</v>
      </c>
      <c r="H24" t="s">
        <v>37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>
        <v>4</v>
      </c>
      <c r="AB24">
        <v>0</v>
      </c>
      <c r="AC24">
        <f>VLOOKUP(A:A,[1]android_repos_all_metrics!B:K,4,FALSE)</f>
        <v>234</v>
      </c>
      <c r="AD24">
        <f>VLOOKUP(A:A,[1]android_repos_all_metrics!B:K,5,FALSE)</f>
        <v>58</v>
      </c>
      <c r="AE24">
        <f>VLOOKUP(A:A,[1]android_repos_all_metrics!B:K,6,FALSE)</f>
        <v>20</v>
      </c>
      <c r="AF24">
        <f>VLOOKUP(A:A,[1]android_repos_all_metrics!B:K,7,FALSE)</f>
        <v>953</v>
      </c>
      <c r="AG24">
        <f>VLOOKUP(A:A,[1]android_repos_all_metrics!B:K,8,FALSE)</f>
        <v>123</v>
      </c>
      <c r="AH24">
        <f>VLOOKUP(A:A,[1]android_repos_all_metrics!B:K,9,FALSE)</f>
        <v>488</v>
      </c>
      <c r="AI24">
        <f>VLOOKUP(A:A,[1]android_repos_all_metrics!B:K,10,FALSE)</f>
        <v>16</v>
      </c>
    </row>
    <row r="25" spans="1:35">
      <c r="A25" t="s">
        <v>64</v>
      </c>
      <c r="B25" t="b">
        <v>1</v>
      </c>
      <c r="C25" t="b">
        <v>0</v>
      </c>
      <c r="D25" t="b">
        <v>0</v>
      </c>
      <c r="F25" t="b">
        <v>0</v>
      </c>
      <c r="H25" t="s">
        <v>37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>
        <v>1</v>
      </c>
      <c r="AB25">
        <v>0</v>
      </c>
      <c r="AC25">
        <f>VLOOKUP(A:A,[1]android_repos_all_metrics!B:K,4,FALSE)</f>
        <v>423</v>
      </c>
      <c r="AD25">
        <f>VLOOKUP(A:A,[1]android_repos_all_metrics!B:K,5,FALSE)</f>
        <v>18</v>
      </c>
      <c r="AE25">
        <f>VLOOKUP(A:A,[1]android_repos_all_metrics!B:K,6,FALSE)</f>
        <v>3</v>
      </c>
      <c r="AF25">
        <f>VLOOKUP(A:A,[1]android_repos_all_metrics!B:K,7,FALSE)</f>
        <v>10848</v>
      </c>
      <c r="AG25">
        <f>VLOOKUP(A:A,[1]android_repos_all_metrics!B:K,8,FALSE)</f>
        <v>21</v>
      </c>
      <c r="AH25">
        <f>VLOOKUP(A:A,[1]android_repos_all_metrics!B:K,9,FALSE)</f>
        <v>228</v>
      </c>
      <c r="AI25">
        <f>VLOOKUP(A:A,[1]android_repos_all_metrics!B:K,10,FALSE)</f>
        <v>22</v>
      </c>
    </row>
    <row r="26" spans="1:35">
      <c r="A26" t="s">
        <v>65</v>
      </c>
      <c r="B26" t="b">
        <v>1</v>
      </c>
      <c r="C26" t="b">
        <v>0</v>
      </c>
      <c r="D26" t="b">
        <v>0</v>
      </c>
      <c r="F26" t="b">
        <v>0</v>
      </c>
      <c r="H26" t="s">
        <v>37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>
        <v>1</v>
      </c>
      <c r="AB26">
        <v>0</v>
      </c>
      <c r="AC26">
        <f>VLOOKUP(A:A,[1]android_repos_all_metrics!B:K,4,FALSE)</f>
        <v>184</v>
      </c>
      <c r="AD26">
        <f>VLOOKUP(A:A,[1]android_repos_all_metrics!B:K,5,FALSE)</f>
        <v>23</v>
      </c>
      <c r="AE26">
        <f>VLOOKUP(A:A,[1]android_repos_all_metrics!B:K,6,FALSE)</f>
        <v>2</v>
      </c>
      <c r="AF26">
        <f>VLOOKUP(A:A,[1]android_repos_all_metrics!B:K,7,FALSE)</f>
        <v>10419</v>
      </c>
      <c r="AG26">
        <f>VLOOKUP(A:A,[1]android_repos_all_metrics!B:K,8,FALSE)</f>
        <v>6</v>
      </c>
      <c r="AH26">
        <f>VLOOKUP(A:A,[1]android_repos_all_metrics!B:K,9,FALSE)</f>
        <v>149</v>
      </c>
      <c r="AI26">
        <f>VLOOKUP(A:A,[1]android_repos_all_metrics!B:K,10,FALSE)</f>
        <v>25</v>
      </c>
    </row>
    <row r="27" spans="1:35">
      <c r="A27" t="s">
        <v>66</v>
      </c>
      <c r="B27" t="b">
        <v>1</v>
      </c>
      <c r="C27" t="b">
        <v>0</v>
      </c>
      <c r="D27" t="b">
        <v>0</v>
      </c>
      <c r="F27" t="b">
        <v>0</v>
      </c>
      <c r="H27" t="s">
        <v>37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>
        <v>4</v>
      </c>
      <c r="AB27">
        <v>0</v>
      </c>
      <c r="AC27">
        <f>VLOOKUP(A:A,[1]android_repos_all_metrics!B:K,4,FALSE)</f>
        <v>3677</v>
      </c>
      <c r="AD27">
        <f>VLOOKUP(A:A,[1]android_repos_all_metrics!B:K,5,FALSE)</f>
        <v>3545</v>
      </c>
      <c r="AE27">
        <f>VLOOKUP(A:A,[1]android_repos_all_metrics!B:K,6,FALSE)</f>
        <v>132</v>
      </c>
      <c r="AF27">
        <f>VLOOKUP(A:A,[1]android_repos_all_metrics!B:K,7,FALSE)</f>
        <v>367602</v>
      </c>
      <c r="AG27">
        <f>VLOOKUP(A:A,[1]android_repos_all_metrics!B:K,8,FALSE)</f>
        <v>498</v>
      </c>
      <c r="AH27">
        <f>VLOOKUP(A:A,[1]android_repos_all_metrics!B:K,9,FALSE)</f>
        <v>1473</v>
      </c>
      <c r="AI27">
        <f>VLOOKUP(A:A,[1]android_repos_all_metrics!B:K,10,FALSE)</f>
        <v>830</v>
      </c>
    </row>
    <row r="28" spans="1:35">
      <c r="A28" t="s">
        <v>67</v>
      </c>
      <c r="B28" t="b">
        <v>1</v>
      </c>
      <c r="C28" t="b">
        <v>0</v>
      </c>
      <c r="D28" t="b">
        <v>0</v>
      </c>
      <c r="F28" t="b">
        <v>0</v>
      </c>
      <c r="H28" t="s">
        <v>37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>
        <v>4</v>
      </c>
      <c r="AB28">
        <v>0</v>
      </c>
      <c r="AC28">
        <f>VLOOKUP(A:A,[1]android_repos_all_metrics!B:K,4,FALSE)</f>
        <v>3753</v>
      </c>
      <c r="AD28">
        <f>VLOOKUP(A:A,[1]android_repos_all_metrics!B:K,5,FALSE)</f>
        <v>2131</v>
      </c>
      <c r="AE28">
        <f>VLOOKUP(A:A,[1]android_repos_all_metrics!B:K,6,FALSE)</f>
        <v>46</v>
      </c>
      <c r="AF28">
        <f>VLOOKUP(A:A,[1]android_repos_all_metrics!B:K,7,FALSE)</f>
        <v>39965</v>
      </c>
      <c r="AG28">
        <f>VLOOKUP(A:A,[1]android_repos_all_metrics!B:K,8,FALSE)</f>
        <v>490</v>
      </c>
      <c r="AH28">
        <f>VLOOKUP(A:A,[1]android_repos_all_metrics!B:K,9,FALSE)</f>
        <v>5103</v>
      </c>
      <c r="AI28">
        <f>VLOOKUP(A:A,[1]android_repos_all_metrics!B:K,10,FALSE)</f>
        <v>433</v>
      </c>
    </row>
    <row r="29" spans="1:35">
      <c r="A29" t="s">
        <v>68</v>
      </c>
      <c r="B29" t="b">
        <v>1</v>
      </c>
      <c r="C29" t="b">
        <v>0</v>
      </c>
      <c r="D29" t="b">
        <v>0</v>
      </c>
      <c r="F29" t="b">
        <v>0</v>
      </c>
      <c r="H29" t="s">
        <v>37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>
        <v>1</v>
      </c>
      <c r="AB29">
        <v>0</v>
      </c>
      <c r="AC29">
        <f>VLOOKUP(A:A,[1]android_repos_all_metrics!B:K,4,FALSE)</f>
        <v>17</v>
      </c>
      <c r="AD29">
        <f>VLOOKUP(A:A,[1]android_repos_all_metrics!B:K,5,FALSE)</f>
        <v>1</v>
      </c>
      <c r="AE29">
        <f>VLOOKUP(A:A,[1]android_repos_all_metrics!B:K,6,FALSE)</f>
        <v>2</v>
      </c>
      <c r="AF29">
        <f>VLOOKUP(A:A,[1]android_repos_all_metrics!B:K,7,FALSE)</f>
        <v>141</v>
      </c>
      <c r="AG29">
        <f>VLOOKUP(A:A,[1]android_repos_all_metrics!B:K,8,FALSE)</f>
        <v>6</v>
      </c>
      <c r="AH29">
        <f>VLOOKUP(A:A,[1]android_repos_all_metrics!B:K,9,FALSE)</f>
        <v>42</v>
      </c>
      <c r="AI29">
        <f>VLOOKUP(A:A,[1]android_repos_all_metrics!B:K,10,FALSE)</f>
        <v>4</v>
      </c>
    </row>
    <row r="30" spans="1:35">
      <c r="A30" t="s">
        <v>69</v>
      </c>
      <c r="B30" t="b">
        <v>1</v>
      </c>
      <c r="C30" t="b">
        <v>1</v>
      </c>
      <c r="D30" t="b">
        <v>0</v>
      </c>
      <c r="F30" t="b">
        <v>1</v>
      </c>
      <c r="G30" t="s">
        <v>39</v>
      </c>
      <c r="H30" t="s">
        <v>41</v>
      </c>
      <c r="I30" t="s">
        <v>41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>
        <v>1</v>
      </c>
      <c r="AB30">
        <v>0</v>
      </c>
      <c r="AC30">
        <f>VLOOKUP(A:A,[1]android_repos_all_metrics!B:K,4,FALSE)</f>
        <v>16</v>
      </c>
      <c r="AD30">
        <f>VLOOKUP(A:A,[1]android_repos_all_metrics!B:K,5,FALSE)</f>
        <v>0</v>
      </c>
      <c r="AE30">
        <f>VLOOKUP(A:A,[1]android_repos_all_metrics!B:K,6,FALSE)</f>
        <v>1</v>
      </c>
      <c r="AF30">
        <f>VLOOKUP(A:A,[1]android_repos_all_metrics!B:K,7,FALSE)</f>
        <v>92</v>
      </c>
      <c r="AG30">
        <f>VLOOKUP(A:A,[1]android_repos_all_metrics!B:K,8,FALSE)</f>
        <v>10</v>
      </c>
      <c r="AH30">
        <f>VLOOKUP(A:A,[1]android_repos_all_metrics!B:K,9,FALSE)</f>
        <v>44</v>
      </c>
      <c r="AI30">
        <f>VLOOKUP(A:A,[1]android_repos_all_metrics!B:K,10,FALSE)</f>
        <v>1</v>
      </c>
    </row>
    <row r="31" spans="1:35">
      <c r="A31" t="s">
        <v>70</v>
      </c>
      <c r="B31" t="b">
        <v>1</v>
      </c>
      <c r="C31" t="b">
        <v>0</v>
      </c>
      <c r="D31" t="b">
        <v>0</v>
      </c>
      <c r="F31" t="b">
        <v>0</v>
      </c>
      <c r="H31" t="s">
        <v>37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>
        <v>2</v>
      </c>
      <c r="AB31">
        <v>0</v>
      </c>
      <c r="AC31">
        <f>VLOOKUP(A:A,[1]android_repos_all_metrics!B:K,4,FALSE)</f>
        <v>12647</v>
      </c>
      <c r="AD31">
        <f>VLOOKUP(A:A,[1]android_repos_all_metrics!B:K,5,FALSE)</f>
        <v>120</v>
      </c>
      <c r="AE31">
        <f>VLOOKUP(A:A,[1]android_repos_all_metrics!B:K,6,FALSE)</f>
        <v>22</v>
      </c>
      <c r="AF31">
        <f>VLOOKUP(A:A,[1]android_repos_all_metrics!B:K,7,FALSE)</f>
        <v>78008</v>
      </c>
      <c r="AG31">
        <f>VLOOKUP(A:A,[1]android_repos_all_metrics!B:K,8,FALSE)</f>
        <v>462</v>
      </c>
      <c r="AH31">
        <f>VLOOKUP(A:A,[1]android_repos_all_metrics!B:K,9,FALSE)</f>
        <v>1366</v>
      </c>
      <c r="AI31">
        <f>VLOOKUP(A:A,[1]android_repos_all_metrics!B:K,10,FALSE)</f>
        <v>50</v>
      </c>
    </row>
    <row r="32" spans="1:35">
      <c r="A32" t="s">
        <v>71</v>
      </c>
      <c r="B32" t="b">
        <v>1</v>
      </c>
      <c r="C32" t="b">
        <v>1</v>
      </c>
      <c r="D32" t="b">
        <v>1</v>
      </c>
      <c r="E32" t="s">
        <v>36</v>
      </c>
      <c r="F32" t="b">
        <v>0</v>
      </c>
      <c r="H32" t="s">
        <v>37</v>
      </c>
      <c r="I32" t="s">
        <v>37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>
        <v>3</v>
      </c>
      <c r="AA32">
        <v>1</v>
      </c>
      <c r="AB32">
        <v>0</v>
      </c>
      <c r="AC32">
        <f>VLOOKUP(A:A,[1]android_repos_all_metrics!B:K,4,FALSE)</f>
        <v>46</v>
      </c>
      <c r="AD32">
        <f>VLOOKUP(A:A,[1]android_repos_all_metrics!B:K,5,FALSE)</f>
        <v>0</v>
      </c>
      <c r="AE32">
        <f>VLOOKUP(A:A,[1]android_repos_all_metrics!B:K,6,FALSE)</f>
        <v>1</v>
      </c>
      <c r="AF32">
        <f>VLOOKUP(A:A,[1]android_repos_all_metrics!B:K,7,FALSE)</f>
        <v>27366</v>
      </c>
      <c r="AG32">
        <f>VLOOKUP(A:A,[1]android_repos_all_metrics!B:K,8,FALSE)</f>
        <v>3</v>
      </c>
      <c r="AH32">
        <f>VLOOKUP(A:A,[1]android_repos_all_metrics!B:K,9,FALSE)</f>
        <v>69</v>
      </c>
      <c r="AI32">
        <f>VLOOKUP(A:A,[1]android_repos_all_metrics!B:K,10,FALSE)</f>
        <v>0</v>
      </c>
    </row>
    <row r="33" spans="1:35">
      <c r="A33" t="s">
        <v>72</v>
      </c>
      <c r="B33" t="b">
        <v>1</v>
      </c>
      <c r="C33" t="b">
        <v>0</v>
      </c>
      <c r="D33" t="b">
        <v>0</v>
      </c>
      <c r="F33" t="b">
        <v>0</v>
      </c>
      <c r="H33" t="s">
        <v>41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>
        <v>1</v>
      </c>
      <c r="AB33">
        <v>0</v>
      </c>
      <c r="AC33">
        <f>VLOOKUP(A:A,[1]android_repos_all_metrics!B:K,4,FALSE)</f>
        <v>51</v>
      </c>
      <c r="AD33">
        <f>VLOOKUP(A:A,[1]android_repos_all_metrics!B:K,5,FALSE)</f>
        <v>1</v>
      </c>
      <c r="AE33">
        <f>VLOOKUP(A:A,[1]android_repos_all_metrics!B:K,6,FALSE)</f>
        <v>2</v>
      </c>
      <c r="AF33">
        <f>VLOOKUP(A:A,[1]android_repos_all_metrics!B:K,7,FALSE)</f>
        <v>1564</v>
      </c>
      <c r="AG33">
        <f>VLOOKUP(A:A,[1]android_repos_all_metrics!B:K,8,FALSE)</f>
        <v>5</v>
      </c>
      <c r="AH33">
        <f>VLOOKUP(A:A,[1]android_repos_all_metrics!B:K,9,FALSE)</f>
        <v>8</v>
      </c>
      <c r="AI33">
        <f>VLOOKUP(A:A,[1]android_repos_all_metrics!B:K,10,FALSE)</f>
        <v>12</v>
      </c>
    </row>
    <row r="34" spans="1:35">
      <c r="A34" t="s">
        <v>73</v>
      </c>
      <c r="B34" t="b">
        <v>1</v>
      </c>
      <c r="C34" t="b">
        <v>0</v>
      </c>
      <c r="D34" t="b">
        <v>0</v>
      </c>
      <c r="F34" t="b">
        <v>0</v>
      </c>
      <c r="H34" t="s">
        <v>41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>
        <v>1</v>
      </c>
      <c r="AB34">
        <v>0</v>
      </c>
      <c r="AC34">
        <f>VLOOKUP(A:A,[1]android_repos_all_metrics!B:K,4,FALSE)</f>
        <v>12</v>
      </c>
      <c r="AD34">
        <f>VLOOKUP(A:A,[1]android_repos_all_metrics!B:K,5,FALSE)</f>
        <v>0</v>
      </c>
      <c r="AE34">
        <f>VLOOKUP(A:A,[1]android_repos_all_metrics!B:K,6,FALSE)</f>
        <v>1</v>
      </c>
      <c r="AF34">
        <f>VLOOKUP(A:A,[1]android_repos_all_metrics!B:K,7,FALSE)</f>
        <v>696</v>
      </c>
      <c r="AG34">
        <f>VLOOKUP(A:A,[1]android_repos_all_metrics!B:K,8,FALSE)</f>
        <v>0</v>
      </c>
      <c r="AH34">
        <f>VLOOKUP(A:A,[1]android_repos_all_metrics!B:K,9,FALSE)</f>
        <v>6</v>
      </c>
      <c r="AI34">
        <f>VLOOKUP(A:A,[1]android_repos_all_metrics!B:K,10,FALSE)</f>
        <v>0</v>
      </c>
    </row>
    <row r="35" spans="1:35">
      <c r="A35" t="s">
        <v>74</v>
      </c>
      <c r="B35" t="b">
        <v>1</v>
      </c>
      <c r="C35" t="b">
        <v>1</v>
      </c>
      <c r="D35" t="b">
        <v>1</v>
      </c>
      <c r="E35" t="s">
        <v>36</v>
      </c>
      <c r="F35" t="b">
        <v>0</v>
      </c>
      <c r="H35" t="s">
        <v>37</v>
      </c>
      <c r="I35" t="s">
        <v>37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>
        <v>1</v>
      </c>
      <c r="AA35">
        <v>3</v>
      </c>
      <c r="AB35">
        <v>0</v>
      </c>
      <c r="AC35">
        <f>VLOOKUP(A:A,[1]android_repos_all_metrics!B:K,4,FALSE)</f>
        <v>1306</v>
      </c>
      <c r="AD35">
        <f>VLOOKUP(A:A,[1]android_repos_all_metrics!B:K,5,FALSE)</f>
        <v>346</v>
      </c>
      <c r="AE35">
        <f>VLOOKUP(A:A,[1]android_repos_all_metrics!B:K,6,FALSE)</f>
        <v>58</v>
      </c>
      <c r="AF35">
        <f>VLOOKUP(A:A,[1]android_repos_all_metrics!B:K,7,FALSE)</f>
        <v>10780</v>
      </c>
      <c r="AG35">
        <f>VLOOKUP(A:A,[1]android_repos_all_metrics!B:K,8,FALSE)</f>
        <v>280</v>
      </c>
      <c r="AH35">
        <f>VLOOKUP(A:A,[1]android_repos_all_metrics!B:K,9,FALSE)</f>
        <v>5773</v>
      </c>
      <c r="AI35">
        <f>VLOOKUP(A:A,[1]android_repos_all_metrics!B:K,10,FALSE)</f>
        <v>84</v>
      </c>
    </row>
    <row r="36" spans="1:35">
      <c r="A36" t="s">
        <v>75</v>
      </c>
      <c r="B36" t="b">
        <v>0</v>
      </c>
      <c r="C36" t="b">
        <v>0</v>
      </c>
      <c r="D36" t="b">
        <v>0</v>
      </c>
      <c r="F36" t="b">
        <v>0</v>
      </c>
      <c r="H36" t="s">
        <v>76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>
        <v>1</v>
      </c>
      <c r="AB36">
        <v>0</v>
      </c>
      <c r="AC36">
        <f>VLOOKUP(A:A,[1]android_repos_all_metrics!B:K,4,FALSE)</f>
        <v>449</v>
      </c>
      <c r="AD36">
        <f>VLOOKUP(A:A,[1]android_repos_all_metrics!B:K,5,FALSE)</f>
        <v>0</v>
      </c>
      <c r="AE36">
        <f>VLOOKUP(A:A,[1]android_repos_all_metrics!B:K,6,FALSE)</f>
        <v>7</v>
      </c>
      <c r="AF36">
        <f>VLOOKUP(A:A,[1]android_repos_all_metrics!B:K,7,FALSE)</f>
        <v>12376</v>
      </c>
      <c r="AG36">
        <f>VLOOKUP(A:A,[1]android_repos_all_metrics!B:K,8,FALSE)</f>
        <v>0</v>
      </c>
      <c r="AH36">
        <f>VLOOKUP(A:A,[1]android_repos_all_metrics!B:K,9,FALSE)</f>
        <v>3</v>
      </c>
      <c r="AI36">
        <f>VLOOKUP(A:A,[1]android_repos_all_metrics!B:K,10,FALSE)</f>
        <v>0</v>
      </c>
    </row>
    <row r="37" spans="1:35">
      <c r="A37" t="s">
        <v>77</v>
      </c>
      <c r="B37" t="b">
        <v>0</v>
      </c>
      <c r="C37" t="b">
        <v>0</v>
      </c>
      <c r="D37" t="b">
        <v>0</v>
      </c>
      <c r="F37" t="b">
        <v>0</v>
      </c>
      <c r="H37" t="s">
        <v>41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>
        <v>1</v>
      </c>
      <c r="AB37">
        <v>0</v>
      </c>
      <c r="AC37">
        <f>VLOOKUP(A:A,[1]android_repos_all_metrics!B:K,4,FALSE)</f>
        <v>29</v>
      </c>
      <c r="AD37">
        <f>VLOOKUP(A:A,[1]android_repos_all_metrics!B:K,5,FALSE)</f>
        <v>4</v>
      </c>
      <c r="AE37">
        <f>VLOOKUP(A:A,[1]android_repos_all_metrics!B:K,6,FALSE)</f>
        <v>2</v>
      </c>
      <c r="AF37">
        <f>VLOOKUP(A:A,[1]android_repos_all_metrics!B:K,7,FALSE)</f>
        <v>3651</v>
      </c>
      <c r="AG37">
        <f>VLOOKUP(A:A,[1]android_repos_all_metrics!B:K,8,FALSE)</f>
        <v>22</v>
      </c>
      <c r="AH37">
        <f>VLOOKUP(A:A,[1]android_repos_all_metrics!B:K,9,FALSE)</f>
        <v>108</v>
      </c>
      <c r="AI37">
        <f>VLOOKUP(A:A,[1]android_repos_all_metrics!B:K,10,FALSE)</f>
        <v>0</v>
      </c>
    </row>
    <row r="38" spans="1:35">
      <c r="A38" t="s">
        <v>78</v>
      </c>
      <c r="B38" t="b">
        <v>1</v>
      </c>
      <c r="C38" t="b">
        <v>0</v>
      </c>
      <c r="D38" t="b">
        <v>0</v>
      </c>
      <c r="F38" t="b">
        <v>0</v>
      </c>
      <c r="H38" t="s">
        <v>37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>
        <v>1</v>
      </c>
      <c r="AB38">
        <v>0</v>
      </c>
      <c r="AC38">
        <f>VLOOKUP(A:A,[1]android_repos_all_metrics!B:K,4,FALSE)</f>
        <v>406</v>
      </c>
      <c r="AD38">
        <f>VLOOKUP(A:A,[1]android_repos_all_metrics!B:K,5,FALSE)</f>
        <v>13</v>
      </c>
      <c r="AE38">
        <f>VLOOKUP(A:A,[1]android_repos_all_metrics!B:K,6,FALSE)</f>
        <v>1</v>
      </c>
      <c r="AF38">
        <f>VLOOKUP(A:A,[1]android_repos_all_metrics!B:K,7,FALSE)</f>
        <v>1965</v>
      </c>
      <c r="AG38">
        <f>VLOOKUP(A:A,[1]android_repos_all_metrics!B:K,8,FALSE)</f>
        <v>0</v>
      </c>
      <c r="AH38">
        <f>VLOOKUP(A:A,[1]android_repos_all_metrics!B:K,9,FALSE)</f>
        <v>3</v>
      </c>
      <c r="AI38">
        <f>VLOOKUP(A:A,[1]android_repos_all_metrics!B:K,10,FALSE)</f>
        <v>31</v>
      </c>
    </row>
    <row r="39" spans="1:35">
      <c r="A39" t="s">
        <v>79</v>
      </c>
      <c r="B39" t="b">
        <v>0</v>
      </c>
      <c r="C39" t="b">
        <v>0</v>
      </c>
      <c r="D39" t="b">
        <v>0</v>
      </c>
      <c r="F39" t="b">
        <v>0</v>
      </c>
      <c r="H39" t="s">
        <v>41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>
        <v>1</v>
      </c>
      <c r="AB39">
        <v>0</v>
      </c>
      <c r="AC39">
        <f>VLOOKUP(A:A,[1]android_repos_all_metrics!B:K,4,FALSE)</f>
        <v>69</v>
      </c>
      <c r="AD39">
        <f>VLOOKUP(A:A,[1]android_repos_all_metrics!B:K,5,FALSE)</f>
        <v>17</v>
      </c>
      <c r="AE39">
        <f>VLOOKUP(A:A,[1]android_repos_all_metrics!B:K,6,FALSE)</f>
        <v>2</v>
      </c>
      <c r="AF39">
        <f>VLOOKUP(A:A,[1]android_repos_all_metrics!B:K,7,FALSE)</f>
        <v>3246</v>
      </c>
      <c r="AG39">
        <f>VLOOKUP(A:A,[1]android_repos_all_metrics!B:K,8,FALSE)</f>
        <v>7</v>
      </c>
      <c r="AH39">
        <f>VLOOKUP(A:A,[1]android_repos_all_metrics!B:K,9,FALSE)</f>
        <v>21</v>
      </c>
      <c r="AI39">
        <f>VLOOKUP(A:A,[1]android_repos_all_metrics!B:K,10,FALSE)</f>
        <v>2</v>
      </c>
    </row>
    <row r="40" spans="1:35">
      <c r="A40" t="s">
        <v>80</v>
      </c>
      <c r="B40" t="b">
        <v>1</v>
      </c>
      <c r="C40" t="b">
        <v>0</v>
      </c>
      <c r="D40" t="b">
        <v>0</v>
      </c>
      <c r="F40" t="b">
        <v>0</v>
      </c>
      <c r="H40" t="s">
        <v>37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>
        <v>1</v>
      </c>
      <c r="AB40">
        <v>0</v>
      </c>
      <c r="AC40">
        <f>VLOOKUP(A:A,[1]android_repos_all_metrics!B:K,4,FALSE)</f>
        <v>131</v>
      </c>
      <c r="AD40">
        <f>VLOOKUP(A:A,[1]android_repos_all_metrics!B:K,5,FALSE)</f>
        <v>28</v>
      </c>
      <c r="AE40">
        <f>VLOOKUP(A:A,[1]android_repos_all_metrics!B:K,6,FALSE)</f>
        <v>2</v>
      </c>
      <c r="AF40">
        <f>VLOOKUP(A:A,[1]android_repos_all_metrics!B:K,7,FALSE)</f>
        <v>1930</v>
      </c>
      <c r="AG40">
        <f>VLOOKUP(A:A,[1]android_repos_all_metrics!B:K,8,FALSE)</f>
        <v>2</v>
      </c>
      <c r="AH40">
        <f>VLOOKUP(A:A,[1]android_repos_all_metrics!B:K,9,FALSE)</f>
        <v>12</v>
      </c>
      <c r="AI40">
        <f>VLOOKUP(A:A,[1]android_repos_all_metrics!B:K,10,FALSE)</f>
        <v>0</v>
      </c>
    </row>
    <row r="41" spans="1:35">
      <c r="A41" t="s">
        <v>81</v>
      </c>
      <c r="B41" t="b">
        <v>1</v>
      </c>
      <c r="C41" t="b">
        <v>0</v>
      </c>
      <c r="D41" t="b">
        <v>0</v>
      </c>
      <c r="F41" t="b">
        <v>0</v>
      </c>
      <c r="H41" t="s">
        <v>37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>
        <v>1</v>
      </c>
      <c r="AB41">
        <v>0</v>
      </c>
      <c r="AC41">
        <f>VLOOKUP(A:A,[1]android_repos_all_metrics!B:K,4,FALSE)</f>
        <v>1824</v>
      </c>
      <c r="AD41">
        <f>VLOOKUP(A:A,[1]android_repos_all_metrics!B:K,5,FALSE)</f>
        <v>116</v>
      </c>
      <c r="AE41">
        <f>VLOOKUP(A:A,[1]android_repos_all_metrics!B:K,6,FALSE)</f>
        <v>30</v>
      </c>
      <c r="AF41">
        <f>VLOOKUP(A:A,[1]android_repos_all_metrics!B:K,7,FALSE)</f>
        <v>29108</v>
      </c>
      <c r="AG41">
        <f>VLOOKUP(A:A,[1]android_repos_all_metrics!B:K,8,FALSE)</f>
        <v>437</v>
      </c>
      <c r="AH41">
        <f>VLOOKUP(A:A,[1]android_repos_all_metrics!B:K,9,FALSE)</f>
        <v>2432</v>
      </c>
      <c r="AI41">
        <f>VLOOKUP(A:A,[1]android_repos_all_metrics!B:K,10,FALSE)</f>
        <v>253</v>
      </c>
    </row>
    <row r="42" spans="1:35">
      <c r="A42" t="s">
        <v>82</v>
      </c>
      <c r="B42" t="b">
        <v>1</v>
      </c>
      <c r="C42" t="b">
        <v>0</v>
      </c>
      <c r="D42" t="b">
        <v>0</v>
      </c>
      <c r="F42" t="b">
        <v>0</v>
      </c>
      <c r="H42" t="s">
        <v>37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>
        <v>1</v>
      </c>
      <c r="AB42">
        <v>0</v>
      </c>
      <c r="AC42">
        <f>VLOOKUP(A:A,[1]android_repos_all_metrics!B:K,4,FALSE)</f>
        <v>24</v>
      </c>
      <c r="AD42">
        <f>VLOOKUP(A:A,[1]android_repos_all_metrics!B:K,5,FALSE)</f>
        <v>0</v>
      </c>
      <c r="AE42">
        <f>VLOOKUP(A:A,[1]android_repos_all_metrics!B:K,6,FALSE)</f>
        <v>1</v>
      </c>
      <c r="AF42">
        <f>VLOOKUP(A:A,[1]android_repos_all_metrics!B:K,7,FALSE)</f>
        <v>23796</v>
      </c>
      <c r="AG42">
        <f>VLOOKUP(A:A,[1]android_repos_all_metrics!B:K,8,FALSE)</f>
        <v>12</v>
      </c>
      <c r="AH42">
        <f>VLOOKUP(A:A,[1]android_repos_all_metrics!B:K,9,FALSE)</f>
        <v>36</v>
      </c>
      <c r="AI42">
        <f>VLOOKUP(A:A,[1]android_repos_all_metrics!B:K,10,FALSE)</f>
        <v>0</v>
      </c>
    </row>
    <row r="43" spans="1:35">
      <c r="A43" t="s">
        <v>83</v>
      </c>
      <c r="B43" t="b">
        <v>1</v>
      </c>
      <c r="C43" t="b">
        <v>0</v>
      </c>
      <c r="D43" t="b">
        <v>0</v>
      </c>
      <c r="F43" t="b">
        <v>0</v>
      </c>
      <c r="H43" t="s">
        <v>37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>
        <v>1</v>
      </c>
      <c r="AB43">
        <v>0</v>
      </c>
      <c r="AC43">
        <f>VLOOKUP(A:A,[1]android_repos_all_metrics!B:K,4,FALSE)</f>
        <v>630</v>
      </c>
      <c r="AD43">
        <f>VLOOKUP(A:A,[1]android_repos_all_metrics!B:K,5,FALSE)</f>
        <v>2</v>
      </c>
      <c r="AE43">
        <f>VLOOKUP(A:A,[1]android_repos_all_metrics!B:K,6,FALSE)</f>
        <v>2</v>
      </c>
      <c r="AF43">
        <f>VLOOKUP(A:A,[1]android_repos_all_metrics!B:K,7,FALSE)</f>
        <v>28826</v>
      </c>
      <c r="AG43">
        <f>VLOOKUP(A:A,[1]android_repos_all_metrics!B:K,8,FALSE)</f>
        <v>8</v>
      </c>
      <c r="AH43">
        <f>VLOOKUP(A:A,[1]android_repos_all_metrics!B:K,9,FALSE)</f>
        <v>47</v>
      </c>
      <c r="AI43">
        <f>VLOOKUP(A:A,[1]android_repos_all_metrics!B:K,10,FALSE)</f>
        <v>8</v>
      </c>
    </row>
    <row r="44" spans="1:35">
      <c r="A44" t="s">
        <v>84</v>
      </c>
      <c r="B44" t="b">
        <v>1</v>
      </c>
      <c r="C44" t="b">
        <v>0</v>
      </c>
      <c r="D44" t="b">
        <v>0</v>
      </c>
      <c r="F44" t="b">
        <v>0</v>
      </c>
      <c r="H44" t="s">
        <v>37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>
        <v>1</v>
      </c>
      <c r="AB44">
        <v>0</v>
      </c>
      <c r="AC44">
        <f>VLOOKUP(A:A,[1]android_repos_all_metrics!B:K,4,FALSE)</f>
        <v>913</v>
      </c>
      <c r="AD44">
        <f>VLOOKUP(A:A,[1]android_repos_all_metrics!B:K,5,FALSE)</f>
        <v>23</v>
      </c>
      <c r="AE44">
        <f>VLOOKUP(A:A,[1]android_repos_all_metrics!B:K,6,FALSE)</f>
        <v>2</v>
      </c>
      <c r="AF44">
        <f>VLOOKUP(A:A,[1]android_repos_all_metrics!B:K,7,FALSE)</f>
        <v>70710</v>
      </c>
      <c r="AG44">
        <f>VLOOKUP(A:A,[1]android_repos_all_metrics!B:K,8,FALSE)</f>
        <v>8</v>
      </c>
      <c r="AH44">
        <f>VLOOKUP(A:A,[1]android_repos_all_metrics!B:K,9,FALSE)</f>
        <v>79</v>
      </c>
      <c r="AI44">
        <f>VLOOKUP(A:A,[1]android_repos_all_metrics!B:K,10,FALSE)</f>
        <v>18</v>
      </c>
    </row>
    <row r="45" spans="1:35">
      <c r="A45" t="s">
        <v>85</v>
      </c>
      <c r="B45" t="b">
        <v>1</v>
      </c>
      <c r="C45" t="b">
        <v>0</v>
      </c>
      <c r="D45" t="b">
        <v>0</v>
      </c>
      <c r="F45" t="b">
        <v>0</v>
      </c>
      <c r="H45" t="s">
        <v>86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>
        <v>2</v>
      </c>
      <c r="AB45">
        <v>0</v>
      </c>
      <c r="AC45">
        <f>VLOOKUP(A:A,[1]android_repos_all_metrics!B:K,4,FALSE)</f>
        <v>86</v>
      </c>
      <c r="AD45">
        <f>VLOOKUP(A:A,[1]android_repos_all_metrics!B:K,5,FALSE)</f>
        <v>39</v>
      </c>
      <c r="AE45">
        <f>VLOOKUP(A:A,[1]android_repos_all_metrics!B:K,6,FALSE)</f>
        <v>7</v>
      </c>
      <c r="AF45">
        <f>VLOOKUP(A:A,[1]android_repos_all_metrics!B:K,7,FALSE)</f>
        <v>86565</v>
      </c>
      <c r="AG45">
        <f>VLOOKUP(A:A,[1]android_repos_all_metrics!B:K,8,FALSE)</f>
        <v>49</v>
      </c>
      <c r="AH45">
        <f>VLOOKUP(A:A,[1]android_repos_all_metrics!B:K,9,FALSE)</f>
        <v>182</v>
      </c>
      <c r="AI45">
        <f>VLOOKUP(A:A,[1]android_repos_all_metrics!B:K,10,FALSE)</f>
        <v>17</v>
      </c>
    </row>
    <row r="46" spans="1:35">
      <c r="A46" t="s">
        <v>87</v>
      </c>
      <c r="B46" t="b">
        <v>1</v>
      </c>
      <c r="C46" t="b">
        <v>0</v>
      </c>
      <c r="D46" t="b">
        <v>0</v>
      </c>
      <c r="F46" t="b">
        <v>0</v>
      </c>
      <c r="H46" t="s">
        <v>37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>
        <v>1</v>
      </c>
      <c r="AB46">
        <v>0</v>
      </c>
      <c r="AC46">
        <f>VLOOKUP(A:A,[1]android_repos_all_metrics!B:K,4,FALSE)</f>
        <v>21</v>
      </c>
      <c r="AD46">
        <f>VLOOKUP(A:A,[1]android_repos_all_metrics!B:K,5,FALSE)</f>
        <v>2</v>
      </c>
      <c r="AE46">
        <f>VLOOKUP(A:A,[1]android_repos_all_metrics!B:K,6,FALSE)</f>
        <v>3</v>
      </c>
      <c r="AF46">
        <f>VLOOKUP(A:A,[1]android_repos_all_metrics!B:K,7,FALSE)</f>
        <v>844</v>
      </c>
      <c r="AG46">
        <f>VLOOKUP(A:A,[1]android_repos_all_metrics!B:K,8,FALSE)</f>
        <v>3</v>
      </c>
      <c r="AH46">
        <f>VLOOKUP(A:A,[1]android_repos_all_metrics!B:K,9,FALSE)</f>
        <v>5</v>
      </c>
      <c r="AI46">
        <f>VLOOKUP(A:A,[1]android_repos_all_metrics!B:K,10,FALSE)</f>
        <v>0</v>
      </c>
    </row>
    <row r="47" spans="1:35">
      <c r="A47" t="s">
        <v>88</v>
      </c>
      <c r="B47" t="b">
        <v>1</v>
      </c>
      <c r="C47" t="b">
        <v>0</v>
      </c>
      <c r="D47" t="b">
        <v>0</v>
      </c>
      <c r="F47" t="b">
        <v>0</v>
      </c>
      <c r="H47" t="s">
        <v>37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>
        <v>1</v>
      </c>
      <c r="AB47">
        <v>0</v>
      </c>
      <c r="AC47">
        <f>VLOOKUP(A:A,[1]android_repos_all_metrics!B:K,4,FALSE)</f>
        <v>382</v>
      </c>
      <c r="AD47">
        <f>VLOOKUP(A:A,[1]android_repos_all_metrics!B:K,5,FALSE)</f>
        <v>32</v>
      </c>
      <c r="AE47">
        <f>VLOOKUP(A:A,[1]android_repos_all_metrics!B:K,6,FALSE)</f>
        <v>15</v>
      </c>
      <c r="AF47">
        <f>VLOOKUP(A:A,[1]android_repos_all_metrics!B:K,7,FALSE)</f>
        <v>15784</v>
      </c>
      <c r="AG47">
        <f>VLOOKUP(A:A,[1]android_repos_all_metrics!B:K,8,FALSE)</f>
        <v>85</v>
      </c>
      <c r="AH47">
        <f>VLOOKUP(A:A,[1]android_repos_all_metrics!B:K,9,FALSE)</f>
        <v>1623</v>
      </c>
      <c r="AI47">
        <f>VLOOKUP(A:A,[1]android_repos_all_metrics!B:K,10,FALSE)</f>
        <v>13</v>
      </c>
    </row>
    <row r="48" spans="1:35">
      <c r="A48" t="s">
        <v>89</v>
      </c>
      <c r="B48" t="b">
        <v>1</v>
      </c>
      <c r="C48" t="b">
        <v>0</v>
      </c>
      <c r="D48" t="b">
        <v>0</v>
      </c>
      <c r="F48" t="b">
        <v>0</v>
      </c>
      <c r="H48" t="s">
        <v>37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>
        <v>1</v>
      </c>
      <c r="AB48">
        <v>0</v>
      </c>
      <c r="AC48">
        <f>VLOOKUP(A:A,[1]android_repos_all_metrics!B:K,4,FALSE)</f>
        <v>5662</v>
      </c>
      <c r="AD48">
        <f>VLOOKUP(A:A,[1]android_repos_all_metrics!B:K,5,FALSE)</f>
        <v>858</v>
      </c>
      <c r="AE48">
        <f>VLOOKUP(A:A,[1]android_repos_all_metrics!B:K,6,FALSE)</f>
        <v>16</v>
      </c>
      <c r="AF48">
        <f>VLOOKUP(A:A,[1]android_repos_all_metrics!B:K,7,FALSE)</f>
        <v>145996</v>
      </c>
      <c r="AG48">
        <f>VLOOKUP(A:A,[1]android_repos_all_metrics!B:K,8,FALSE)</f>
        <v>16</v>
      </c>
      <c r="AH48">
        <f>VLOOKUP(A:A,[1]android_repos_all_metrics!B:K,9,FALSE)</f>
        <v>18</v>
      </c>
      <c r="AI48">
        <f>VLOOKUP(A:A,[1]android_repos_all_metrics!B:K,10,FALSE)</f>
        <v>12</v>
      </c>
    </row>
    <row r="49" spans="1:35">
      <c r="A49" t="s">
        <v>90</v>
      </c>
      <c r="B49" t="b">
        <v>1</v>
      </c>
      <c r="C49" t="b">
        <v>1</v>
      </c>
      <c r="D49" t="b">
        <v>0</v>
      </c>
      <c r="F49" t="b">
        <v>1</v>
      </c>
      <c r="G49" t="s">
        <v>91</v>
      </c>
      <c r="H49" t="s">
        <v>37</v>
      </c>
      <c r="I49" t="s">
        <v>37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>
        <v>1</v>
      </c>
      <c r="AB49">
        <v>0</v>
      </c>
      <c r="AC49">
        <f>VLOOKUP(A:A,[1]android_repos_all_metrics!B:K,4,FALSE)</f>
        <v>367</v>
      </c>
      <c r="AD49">
        <f>VLOOKUP(A:A,[1]android_repos_all_metrics!B:K,5,FALSE)</f>
        <v>29</v>
      </c>
      <c r="AE49">
        <f>VLOOKUP(A:A,[1]android_repos_all_metrics!B:K,6,FALSE)</f>
        <v>10</v>
      </c>
      <c r="AF49">
        <f>VLOOKUP(A:A,[1]android_repos_all_metrics!B:K,7,FALSE)</f>
        <v>5072</v>
      </c>
      <c r="AG49">
        <f>VLOOKUP(A:A,[1]android_repos_all_metrics!B:K,8,FALSE)</f>
        <v>3</v>
      </c>
      <c r="AH49">
        <f>VLOOKUP(A:A,[1]android_repos_all_metrics!B:K,9,FALSE)</f>
        <v>3</v>
      </c>
      <c r="AI49">
        <f>VLOOKUP(A:A,[1]android_repos_all_metrics!B:K,10,FALSE)</f>
        <v>0</v>
      </c>
    </row>
    <row r="50" spans="1:35">
      <c r="A50" t="s">
        <v>92</v>
      </c>
      <c r="B50" t="b">
        <v>1</v>
      </c>
      <c r="C50" t="b">
        <v>0</v>
      </c>
      <c r="D50" t="b">
        <v>0</v>
      </c>
      <c r="F50" t="b">
        <v>0</v>
      </c>
      <c r="H50" t="s">
        <v>37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>
        <v>3</v>
      </c>
      <c r="AB50">
        <v>0</v>
      </c>
      <c r="AC50">
        <f>VLOOKUP(A:A,[1]android_repos_all_metrics!B:K,4,FALSE)</f>
        <v>1109</v>
      </c>
      <c r="AD50">
        <f>VLOOKUP(A:A,[1]android_repos_all_metrics!B:K,5,FALSE)</f>
        <v>7</v>
      </c>
      <c r="AE50">
        <f>VLOOKUP(A:A,[1]android_repos_all_metrics!B:K,6,FALSE)</f>
        <v>3</v>
      </c>
      <c r="AF50">
        <f>VLOOKUP(A:A,[1]android_repos_all_metrics!B:K,7,FALSE)</f>
        <v>22163</v>
      </c>
      <c r="AG50">
        <f>VLOOKUP(A:A,[1]android_repos_all_metrics!B:K,8,FALSE)</f>
        <v>10</v>
      </c>
      <c r="AH50">
        <f>VLOOKUP(A:A,[1]android_repos_all_metrics!B:K,9,FALSE)</f>
        <v>94</v>
      </c>
      <c r="AI50">
        <f>VLOOKUP(A:A,[1]android_repos_all_metrics!B:K,10,FALSE)</f>
        <v>9</v>
      </c>
    </row>
    <row r="51" spans="1:35">
      <c r="A51" t="s">
        <v>93</v>
      </c>
      <c r="B51" t="b">
        <v>1</v>
      </c>
      <c r="C51" t="b">
        <v>0</v>
      </c>
      <c r="D51" t="b">
        <v>0</v>
      </c>
      <c r="F51" t="b">
        <v>0</v>
      </c>
      <c r="H51" t="s">
        <v>37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>
        <v>1</v>
      </c>
      <c r="AB51">
        <v>0</v>
      </c>
      <c r="AC51">
        <f>VLOOKUP(A:A,[1]android_repos_all_metrics!B:K,4,FALSE)</f>
        <v>175</v>
      </c>
      <c r="AD51">
        <f>VLOOKUP(A:A,[1]android_repos_all_metrics!B:K,5,FALSE)</f>
        <v>16</v>
      </c>
      <c r="AE51">
        <f>VLOOKUP(A:A,[1]android_repos_all_metrics!B:K,6,FALSE)</f>
        <v>5</v>
      </c>
      <c r="AF51">
        <f>VLOOKUP(A:A,[1]android_repos_all_metrics!B:K,7,FALSE)</f>
        <v>4874</v>
      </c>
      <c r="AG51">
        <f>VLOOKUP(A:A,[1]android_repos_all_metrics!B:K,8,FALSE)</f>
        <v>1</v>
      </c>
      <c r="AH51">
        <f>VLOOKUP(A:A,[1]android_repos_all_metrics!B:K,9,FALSE)</f>
        <v>1</v>
      </c>
      <c r="AI51">
        <f>VLOOKUP(A:A,[1]android_repos_all_metrics!B:K,10,FALSE)</f>
        <v>0</v>
      </c>
    </row>
    <row r="52" spans="1:35">
      <c r="A52" t="s">
        <v>94</v>
      </c>
      <c r="B52" t="b">
        <v>0</v>
      </c>
      <c r="C52" t="b">
        <v>0</v>
      </c>
      <c r="D52" t="b">
        <v>0</v>
      </c>
      <c r="F52" t="b">
        <v>0</v>
      </c>
      <c r="H52" t="s">
        <v>41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>
        <v>1</v>
      </c>
      <c r="AB52">
        <v>0</v>
      </c>
      <c r="AC52">
        <f>VLOOKUP(A:A,[1]android_repos_all_metrics!B:K,4,FALSE)</f>
        <v>18</v>
      </c>
      <c r="AD52">
        <f>VLOOKUP(A:A,[1]android_repos_all_metrics!B:K,5,FALSE)</f>
        <v>0</v>
      </c>
      <c r="AE52">
        <f>VLOOKUP(A:A,[1]android_repos_all_metrics!B:K,6,FALSE)</f>
        <v>1</v>
      </c>
      <c r="AF52">
        <f>VLOOKUP(A:A,[1]android_repos_all_metrics!B:K,7,FALSE)</f>
        <v>119</v>
      </c>
      <c r="AG52">
        <f>VLOOKUP(A:A,[1]android_repos_all_metrics!B:K,8,FALSE)</f>
        <v>1</v>
      </c>
      <c r="AH52">
        <f>VLOOKUP(A:A,[1]android_repos_all_metrics!B:K,9,FALSE)</f>
        <v>9</v>
      </c>
      <c r="AI52">
        <f>VLOOKUP(A:A,[1]android_repos_all_metrics!B:K,10,FALSE)</f>
        <v>0</v>
      </c>
    </row>
    <row r="53" spans="1:35">
      <c r="A53" t="s">
        <v>95</v>
      </c>
      <c r="B53" t="b">
        <v>0</v>
      </c>
      <c r="C53" t="b">
        <v>0</v>
      </c>
      <c r="D53" t="b">
        <v>0</v>
      </c>
      <c r="F53" t="b">
        <v>0</v>
      </c>
      <c r="H53" t="s">
        <v>41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>
        <v>1</v>
      </c>
      <c r="AB53">
        <v>1</v>
      </c>
      <c r="AC53">
        <f>VLOOKUP(A:A,[1]android_repos_all_metrics!B:K,4,FALSE)</f>
        <v>50</v>
      </c>
      <c r="AD53">
        <f>VLOOKUP(A:A,[1]android_repos_all_metrics!B:K,5,FALSE)</f>
        <v>2</v>
      </c>
      <c r="AE53">
        <f>VLOOKUP(A:A,[1]android_repos_all_metrics!B:K,6,FALSE)</f>
        <v>2</v>
      </c>
      <c r="AF53">
        <f>VLOOKUP(A:A,[1]android_repos_all_metrics!B:K,7,FALSE)</f>
        <v>175</v>
      </c>
      <c r="AG53">
        <f>VLOOKUP(A:A,[1]android_repos_all_metrics!B:K,8,FALSE)</f>
        <v>8</v>
      </c>
      <c r="AH53">
        <f>VLOOKUP(A:A,[1]android_repos_all_metrics!B:K,9,FALSE)</f>
        <v>78</v>
      </c>
      <c r="AI53">
        <f>VLOOKUP(A:A,[1]android_repos_all_metrics!B:K,10,FALSE)</f>
        <v>2</v>
      </c>
    </row>
    <row r="54" spans="1:35">
      <c r="A54" t="s">
        <v>96</v>
      </c>
      <c r="B54" t="b">
        <v>1</v>
      </c>
      <c r="C54" t="b">
        <v>1</v>
      </c>
      <c r="D54" t="b">
        <v>1</v>
      </c>
      <c r="E54" t="s">
        <v>36</v>
      </c>
      <c r="F54" t="b">
        <v>1</v>
      </c>
      <c r="G54" t="s">
        <v>39</v>
      </c>
      <c r="H54" t="s">
        <v>86</v>
      </c>
      <c r="I54" t="s">
        <v>86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>
        <v>1</v>
      </c>
      <c r="AA54">
        <v>5</v>
      </c>
      <c r="AB54">
        <v>0</v>
      </c>
      <c r="AC54">
        <f>VLOOKUP(A:A,[1]android_repos_all_metrics!B:K,4,FALSE)</f>
        <v>1969</v>
      </c>
      <c r="AD54">
        <f>VLOOKUP(A:A,[1]android_repos_all_metrics!B:K,5,FALSE)</f>
        <v>229</v>
      </c>
      <c r="AE54">
        <f>VLOOKUP(A:A,[1]android_repos_all_metrics!B:K,6,FALSE)</f>
        <v>28</v>
      </c>
      <c r="AF54">
        <f>VLOOKUP(A:A,[1]android_repos_all_metrics!B:K,7,FALSE)</f>
        <v>16401</v>
      </c>
      <c r="AG54">
        <f>VLOOKUP(A:A,[1]android_repos_all_metrics!B:K,8,FALSE)</f>
        <v>141</v>
      </c>
      <c r="AH54">
        <f>VLOOKUP(A:A,[1]android_repos_all_metrics!B:K,9,FALSE)</f>
        <v>402</v>
      </c>
      <c r="AI54">
        <f>VLOOKUP(A:A,[1]android_repos_all_metrics!B:K,10,FALSE)</f>
        <v>47</v>
      </c>
    </row>
    <row r="55" spans="1:35">
      <c r="A55" t="s">
        <v>97</v>
      </c>
      <c r="B55" t="b">
        <v>1</v>
      </c>
      <c r="C55" t="b">
        <v>0</v>
      </c>
      <c r="D55" t="b">
        <v>0</v>
      </c>
      <c r="F55" t="b">
        <v>0</v>
      </c>
      <c r="H55" t="s">
        <v>37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>
        <v>2</v>
      </c>
      <c r="AB55">
        <v>0</v>
      </c>
      <c r="AC55">
        <f>VLOOKUP(A:A,[1]android_repos_all_metrics!B:K,4,FALSE)</f>
        <v>487</v>
      </c>
      <c r="AD55">
        <f>VLOOKUP(A:A,[1]android_repos_all_metrics!B:K,5,FALSE)</f>
        <v>46</v>
      </c>
      <c r="AE55">
        <f>VLOOKUP(A:A,[1]android_repos_all_metrics!B:K,6,FALSE)</f>
        <v>13</v>
      </c>
      <c r="AF55">
        <f>VLOOKUP(A:A,[1]android_repos_all_metrics!B:K,7,FALSE)</f>
        <v>7725</v>
      </c>
      <c r="AG55">
        <f>VLOOKUP(A:A,[1]android_repos_all_metrics!B:K,8,FALSE)</f>
        <v>93</v>
      </c>
      <c r="AH55">
        <f>VLOOKUP(A:A,[1]android_repos_all_metrics!B:K,9,FALSE)</f>
        <v>313</v>
      </c>
      <c r="AI55">
        <f>VLOOKUP(A:A,[1]android_repos_all_metrics!B:K,10,FALSE)</f>
        <v>65</v>
      </c>
    </row>
    <row r="56" spans="1:35">
      <c r="A56" t="s">
        <v>98</v>
      </c>
      <c r="B56" t="b">
        <v>1</v>
      </c>
      <c r="C56" t="b">
        <v>0</v>
      </c>
      <c r="D56" t="b">
        <v>0</v>
      </c>
      <c r="F56" t="b">
        <v>0</v>
      </c>
      <c r="H56" t="s">
        <v>37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>
        <v>2</v>
      </c>
      <c r="AB56">
        <v>0</v>
      </c>
      <c r="AC56">
        <f>VLOOKUP(A:A,[1]android_repos_all_metrics!B:K,4,FALSE)</f>
        <v>45</v>
      </c>
      <c r="AD56">
        <f>VLOOKUP(A:A,[1]android_repos_all_metrics!B:K,5,FALSE)</f>
        <v>0</v>
      </c>
      <c r="AE56">
        <f>VLOOKUP(A:A,[1]android_repos_all_metrics!B:K,6,FALSE)</f>
        <v>1</v>
      </c>
      <c r="AF56">
        <f>VLOOKUP(A:A,[1]android_repos_all_metrics!B:K,7,FALSE)</f>
        <v>226</v>
      </c>
      <c r="AG56">
        <f>VLOOKUP(A:A,[1]android_repos_all_metrics!B:K,8,FALSE)</f>
        <v>21</v>
      </c>
      <c r="AH56">
        <f>VLOOKUP(A:A,[1]android_repos_all_metrics!B:K,9,FALSE)</f>
        <v>63</v>
      </c>
      <c r="AI56">
        <f>VLOOKUP(A:A,[1]android_repos_all_metrics!B:K,10,FALSE)</f>
        <v>0</v>
      </c>
    </row>
    <row r="57" spans="1:35">
      <c r="A57" t="s">
        <v>99</v>
      </c>
      <c r="B57" t="b">
        <v>1</v>
      </c>
      <c r="C57" t="b">
        <v>0</v>
      </c>
      <c r="D57" t="b">
        <v>0</v>
      </c>
      <c r="F57" t="b">
        <v>0</v>
      </c>
      <c r="H57" t="s">
        <v>43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>
        <v>1</v>
      </c>
      <c r="AB57">
        <v>0</v>
      </c>
      <c r="AC57">
        <f>VLOOKUP(A:A,[1]android_repos_all_metrics!B:K,4,FALSE)</f>
        <v>175</v>
      </c>
      <c r="AD57">
        <f>VLOOKUP(A:A,[1]android_repos_all_metrics!B:K,5,FALSE)</f>
        <v>5</v>
      </c>
      <c r="AE57">
        <f>VLOOKUP(A:A,[1]android_repos_all_metrics!B:K,6,FALSE)</f>
        <v>1</v>
      </c>
      <c r="AF57">
        <f>VLOOKUP(A:A,[1]android_repos_all_metrics!B:K,7,FALSE)</f>
        <v>3302</v>
      </c>
      <c r="AG57">
        <f>VLOOKUP(A:A,[1]android_repos_all_metrics!B:K,8,FALSE)</f>
        <v>28</v>
      </c>
      <c r="AH57">
        <f>VLOOKUP(A:A,[1]android_repos_all_metrics!B:K,9,FALSE)</f>
        <v>117</v>
      </c>
      <c r="AI57">
        <f>VLOOKUP(A:A,[1]android_repos_all_metrics!B:K,10,FALSE)</f>
        <v>3</v>
      </c>
    </row>
    <row r="58" spans="1:35">
      <c r="A58" t="s">
        <v>100</v>
      </c>
      <c r="B58" t="b">
        <v>1</v>
      </c>
      <c r="C58" t="b">
        <v>0</v>
      </c>
      <c r="D58" t="b">
        <v>0</v>
      </c>
      <c r="F58" t="b">
        <v>0</v>
      </c>
      <c r="H58" t="s">
        <v>41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>
        <v>1</v>
      </c>
      <c r="AB58">
        <v>0</v>
      </c>
      <c r="AC58">
        <f>VLOOKUP(A:A,[1]android_repos_all_metrics!B:K,4,FALSE)</f>
        <v>12</v>
      </c>
      <c r="AD58">
        <f>VLOOKUP(A:A,[1]android_repos_all_metrics!B:K,5,FALSE)</f>
        <v>0</v>
      </c>
      <c r="AE58">
        <f>VLOOKUP(A:A,[1]android_repos_all_metrics!B:K,6,FALSE)</f>
        <v>1</v>
      </c>
      <c r="AF58">
        <f>VLOOKUP(A:A,[1]android_repos_all_metrics!B:K,7,FALSE)</f>
        <v>1164</v>
      </c>
      <c r="AG58">
        <f>VLOOKUP(A:A,[1]android_repos_all_metrics!B:K,8,FALSE)</f>
        <v>2</v>
      </c>
      <c r="AH58">
        <f>VLOOKUP(A:A,[1]android_repos_all_metrics!B:K,9,FALSE)</f>
        <v>3</v>
      </c>
      <c r="AI58">
        <f>VLOOKUP(A:A,[1]android_repos_all_metrics!B:K,10,FALSE)</f>
        <v>2</v>
      </c>
    </row>
    <row r="59" spans="1:35">
      <c r="A59" t="s">
        <v>101</v>
      </c>
      <c r="B59" t="b">
        <v>1</v>
      </c>
      <c r="C59" t="b">
        <v>0</v>
      </c>
      <c r="D59" t="b">
        <v>0</v>
      </c>
      <c r="F59" t="b">
        <v>0</v>
      </c>
      <c r="H59" t="s">
        <v>37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>
        <v>3</v>
      </c>
      <c r="AB59">
        <v>0</v>
      </c>
      <c r="AC59">
        <f>VLOOKUP(A:A,[1]android_repos_all_metrics!B:K,4,FALSE)</f>
        <v>540</v>
      </c>
      <c r="AD59">
        <f>VLOOKUP(A:A,[1]android_repos_all_metrics!B:K,5,FALSE)</f>
        <v>42</v>
      </c>
      <c r="AE59">
        <f>VLOOKUP(A:A,[1]android_repos_all_metrics!B:K,6,FALSE)</f>
        <v>16</v>
      </c>
      <c r="AF59">
        <f>VLOOKUP(A:A,[1]android_repos_all_metrics!B:K,7,FALSE)</f>
        <v>254551</v>
      </c>
      <c r="AG59">
        <f>VLOOKUP(A:A,[1]android_repos_all_metrics!B:K,8,FALSE)</f>
        <v>7</v>
      </c>
      <c r="AH59">
        <f>VLOOKUP(A:A,[1]android_repos_all_metrics!B:K,9,FALSE)</f>
        <v>17</v>
      </c>
      <c r="AI59">
        <f>VLOOKUP(A:A,[1]android_repos_all_metrics!B:K,10,FALSE)</f>
        <v>27</v>
      </c>
    </row>
    <row r="60" spans="1:35">
      <c r="A60" t="s">
        <v>102</v>
      </c>
      <c r="B60" t="b">
        <v>1</v>
      </c>
      <c r="C60" t="b">
        <v>0</v>
      </c>
      <c r="D60" t="b">
        <v>0</v>
      </c>
      <c r="F60" t="b">
        <v>0</v>
      </c>
      <c r="H60" t="s">
        <v>37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>
        <v>2</v>
      </c>
      <c r="AB60">
        <v>0</v>
      </c>
      <c r="AC60">
        <f>VLOOKUP(A:A,[1]android_repos_all_metrics!B:K,4,FALSE)</f>
        <v>263</v>
      </c>
      <c r="AD60">
        <f>VLOOKUP(A:A,[1]android_repos_all_metrics!B:K,5,FALSE)</f>
        <v>22</v>
      </c>
      <c r="AE60">
        <f>VLOOKUP(A:A,[1]android_repos_all_metrics!B:K,6,FALSE)</f>
        <v>16</v>
      </c>
      <c r="AF60">
        <f>VLOOKUP(A:A,[1]android_repos_all_metrics!B:K,7,FALSE)</f>
        <v>3900</v>
      </c>
      <c r="AG60">
        <f>VLOOKUP(A:A,[1]android_repos_all_metrics!B:K,8,FALSE)</f>
        <v>24</v>
      </c>
      <c r="AH60">
        <f>VLOOKUP(A:A,[1]android_repos_all_metrics!B:K,9,FALSE)</f>
        <v>426</v>
      </c>
      <c r="AI60">
        <f>VLOOKUP(A:A,[1]android_repos_all_metrics!B:K,10,FALSE)</f>
        <v>16</v>
      </c>
    </row>
    <row r="61" spans="1:35">
      <c r="A61" t="s">
        <v>103</v>
      </c>
      <c r="B61" t="b">
        <v>1</v>
      </c>
      <c r="C61" t="b">
        <v>1</v>
      </c>
      <c r="D61" t="b">
        <v>1</v>
      </c>
      <c r="E61" t="s">
        <v>104</v>
      </c>
      <c r="F61" t="b">
        <v>0</v>
      </c>
      <c r="H61" t="s">
        <v>37</v>
      </c>
      <c r="I61" t="s">
        <v>37</v>
      </c>
      <c r="J61" t="b">
        <v>1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>
        <v>3</v>
      </c>
      <c r="AA61">
        <v>5</v>
      </c>
      <c r="AB61">
        <v>0</v>
      </c>
      <c r="AC61">
        <f>VLOOKUP(A:A,[1]android_repos_all_metrics!B:K,4,FALSE)</f>
        <v>5939</v>
      </c>
      <c r="AD61">
        <f>VLOOKUP(A:A,[1]android_repos_all_metrics!B:K,5,FALSE)</f>
        <v>1551</v>
      </c>
      <c r="AE61">
        <f>VLOOKUP(A:A,[1]android_repos_all_metrics!B:K,6,FALSE)</f>
        <v>142</v>
      </c>
      <c r="AF61">
        <f>VLOOKUP(A:A,[1]android_repos_all_metrics!B:K,7,FALSE)</f>
        <v>58427</v>
      </c>
      <c r="AG61">
        <f>VLOOKUP(A:A,[1]android_repos_all_metrics!B:K,8,FALSE)</f>
        <v>1412</v>
      </c>
      <c r="AH61">
        <f>VLOOKUP(A:A,[1]android_repos_all_metrics!B:K,9,FALSE)</f>
        <v>4383</v>
      </c>
      <c r="AI61">
        <f>VLOOKUP(A:A,[1]android_repos_all_metrics!B:K,10,FALSE)</f>
        <v>508</v>
      </c>
    </row>
    <row r="62" spans="1:35">
      <c r="A62" t="s">
        <v>105</v>
      </c>
      <c r="B62" t="b">
        <v>1</v>
      </c>
      <c r="C62" t="b">
        <v>0</v>
      </c>
      <c r="D62" t="b">
        <v>0</v>
      </c>
      <c r="F62" t="b">
        <v>0</v>
      </c>
      <c r="H62" t="s">
        <v>76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>
        <v>1</v>
      </c>
      <c r="AB62">
        <v>0</v>
      </c>
      <c r="AC62">
        <f>VLOOKUP(A:A,[1]android_repos_all_metrics!B:K,4,FALSE)</f>
        <v>1077</v>
      </c>
      <c r="AD62">
        <f>VLOOKUP(A:A,[1]android_repos_all_metrics!B:K,5,FALSE)</f>
        <v>2</v>
      </c>
      <c r="AE62">
        <f>VLOOKUP(A:A,[1]android_repos_all_metrics!B:K,6,FALSE)</f>
        <v>24</v>
      </c>
      <c r="AF62">
        <f>VLOOKUP(A:A,[1]android_repos_all_metrics!B:K,7,FALSE)</f>
        <v>280414</v>
      </c>
      <c r="AG62">
        <f>VLOOKUP(A:A,[1]android_repos_all_metrics!B:K,8,FALSE)</f>
        <v>1</v>
      </c>
      <c r="AH62">
        <f>VLOOKUP(A:A,[1]android_repos_all_metrics!B:K,9,FALSE)</f>
        <v>2</v>
      </c>
      <c r="AI62">
        <f>VLOOKUP(A:A,[1]android_repos_all_metrics!B:K,10,FALSE)</f>
        <v>1</v>
      </c>
    </row>
    <row r="63" spans="1:35">
      <c r="A63" t="s">
        <v>106</v>
      </c>
      <c r="B63" t="b">
        <v>0</v>
      </c>
      <c r="C63" t="b">
        <v>0</v>
      </c>
      <c r="D63" t="b">
        <v>0</v>
      </c>
      <c r="F63" t="b">
        <v>0</v>
      </c>
      <c r="H63" t="s">
        <v>41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>
        <v>1</v>
      </c>
      <c r="AB63">
        <v>0</v>
      </c>
      <c r="AC63">
        <f>VLOOKUP(A:A,[1]android_repos_all_metrics!B:K,4,FALSE)</f>
        <v>73</v>
      </c>
      <c r="AD63">
        <f>VLOOKUP(A:A,[1]android_repos_all_metrics!B:K,5,FALSE)</f>
        <v>1</v>
      </c>
      <c r="AE63">
        <f>VLOOKUP(A:A,[1]android_repos_all_metrics!B:K,6,FALSE)</f>
        <v>1</v>
      </c>
      <c r="AF63">
        <f>VLOOKUP(A:A,[1]android_repos_all_metrics!B:K,7,FALSE)</f>
        <v>5178</v>
      </c>
      <c r="AG63">
        <f>VLOOKUP(A:A,[1]android_repos_all_metrics!B:K,8,FALSE)</f>
        <v>0</v>
      </c>
      <c r="AH63">
        <f>VLOOKUP(A:A,[1]android_repos_all_metrics!B:K,9,FALSE)</f>
        <v>3</v>
      </c>
      <c r="AI63">
        <f>VLOOKUP(A:A,[1]android_repos_all_metrics!B:K,10,FALSE)</f>
        <v>5</v>
      </c>
    </row>
    <row r="64" spans="1:35">
      <c r="A64" t="s">
        <v>107</v>
      </c>
      <c r="B64" t="b">
        <v>1</v>
      </c>
      <c r="C64" t="b">
        <v>0</v>
      </c>
      <c r="D64" t="b">
        <v>0</v>
      </c>
      <c r="F64" t="b">
        <v>0</v>
      </c>
      <c r="H64" t="s">
        <v>37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>
        <v>2</v>
      </c>
      <c r="AB64">
        <v>0</v>
      </c>
      <c r="AC64">
        <f>VLOOKUP(A:A,[1]android_repos_all_metrics!B:K,4,FALSE)</f>
        <v>1964</v>
      </c>
      <c r="AD64">
        <f>VLOOKUP(A:A,[1]android_repos_all_metrics!B:K,5,FALSE)</f>
        <v>191</v>
      </c>
      <c r="AE64">
        <f>VLOOKUP(A:A,[1]android_repos_all_metrics!B:K,6,FALSE)</f>
        <v>59</v>
      </c>
      <c r="AF64">
        <f>VLOOKUP(A:A,[1]android_repos_all_metrics!B:K,7,FALSE)</f>
        <v>15143</v>
      </c>
      <c r="AG64">
        <f>VLOOKUP(A:A,[1]android_repos_all_metrics!B:K,8,FALSE)</f>
        <v>112</v>
      </c>
      <c r="AH64">
        <f>VLOOKUP(A:A,[1]android_repos_all_metrics!B:K,9,FALSE)</f>
        <v>794</v>
      </c>
      <c r="AI64">
        <f>VLOOKUP(A:A,[1]android_repos_all_metrics!B:K,10,FALSE)</f>
        <v>123</v>
      </c>
    </row>
    <row r="65" spans="1:35">
      <c r="A65" t="s">
        <v>108</v>
      </c>
      <c r="B65" t="b">
        <v>1</v>
      </c>
      <c r="C65" t="b">
        <v>1</v>
      </c>
      <c r="D65" t="b">
        <v>0</v>
      </c>
      <c r="F65" t="b">
        <v>1</v>
      </c>
      <c r="G65" t="s">
        <v>109</v>
      </c>
      <c r="H65" t="s">
        <v>110</v>
      </c>
      <c r="I65" t="s">
        <v>37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>
        <v>4</v>
      </c>
      <c r="AB65">
        <v>0</v>
      </c>
      <c r="AC65">
        <f>VLOOKUP(A:A,[1]android_repos_all_metrics!B:K,4,FALSE)</f>
        <v>222</v>
      </c>
      <c r="AD65">
        <f>VLOOKUP(A:A,[1]android_repos_all_metrics!B:K,5,FALSE)</f>
        <v>20</v>
      </c>
      <c r="AE65">
        <f>VLOOKUP(A:A,[1]android_repos_all_metrics!B:K,6,FALSE)</f>
        <v>1</v>
      </c>
      <c r="AF65">
        <f>VLOOKUP(A:A,[1]android_repos_all_metrics!B:K,7,FALSE)</f>
        <v>143544</v>
      </c>
      <c r="AG65">
        <f>VLOOKUP(A:A,[1]android_repos_all_metrics!B:K,8,FALSE)</f>
        <v>3</v>
      </c>
      <c r="AH65">
        <f>VLOOKUP(A:A,[1]android_repos_all_metrics!B:K,9,FALSE)</f>
        <v>10</v>
      </c>
      <c r="AI65">
        <f>VLOOKUP(A:A,[1]android_repos_all_metrics!B:K,10,FALSE)</f>
        <v>0</v>
      </c>
    </row>
    <row r="66" spans="1:35">
      <c r="A66" t="s">
        <v>111</v>
      </c>
      <c r="B66" t="b">
        <v>1</v>
      </c>
      <c r="C66" t="b">
        <v>0</v>
      </c>
      <c r="D66" t="b">
        <v>0</v>
      </c>
      <c r="F66" t="b">
        <v>0</v>
      </c>
      <c r="H66" t="s">
        <v>86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>
        <v>2</v>
      </c>
      <c r="AB66">
        <v>0</v>
      </c>
      <c r="AC66">
        <f>VLOOKUP(A:A,[1]android_repos_all_metrics!B:K,4,FALSE)</f>
        <v>529</v>
      </c>
      <c r="AD66">
        <f>VLOOKUP(A:A,[1]android_repos_all_metrics!B:K,5,FALSE)</f>
        <v>85</v>
      </c>
      <c r="AE66">
        <f>VLOOKUP(A:A,[1]android_repos_all_metrics!B:K,6,FALSE)</f>
        <v>4</v>
      </c>
      <c r="AF66">
        <f>VLOOKUP(A:A,[1]android_repos_all_metrics!B:K,7,FALSE)</f>
        <v>7300</v>
      </c>
      <c r="AG66">
        <f>VLOOKUP(A:A,[1]android_repos_all_metrics!B:K,8,FALSE)</f>
        <v>2</v>
      </c>
      <c r="AH66">
        <f>VLOOKUP(A:A,[1]android_repos_all_metrics!B:K,9,FALSE)</f>
        <v>1</v>
      </c>
      <c r="AI66">
        <f>VLOOKUP(A:A,[1]android_repos_all_metrics!B:K,10,FALSE)</f>
        <v>1</v>
      </c>
    </row>
    <row r="67" spans="1:35">
      <c r="A67" t="s">
        <v>112</v>
      </c>
      <c r="B67" t="b">
        <v>1</v>
      </c>
      <c r="C67" t="b">
        <v>0</v>
      </c>
      <c r="D67" t="b">
        <v>0</v>
      </c>
      <c r="F67" t="b">
        <v>0</v>
      </c>
      <c r="H67" t="s">
        <v>37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>
        <v>3</v>
      </c>
      <c r="AB67">
        <v>0</v>
      </c>
      <c r="AC67">
        <f>VLOOKUP(A:A,[1]android_repos_all_metrics!B:K,4,FALSE)</f>
        <v>312</v>
      </c>
      <c r="AD67">
        <f>VLOOKUP(A:A,[1]android_repos_all_metrics!B:K,5,FALSE)</f>
        <v>0</v>
      </c>
      <c r="AE67">
        <f>VLOOKUP(A:A,[1]android_repos_all_metrics!B:K,6,FALSE)</f>
        <v>1</v>
      </c>
      <c r="AF67">
        <f>VLOOKUP(A:A,[1]android_repos_all_metrics!B:K,7,FALSE)</f>
        <v>3207</v>
      </c>
      <c r="AG67">
        <f>VLOOKUP(A:A,[1]android_repos_all_metrics!B:K,8,FALSE)</f>
        <v>0</v>
      </c>
      <c r="AH67">
        <f>VLOOKUP(A:A,[1]android_repos_all_metrics!B:K,9,FALSE)</f>
        <v>1</v>
      </c>
      <c r="AI67">
        <f>VLOOKUP(A:A,[1]android_repos_all_metrics!B:K,10,FALSE)</f>
        <v>0</v>
      </c>
    </row>
    <row r="68" spans="1:35">
      <c r="A68" t="s">
        <v>113</v>
      </c>
      <c r="B68" t="b">
        <v>1</v>
      </c>
      <c r="C68" t="b">
        <v>0</v>
      </c>
      <c r="D68" t="b">
        <v>0</v>
      </c>
      <c r="F68" t="b">
        <v>0</v>
      </c>
      <c r="H68" t="s">
        <v>37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>
        <v>1</v>
      </c>
      <c r="AB68">
        <v>0</v>
      </c>
      <c r="AC68">
        <f>VLOOKUP(A:A,[1]android_repos_all_metrics!B:K,4,FALSE)</f>
        <v>11</v>
      </c>
      <c r="AD68">
        <f>VLOOKUP(A:A,[1]android_repos_all_metrics!B:K,5,FALSE)</f>
        <v>4</v>
      </c>
      <c r="AE68">
        <f>VLOOKUP(A:A,[1]android_repos_all_metrics!B:K,6,FALSE)</f>
        <v>1</v>
      </c>
      <c r="AF68">
        <f>VLOOKUP(A:A,[1]android_repos_all_metrics!B:K,7,FALSE)</f>
        <v>426</v>
      </c>
      <c r="AG68">
        <f>VLOOKUP(A:A,[1]android_repos_all_metrics!B:K,8,FALSE)</f>
        <v>5</v>
      </c>
      <c r="AH68">
        <f>VLOOKUP(A:A,[1]android_repos_all_metrics!B:K,9,FALSE)</f>
        <v>69</v>
      </c>
      <c r="AI68">
        <f>VLOOKUP(A:A,[1]android_repos_all_metrics!B:K,10,FALSE)</f>
        <v>1</v>
      </c>
    </row>
    <row r="69" spans="1:35">
      <c r="A69" t="s">
        <v>114</v>
      </c>
      <c r="B69" t="b">
        <v>0</v>
      </c>
      <c r="C69" t="b">
        <v>0</v>
      </c>
      <c r="D69" t="b">
        <v>0</v>
      </c>
      <c r="F69" t="b">
        <v>0</v>
      </c>
      <c r="H69" t="s">
        <v>41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>
        <v>1</v>
      </c>
      <c r="AB69">
        <v>0</v>
      </c>
      <c r="AC69">
        <f>VLOOKUP(A:A,[1]android_repos_all_metrics!B:K,4,FALSE)</f>
        <v>62</v>
      </c>
      <c r="AD69">
        <f>VLOOKUP(A:A,[1]android_repos_all_metrics!B:K,5,FALSE)</f>
        <v>69</v>
      </c>
      <c r="AE69">
        <f>VLOOKUP(A:A,[1]android_repos_all_metrics!B:K,6,FALSE)</f>
        <v>9</v>
      </c>
      <c r="AF69">
        <f>VLOOKUP(A:A,[1]android_repos_all_metrics!B:K,7,FALSE)</f>
        <v>4741</v>
      </c>
      <c r="AG69">
        <f>VLOOKUP(A:A,[1]android_repos_all_metrics!B:K,8,FALSE)</f>
        <v>4</v>
      </c>
      <c r="AH69">
        <f>VLOOKUP(A:A,[1]android_repos_all_metrics!B:K,9,FALSE)</f>
        <v>9</v>
      </c>
      <c r="AI69">
        <f>VLOOKUP(A:A,[1]android_repos_all_metrics!B:K,10,FALSE)</f>
        <v>2</v>
      </c>
    </row>
    <row r="70" spans="1:35">
      <c r="A70" t="s">
        <v>115</v>
      </c>
      <c r="B70" t="b">
        <v>1</v>
      </c>
      <c r="C70" t="b">
        <v>0</v>
      </c>
      <c r="D70" t="b">
        <v>0</v>
      </c>
      <c r="F70" t="b">
        <v>0</v>
      </c>
      <c r="H70" t="s">
        <v>37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>
        <v>1</v>
      </c>
      <c r="AB70">
        <v>0</v>
      </c>
      <c r="AC70">
        <f>VLOOKUP(A:A,[1]android_repos_all_metrics!B:K,4,FALSE)</f>
        <v>79</v>
      </c>
      <c r="AD70">
        <f>VLOOKUP(A:A,[1]android_repos_all_metrics!B:K,5,FALSE)</f>
        <v>3</v>
      </c>
      <c r="AE70">
        <f>VLOOKUP(A:A,[1]android_repos_all_metrics!B:K,6,FALSE)</f>
        <v>1</v>
      </c>
      <c r="AF70">
        <f>VLOOKUP(A:A,[1]android_repos_all_metrics!B:K,7,FALSE)</f>
        <v>11931</v>
      </c>
      <c r="AG70">
        <f>VLOOKUP(A:A,[1]android_repos_all_metrics!B:K,8,FALSE)</f>
        <v>1</v>
      </c>
      <c r="AH70">
        <f>VLOOKUP(A:A,[1]android_repos_all_metrics!B:K,9,FALSE)</f>
        <v>7</v>
      </c>
      <c r="AI70">
        <f>VLOOKUP(A:A,[1]android_repos_all_metrics!B:K,10,FALSE)</f>
        <v>2</v>
      </c>
    </row>
    <row r="71" spans="1:35">
      <c r="A71" t="s">
        <v>116</v>
      </c>
      <c r="B71" t="b">
        <v>1</v>
      </c>
      <c r="C71" t="b">
        <v>0</v>
      </c>
      <c r="D71" t="b">
        <v>0</v>
      </c>
      <c r="F71" t="b">
        <v>0</v>
      </c>
      <c r="H71" t="s">
        <v>37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>
        <v>1</v>
      </c>
      <c r="AB71">
        <v>0</v>
      </c>
      <c r="AC71">
        <f>VLOOKUP(A:A,[1]android_repos_all_metrics!B:K,4,FALSE)</f>
        <v>258</v>
      </c>
      <c r="AD71">
        <f>VLOOKUP(A:A,[1]android_repos_all_metrics!B:K,5,FALSE)</f>
        <v>2</v>
      </c>
      <c r="AE71">
        <f>VLOOKUP(A:A,[1]android_repos_all_metrics!B:K,6,FALSE)</f>
        <v>2</v>
      </c>
      <c r="AF71">
        <f>VLOOKUP(A:A,[1]android_repos_all_metrics!B:K,7,FALSE)</f>
        <v>23758</v>
      </c>
      <c r="AG71">
        <f>VLOOKUP(A:A,[1]android_repos_all_metrics!B:K,8,FALSE)</f>
        <v>0</v>
      </c>
      <c r="AH71">
        <f>VLOOKUP(A:A,[1]android_repos_all_metrics!B:K,9,FALSE)</f>
        <v>7</v>
      </c>
      <c r="AI71">
        <f>VLOOKUP(A:A,[1]android_repos_all_metrics!B:K,10,FALSE)</f>
        <v>0</v>
      </c>
    </row>
    <row r="72" spans="1:35">
      <c r="A72" t="s">
        <v>117</v>
      </c>
      <c r="B72" t="b">
        <v>1</v>
      </c>
      <c r="C72" t="b">
        <v>0</v>
      </c>
      <c r="D72" t="b">
        <v>0</v>
      </c>
      <c r="F72" t="b">
        <v>0</v>
      </c>
      <c r="H72" t="s">
        <v>86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>
        <v>2</v>
      </c>
      <c r="AB72">
        <v>0</v>
      </c>
      <c r="AC72">
        <f>VLOOKUP(A:A,[1]android_repos_all_metrics!B:K,4,FALSE)</f>
        <v>1366</v>
      </c>
      <c r="AD72">
        <f>VLOOKUP(A:A,[1]android_repos_all_metrics!B:K,5,FALSE)</f>
        <v>372</v>
      </c>
      <c r="AE72">
        <f>VLOOKUP(A:A,[1]android_repos_all_metrics!B:K,6,FALSE)</f>
        <v>76</v>
      </c>
      <c r="AF72">
        <f>VLOOKUP(A:A,[1]android_repos_all_metrics!B:K,7,FALSE)</f>
        <v>7063</v>
      </c>
      <c r="AG72">
        <f>VLOOKUP(A:A,[1]android_repos_all_metrics!B:K,8,FALSE)</f>
        <v>1127</v>
      </c>
      <c r="AH72">
        <f>VLOOKUP(A:A,[1]android_repos_all_metrics!B:K,9,FALSE)</f>
        <v>8283</v>
      </c>
      <c r="AI72">
        <f>VLOOKUP(A:A,[1]android_repos_all_metrics!B:K,10,FALSE)</f>
        <v>363</v>
      </c>
    </row>
    <row r="73" spans="1:35">
      <c r="A73" t="s">
        <v>118</v>
      </c>
      <c r="B73" t="b">
        <v>1</v>
      </c>
      <c r="C73" t="b">
        <v>1</v>
      </c>
      <c r="D73" t="b">
        <v>0</v>
      </c>
      <c r="F73" t="b">
        <v>1</v>
      </c>
      <c r="G73" t="s">
        <v>39</v>
      </c>
      <c r="H73" t="s">
        <v>41</v>
      </c>
      <c r="I73" t="s">
        <v>41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>
        <v>1</v>
      </c>
      <c r="AB73">
        <v>0</v>
      </c>
      <c r="AC73">
        <f>VLOOKUP(A:A,[1]android_repos_all_metrics!B:K,4,FALSE)</f>
        <v>2</v>
      </c>
      <c r="AD73">
        <f>VLOOKUP(A:A,[1]android_repos_all_metrics!B:K,5,FALSE)</f>
        <v>0</v>
      </c>
      <c r="AE73">
        <f>VLOOKUP(A:A,[1]android_repos_all_metrics!B:K,6,FALSE)</f>
        <v>1</v>
      </c>
      <c r="AF73">
        <f>VLOOKUP(A:A,[1]android_repos_all_metrics!B:K,7,FALSE)</f>
        <v>18950</v>
      </c>
      <c r="AG73">
        <f>VLOOKUP(A:A,[1]android_repos_all_metrics!B:K,8,FALSE)</f>
        <v>5</v>
      </c>
      <c r="AH73">
        <f>VLOOKUP(A:A,[1]android_repos_all_metrics!B:K,9,FALSE)</f>
        <v>17</v>
      </c>
      <c r="AI73">
        <f>VLOOKUP(A:A,[1]android_repos_all_metrics!B:K,10,FALSE)</f>
        <v>0</v>
      </c>
    </row>
    <row r="74" spans="1:35">
      <c r="A74" t="s">
        <v>119</v>
      </c>
      <c r="B74" t="b">
        <v>1</v>
      </c>
      <c r="C74" t="b">
        <v>0</v>
      </c>
      <c r="D74" t="b">
        <v>0</v>
      </c>
      <c r="F74" t="b">
        <v>0</v>
      </c>
      <c r="H74" t="s">
        <v>41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>
        <v>1</v>
      </c>
      <c r="AB74">
        <v>0</v>
      </c>
      <c r="AC74">
        <f>VLOOKUP(A:A,[1]android_repos_all_metrics!B:K,4,FALSE)</f>
        <v>59</v>
      </c>
      <c r="AD74">
        <f>VLOOKUP(A:A,[1]android_repos_all_metrics!B:K,5,FALSE)</f>
        <v>5</v>
      </c>
      <c r="AE74">
        <f>VLOOKUP(A:A,[1]android_repos_all_metrics!B:K,6,FALSE)</f>
        <v>4</v>
      </c>
      <c r="AF74">
        <f>VLOOKUP(A:A,[1]android_repos_all_metrics!B:K,7,FALSE)</f>
        <v>5375</v>
      </c>
      <c r="AG74">
        <f>VLOOKUP(A:A,[1]android_repos_all_metrics!B:K,8,FALSE)</f>
        <v>77</v>
      </c>
      <c r="AH74">
        <f>VLOOKUP(A:A,[1]android_repos_all_metrics!B:K,9,FALSE)</f>
        <v>770</v>
      </c>
      <c r="AI74">
        <f>VLOOKUP(A:A,[1]android_repos_all_metrics!B:K,10,FALSE)</f>
        <v>2</v>
      </c>
    </row>
    <row r="75" spans="1:35">
      <c r="A75" t="s">
        <v>120</v>
      </c>
      <c r="B75" t="b">
        <v>1</v>
      </c>
      <c r="C75" t="b">
        <v>1</v>
      </c>
      <c r="D75" t="b">
        <v>1</v>
      </c>
      <c r="E75" t="s">
        <v>36</v>
      </c>
      <c r="F75" t="b">
        <v>0</v>
      </c>
      <c r="H75" t="s">
        <v>37</v>
      </c>
      <c r="I75" t="s">
        <v>37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>
        <v>1</v>
      </c>
      <c r="AA75">
        <v>7</v>
      </c>
      <c r="AB75">
        <v>0</v>
      </c>
      <c r="AC75">
        <f>VLOOKUP(A:A,[1]android_repos_all_metrics!B:K,4,FALSE)</f>
        <v>9754</v>
      </c>
      <c r="AD75">
        <f>VLOOKUP(A:A,[1]android_repos_all_metrics!B:K,5,FALSE)</f>
        <v>415</v>
      </c>
      <c r="AE75">
        <f>VLOOKUP(A:A,[1]android_repos_all_metrics!B:K,6,FALSE)</f>
        <v>24</v>
      </c>
      <c r="AF75">
        <f>VLOOKUP(A:A,[1]android_repos_all_metrics!B:K,7,FALSE)</f>
        <v>135255</v>
      </c>
      <c r="AG75">
        <f>VLOOKUP(A:A,[1]android_repos_all_metrics!B:K,8,FALSE)</f>
        <v>187</v>
      </c>
      <c r="AH75">
        <f>VLOOKUP(A:A,[1]android_repos_all_metrics!B:K,9,FALSE)</f>
        <v>448</v>
      </c>
      <c r="AI75">
        <f>VLOOKUP(A:A,[1]android_repos_all_metrics!B:K,10,FALSE)</f>
        <v>643</v>
      </c>
    </row>
    <row r="76" spans="1:35">
      <c r="A76" t="s">
        <v>121</v>
      </c>
      <c r="B76" t="b">
        <v>1</v>
      </c>
      <c r="C76" t="b">
        <v>0</v>
      </c>
      <c r="D76" t="b">
        <v>0</v>
      </c>
      <c r="F76" t="b">
        <v>0</v>
      </c>
      <c r="H76" t="s">
        <v>37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>
        <v>3</v>
      </c>
      <c r="AB76">
        <v>0</v>
      </c>
      <c r="AC76">
        <f>VLOOKUP(A:A,[1]android_repos_all_metrics!B:K,4,FALSE)</f>
        <v>3944</v>
      </c>
      <c r="AD76">
        <f>VLOOKUP(A:A,[1]android_repos_all_metrics!B:K,5,FALSE)</f>
        <v>669</v>
      </c>
      <c r="AE76">
        <f>VLOOKUP(A:A,[1]android_repos_all_metrics!B:K,6,FALSE)</f>
        <v>12</v>
      </c>
      <c r="AF76">
        <f>VLOOKUP(A:A,[1]android_repos_all_metrics!B:K,7,FALSE)</f>
        <v>31969</v>
      </c>
      <c r="AG76">
        <f>VLOOKUP(A:A,[1]android_repos_all_metrics!B:K,8,FALSE)</f>
        <v>20</v>
      </c>
      <c r="AH76">
        <f>VLOOKUP(A:A,[1]android_repos_all_metrics!B:K,9,FALSE)</f>
        <v>58</v>
      </c>
      <c r="AI76">
        <f>VLOOKUP(A:A,[1]android_repos_all_metrics!B:K,10,FALSE)</f>
        <v>42</v>
      </c>
    </row>
    <row r="77" spans="1:35">
      <c r="A77" t="s">
        <v>122</v>
      </c>
      <c r="B77" t="b">
        <v>1</v>
      </c>
      <c r="C77" t="b">
        <v>1</v>
      </c>
      <c r="D77" t="b">
        <v>0</v>
      </c>
      <c r="F77" t="b">
        <v>1</v>
      </c>
      <c r="G77" t="s">
        <v>39</v>
      </c>
      <c r="H77" t="s">
        <v>41</v>
      </c>
      <c r="I77" t="s">
        <v>41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>
        <v>1</v>
      </c>
      <c r="AB77">
        <v>0</v>
      </c>
      <c r="AC77">
        <f>VLOOKUP(A:A,[1]android_repos_all_metrics!B:K,4,FALSE)</f>
        <v>158</v>
      </c>
      <c r="AD77">
        <f>VLOOKUP(A:A,[1]android_repos_all_metrics!B:K,5,FALSE)</f>
        <v>9</v>
      </c>
      <c r="AE77">
        <f>VLOOKUP(A:A,[1]android_repos_all_metrics!B:K,6,FALSE)</f>
        <v>3</v>
      </c>
      <c r="AF77">
        <f>VLOOKUP(A:A,[1]android_repos_all_metrics!B:K,7,FALSE)</f>
        <v>1252</v>
      </c>
      <c r="AG77">
        <f>VLOOKUP(A:A,[1]android_repos_all_metrics!B:K,8,FALSE)</f>
        <v>41</v>
      </c>
      <c r="AH77">
        <f>VLOOKUP(A:A,[1]android_repos_all_metrics!B:K,9,FALSE)</f>
        <v>204</v>
      </c>
      <c r="AI77">
        <f>VLOOKUP(A:A,[1]android_repos_all_metrics!B:K,10,FALSE)</f>
        <v>16</v>
      </c>
    </row>
    <row r="78" spans="1:35">
      <c r="A78" t="s">
        <v>123</v>
      </c>
      <c r="B78" t="b">
        <v>0</v>
      </c>
      <c r="C78" t="b">
        <v>0</v>
      </c>
      <c r="D78" t="b">
        <v>0</v>
      </c>
      <c r="F78" t="b">
        <v>0</v>
      </c>
      <c r="H78" t="s">
        <v>41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>
        <v>1</v>
      </c>
      <c r="AB78">
        <v>0</v>
      </c>
      <c r="AC78">
        <f>VLOOKUP(A:A,[1]android_repos_all_metrics!B:K,4,FALSE)</f>
        <v>52</v>
      </c>
      <c r="AD78">
        <f>VLOOKUP(A:A,[1]android_repos_all_metrics!B:K,5,FALSE)</f>
        <v>0</v>
      </c>
      <c r="AE78">
        <f>VLOOKUP(A:A,[1]android_repos_all_metrics!B:K,6,FALSE)</f>
        <v>1</v>
      </c>
      <c r="AF78">
        <f>VLOOKUP(A:A,[1]android_repos_all_metrics!B:K,7,FALSE)</f>
        <v>94606</v>
      </c>
      <c r="AG78">
        <f>VLOOKUP(A:A,[1]android_repos_all_metrics!B:K,8,FALSE)</f>
        <v>2</v>
      </c>
      <c r="AH78">
        <f>VLOOKUP(A:A,[1]android_repos_all_metrics!B:K,9,FALSE)</f>
        <v>10</v>
      </c>
      <c r="AI78">
        <f>VLOOKUP(A:A,[1]android_repos_all_metrics!B:K,10,FALSE)</f>
        <v>4</v>
      </c>
    </row>
    <row r="79" spans="1:35">
      <c r="A79" t="s">
        <v>124</v>
      </c>
      <c r="B79" t="b">
        <v>1</v>
      </c>
      <c r="C79" t="b">
        <v>0</v>
      </c>
      <c r="D79" t="b">
        <v>0</v>
      </c>
      <c r="F79" t="b">
        <v>0</v>
      </c>
      <c r="H79" t="s">
        <v>37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>
        <v>1</v>
      </c>
      <c r="AB79">
        <v>0</v>
      </c>
      <c r="AC79">
        <f>VLOOKUP(A:A,[1]android_repos_all_metrics!B:K,4,FALSE)</f>
        <v>1581</v>
      </c>
      <c r="AD79">
        <f>VLOOKUP(A:A,[1]android_repos_all_metrics!B:K,5,FALSE)</f>
        <v>28</v>
      </c>
      <c r="AE79">
        <f>VLOOKUP(A:A,[1]android_repos_all_metrics!B:K,6,FALSE)</f>
        <v>203</v>
      </c>
      <c r="AF79">
        <f>VLOOKUP(A:A,[1]android_repos_all_metrics!B:K,7,FALSE)</f>
        <v>51606</v>
      </c>
      <c r="AG79">
        <f>VLOOKUP(A:A,[1]android_repos_all_metrics!B:K,8,FALSE)</f>
        <v>256</v>
      </c>
      <c r="AH79">
        <f>VLOOKUP(A:A,[1]android_repos_all_metrics!B:K,9,FALSE)</f>
        <v>981</v>
      </c>
      <c r="AI79">
        <f>VLOOKUP(A:A,[1]android_repos_all_metrics!B:K,10,FALSE)</f>
        <v>62</v>
      </c>
    </row>
    <row r="80" spans="1:35">
      <c r="A80" t="s">
        <v>125</v>
      </c>
      <c r="B80" t="b">
        <v>1</v>
      </c>
      <c r="C80" t="b">
        <v>1</v>
      </c>
      <c r="D80" t="b">
        <v>1</v>
      </c>
      <c r="E80" t="s">
        <v>104</v>
      </c>
      <c r="F80" t="b">
        <v>1</v>
      </c>
      <c r="G80" t="s">
        <v>39</v>
      </c>
      <c r="H80" t="s">
        <v>126</v>
      </c>
      <c r="I80" t="s">
        <v>86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  <c r="X80" t="b">
        <v>1</v>
      </c>
      <c r="Y80" t="b">
        <v>0</v>
      </c>
      <c r="Z80">
        <v>4</v>
      </c>
      <c r="AA80">
        <v>64</v>
      </c>
      <c r="AB80">
        <v>0</v>
      </c>
      <c r="AC80">
        <f>VLOOKUP(A:A,[1]android_repos_all_metrics!B:K,4,FALSE)</f>
        <v>99</v>
      </c>
      <c r="AD80">
        <f>VLOOKUP(A:A,[1]android_repos_all_metrics!B:K,5,FALSE)</f>
        <v>95</v>
      </c>
      <c r="AE80">
        <f>VLOOKUP(A:A,[1]android_repos_all_metrics!B:K,6,FALSE)</f>
        <v>4</v>
      </c>
      <c r="AF80">
        <f>VLOOKUP(A:A,[1]android_repos_all_metrics!B:K,7,FALSE)</f>
        <v>667</v>
      </c>
      <c r="AG80">
        <f>VLOOKUP(A:A,[1]android_repos_all_metrics!B:K,8,FALSE)</f>
        <v>0</v>
      </c>
      <c r="AH80">
        <f>VLOOKUP(A:A,[1]android_repos_all_metrics!B:K,9,FALSE)</f>
        <v>8</v>
      </c>
      <c r="AI80">
        <f>VLOOKUP(A:A,[1]android_repos_all_metrics!B:K,10,FALSE)</f>
        <v>12</v>
      </c>
    </row>
    <row r="81" spans="1:35">
      <c r="A81" t="s">
        <v>127</v>
      </c>
      <c r="B81" t="b">
        <v>1</v>
      </c>
      <c r="C81" t="b">
        <v>0</v>
      </c>
      <c r="D81" t="b">
        <v>0</v>
      </c>
      <c r="F81" t="b">
        <v>0</v>
      </c>
      <c r="H81" t="s">
        <v>37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>
        <v>2</v>
      </c>
      <c r="AB81">
        <v>0</v>
      </c>
      <c r="AC81">
        <f>VLOOKUP(A:A,[1]android_repos_all_metrics!B:K,4,FALSE)</f>
        <v>0</v>
      </c>
      <c r="AD81">
        <f>VLOOKUP(A:A,[1]android_repos_all_metrics!B:K,5,FALSE)</f>
        <v>0</v>
      </c>
      <c r="AE81">
        <f>VLOOKUP(A:A,[1]android_repos_all_metrics!B:K,6,FALSE)</f>
        <v>0</v>
      </c>
      <c r="AF81">
        <f>VLOOKUP(A:A,[1]android_repos_all_metrics!B:K,7,FALSE)</f>
        <v>2035</v>
      </c>
      <c r="AG81">
        <f>VLOOKUP(A:A,[1]android_repos_all_metrics!B:K,8,FALSE)</f>
        <v>0</v>
      </c>
      <c r="AH81">
        <f>VLOOKUP(A:A,[1]android_repos_all_metrics!B:K,9,FALSE)</f>
        <v>2</v>
      </c>
      <c r="AI81">
        <f>VLOOKUP(A:A,[1]android_repos_all_metrics!B:K,10,FALSE)</f>
        <v>0</v>
      </c>
    </row>
    <row r="82" spans="1:35">
      <c r="A82" t="s">
        <v>128</v>
      </c>
      <c r="B82" t="b">
        <v>1</v>
      </c>
      <c r="C82" t="b">
        <v>1</v>
      </c>
      <c r="D82" t="b">
        <v>0</v>
      </c>
      <c r="F82" t="b">
        <v>1</v>
      </c>
      <c r="G82" t="s">
        <v>129</v>
      </c>
      <c r="H82" t="s">
        <v>40</v>
      </c>
      <c r="I82" t="s">
        <v>76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>
        <v>2</v>
      </c>
      <c r="AB82">
        <v>0</v>
      </c>
      <c r="AC82">
        <f>VLOOKUP(A:A,[1]android_repos_all_metrics!B:K,4,FALSE)</f>
        <v>121</v>
      </c>
      <c r="AD82">
        <f>VLOOKUP(A:A,[1]android_repos_all_metrics!B:K,5,FALSE)</f>
        <v>3</v>
      </c>
      <c r="AE82">
        <f>VLOOKUP(A:A,[1]android_repos_all_metrics!B:K,6,FALSE)</f>
        <v>2</v>
      </c>
      <c r="AF82">
        <f>VLOOKUP(A:A,[1]android_repos_all_metrics!B:K,7,FALSE)</f>
        <v>6654</v>
      </c>
      <c r="AG82">
        <f>VLOOKUP(A:A,[1]android_repos_all_metrics!B:K,8,FALSE)</f>
        <v>1</v>
      </c>
      <c r="AH82">
        <f>VLOOKUP(A:A,[1]android_repos_all_metrics!B:K,9,FALSE)</f>
        <v>3</v>
      </c>
      <c r="AI82">
        <f>VLOOKUP(A:A,[1]android_repos_all_metrics!B:K,10,FALSE)</f>
        <v>1</v>
      </c>
    </row>
    <row r="83" spans="1:35">
      <c r="A83" t="s">
        <v>130</v>
      </c>
      <c r="B83" t="b">
        <v>1</v>
      </c>
      <c r="C83" t="b">
        <v>0</v>
      </c>
      <c r="D83" t="b">
        <v>0</v>
      </c>
      <c r="F83" t="b">
        <v>0</v>
      </c>
      <c r="H83" t="s">
        <v>86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>
        <v>2</v>
      </c>
      <c r="AB83">
        <v>0</v>
      </c>
      <c r="AC83">
        <f>VLOOKUP(A:A,[1]android_repos_all_metrics!B:K,4,FALSE)</f>
        <v>963</v>
      </c>
      <c r="AD83">
        <f>VLOOKUP(A:A,[1]android_repos_all_metrics!B:K,5,FALSE)</f>
        <v>69</v>
      </c>
      <c r="AE83">
        <f>VLOOKUP(A:A,[1]android_repos_all_metrics!B:K,6,FALSE)</f>
        <v>35</v>
      </c>
      <c r="AF83">
        <f>VLOOKUP(A:A,[1]android_repos_all_metrics!B:K,7,FALSE)</f>
        <v>23396</v>
      </c>
      <c r="AG83">
        <f>VLOOKUP(A:A,[1]android_repos_all_metrics!B:K,8,FALSE)</f>
        <v>61</v>
      </c>
      <c r="AH83">
        <f>VLOOKUP(A:A,[1]android_repos_all_metrics!B:K,9,FALSE)</f>
        <v>194</v>
      </c>
      <c r="AI83">
        <f>VLOOKUP(A:A,[1]android_repos_all_metrics!B:K,10,FALSE)</f>
        <v>32</v>
      </c>
    </row>
    <row r="84" spans="1:35">
      <c r="A84" t="s">
        <v>131</v>
      </c>
      <c r="B84" t="b">
        <v>1</v>
      </c>
      <c r="C84" t="b">
        <v>1</v>
      </c>
      <c r="D84" t="b">
        <v>1</v>
      </c>
      <c r="E84" t="s">
        <v>36</v>
      </c>
      <c r="F84" t="b">
        <v>0</v>
      </c>
      <c r="H84" t="s">
        <v>132</v>
      </c>
      <c r="I84" t="s">
        <v>37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>
        <v>12</v>
      </c>
      <c r="AB84">
        <v>0</v>
      </c>
      <c r="AC84">
        <f>VLOOKUP(A:A,[1]android_repos_all_metrics!B:K,4,FALSE)</f>
        <v>97</v>
      </c>
      <c r="AD84">
        <f>VLOOKUP(A:A,[1]android_repos_all_metrics!B:K,5,FALSE)</f>
        <v>1</v>
      </c>
      <c r="AE84">
        <f>VLOOKUP(A:A,[1]android_repos_all_metrics!B:K,6,FALSE)</f>
        <v>3</v>
      </c>
      <c r="AF84">
        <f>VLOOKUP(A:A,[1]android_repos_all_metrics!B:K,7,FALSE)</f>
        <v>2210</v>
      </c>
      <c r="AG84">
        <f>VLOOKUP(A:A,[1]android_repos_all_metrics!B:K,8,FALSE)</f>
        <v>0</v>
      </c>
      <c r="AH84">
        <f>VLOOKUP(A:A,[1]android_repos_all_metrics!B:K,9,FALSE)</f>
        <v>4</v>
      </c>
      <c r="AI84">
        <f>VLOOKUP(A:A,[1]android_repos_all_metrics!B:K,10,FALSE)</f>
        <v>1</v>
      </c>
    </row>
    <row r="85" spans="1:35">
      <c r="A85" t="s">
        <v>133</v>
      </c>
      <c r="B85" t="b">
        <v>1</v>
      </c>
      <c r="C85" t="b">
        <v>0</v>
      </c>
      <c r="D85" t="b">
        <v>0</v>
      </c>
      <c r="F85" t="b">
        <v>0</v>
      </c>
      <c r="H85" t="s">
        <v>37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>
        <v>1</v>
      </c>
      <c r="AB85">
        <v>0</v>
      </c>
      <c r="AC85">
        <f>VLOOKUP(A:A,[1]android_repos_all_metrics!B:K,4,FALSE)</f>
        <v>20</v>
      </c>
      <c r="AD85">
        <f>VLOOKUP(A:A,[1]android_repos_all_metrics!B:K,5,FALSE)</f>
        <v>7</v>
      </c>
      <c r="AE85">
        <f>VLOOKUP(A:A,[1]android_repos_all_metrics!B:K,6,FALSE)</f>
        <v>3</v>
      </c>
      <c r="AF85">
        <f>VLOOKUP(A:A,[1]android_repos_all_metrics!B:K,7,FALSE)</f>
        <v>161</v>
      </c>
      <c r="AG85">
        <f>VLOOKUP(A:A,[1]android_repos_all_metrics!B:K,8,FALSE)</f>
        <v>15</v>
      </c>
      <c r="AH85">
        <f>VLOOKUP(A:A,[1]android_repos_all_metrics!B:K,9,FALSE)</f>
        <v>7</v>
      </c>
      <c r="AI85">
        <f>VLOOKUP(A:A,[1]android_repos_all_metrics!B:K,10,FALSE)</f>
        <v>0</v>
      </c>
    </row>
    <row r="86" spans="1:35">
      <c r="A86" t="s">
        <v>134</v>
      </c>
      <c r="B86" t="b">
        <v>1</v>
      </c>
      <c r="C86" t="b">
        <v>0</v>
      </c>
      <c r="D86" t="b">
        <v>0</v>
      </c>
      <c r="F86" t="b">
        <v>0</v>
      </c>
      <c r="H86" t="s">
        <v>43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>
        <v>1</v>
      </c>
      <c r="AB86">
        <v>0</v>
      </c>
      <c r="AC86">
        <f>VLOOKUP(A:A,[1]android_repos_all_metrics!B:K,4,FALSE)</f>
        <v>16</v>
      </c>
      <c r="AD86">
        <f>VLOOKUP(A:A,[1]android_repos_all_metrics!B:K,5,FALSE)</f>
        <v>1</v>
      </c>
      <c r="AE86">
        <f>VLOOKUP(A:A,[1]android_repos_all_metrics!B:K,6,FALSE)</f>
        <v>2</v>
      </c>
      <c r="AF86">
        <f>VLOOKUP(A:A,[1]android_repos_all_metrics!B:K,7,FALSE)</f>
        <v>608</v>
      </c>
      <c r="AG86">
        <f>VLOOKUP(A:A,[1]android_repos_all_metrics!B:K,8,FALSE)</f>
        <v>3</v>
      </c>
      <c r="AH86">
        <f>VLOOKUP(A:A,[1]android_repos_all_metrics!B:K,9,FALSE)</f>
        <v>8</v>
      </c>
      <c r="AI86">
        <f>VLOOKUP(A:A,[1]android_repos_all_metrics!B:K,10,FALSE)</f>
        <v>0</v>
      </c>
    </row>
    <row r="87" spans="1:35">
      <c r="A87" t="s">
        <v>135</v>
      </c>
      <c r="B87" t="b">
        <v>1</v>
      </c>
      <c r="C87" t="b">
        <v>0</v>
      </c>
      <c r="D87" t="b">
        <v>0</v>
      </c>
      <c r="F87" t="b">
        <v>0</v>
      </c>
      <c r="H87" t="s">
        <v>136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>
        <v>2</v>
      </c>
      <c r="AB87">
        <v>0</v>
      </c>
      <c r="AC87">
        <f>VLOOKUP(A:A,[1]android_repos_all_metrics!B:K,4,FALSE)</f>
        <v>16</v>
      </c>
      <c r="AD87">
        <f>VLOOKUP(A:A,[1]android_repos_all_metrics!B:K,5,FALSE)</f>
        <v>1</v>
      </c>
      <c r="AE87">
        <f>VLOOKUP(A:A,[1]android_repos_all_metrics!B:K,6,FALSE)</f>
        <v>1</v>
      </c>
      <c r="AF87">
        <f>VLOOKUP(A:A,[1]android_repos_all_metrics!B:K,7,FALSE)</f>
        <v>370</v>
      </c>
      <c r="AG87">
        <f>VLOOKUP(A:A,[1]android_repos_all_metrics!B:K,8,FALSE)</f>
        <v>0</v>
      </c>
      <c r="AH87">
        <f>VLOOKUP(A:A,[1]android_repos_all_metrics!B:K,9,FALSE)</f>
        <v>4</v>
      </c>
      <c r="AI87">
        <f>VLOOKUP(A:A,[1]android_repos_all_metrics!B:K,10,FALSE)</f>
        <v>0</v>
      </c>
    </row>
    <row r="88" spans="1:35">
      <c r="A88" t="s">
        <v>137</v>
      </c>
      <c r="B88" t="b">
        <v>1</v>
      </c>
      <c r="C88" t="b">
        <v>0</v>
      </c>
      <c r="D88" t="b">
        <v>0</v>
      </c>
      <c r="F88" t="b">
        <v>0</v>
      </c>
      <c r="H88" t="s">
        <v>41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>
        <v>1</v>
      </c>
      <c r="AB88">
        <v>0</v>
      </c>
      <c r="AC88">
        <f>VLOOKUP(A:A,[1]android_repos_all_metrics!B:K,4,FALSE)</f>
        <v>299</v>
      </c>
      <c r="AD88">
        <f>VLOOKUP(A:A,[1]android_repos_all_metrics!B:K,5,FALSE)</f>
        <v>60</v>
      </c>
      <c r="AE88">
        <f>VLOOKUP(A:A,[1]android_repos_all_metrics!B:K,6,FALSE)</f>
        <v>6</v>
      </c>
      <c r="AF88">
        <f>VLOOKUP(A:A,[1]android_repos_all_metrics!B:K,7,FALSE)</f>
        <v>1927</v>
      </c>
      <c r="AG88">
        <f>VLOOKUP(A:A,[1]android_repos_all_metrics!B:K,8,FALSE)</f>
        <v>15</v>
      </c>
      <c r="AH88">
        <f>VLOOKUP(A:A,[1]android_repos_all_metrics!B:K,9,FALSE)</f>
        <v>170</v>
      </c>
      <c r="AI88">
        <f>VLOOKUP(A:A,[1]android_repos_all_metrics!B:K,10,FALSE)</f>
        <v>6</v>
      </c>
    </row>
    <row r="89" spans="1:35">
      <c r="A89" t="s">
        <v>138</v>
      </c>
      <c r="B89" t="b">
        <v>0</v>
      </c>
      <c r="C89" t="b">
        <v>0</v>
      </c>
      <c r="D89" t="b">
        <v>0</v>
      </c>
      <c r="F89" t="b">
        <v>0</v>
      </c>
      <c r="H89" t="s">
        <v>41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>
        <v>1</v>
      </c>
      <c r="AB89">
        <v>0</v>
      </c>
      <c r="AC89">
        <f>VLOOKUP(A:A,[1]android_repos_all_metrics!B:K,4,FALSE)</f>
        <v>54</v>
      </c>
      <c r="AD89">
        <f>VLOOKUP(A:A,[1]android_repos_all_metrics!B:K,5,FALSE)</f>
        <v>0</v>
      </c>
      <c r="AE89">
        <f>VLOOKUP(A:A,[1]android_repos_all_metrics!B:K,6,FALSE)</f>
        <v>1</v>
      </c>
      <c r="AF89">
        <f>VLOOKUP(A:A,[1]android_repos_all_metrics!B:K,7,FALSE)</f>
        <v>795</v>
      </c>
      <c r="AG89">
        <f>VLOOKUP(A:A,[1]android_repos_all_metrics!B:K,8,FALSE)</f>
        <v>9</v>
      </c>
      <c r="AH89">
        <f>VLOOKUP(A:A,[1]android_repos_all_metrics!B:K,9,FALSE)</f>
        <v>24</v>
      </c>
      <c r="AI89">
        <f>VLOOKUP(A:A,[1]android_repos_all_metrics!B:K,10,FALSE)</f>
        <v>1</v>
      </c>
    </row>
    <row r="90" spans="1:35">
      <c r="A90" t="s">
        <v>139</v>
      </c>
      <c r="B90" t="b">
        <v>1</v>
      </c>
      <c r="C90" t="b">
        <v>1</v>
      </c>
      <c r="D90" t="b">
        <v>0</v>
      </c>
      <c r="F90" t="b">
        <v>1</v>
      </c>
      <c r="G90" t="s">
        <v>39</v>
      </c>
      <c r="H90" t="s">
        <v>126</v>
      </c>
      <c r="I90" t="s">
        <v>41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>
        <v>3</v>
      </c>
      <c r="AB90">
        <v>1</v>
      </c>
      <c r="AC90">
        <f>VLOOKUP(A:A,[1]android_repos_all_metrics!B:K,4,FALSE)</f>
        <v>132</v>
      </c>
      <c r="AD90">
        <f>VLOOKUP(A:A,[1]android_repos_all_metrics!B:K,5,FALSE)</f>
        <v>47</v>
      </c>
      <c r="AE90">
        <f>VLOOKUP(A:A,[1]android_repos_all_metrics!B:K,6,FALSE)</f>
        <v>13</v>
      </c>
      <c r="AF90">
        <f>VLOOKUP(A:A,[1]android_repos_all_metrics!B:K,7,FALSE)</f>
        <v>5964</v>
      </c>
      <c r="AG90">
        <f>VLOOKUP(A:A,[1]android_repos_all_metrics!B:K,8,FALSE)</f>
        <v>6</v>
      </c>
      <c r="AH90">
        <f>VLOOKUP(A:A,[1]android_repos_all_metrics!B:K,9,FALSE)</f>
        <v>38</v>
      </c>
      <c r="AI90">
        <f>VLOOKUP(A:A,[1]android_repos_all_metrics!B:K,10,FALSE)</f>
        <v>13</v>
      </c>
    </row>
    <row r="91" spans="1:35">
      <c r="A91" t="s">
        <v>140</v>
      </c>
      <c r="B91" t="b">
        <v>1</v>
      </c>
      <c r="C91" t="b">
        <v>0</v>
      </c>
      <c r="D91" t="b">
        <v>0</v>
      </c>
      <c r="F91" t="b">
        <v>0</v>
      </c>
      <c r="H91" t="s">
        <v>43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>
        <v>1</v>
      </c>
      <c r="AB91">
        <v>0</v>
      </c>
      <c r="AC91">
        <f>VLOOKUP(A:A,[1]android_repos_all_metrics!B:K,4,FALSE)</f>
        <v>70</v>
      </c>
      <c r="AD91">
        <f>VLOOKUP(A:A,[1]android_repos_all_metrics!B:K,5,FALSE)</f>
        <v>21</v>
      </c>
      <c r="AE91">
        <f>VLOOKUP(A:A,[1]android_repos_all_metrics!B:K,6,FALSE)</f>
        <v>4</v>
      </c>
      <c r="AF91">
        <f>VLOOKUP(A:A,[1]android_repos_all_metrics!B:K,7,FALSE)</f>
        <v>310</v>
      </c>
      <c r="AG91">
        <f>VLOOKUP(A:A,[1]android_repos_all_metrics!B:K,8,FALSE)</f>
        <v>9</v>
      </c>
      <c r="AH91">
        <f>VLOOKUP(A:A,[1]android_repos_all_metrics!B:K,9,FALSE)</f>
        <v>25</v>
      </c>
      <c r="AI91">
        <f>VLOOKUP(A:A,[1]android_repos_all_metrics!B:K,10,FALSE)</f>
        <v>3</v>
      </c>
    </row>
    <row r="92" spans="1:35">
      <c r="A92" t="s">
        <v>141</v>
      </c>
      <c r="B92" t="b">
        <v>0</v>
      </c>
      <c r="C92" t="b">
        <v>0</v>
      </c>
      <c r="D92" t="b">
        <v>0</v>
      </c>
      <c r="F92" t="b">
        <v>0</v>
      </c>
      <c r="H92" t="s">
        <v>41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>
        <v>1</v>
      </c>
      <c r="AB92">
        <v>0</v>
      </c>
      <c r="AC92">
        <f>VLOOKUP(A:A,[1]android_repos_all_metrics!B:K,4,FALSE)</f>
        <v>7</v>
      </c>
      <c r="AD92">
        <f>VLOOKUP(A:A,[1]android_repos_all_metrics!B:K,5,FALSE)</f>
        <v>1</v>
      </c>
      <c r="AE92">
        <f>VLOOKUP(A:A,[1]android_repos_all_metrics!B:K,6,FALSE)</f>
        <v>1</v>
      </c>
      <c r="AF92">
        <f>VLOOKUP(A:A,[1]android_repos_all_metrics!B:K,7,FALSE)</f>
        <v>2024</v>
      </c>
      <c r="AG92">
        <f>VLOOKUP(A:A,[1]android_repos_all_metrics!B:K,8,FALSE)</f>
        <v>7</v>
      </c>
      <c r="AH92">
        <f>VLOOKUP(A:A,[1]android_repos_all_metrics!B:K,9,FALSE)</f>
        <v>16</v>
      </c>
      <c r="AI92">
        <f>VLOOKUP(A:A,[1]android_repos_all_metrics!B:K,10,FALSE)</f>
        <v>14</v>
      </c>
    </row>
    <row r="93" spans="1:35">
      <c r="A93" t="s">
        <v>142</v>
      </c>
      <c r="B93" t="b">
        <v>1</v>
      </c>
      <c r="C93" t="b">
        <v>0</v>
      </c>
      <c r="D93" t="b">
        <v>0</v>
      </c>
      <c r="F93" t="b">
        <v>0</v>
      </c>
      <c r="H93" t="s">
        <v>37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>
        <v>5</v>
      </c>
      <c r="AB93">
        <v>0</v>
      </c>
      <c r="AC93">
        <f>VLOOKUP(A:A,[1]android_repos_all_metrics!B:K,4,FALSE)</f>
        <v>125</v>
      </c>
      <c r="AD93">
        <f>VLOOKUP(A:A,[1]android_repos_all_metrics!B:K,5,FALSE)</f>
        <v>27</v>
      </c>
      <c r="AE93">
        <f>VLOOKUP(A:A,[1]android_repos_all_metrics!B:K,6,FALSE)</f>
        <v>7</v>
      </c>
      <c r="AF93">
        <f>VLOOKUP(A:A,[1]android_repos_all_metrics!B:K,7,FALSE)</f>
        <v>39411</v>
      </c>
      <c r="AG93">
        <f>VLOOKUP(A:A,[1]android_repos_all_metrics!B:K,8,FALSE)</f>
        <v>8</v>
      </c>
      <c r="AH93">
        <f>VLOOKUP(A:A,[1]android_repos_all_metrics!B:K,9,FALSE)</f>
        <v>12</v>
      </c>
      <c r="AI93">
        <f>VLOOKUP(A:A,[1]android_repos_all_metrics!B:K,10,FALSE)</f>
        <v>6</v>
      </c>
    </row>
    <row r="94" spans="1:35">
      <c r="A94" t="s">
        <v>143</v>
      </c>
      <c r="B94" t="b">
        <v>1</v>
      </c>
      <c r="C94" t="b">
        <v>0</v>
      </c>
      <c r="D94" t="b">
        <v>0</v>
      </c>
      <c r="F94" t="b">
        <v>0</v>
      </c>
      <c r="H94" t="s">
        <v>86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>
        <v>2</v>
      </c>
      <c r="AB94">
        <v>0</v>
      </c>
      <c r="AC94">
        <f>VLOOKUP(A:A,[1]android_repos_all_metrics!B:K,4,FALSE)</f>
        <v>128</v>
      </c>
      <c r="AD94">
        <f>VLOOKUP(A:A,[1]android_repos_all_metrics!B:K,5,FALSE)</f>
        <v>101</v>
      </c>
      <c r="AE94">
        <f>VLOOKUP(A:A,[1]android_repos_all_metrics!B:K,6,FALSE)</f>
        <v>3</v>
      </c>
      <c r="AF94">
        <f>VLOOKUP(A:A,[1]android_repos_all_metrics!B:K,7,FALSE)</f>
        <v>253</v>
      </c>
      <c r="AG94">
        <f>VLOOKUP(A:A,[1]android_repos_all_metrics!B:K,8,FALSE)</f>
        <v>0</v>
      </c>
      <c r="AH94">
        <f>VLOOKUP(A:A,[1]android_repos_all_metrics!B:K,9,FALSE)</f>
        <v>1</v>
      </c>
      <c r="AI94">
        <f>VLOOKUP(A:A,[1]android_repos_all_metrics!B:K,10,FALSE)</f>
        <v>4</v>
      </c>
    </row>
    <row r="95" spans="1:35">
      <c r="A95" t="s">
        <v>144</v>
      </c>
      <c r="B95" t="b">
        <v>0</v>
      </c>
      <c r="C95" t="b">
        <v>0</v>
      </c>
      <c r="D95" t="b">
        <v>0</v>
      </c>
      <c r="F95" t="b">
        <v>0</v>
      </c>
      <c r="H95" t="s">
        <v>41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>
        <v>1</v>
      </c>
      <c r="AB95">
        <v>0</v>
      </c>
      <c r="AC95">
        <f>VLOOKUP(A:A,[1]android_repos_all_metrics!B:K,4,FALSE)</f>
        <v>74</v>
      </c>
      <c r="AD95">
        <f>VLOOKUP(A:A,[1]android_repos_all_metrics!B:K,5,FALSE)</f>
        <v>2</v>
      </c>
      <c r="AE95">
        <f>VLOOKUP(A:A,[1]android_repos_all_metrics!B:K,6,FALSE)</f>
        <v>1</v>
      </c>
      <c r="AF95">
        <f>VLOOKUP(A:A,[1]android_repos_all_metrics!B:K,7,FALSE)</f>
        <v>1315</v>
      </c>
      <c r="AG95">
        <f>VLOOKUP(A:A,[1]android_repos_all_metrics!B:K,8,FALSE)</f>
        <v>80</v>
      </c>
      <c r="AH95">
        <f>VLOOKUP(A:A,[1]android_repos_all_metrics!B:K,9,FALSE)</f>
        <v>311</v>
      </c>
      <c r="AI95">
        <f>VLOOKUP(A:A,[1]android_repos_all_metrics!B:K,10,FALSE)</f>
        <v>13</v>
      </c>
    </row>
    <row r="96" spans="1:35">
      <c r="A96" t="s">
        <v>145</v>
      </c>
      <c r="B96" t="b">
        <v>1</v>
      </c>
      <c r="C96" t="b">
        <v>1</v>
      </c>
      <c r="D96" t="b">
        <v>0</v>
      </c>
      <c r="F96" t="b">
        <v>1</v>
      </c>
      <c r="G96" t="s">
        <v>39</v>
      </c>
      <c r="H96" t="s">
        <v>41</v>
      </c>
      <c r="I96" t="s">
        <v>41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>
        <v>1</v>
      </c>
      <c r="AB96">
        <v>0</v>
      </c>
      <c r="AC96">
        <f>VLOOKUP(A:A,[1]android_repos_all_metrics!B:K,4,FALSE)</f>
        <v>202</v>
      </c>
      <c r="AD96">
        <f>VLOOKUP(A:A,[1]android_repos_all_metrics!B:K,5,FALSE)</f>
        <v>1</v>
      </c>
      <c r="AE96">
        <f>VLOOKUP(A:A,[1]android_repos_all_metrics!B:K,6,FALSE)</f>
        <v>1</v>
      </c>
      <c r="AF96">
        <f>VLOOKUP(A:A,[1]android_repos_all_metrics!B:K,7,FALSE)</f>
        <v>2128</v>
      </c>
      <c r="AG96">
        <f>VLOOKUP(A:A,[1]android_repos_all_metrics!B:K,8,FALSE)</f>
        <v>89</v>
      </c>
      <c r="AH96">
        <f>VLOOKUP(A:A,[1]android_repos_all_metrics!B:K,9,FALSE)</f>
        <v>251</v>
      </c>
      <c r="AI96">
        <f>VLOOKUP(A:A,[1]android_repos_all_metrics!B:K,10,FALSE)</f>
        <v>11</v>
      </c>
    </row>
    <row r="97" spans="1:35">
      <c r="A97" t="s">
        <v>146</v>
      </c>
      <c r="B97" t="b">
        <v>1</v>
      </c>
      <c r="C97" t="b">
        <v>0</v>
      </c>
      <c r="D97" t="b">
        <v>0</v>
      </c>
      <c r="F97" t="b">
        <v>0</v>
      </c>
      <c r="H97" t="s">
        <v>43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>
        <v>1</v>
      </c>
      <c r="AB97">
        <v>0</v>
      </c>
      <c r="AC97">
        <f>VLOOKUP(A:A,[1]android_repos_all_metrics!B:K,4,FALSE)</f>
        <v>25</v>
      </c>
      <c r="AD97">
        <f>VLOOKUP(A:A,[1]android_repos_all_metrics!B:K,5,FALSE)</f>
        <v>11</v>
      </c>
      <c r="AE97">
        <f>VLOOKUP(A:A,[1]android_repos_all_metrics!B:K,6,FALSE)</f>
        <v>1</v>
      </c>
      <c r="AF97">
        <f>VLOOKUP(A:A,[1]android_repos_all_metrics!B:K,7,FALSE)</f>
        <v>8715</v>
      </c>
      <c r="AG97">
        <f>VLOOKUP(A:A,[1]android_repos_all_metrics!B:K,8,FALSE)</f>
        <v>0</v>
      </c>
      <c r="AH97">
        <f>VLOOKUP(A:A,[1]android_repos_all_metrics!B:K,9,FALSE)</f>
        <v>1</v>
      </c>
      <c r="AI97">
        <f>VLOOKUP(A:A,[1]android_repos_all_metrics!B:K,10,FALSE)</f>
        <v>0</v>
      </c>
    </row>
    <row r="98" spans="1:35">
      <c r="A98" t="s">
        <v>147</v>
      </c>
      <c r="B98" t="b">
        <v>1</v>
      </c>
      <c r="C98" t="b">
        <v>0</v>
      </c>
      <c r="D98" t="b">
        <v>0</v>
      </c>
      <c r="F98" t="b">
        <v>0</v>
      </c>
      <c r="H98" t="s">
        <v>37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>
        <v>4</v>
      </c>
      <c r="AB98">
        <v>0</v>
      </c>
      <c r="AC98">
        <f>VLOOKUP(A:A,[1]android_repos_all_metrics!B:K,4,FALSE)</f>
        <v>155</v>
      </c>
      <c r="AD98">
        <f>VLOOKUP(A:A,[1]android_repos_all_metrics!B:K,5,FALSE)</f>
        <v>63</v>
      </c>
      <c r="AE98">
        <f>VLOOKUP(A:A,[1]android_repos_all_metrics!B:K,6,FALSE)</f>
        <v>4</v>
      </c>
      <c r="AF98">
        <f>VLOOKUP(A:A,[1]android_repos_all_metrics!B:K,7,FALSE)</f>
        <v>513</v>
      </c>
      <c r="AG98">
        <f>VLOOKUP(A:A,[1]android_repos_all_metrics!B:K,8,FALSE)</f>
        <v>3</v>
      </c>
      <c r="AH98">
        <f>VLOOKUP(A:A,[1]android_repos_all_metrics!B:K,9,FALSE)</f>
        <v>11</v>
      </c>
      <c r="AI98">
        <f>VLOOKUP(A:A,[1]android_repos_all_metrics!B:K,10,FALSE)</f>
        <v>12</v>
      </c>
    </row>
    <row r="99" spans="1:35">
      <c r="A99" t="s">
        <v>148</v>
      </c>
      <c r="B99" t="b">
        <v>1</v>
      </c>
      <c r="C99" t="b">
        <v>0</v>
      </c>
      <c r="D99" t="b">
        <v>0</v>
      </c>
      <c r="F99" t="b">
        <v>0</v>
      </c>
      <c r="H99" t="s">
        <v>43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>
        <v>1</v>
      </c>
      <c r="AB99">
        <v>0</v>
      </c>
      <c r="AC99">
        <f>VLOOKUP(A:A,[1]android_repos_all_metrics!B:K,4,FALSE)</f>
        <v>81</v>
      </c>
      <c r="AD99">
        <f>VLOOKUP(A:A,[1]android_repos_all_metrics!B:K,5,FALSE)</f>
        <v>3</v>
      </c>
      <c r="AE99">
        <f>VLOOKUP(A:A,[1]android_repos_all_metrics!B:K,6,FALSE)</f>
        <v>1</v>
      </c>
      <c r="AF99">
        <f>VLOOKUP(A:A,[1]android_repos_all_metrics!B:K,7,FALSE)</f>
        <v>2725</v>
      </c>
      <c r="AG99">
        <f>VLOOKUP(A:A,[1]android_repos_all_metrics!B:K,8,FALSE)</f>
        <v>1</v>
      </c>
      <c r="AH99">
        <f>VLOOKUP(A:A,[1]android_repos_all_metrics!B:K,9,FALSE)</f>
        <v>6</v>
      </c>
      <c r="AI99">
        <f>VLOOKUP(A:A,[1]android_repos_all_metrics!B:K,10,FALSE)</f>
        <v>0</v>
      </c>
    </row>
    <row r="100" spans="1:35">
      <c r="A100" t="s">
        <v>149</v>
      </c>
      <c r="B100" t="b">
        <v>1</v>
      </c>
      <c r="C100" t="b">
        <v>0</v>
      </c>
      <c r="D100" t="b">
        <v>0</v>
      </c>
      <c r="F100" t="b">
        <v>0</v>
      </c>
      <c r="H100" t="s">
        <v>37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>
        <v>2</v>
      </c>
      <c r="AB100">
        <v>0</v>
      </c>
      <c r="AC100">
        <f>VLOOKUP(A:A,[1]android_repos_all_metrics!B:K,4,FALSE)</f>
        <v>51</v>
      </c>
      <c r="AD100">
        <f>VLOOKUP(A:A,[1]android_repos_all_metrics!B:K,5,FALSE)</f>
        <v>25</v>
      </c>
      <c r="AE100">
        <f>VLOOKUP(A:A,[1]android_repos_all_metrics!B:K,6,FALSE)</f>
        <v>1</v>
      </c>
      <c r="AF100">
        <f>VLOOKUP(A:A,[1]android_repos_all_metrics!B:K,7,FALSE)</f>
        <v>328</v>
      </c>
      <c r="AG100">
        <f>VLOOKUP(A:A,[1]android_repos_all_metrics!B:K,8,FALSE)</f>
        <v>0</v>
      </c>
      <c r="AH100">
        <f>VLOOKUP(A:A,[1]android_repos_all_metrics!B:K,9,FALSE)</f>
        <v>8</v>
      </c>
      <c r="AI100">
        <f>VLOOKUP(A:A,[1]android_repos_all_metrics!B:K,10,FALSE)</f>
        <v>0</v>
      </c>
    </row>
    <row r="101" spans="1:35">
      <c r="A101" t="s">
        <v>150</v>
      </c>
      <c r="B101" t="b">
        <v>1</v>
      </c>
      <c r="C101" t="b">
        <v>1</v>
      </c>
      <c r="D101" t="b">
        <v>0</v>
      </c>
      <c r="F101" t="b">
        <v>1</v>
      </c>
      <c r="G101" t="s">
        <v>39</v>
      </c>
      <c r="H101" t="s">
        <v>41</v>
      </c>
      <c r="I101" t="s">
        <v>41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>
        <v>1</v>
      </c>
      <c r="AB101">
        <v>0</v>
      </c>
      <c r="AC101">
        <f>VLOOKUP(A:A,[1]android_repos_all_metrics!B:K,4,FALSE)</f>
        <v>15</v>
      </c>
      <c r="AD101">
        <f>VLOOKUP(A:A,[1]android_repos_all_metrics!B:K,5,FALSE)</f>
        <v>2</v>
      </c>
      <c r="AE101">
        <f>VLOOKUP(A:A,[1]android_repos_all_metrics!B:K,6,FALSE)</f>
        <v>1</v>
      </c>
      <c r="AF101">
        <f>VLOOKUP(A:A,[1]android_repos_all_metrics!B:K,7,FALSE)</f>
        <v>155</v>
      </c>
      <c r="AG101">
        <f>VLOOKUP(A:A,[1]android_repos_all_metrics!B:K,8,FALSE)</f>
        <v>1</v>
      </c>
      <c r="AH101">
        <f>VLOOKUP(A:A,[1]android_repos_all_metrics!B:K,9,FALSE)</f>
        <v>18</v>
      </c>
      <c r="AI101">
        <f>VLOOKUP(A:A,[1]android_repos_all_metrics!B:K,10,FALSE)</f>
        <v>3</v>
      </c>
    </row>
    <row r="102" spans="1:35">
      <c r="A102" t="s">
        <v>151</v>
      </c>
      <c r="B102" t="b">
        <v>1</v>
      </c>
      <c r="C102" t="b">
        <v>0</v>
      </c>
      <c r="D102" t="b">
        <v>0</v>
      </c>
      <c r="F102" t="b">
        <v>0</v>
      </c>
      <c r="H102" t="s">
        <v>37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>
        <v>1</v>
      </c>
      <c r="AB102">
        <v>0</v>
      </c>
      <c r="AC102">
        <f>VLOOKUP(A:A,[1]android_repos_all_metrics!B:K,4,FALSE)</f>
        <v>77</v>
      </c>
      <c r="AD102">
        <f>VLOOKUP(A:A,[1]android_repos_all_metrics!B:K,5,FALSE)</f>
        <v>4</v>
      </c>
      <c r="AE102">
        <f>VLOOKUP(A:A,[1]android_repos_all_metrics!B:K,6,FALSE)</f>
        <v>1</v>
      </c>
      <c r="AF102">
        <f>VLOOKUP(A:A,[1]android_repos_all_metrics!B:K,7,FALSE)</f>
        <v>6454</v>
      </c>
      <c r="AG102">
        <f>VLOOKUP(A:A,[1]android_repos_all_metrics!B:K,8,FALSE)</f>
        <v>4</v>
      </c>
      <c r="AH102">
        <f>VLOOKUP(A:A,[1]android_repos_all_metrics!B:K,9,FALSE)</f>
        <v>25</v>
      </c>
      <c r="AI102">
        <f>VLOOKUP(A:A,[1]android_repos_all_metrics!B:K,10,FALSE)</f>
        <v>1</v>
      </c>
    </row>
    <row r="103" spans="1:35">
      <c r="A103" t="s">
        <v>152</v>
      </c>
      <c r="B103" t="b">
        <v>1</v>
      </c>
      <c r="C103" t="b">
        <v>0</v>
      </c>
      <c r="D103" t="b">
        <v>0</v>
      </c>
      <c r="F103" t="b">
        <v>0</v>
      </c>
      <c r="H103" t="s">
        <v>37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>
        <v>1</v>
      </c>
      <c r="AB103">
        <v>0</v>
      </c>
      <c r="AC103">
        <f>VLOOKUP(A:A,[1]android_repos_all_metrics!B:K,4,FALSE)</f>
        <v>41</v>
      </c>
      <c r="AD103">
        <f>VLOOKUP(A:A,[1]android_repos_all_metrics!B:K,5,FALSE)</f>
        <v>27</v>
      </c>
      <c r="AE103">
        <f>VLOOKUP(A:A,[1]android_repos_all_metrics!B:K,6,FALSE)</f>
        <v>2</v>
      </c>
      <c r="AF103">
        <f>VLOOKUP(A:A,[1]android_repos_all_metrics!B:K,7,FALSE)</f>
        <v>2652</v>
      </c>
      <c r="AG103">
        <f>VLOOKUP(A:A,[1]android_repos_all_metrics!B:K,8,FALSE)</f>
        <v>2</v>
      </c>
      <c r="AH103">
        <f>VLOOKUP(A:A,[1]android_repos_all_metrics!B:K,9,FALSE)</f>
        <v>2</v>
      </c>
      <c r="AI103">
        <f>VLOOKUP(A:A,[1]android_repos_all_metrics!B:K,10,FALSE)</f>
        <v>0</v>
      </c>
    </row>
    <row r="104" spans="1:35">
      <c r="A104" t="s">
        <v>153</v>
      </c>
      <c r="B104" t="b">
        <v>1</v>
      </c>
      <c r="C104" t="b">
        <v>0</v>
      </c>
      <c r="D104" t="b">
        <v>0</v>
      </c>
      <c r="F104" t="b">
        <v>0</v>
      </c>
      <c r="H104" t="s">
        <v>37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>
        <v>2</v>
      </c>
      <c r="AB104">
        <v>0</v>
      </c>
      <c r="AC104">
        <f>VLOOKUP(A:A,[1]android_repos_all_metrics!B:K,4,FALSE)</f>
        <v>176</v>
      </c>
      <c r="AD104">
        <f>VLOOKUP(A:A,[1]android_repos_all_metrics!B:K,5,FALSE)</f>
        <v>16</v>
      </c>
      <c r="AE104">
        <f>VLOOKUP(A:A,[1]android_repos_all_metrics!B:K,6,FALSE)</f>
        <v>3</v>
      </c>
      <c r="AF104">
        <f>VLOOKUP(A:A,[1]android_repos_all_metrics!B:K,7,FALSE)</f>
        <v>5343</v>
      </c>
      <c r="AG104">
        <f>VLOOKUP(A:A,[1]android_repos_all_metrics!B:K,8,FALSE)</f>
        <v>47</v>
      </c>
      <c r="AH104">
        <f>VLOOKUP(A:A,[1]android_repos_all_metrics!B:K,9,FALSE)</f>
        <v>381</v>
      </c>
      <c r="AI104">
        <f>VLOOKUP(A:A,[1]android_repos_all_metrics!B:K,10,FALSE)</f>
        <v>8</v>
      </c>
    </row>
    <row r="105" spans="1:35">
      <c r="A105" t="s">
        <v>154</v>
      </c>
      <c r="B105" t="b">
        <v>1</v>
      </c>
      <c r="C105" t="b">
        <v>1</v>
      </c>
      <c r="D105" t="b">
        <v>1</v>
      </c>
      <c r="E105" t="s">
        <v>36</v>
      </c>
      <c r="F105" t="b">
        <v>0</v>
      </c>
      <c r="H105" t="s">
        <v>37</v>
      </c>
      <c r="I105" t="s">
        <v>37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>
        <v>3</v>
      </c>
      <c r="AA105">
        <v>1</v>
      </c>
      <c r="AB105">
        <v>0</v>
      </c>
      <c r="AC105">
        <f>VLOOKUP(A:A,[1]android_repos_all_metrics!B:K,4,FALSE)</f>
        <v>4</v>
      </c>
      <c r="AD105">
        <f>VLOOKUP(A:A,[1]android_repos_all_metrics!B:K,5,FALSE)</f>
        <v>1</v>
      </c>
      <c r="AE105">
        <f>VLOOKUP(A:A,[1]android_repos_all_metrics!B:K,6,FALSE)</f>
        <v>1</v>
      </c>
      <c r="AF105">
        <f>VLOOKUP(A:A,[1]android_repos_all_metrics!B:K,7,FALSE)</f>
        <v>55440</v>
      </c>
      <c r="AG105">
        <f>VLOOKUP(A:A,[1]android_repos_all_metrics!B:K,8,FALSE)</f>
        <v>0</v>
      </c>
      <c r="AH105">
        <f>VLOOKUP(A:A,[1]android_repos_all_metrics!B:K,9,FALSE)</f>
        <v>3</v>
      </c>
      <c r="AI105">
        <f>VLOOKUP(A:A,[1]android_repos_all_metrics!B:K,10,FALSE)</f>
        <v>0</v>
      </c>
    </row>
    <row r="106" spans="1:35">
      <c r="A106" t="s">
        <v>155</v>
      </c>
      <c r="B106" t="b">
        <v>1</v>
      </c>
      <c r="C106" t="b">
        <v>1</v>
      </c>
      <c r="D106" t="b">
        <v>1</v>
      </c>
      <c r="E106" t="s">
        <v>36</v>
      </c>
      <c r="F106" t="b">
        <v>0</v>
      </c>
      <c r="H106" t="s">
        <v>37</v>
      </c>
      <c r="I106" t="s">
        <v>37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>
        <v>3</v>
      </c>
      <c r="AA106">
        <v>1</v>
      </c>
      <c r="AB106">
        <v>0</v>
      </c>
      <c r="AC106">
        <f>VLOOKUP(A:A,[1]android_repos_all_metrics!B:K,4,FALSE)</f>
        <v>3</v>
      </c>
      <c r="AD106">
        <f>VLOOKUP(A:A,[1]android_repos_all_metrics!B:K,5,FALSE)</f>
        <v>0</v>
      </c>
      <c r="AE106">
        <f>VLOOKUP(A:A,[1]android_repos_all_metrics!B:K,6,FALSE)</f>
        <v>1</v>
      </c>
      <c r="AF106">
        <f>VLOOKUP(A:A,[1]android_repos_all_metrics!B:K,7,FALSE)</f>
        <v>3704</v>
      </c>
      <c r="AG106">
        <f>VLOOKUP(A:A,[1]android_repos_all_metrics!B:K,8,FALSE)</f>
        <v>4</v>
      </c>
      <c r="AH106">
        <f>VLOOKUP(A:A,[1]android_repos_all_metrics!B:K,9,FALSE)</f>
        <v>2</v>
      </c>
      <c r="AI106">
        <f>VLOOKUP(A:A,[1]android_repos_all_metrics!B:K,10,FALSE)</f>
        <v>0</v>
      </c>
    </row>
    <row r="107" spans="1:35">
      <c r="A107" t="s">
        <v>156</v>
      </c>
      <c r="B107" t="b">
        <v>0</v>
      </c>
      <c r="C107" t="b">
        <v>0</v>
      </c>
      <c r="D107" t="b">
        <v>0</v>
      </c>
      <c r="F107" t="b">
        <v>0</v>
      </c>
      <c r="H107" t="s">
        <v>41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>
        <v>1</v>
      </c>
      <c r="AB107">
        <v>0</v>
      </c>
      <c r="AC107">
        <f>VLOOKUP(A:A,[1]android_repos_all_metrics!B:K,4,FALSE)</f>
        <v>19</v>
      </c>
      <c r="AD107">
        <f>VLOOKUP(A:A,[1]android_repos_all_metrics!B:K,5,FALSE)</f>
        <v>0</v>
      </c>
      <c r="AE107">
        <f>VLOOKUP(A:A,[1]android_repos_all_metrics!B:K,6,FALSE)</f>
        <v>1</v>
      </c>
      <c r="AF107">
        <f>VLOOKUP(A:A,[1]android_repos_all_metrics!B:K,7,FALSE)</f>
        <v>164</v>
      </c>
      <c r="AG107">
        <f>VLOOKUP(A:A,[1]android_repos_all_metrics!B:K,8,FALSE)</f>
        <v>1</v>
      </c>
      <c r="AH107">
        <f>VLOOKUP(A:A,[1]android_repos_all_metrics!B:K,9,FALSE)</f>
        <v>3</v>
      </c>
      <c r="AI107">
        <f>VLOOKUP(A:A,[1]android_repos_all_metrics!B:K,10,FALSE)</f>
        <v>0</v>
      </c>
    </row>
    <row r="108" spans="1:35">
      <c r="A108" t="s">
        <v>157</v>
      </c>
      <c r="B108" t="b">
        <v>1</v>
      </c>
      <c r="C108" t="b">
        <v>1</v>
      </c>
      <c r="D108" t="b">
        <v>1</v>
      </c>
      <c r="E108" t="s">
        <v>104</v>
      </c>
      <c r="F108" t="b">
        <v>0</v>
      </c>
      <c r="H108" t="s">
        <v>37</v>
      </c>
      <c r="I108" t="s">
        <v>37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>
        <v>1</v>
      </c>
      <c r="AB108">
        <v>0</v>
      </c>
      <c r="AC108">
        <f>VLOOKUP(A:A,[1]android_repos_all_metrics!B:K,4,FALSE)</f>
        <v>822</v>
      </c>
      <c r="AD108">
        <f>VLOOKUP(A:A,[1]android_repos_all_metrics!B:K,5,FALSE)</f>
        <v>313</v>
      </c>
      <c r="AE108">
        <f>VLOOKUP(A:A,[1]android_repos_all_metrics!B:K,6,FALSE)</f>
        <v>4</v>
      </c>
      <c r="AF108">
        <f>VLOOKUP(A:A,[1]android_repos_all_metrics!B:K,7,FALSE)</f>
        <v>1909</v>
      </c>
      <c r="AG108">
        <f>VLOOKUP(A:A,[1]android_repos_all_metrics!B:K,8,FALSE)</f>
        <v>51</v>
      </c>
      <c r="AH108">
        <f>VLOOKUP(A:A,[1]android_repos_all_metrics!B:K,9,FALSE)</f>
        <v>382</v>
      </c>
      <c r="AI108">
        <f>VLOOKUP(A:A,[1]android_repos_all_metrics!B:K,10,FALSE)</f>
        <v>2</v>
      </c>
    </row>
    <row r="109" spans="1:35">
      <c r="A109" t="s">
        <v>158</v>
      </c>
      <c r="B109" t="b">
        <v>1</v>
      </c>
      <c r="C109" t="b">
        <v>0</v>
      </c>
      <c r="D109" t="b">
        <v>0</v>
      </c>
      <c r="F109" t="b">
        <v>0</v>
      </c>
      <c r="H109" t="s">
        <v>76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>
        <v>1</v>
      </c>
      <c r="AB109">
        <v>0</v>
      </c>
      <c r="AC109">
        <f>VLOOKUP(A:A,[1]android_repos_all_metrics!B:K,4,FALSE)</f>
        <v>16</v>
      </c>
      <c r="AD109">
        <f>VLOOKUP(A:A,[1]android_repos_all_metrics!B:K,5,FALSE)</f>
        <v>0</v>
      </c>
      <c r="AE109">
        <f>VLOOKUP(A:A,[1]android_repos_all_metrics!B:K,6,FALSE)</f>
        <v>1</v>
      </c>
      <c r="AF109">
        <f>VLOOKUP(A:A,[1]android_repos_all_metrics!B:K,7,FALSE)</f>
        <v>548</v>
      </c>
      <c r="AG109">
        <f>VLOOKUP(A:A,[1]android_repos_all_metrics!B:K,8,FALSE)</f>
        <v>20</v>
      </c>
      <c r="AH109">
        <f>VLOOKUP(A:A,[1]android_repos_all_metrics!B:K,9,FALSE)</f>
        <v>42</v>
      </c>
      <c r="AI109">
        <f>VLOOKUP(A:A,[1]android_repos_all_metrics!B:K,10,FALSE)</f>
        <v>0</v>
      </c>
    </row>
    <row r="110" spans="1:35">
      <c r="A110" t="s">
        <v>159</v>
      </c>
      <c r="B110" t="b">
        <v>1</v>
      </c>
      <c r="C110" t="b">
        <v>0</v>
      </c>
      <c r="D110" t="b">
        <v>0</v>
      </c>
      <c r="F110" t="b">
        <v>0</v>
      </c>
      <c r="H110" t="s">
        <v>43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>
        <v>1</v>
      </c>
      <c r="AB110">
        <v>0</v>
      </c>
      <c r="AC110">
        <f>VLOOKUP(A:A,[1]android_repos_all_metrics!B:K,4,FALSE)</f>
        <v>345</v>
      </c>
      <c r="AD110">
        <f>VLOOKUP(A:A,[1]android_repos_all_metrics!B:K,5,FALSE)</f>
        <v>45</v>
      </c>
      <c r="AE110">
        <f>VLOOKUP(A:A,[1]android_repos_all_metrics!B:K,6,FALSE)</f>
        <v>2</v>
      </c>
      <c r="AF110">
        <f>VLOOKUP(A:A,[1]android_repos_all_metrics!B:K,7,FALSE)</f>
        <v>2494</v>
      </c>
      <c r="AG110">
        <f>VLOOKUP(A:A,[1]android_repos_all_metrics!B:K,8,FALSE)</f>
        <v>9</v>
      </c>
      <c r="AH110">
        <f>VLOOKUP(A:A,[1]android_repos_all_metrics!B:K,9,FALSE)</f>
        <v>68</v>
      </c>
      <c r="AI110">
        <f>VLOOKUP(A:A,[1]android_repos_all_metrics!B:K,10,FALSE)</f>
        <v>4</v>
      </c>
    </row>
    <row r="111" spans="1:35">
      <c r="A111" t="s">
        <v>160</v>
      </c>
      <c r="B111" t="b">
        <v>1</v>
      </c>
      <c r="C111" t="b">
        <v>0</v>
      </c>
      <c r="D111" t="b">
        <v>0</v>
      </c>
      <c r="F111" t="b">
        <v>0</v>
      </c>
      <c r="H111" t="s">
        <v>37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>
        <v>2</v>
      </c>
      <c r="AB111">
        <v>0</v>
      </c>
      <c r="AC111">
        <f>VLOOKUP(A:A,[1]android_repos_all_metrics!B:K,4,FALSE)</f>
        <v>527</v>
      </c>
      <c r="AD111">
        <f>VLOOKUP(A:A,[1]android_repos_all_metrics!B:K,5,FALSE)</f>
        <v>3</v>
      </c>
      <c r="AE111">
        <f>VLOOKUP(A:A,[1]android_repos_all_metrics!B:K,6,FALSE)</f>
        <v>1</v>
      </c>
      <c r="AF111">
        <f>VLOOKUP(A:A,[1]android_repos_all_metrics!B:K,7,FALSE)</f>
        <v>2074</v>
      </c>
      <c r="AG111">
        <f>VLOOKUP(A:A,[1]android_repos_all_metrics!B:K,8,FALSE)</f>
        <v>70</v>
      </c>
      <c r="AH111">
        <f>VLOOKUP(A:A,[1]android_repos_all_metrics!B:K,9,FALSE)</f>
        <v>265</v>
      </c>
      <c r="AI111">
        <f>VLOOKUP(A:A,[1]android_repos_all_metrics!B:K,10,FALSE)</f>
        <v>1</v>
      </c>
    </row>
    <row r="112" spans="1:35">
      <c r="A112" t="s">
        <v>161</v>
      </c>
      <c r="B112" t="b">
        <v>1</v>
      </c>
      <c r="C112" t="b">
        <v>0</v>
      </c>
      <c r="D112" t="b">
        <v>0</v>
      </c>
      <c r="F112" t="b">
        <v>0</v>
      </c>
      <c r="H112" t="s">
        <v>41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>
        <v>1</v>
      </c>
      <c r="AB112">
        <v>0</v>
      </c>
      <c r="AC112">
        <f>VLOOKUP(A:A,[1]android_repos_all_metrics!B:K,4,FALSE)</f>
        <v>144</v>
      </c>
      <c r="AD112">
        <f>VLOOKUP(A:A,[1]android_repos_all_metrics!B:K,5,FALSE)</f>
        <v>7</v>
      </c>
      <c r="AE112">
        <f>VLOOKUP(A:A,[1]android_repos_all_metrics!B:K,6,FALSE)</f>
        <v>8</v>
      </c>
      <c r="AF112">
        <f>VLOOKUP(A:A,[1]android_repos_all_metrics!B:K,7,FALSE)</f>
        <v>42990</v>
      </c>
      <c r="AG112">
        <f>VLOOKUP(A:A,[1]android_repos_all_metrics!B:K,8,FALSE)</f>
        <v>41</v>
      </c>
      <c r="AH112">
        <f>VLOOKUP(A:A,[1]android_repos_all_metrics!B:K,9,FALSE)</f>
        <v>154</v>
      </c>
      <c r="AI112">
        <f>VLOOKUP(A:A,[1]android_repos_all_metrics!B:K,10,FALSE)</f>
        <v>8</v>
      </c>
    </row>
    <row r="113" spans="1:35">
      <c r="A113" t="s">
        <v>162</v>
      </c>
      <c r="B113" t="b">
        <v>1</v>
      </c>
      <c r="C113" t="b">
        <v>0</v>
      </c>
      <c r="D113" t="b">
        <v>0</v>
      </c>
      <c r="F113" t="b">
        <v>0</v>
      </c>
      <c r="H113" t="s">
        <v>37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>
        <v>1</v>
      </c>
      <c r="AB113">
        <v>0</v>
      </c>
      <c r="AC113">
        <f>VLOOKUP(A:A,[1]android_repos_all_metrics!B:K,4,FALSE)</f>
        <v>1232</v>
      </c>
      <c r="AD113">
        <f>VLOOKUP(A:A,[1]android_repos_all_metrics!B:K,5,FALSE)</f>
        <v>170</v>
      </c>
      <c r="AE113">
        <f>VLOOKUP(A:A,[1]android_repos_all_metrics!B:K,6,FALSE)</f>
        <v>41</v>
      </c>
      <c r="AF113">
        <f>VLOOKUP(A:A,[1]android_repos_all_metrics!B:K,7,FALSE)</f>
        <v>16123</v>
      </c>
      <c r="AG113">
        <f>VLOOKUP(A:A,[1]android_repos_all_metrics!B:K,8,FALSE)</f>
        <v>637</v>
      </c>
      <c r="AH113">
        <f>VLOOKUP(A:A,[1]android_repos_all_metrics!B:K,9,FALSE)</f>
        <v>5067</v>
      </c>
      <c r="AI113">
        <f>VLOOKUP(A:A,[1]android_repos_all_metrics!B:K,10,FALSE)</f>
        <v>4</v>
      </c>
    </row>
    <row r="114" spans="1:35">
      <c r="A114" t="s">
        <v>163</v>
      </c>
      <c r="B114" t="b">
        <v>1</v>
      </c>
      <c r="C114" t="b">
        <v>1</v>
      </c>
      <c r="D114" t="b">
        <v>0</v>
      </c>
      <c r="F114" t="b">
        <v>1</v>
      </c>
      <c r="G114" t="s">
        <v>91</v>
      </c>
      <c r="H114" t="s">
        <v>37</v>
      </c>
      <c r="I114" t="s">
        <v>37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>
        <v>1</v>
      </c>
      <c r="AB114">
        <v>0</v>
      </c>
      <c r="AC114">
        <f>VLOOKUP(A:A,[1]android_repos_all_metrics!B:K,4,FALSE)</f>
        <v>250</v>
      </c>
      <c r="AD114">
        <f>VLOOKUP(A:A,[1]android_repos_all_metrics!B:K,5,FALSE)</f>
        <v>122</v>
      </c>
      <c r="AE114">
        <f>VLOOKUP(A:A,[1]android_repos_all_metrics!B:K,6,FALSE)</f>
        <v>47</v>
      </c>
      <c r="AF114">
        <f>VLOOKUP(A:A,[1]android_repos_all_metrics!B:K,7,FALSE)</f>
        <v>1009</v>
      </c>
      <c r="AG114">
        <f>VLOOKUP(A:A,[1]android_repos_all_metrics!B:K,8,FALSE)</f>
        <v>311</v>
      </c>
      <c r="AH114">
        <f>VLOOKUP(A:A,[1]android_repos_all_metrics!B:K,9,FALSE)</f>
        <v>1031</v>
      </c>
      <c r="AI114">
        <f>VLOOKUP(A:A,[1]android_repos_all_metrics!B:K,10,FALSE)</f>
        <v>52</v>
      </c>
    </row>
    <row r="115" spans="1:35">
      <c r="A115" t="s">
        <v>164</v>
      </c>
      <c r="B115" t="b">
        <v>1</v>
      </c>
      <c r="C115" t="b">
        <v>0</v>
      </c>
      <c r="D115" t="b">
        <v>0</v>
      </c>
      <c r="F115" t="b">
        <v>0</v>
      </c>
      <c r="H115" t="s">
        <v>41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>
        <v>1</v>
      </c>
      <c r="AB115">
        <v>0</v>
      </c>
      <c r="AC115">
        <f>VLOOKUP(A:A,[1]android_repos_all_metrics!B:K,4,FALSE)</f>
        <v>2642</v>
      </c>
      <c r="AD115">
        <f>VLOOKUP(A:A,[1]android_repos_all_metrics!B:K,5,FALSE)</f>
        <v>310</v>
      </c>
      <c r="AE115">
        <f>VLOOKUP(A:A,[1]android_repos_all_metrics!B:K,6,FALSE)</f>
        <v>122</v>
      </c>
      <c r="AF115">
        <f>VLOOKUP(A:A,[1]android_repos_all_metrics!B:K,7,FALSE)</f>
        <v>11129</v>
      </c>
      <c r="AG115">
        <f>VLOOKUP(A:A,[1]android_repos_all_metrics!B:K,8,FALSE)</f>
        <v>936</v>
      </c>
      <c r="AH115">
        <f>VLOOKUP(A:A,[1]android_repos_all_metrics!B:K,9,FALSE)</f>
        <v>4362</v>
      </c>
      <c r="AI115">
        <f>VLOOKUP(A:A,[1]android_repos_all_metrics!B:K,10,FALSE)</f>
        <v>167</v>
      </c>
    </row>
    <row r="116" spans="1:35">
      <c r="A116" t="s">
        <v>165</v>
      </c>
      <c r="B116" t="b">
        <v>1</v>
      </c>
      <c r="C116" t="b">
        <v>0</v>
      </c>
      <c r="D116" t="b">
        <v>0</v>
      </c>
      <c r="F116" t="b">
        <v>0</v>
      </c>
      <c r="H116" t="s">
        <v>43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>
        <v>1</v>
      </c>
      <c r="AB116">
        <v>0</v>
      </c>
      <c r="AC116">
        <f>VLOOKUP(A:A,[1]android_repos_all_metrics!B:K,4,FALSE)</f>
        <v>27</v>
      </c>
      <c r="AD116">
        <f>VLOOKUP(A:A,[1]android_repos_all_metrics!B:K,5,FALSE)</f>
        <v>8</v>
      </c>
      <c r="AE116">
        <f>VLOOKUP(A:A,[1]android_repos_all_metrics!B:K,6,FALSE)</f>
        <v>1</v>
      </c>
      <c r="AF116">
        <f>VLOOKUP(A:A,[1]android_repos_all_metrics!B:K,7,FALSE)</f>
        <v>259</v>
      </c>
      <c r="AG116">
        <f>VLOOKUP(A:A,[1]android_repos_all_metrics!B:K,8,FALSE)</f>
        <v>6</v>
      </c>
      <c r="AH116">
        <f>VLOOKUP(A:A,[1]android_repos_all_metrics!B:K,9,FALSE)</f>
        <v>4</v>
      </c>
      <c r="AI116">
        <f>VLOOKUP(A:A,[1]android_repos_all_metrics!B:K,10,FALSE)</f>
        <v>1</v>
      </c>
    </row>
    <row r="117" spans="1:35">
      <c r="A117" t="s">
        <v>166</v>
      </c>
      <c r="B117" t="b">
        <v>1</v>
      </c>
      <c r="C117" t="b">
        <v>0</v>
      </c>
      <c r="D117" t="b">
        <v>0</v>
      </c>
      <c r="F117" t="b">
        <v>0</v>
      </c>
      <c r="H117" t="s">
        <v>37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>
        <v>1</v>
      </c>
      <c r="AB117">
        <v>0</v>
      </c>
      <c r="AC117">
        <f>VLOOKUP(A:A,[1]android_repos_all_metrics!B:K,4,FALSE)</f>
        <v>78</v>
      </c>
      <c r="AD117">
        <f>VLOOKUP(A:A,[1]android_repos_all_metrics!B:K,5,FALSE)</f>
        <v>7</v>
      </c>
      <c r="AE117">
        <f>VLOOKUP(A:A,[1]android_repos_all_metrics!B:K,6,FALSE)</f>
        <v>1</v>
      </c>
      <c r="AF117">
        <f>VLOOKUP(A:A,[1]android_repos_all_metrics!B:K,7,FALSE)</f>
        <v>408</v>
      </c>
      <c r="AG117">
        <f>VLOOKUP(A:A,[1]android_repos_all_metrics!B:K,8,FALSE)</f>
        <v>0</v>
      </c>
      <c r="AH117">
        <f>VLOOKUP(A:A,[1]android_repos_all_metrics!B:K,9,FALSE)</f>
        <v>8</v>
      </c>
      <c r="AI117">
        <f>VLOOKUP(A:A,[1]android_repos_all_metrics!B:K,10,FALSE)</f>
        <v>0</v>
      </c>
    </row>
    <row r="118" spans="1:35">
      <c r="A118" t="s">
        <v>167</v>
      </c>
      <c r="B118" t="b">
        <v>1</v>
      </c>
      <c r="C118" t="b">
        <v>0</v>
      </c>
      <c r="D118" t="b">
        <v>0</v>
      </c>
      <c r="F118" t="b">
        <v>0</v>
      </c>
      <c r="H118" t="s">
        <v>41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>
        <v>1</v>
      </c>
      <c r="AB118">
        <v>0</v>
      </c>
      <c r="AC118">
        <f>VLOOKUP(A:A,[1]android_repos_all_metrics!B:K,4,FALSE)</f>
        <v>510</v>
      </c>
      <c r="AD118">
        <f>VLOOKUP(A:A,[1]android_repos_all_metrics!B:K,5,FALSE)</f>
        <v>10</v>
      </c>
      <c r="AE118">
        <f>VLOOKUP(A:A,[1]android_repos_all_metrics!B:K,6,FALSE)</f>
        <v>5</v>
      </c>
      <c r="AF118">
        <f>VLOOKUP(A:A,[1]android_repos_all_metrics!B:K,7,FALSE)</f>
        <v>14690</v>
      </c>
      <c r="AG118">
        <f>VLOOKUP(A:A,[1]android_repos_all_metrics!B:K,8,FALSE)</f>
        <v>69</v>
      </c>
      <c r="AH118">
        <f>VLOOKUP(A:A,[1]android_repos_all_metrics!B:K,9,FALSE)</f>
        <v>150</v>
      </c>
      <c r="AI118">
        <f>VLOOKUP(A:A,[1]android_repos_all_metrics!B:K,10,FALSE)</f>
        <v>12</v>
      </c>
    </row>
    <row r="119" spans="1:35">
      <c r="A119" t="s">
        <v>168</v>
      </c>
      <c r="B119" t="b">
        <v>1</v>
      </c>
      <c r="C119" t="b">
        <v>1</v>
      </c>
      <c r="D119" t="b">
        <v>1</v>
      </c>
      <c r="E119" t="s">
        <v>104</v>
      </c>
      <c r="F119" t="b">
        <v>0</v>
      </c>
      <c r="H119" t="s">
        <v>37</v>
      </c>
      <c r="I119" t="s">
        <v>37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>
        <v>1</v>
      </c>
      <c r="AA119">
        <v>2</v>
      </c>
      <c r="AB119">
        <v>0</v>
      </c>
      <c r="AC119">
        <f>VLOOKUP(A:A,[1]android_repos_all_metrics!B:K,4,FALSE)</f>
        <v>3056</v>
      </c>
      <c r="AD119">
        <f>VLOOKUP(A:A,[1]android_repos_all_metrics!B:K,5,FALSE)</f>
        <v>656</v>
      </c>
      <c r="AE119">
        <f>VLOOKUP(A:A,[1]android_repos_all_metrics!B:K,6,FALSE)</f>
        <v>12</v>
      </c>
      <c r="AF119">
        <f>VLOOKUP(A:A,[1]android_repos_all_metrics!B:K,7,FALSE)</f>
        <v>37622</v>
      </c>
      <c r="AG119">
        <f>VLOOKUP(A:A,[1]android_repos_all_metrics!B:K,8,FALSE)</f>
        <v>4</v>
      </c>
      <c r="AH119">
        <f>VLOOKUP(A:A,[1]android_repos_all_metrics!B:K,9,FALSE)</f>
        <v>56</v>
      </c>
      <c r="AI119">
        <f>VLOOKUP(A:A,[1]android_repos_all_metrics!B:K,10,FALSE)</f>
        <v>80</v>
      </c>
    </row>
    <row r="120" spans="1:35">
      <c r="A120" t="s">
        <v>169</v>
      </c>
      <c r="B120" t="b">
        <v>1</v>
      </c>
      <c r="C120" t="b">
        <v>0</v>
      </c>
      <c r="D120" t="b">
        <v>0</v>
      </c>
      <c r="F120" t="b">
        <v>0</v>
      </c>
      <c r="H120" t="s">
        <v>37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>
        <v>1</v>
      </c>
      <c r="AA120">
        <v>5</v>
      </c>
      <c r="AB120">
        <v>0</v>
      </c>
      <c r="AC120">
        <f>VLOOKUP(A:A,[1]android_repos_all_metrics!B:K,4,FALSE)</f>
        <v>3791</v>
      </c>
      <c r="AD120">
        <f>VLOOKUP(A:A,[1]android_repos_all_metrics!B:K,5,FALSE)</f>
        <v>847</v>
      </c>
      <c r="AE120">
        <f>VLOOKUP(A:A,[1]android_repos_all_metrics!B:K,6,FALSE)</f>
        <v>11</v>
      </c>
      <c r="AF120">
        <f>VLOOKUP(A:A,[1]android_repos_all_metrics!B:K,7,FALSE)</f>
        <v>29527</v>
      </c>
      <c r="AG120">
        <f>VLOOKUP(A:A,[1]android_repos_all_metrics!B:K,8,FALSE)</f>
        <v>1</v>
      </c>
      <c r="AH120">
        <f>VLOOKUP(A:A,[1]android_repos_all_metrics!B:K,9,FALSE)</f>
        <v>46</v>
      </c>
      <c r="AI120">
        <f>VLOOKUP(A:A,[1]android_repos_all_metrics!B:K,10,FALSE)</f>
        <v>39</v>
      </c>
    </row>
    <row r="121" spans="1:35">
      <c r="A121" t="s">
        <v>170</v>
      </c>
      <c r="B121" t="b">
        <v>1</v>
      </c>
      <c r="C121" t="b">
        <v>0</v>
      </c>
      <c r="D121" t="b">
        <v>0</v>
      </c>
      <c r="F121" t="b">
        <v>0</v>
      </c>
      <c r="H121" t="s">
        <v>37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>
        <v>1</v>
      </c>
      <c r="AB121">
        <v>0</v>
      </c>
      <c r="AC121">
        <f>VLOOKUP(A:A,[1]android_repos_all_metrics!B:K,4,FALSE)</f>
        <v>53</v>
      </c>
      <c r="AD121">
        <f>VLOOKUP(A:A,[1]android_repos_all_metrics!B:K,5,FALSE)</f>
        <v>7</v>
      </c>
      <c r="AE121">
        <f>VLOOKUP(A:A,[1]android_repos_all_metrics!B:K,6,FALSE)</f>
        <v>1</v>
      </c>
      <c r="AF121">
        <f>VLOOKUP(A:A,[1]android_repos_all_metrics!B:K,7,FALSE)</f>
        <v>16143</v>
      </c>
      <c r="AG121">
        <f>VLOOKUP(A:A,[1]android_repos_all_metrics!B:K,8,FALSE)</f>
        <v>0</v>
      </c>
      <c r="AH121">
        <f>VLOOKUP(A:A,[1]android_repos_all_metrics!B:K,9,FALSE)</f>
        <v>3</v>
      </c>
      <c r="AI121">
        <f>VLOOKUP(A:A,[1]android_repos_all_metrics!B:K,10,FALSE)</f>
        <v>0</v>
      </c>
    </row>
    <row r="122" spans="1:35">
      <c r="A122" t="s">
        <v>171</v>
      </c>
      <c r="B122" t="b">
        <v>1</v>
      </c>
      <c r="C122" t="b">
        <v>0</v>
      </c>
      <c r="D122" t="b">
        <v>0</v>
      </c>
      <c r="F122" t="b">
        <v>0</v>
      </c>
      <c r="H122" t="s">
        <v>41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>
        <v>1</v>
      </c>
      <c r="AB122">
        <v>0</v>
      </c>
      <c r="AC122">
        <f>VLOOKUP(A:A,[1]android_repos_all_metrics!B:K,4,FALSE)</f>
        <v>56</v>
      </c>
      <c r="AD122">
        <f>VLOOKUP(A:A,[1]android_repos_all_metrics!B:K,5,FALSE)</f>
        <v>2</v>
      </c>
      <c r="AE122">
        <f>VLOOKUP(A:A,[1]android_repos_all_metrics!B:K,6,FALSE)</f>
        <v>2</v>
      </c>
      <c r="AF122">
        <f>VLOOKUP(A:A,[1]android_repos_all_metrics!B:K,7,FALSE)</f>
        <v>3117</v>
      </c>
      <c r="AG122">
        <f>VLOOKUP(A:A,[1]android_repos_all_metrics!B:K,8,FALSE)</f>
        <v>1</v>
      </c>
      <c r="AH122">
        <f>VLOOKUP(A:A,[1]android_repos_all_metrics!B:K,9,FALSE)</f>
        <v>8</v>
      </c>
      <c r="AI122">
        <f>VLOOKUP(A:A,[1]android_repos_all_metrics!B:K,10,FALSE)</f>
        <v>0</v>
      </c>
    </row>
    <row r="123" spans="1:35">
      <c r="A123" t="s">
        <v>172</v>
      </c>
      <c r="B123" t="b">
        <v>1</v>
      </c>
      <c r="C123" t="b">
        <v>0</v>
      </c>
      <c r="D123" t="b">
        <v>0</v>
      </c>
      <c r="F123" t="b">
        <v>0</v>
      </c>
      <c r="H123" t="s">
        <v>37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>
        <v>2</v>
      </c>
      <c r="AB123">
        <v>0</v>
      </c>
      <c r="AC123">
        <f>VLOOKUP(A:A,[1]android_repos_all_metrics!B:K,4,FALSE)</f>
        <v>182</v>
      </c>
      <c r="AD123">
        <f>VLOOKUP(A:A,[1]android_repos_all_metrics!B:K,5,FALSE)</f>
        <v>1</v>
      </c>
      <c r="AE123">
        <f>VLOOKUP(A:A,[1]android_repos_all_metrics!B:K,6,FALSE)</f>
        <v>3</v>
      </c>
      <c r="AF123">
        <f>VLOOKUP(A:A,[1]android_repos_all_metrics!B:K,7,FALSE)</f>
        <v>385</v>
      </c>
      <c r="AG123">
        <f>VLOOKUP(A:A,[1]android_repos_all_metrics!B:K,8,FALSE)</f>
        <v>5</v>
      </c>
      <c r="AH123">
        <f>VLOOKUP(A:A,[1]android_repos_all_metrics!B:K,9,FALSE)</f>
        <v>10</v>
      </c>
      <c r="AI123">
        <f>VLOOKUP(A:A,[1]android_repos_all_metrics!B:K,10,FALSE)</f>
        <v>2</v>
      </c>
    </row>
    <row r="124" spans="1:35">
      <c r="A124" t="s">
        <v>173</v>
      </c>
      <c r="B124" t="b">
        <v>0</v>
      </c>
      <c r="C124" t="b">
        <v>0</v>
      </c>
      <c r="D124" t="b">
        <v>0</v>
      </c>
      <c r="F124" t="b">
        <v>0</v>
      </c>
      <c r="H124" t="s">
        <v>41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>
        <v>1</v>
      </c>
      <c r="AB124">
        <v>0</v>
      </c>
      <c r="AC124">
        <f>VLOOKUP(A:A,[1]android_repos_all_metrics!B:K,4,FALSE)</f>
        <v>212</v>
      </c>
      <c r="AD124">
        <f>VLOOKUP(A:A,[1]android_repos_all_metrics!B:K,5,FALSE)</f>
        <v>4</v>
      </c>
      <c r="AE124">
        <f>VLOOKUP(A:A,[1]android_repos_all_metrics!B:K,6,FALSE)</f>
        <v>2</v>
      </c>
      <c r="AF124">
        <f>VLOOKUP(A:A,[1]android_repos_all_metrics!B:K,7,FALSE)</f>
        <v>3054</v>
      </c>
      <c r="AG124">
        <f>VLOOKUP(A:A,[1]android_repos_all_metrics!B:K,8,FALSE)</f>
        <v>102</v>
      </c>
      <c r="AH124">
        <f>VLOOKUP(A:A,[1]android_repos_all_metrics!B:K,9,FALSE)</f>
        <v>434</v>
      </c>
      <c r="AI124">
        <f>VLOOKUP(A:A,[1]android_repos_all_metrics!B:K,10,FALSE)</f>
        <v>3</v>
      </c>
    </row>
    <row r="125" spans="1:35">
      <c r="A125" t="s">
        <v>174</v>
      </c>
      <c r="B125" t="b">
        <v>0</v>
      </c>
      <c r="C125" t="b">
        <v>0</v>
      </c>
      <c r="D125" t="b">
        <v>0</v>
      </c>
      <c r="F125" t="b">
        <v>0</v>
      </c>
      <c r="H125" t="s">
        <v>41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>
        <v>1</v>
      </c>
      <c r="AB125">
        <v>0</v>
      </c>
      <c r="AC125">
        <f>VLOOKUP(A:A,[1]android_repos_all_metrics!B:K,4,FALSE)</f>
        <v>557</v>
      </c>
      <c r="AD125">
        <f>VLOOKUP(A:A,[1]android_repos_all_metrics!B:K,5,FALSE)</f>
        <v>358</v>
      </c>
      <c r="AE125">
        <f>VLOOKUP(A:A,[1]android_repos_all_metrics!B:K,6,FALSE)</f>
        <v>52</v>
      </c>
      <c r="AF125">
        <f>VLOOKUP(A:A,[1]android_repos_all_metrics!B:K,7,FALSE)</f>
        <v>1874</v>
      </c>
      <c r="AG125">
        <f>VLOOKUP(A:A,[1]android_repos_all_metrics!B:K,8,FALSE)</f>
        <v>60</v>
      </c>
      <c r="AH125">
        <f>VLOOKUP(A:A,[1]android_repos_all_metrics!B:K,9,FALSE)</f>
        <v>109</v>
      </c>
      <c r="AI125">
        <f>VLOOKUP(A:A,[1]android_repos_all_metrics!B:K,10,FALSE)</f>
        <v>20</v>
      </c>
    </row>
    <row r="126" spans="1:35">
      <c r="A126" t="s">
        <v>175</v>
      </c>
      <c r="B126" t="b">
        <v>1</v>
      </c>
      <c r="C126" t="b">
        <v>0</v>
      </c>
      <c r="D126" t="b">
        <v>0</v>
      </c>
      <c r="F126" t="b">
        <v>0</v>
      </c>
      <c r="H126" t="s">
        <v>37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>
        <v>1</v>
      </c>
      <c r="AB126">
        <v>0</v>
      </c>
      <c r="AC126">
        <f>VLOOKUP(A:A,[1]android_repos_all_metrics!B:K,4,FALSE)</f>
        <v>9</v>
      </c>
      <c r="AD126">
        <f>VLOOKUP(A:A,[1]android_repos_all_metrics!B:K,5,FALSE)</f>
        <v>0</v>
      </c>
      <c r="AE126">
        <f>VLOOKUP(A:A,[1]android_repos_all_metrics!B:K,6,FALSE)</f>
        <v>1</v>
      </c>
      <c r="AF126">
        <f>VLOOKUP(A:A,[1]android_repos_all_metrics!B:K,7,FALSE)</f>
        <v>3649</v>
      </c>
      <c r="AG126">
        <f>VLOOKUP(A:A,[1]android_repos_all_metrics!B:K,8,FALSE)</f>
        <v>2</v>
      </c>
      <c r="AH126">
        <f>VLOOKUP(A:A,[1]android_repos_all_metrics!B:K,9,FALSE)</f>
        <v>7</v>
      </c>
      <c r="AI126">
        <f>VLOOKUP(A:A,[1]android_repos_all_metrics!B:K,10,FALSE)</f>
        <v>1</v>
      </c>
    </row>
    <row r="127" spans="1:35">
      <c r="A127" t="s">
        <v>176</v>
      </c>
      <c r="B127" t="b">
        <v>1</v>
      </c>
      <c r="C127" t="b">
        <v>0</v>
      </c>
      <c r="D127" t="b">
        <v>0</v>
      </c>
      <c r="F127" t="b">
        <v>0</v>
      </c>
      <c r="H127" t="s">
        <v>43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>
        <v>1</v>
      </c>
      <c r="AB127">
        <v>0</v>
      </c>
      <c r="AC127">
        <f>VLOOKUP(A:A,[1]android_repos_all_metrics!B:K,4,FALSE)</f>
        <v>42</v>
      </c>
      <c r="AD127">
        <f>VLOOKUP(A:A,[1]android_repos_all_metrics!B:K,5,FALSE)</f>
        <v>4</v>
      </c>
      <c r="AE127">
        <f>VLOOKUP(A:A,[1]android_repos_all_metrics!B:K,6,FALSE)</f>
        <v>1</v>
      </c>
      <c r="AF127">
        <f>VLOOKUP(A:A,[1]android_repos_all_metrics!B:K,7,FALSE)</f>
        <v>192</v>
      </c>
      <c r="AG127">
        <f>VLOOKUP(A:A,[1]android_repos_all_metrics!B:K,8,FALSE)</f>
        <v>6</v>
      </c>
      <c r="AH127">
        <f>VLOOKUP(A:A,[1]android_repos_all_metrics!B:K,9,FALSE)</f>
        <v>17</v>
      </c>
      <c r="AI127">
        <f>VLOOKUP(A:A,[1]android_repos_all_metrics!B:K,10,FALSE)</f>
        <v>9</v>
      </c>
    </row>
    <row r="128" spans="1:35">
      <c r="A128" t="s">
        <v>177</v>
      </c>
      <c r="B128" t="b">
        <v>1</v>
      </c>
      <c r="C128" t="b">
        <v>1</v>
      </c>
      <c r="D128" t="b">
        <v>1</v>
      </c>
      <c r="E128" t="s">
        <v>36</v>
      </c>
      <c r="F128" t="b">
        <v>0</v>
      </c>
      <c r="H128" t="s">
        <v>37</v>
      </c>
      <c r="I128" t="s">
        <v>37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>
        <v>3</v>
      </c>
      <c r="AA128">
        <v>1</v>
      </c>
      <c r="AB128">
        <v>0</v>
      </c>
      <c r="AC128">
        <f>VLOOKUP(A:A,[1]android_repos_all_metrics!B:K,4,FALSE)</f>
        <v>22</v>
      </c>
      <c r="AD128">
        <f>VLOOKUP(A:A,[1]android_repos_all_metrics!B:K,5,FALSE)</f>
        <v>6</v>
      </c>
      <c r="AE128">
        <f>VLOOKUP(A:A,[1]android_repos_all_metrics!B:K,6,FALSE)</f>
        <v>1</v>
      </c>
      <c r="AF128">
        <f>VLOOKUP(A:A,[1]android_repos_all_metrics!B:K,7,FALSE)</f>
        <v>74410</v>
      </c>
      <c r="AG128">
        <f>VLOOKUP(A:A,[1]android_repos_all_metrics!B:K,8,FALSE)</f>
        <v>2</v>
      </c>
      <c r="AH128">
        <f>VLOOKUP(A:A,[1]android_repos_all_metrics!B:K,9,FALSE)</f>
        <v>5</v>
      </c>
      <c r="AI128">
        <f>VLOOKUP(A:A,[1]android_repos_all_metrics!B:K,10,FALSE)</f>
        <v>0</v>
      </c>
    </row>
    <row r="129" spans="1:35">
      <c r="A129" t="s">
        <v>178</v>
      </c>
      <c r="B129" t="b">
        <v>1</v>
      </c>
      <c r="C129" t="b">
        <v>0</v>
      </c>
      <c r="D129" t="b">
        <v>0</v>
      </c>
      <c r="F129" t="b">
        <v>0</v>
      </c>
      <c r="H129" t="s">
        <v>110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>
        <v>7</v>
      </c>
      <c r="AB129">
        <v>0</v>
      </c>
      <c r="AC129">
        <f>VLOOKUP(A:A,[1]android_repos_all_metrics!B:K,4,FALSE)</f>
        <v>0</v>
      </c>
      <c r="AD129">
        <f>VLOOKUP(A:A,[1]android_repos_all_metrics!B:K,5,FALSE)</f>
        <v>0</v>
      </c>
      <c r="AE129">
        <f>VLOOKUP(A:A,[1]android_repos_all_metrics!B:K,6,FALSE)</f>
        <v>0</v>
      </c>
      <c r="AF129">
        <f>VLOOKUP(A:A,[1]android_repos_all_metrics!B:K,7,FALSE)</f>
        <v>356</v>
      </c>
      <c r="AG129">
        <f>VLOOKUP(A:A,[1]android_repos_all_metrics!B:K,8,FALSE)</f>
        <v>4</v>
      </c>
      <c r="AH129">
        <f>VLOOKUP(A:A,[1]android_repos_all_metrics!B:K,9,FALSE)</f>
        <v>5</v>
      </c>
      <c r="AI129">
        <f>VLOOKUP(A:A,[1]android_repos_all_metrics!B:K,10,FALSE)</f>
        <v>0</v>
      </c>
    </row>
    <row r="130" spans="1:35">
      <c r="A130" t="s">
        <v>179</v>
      </c>
      <c r="B130" t="b">
        <v>1</v>
      </c>
      <c r="C130" t="b">
        <v>0</v>
      </c>
      <c r="D130" t="b">
        <v>0</v>
      </c>
      <c r="F130" t="b">
        <v>0</v>
      </c>
      <c r="H130" t="s">
        <v>37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>
        <v>1</v>
      </c>
      <c r="AB130">
        <v>0</v>
      </c>
      <c r="AC130">
        <f>VLOOKUP(A:A,[1]android_repos_all_metrics!B:K,4,FALSE)</f>
        <v>34</v>
      </c>
      <c r="AD130">
        <f>VLOOKUP(A:A,[1]android_repos_all_metrics!B:K,5,FALSE)</f>
        <v>9</v>
      </c>
      <c r="AE130">
        <f>VLOOKUP(A:A,[1]android_repos_all_metrics!B:K,6,FALSE)</f>
        <v>1</v>
      </c>
      <c r="AF130">
        <f>VLOOKUP(A:A,[1]android_repos_all_metrics!B:K,7,FALSE)</f>
        <v>6731</v>
      </c>
      <c r="AG130">
        <f>VLOOKUP(A:A,[1]android_repos_all_metrics!B:K,8,FALSE)</f>
        <v>2</v>
      </c>
      <c r="AH130">
        <f>VLOOKUP(A:A,[1]android_repos_all_metrics!B:K,9,FALSE)</f>
        <v>4</v>
      </c>
      <c r="AI130">
        <f>VLOOKUP(A:A,[1]android_repos_all_metrics!B:K,10,FALSE)</f>
        <v>2</v>
      </c>
    </row>
    <row r="131" spans="1:35">
      <c r="A131" t="s">
        <v>180</v>
      </c>
      <c r="B131" t="b">
        <v>0</v>
      </c>
      <c r="C131" t="b">
        <v>0</v>
      </c>
      <c r="D131" t="b">
        <v>0</v>
      </c>
      <c r="F131" t="b">
        <v>0</v>
      </c>
      <c r="H131" t="s">
        <v>41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>
        <v>1</v>
      </c>
      <c r="AB131">
        <v>0</v>
      </c>
      <c r="AC131">
        <f>VLOOKUP(A:A,[1]android_repos_all_metrics!B:K,4,FALSE)</f>
        <v>41</v>
      </c>
      <c r="AD131">
        <f>VLOOKUP(A:A,[1]android_repos_all_metrics!B:K,5,FALSE)</f>
        <v>8</v>
      </c>
      <c r="AE131">
        <f>VLOOKUP(A:A,[1]android_repos_all_metrics!B:K,6,FALSE)</f>
        <v>1</v>
      </c>
      <c r="AF131">
        <f>VLOOKUP(A:A,[1]android_repos_all_metrics!B:K,7,FALSE)</f>
        <v>21910</v>
      </c>
      <c r="AG131">
        <f>VLOOKUP(A:A,[1]android_repos_all_metrics!B:K,8,FALSE)</f>
        <v>147</v>
      </c>
      <c r="AH131">
        <f>VLOOKUP(A:A,[1]android_repos_all_metrics!B:K,9,FALSE)</f>
        <v>301</v>
      </c>
      <c r="AI131">
        <f>VLOOKUP(A:A,[1]android_repos_all_metrics!B:K,10,FALSE)</f>
        <v>9</v>
      </c>
    </row>
    <row r="132" spans="1:35">
      <c r="A132" t="s">
        <v>181</v>
      </c>
      <c r="B132" t="b">
        <v>1</v>
      </c>
      <c r="C132" t="b">
        <v>0</v>
      </c>
      <c r="D132" t="b">
        <v>0</v>
      </c>
      <c r="F132" t="b">
        <v>0</v>
      </c>
      <c r="H132" t="s">
        <v>37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>
        <v>1</v>
      </c>
      <c r="AB132">
        <v>0</v>
      </c>
      <c r="AC132">
        <f>VLOOKUP(A:A,[1]android_repos_all_metrics!B:K,4,FALSE)</f>
        <v>311</v>
      </c>
      <c r="AD132">
        <f>VLOOKUP(A:A,[1]android_repos_all_metrics!B:K,5,FALSE)</f>
        <v>60</v>
      </c>
      <c r="AE132">
        <f>VLOOKUP(A:A,[1]android_repos_all_metrics!B:K,6,FALSE)</f>
        <v>68</v>
      </c>
      <c r="AF132">
        <f>VLOOKUP(A:A,[1]android_repos_all_metrics!B:K,7,FALSE)</f>
        <v>19801</v>
      </c>
      <c r="AG132">
        <f>VLOOKUP(A:A,[1]android_repos_all_metrics!B:K,8,FALSE)</f>
        <v>41</v>
      </c>
      <c r="AH132">
        <f>VLOOKUP(A:A,[1]android_repos_all_metrics!B:K,9,FALSE)</f>
        <v>206</v>
      </c>
      <c r="AI132">
        <f>VLOOKUP(A:A,[1]android_repos_all_metrics!B:K,10,FALSE)</f>
        <v>23</v>
      </c>
    </row>
    <row r="133" spans="1:35">
      <c r="A133" t="s">
        <v>182</v>
      </c>
      <c r="B133" t="b">
        <v>1</v>
      </c>
      <c r="C133" t="b">
        <v>0</v>
      </c>
      <c r="D133" t="b">
        <v>0</v>
      </c>
      <c r="F133" t="b">
        <v>0</v>
      </c>
      <c r="H133" t="s">
        <v>37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>
        <v>1</v>
      </c>
      <c r="AB133">
        <v>0</v>
      </c>
      <c r="AC133">
        <f>VLOOKUP(A:A,[1]android_repos_all_metrics!B:K,4,FALSE)</f>
        <v>2005</v>
      </c>
      <c r="AD133">
        <f>VLOOKUP(A:A,[1]android_repos_all_metrics!B:K,5,FALSE)</f>
        <v>32</v>
      </c>
      <c r="AE133">
        <f>VLOOKUP(A:A,[1]android_repos_all_metrics!B:K,6,FALSE)</f>
        <v>2</v>
      </c>
      <c r="AF133">
        <f>VLOOKUP(A:A,[1]android_repos_all_metrics!B:K,7,FALSE)</f>
        <v>14619</v>
      </c>
      <c r="AG133">
        <f>VLOOKUP(A:A,[1]android_repos_all_metrics!B:K,8,FALSE)</f>
        <v>8</v>
      </c>
      <c r="AH133">
        <f>VLOOKUP(A:A,[1]android_repos_all_metrics!B:K,9,FALSE)</f>
        <v>65</v>
      </c>
      <c r="AI133">
        <f>VLOOKUP(A:A,[1]android_repos_all_metrics!B:K,10,FALSE)</f>
        <v>21</v>
      </c>
    </row>
    <row r="134" spans="1:35">
      <c r="A134" t="s">
        <v>183</v>
      </c>
      <c r="B134" t="b">
        <v>1</v>
      </c>
      <c r="C134" t="b">
        <v>0</v>
      </c>
      <c r="D134" t="b">
        <v>0</v>
      </c>
      <c r="F134" t="b">
        <v>0</v>
      </c>
      <c r="H134" t="s">
        <v>43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>
        <v>1</v>
      </c>
      <c r="AB134">
        <v>0</v>
      </c>
      <c r="AC134">
        <f>VLOOKUP(A:A,[1]android_repos_all_metrics!B:K,4,FALSE)</f>
        <v>5038</v>
      </c>
      <c r="AD134">
        <f>VLOOKUP(A:A,[1]android_repos_all_metrics!B:K,5,FALSE)</f>
        <v>1712</v>
      </c>
      <c r="AE134">
        <f>VLOOKUP(A:A,[1]android_repos_all_metrics!B:K,6,FALSE)</f>
        <v>38</v>
      </c>
      <c r="AF134">
        <f>VLOOKUP(A:A,[1]android_repos_all_metrics!B:K,7,FALSE)</f>
        <v>42965</v>
      </c>
      <c r="AG134">
        <f>VLOOKUP(A:A,[1]android_repos_all_metrics!B:K,8,FALSE)</f>
        <v>1011</v>
      </c>
      <c r="AH134">
        <f>VLOOKUP(A:A,[1]android_repos_all_metrics!B:K,9,FALSE)</f>
        <v>5691</v>
      </c>
      <c r="AI134">
        <f>VLOOKUP(A:A,[1]android_repos_all_metrics!B:K,10,FALSE)</f>
        <v>3</v>
      </c>
    </row>
    <row r="135" spans="1:35">
      <c r="A135" t="s">
        <v>184</v>
      </c>
      <c r="B135" t="b">
        <v>0</v>
      </c>
      <c r="C135" t="b">
        <v>0</v>
      </c>
      <c r="D135" t="b">
        <v>0</v>
      </c>
      <c r="F135" t="b">
        <v>0</v>
      </c>
      <c r="H135" t="s">
        <v>37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>
        <v>1</v>
      </c>
      <c r="AB135">
        <v>0</v>
      </c>
      <c r="AC135">
        <f>VLOOKUP(A:A,[1]android_repos_all_metrics!B:K,4,FALSE)</f>
        <v>82</v>
      </c>
      <c r="AD135">
        <f>VLOOKUP(A:A,[1]android_repos_all_metrics!B:K,5,FALSE)</f>
        <v>24</v>
      </c>
      <c r="AE135">
        <f>VLOOKUP(A:A,[1]android_repos_all_metrics!B:K,6,FALSE)</f>
        <v>7</v>
      </c>
      <c r="AF135">
        <f>VLOOKUP(A:A,[1]android_repos_all_metrics!B:K,7,FALSE)</f>
        <v>591</v>
      </c>
      <c r="AG135">
        <f>VLOOKUP(A:A,[1]android_repos_all_metrics!B:K,8,FALSE)</f>
        <v>195</v>
      </c>
      <c r="AH135">
        <f>VLOOKUP(A:A,[1]android_repos_all_metrics!B:K,9,FALSE)</f>
        <v>588</v>
      </c>
      <c r="AI135">
        <f>VLOOKUP(A:A,[1]android_repos_all_metrics!B:K,10,FALSE)</f>
        <v>0</v>
      </c>
    </row>
    <row r="136" spans="1:35">
      <c r="A136" t="s">
        <v>185</v>
      </c>
      <c r="B136" t="b">
        <v>1</v>
      </c>
      <c r="C136" t="b">
        <v>0</v>
      </c>
      <c r="D136" t="b">
        <v>0</v>
      </c>
      <c r="F136" t="b">
        <v>0</v>
      </c>
      <c r="H136" t="s">
        <v>37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>
        <v>10</v>
      </c>
      <c r="AB136">
        <v>0</v>
      </c>
      <c r="AC136">
        <f>VLOOKUP(A:A,[1]android_repos_all_metrics!B:K,4,FALSE)</f>
        <v>3021</v>
      </c>
      <c r="AD136">
        <f>VLOOKUP(A:A,[1]android_repos_all_metrics!B:K,5,FALSE)</f>
        <v>1657</v>
      </c>
      <c r="AE136">
        <f>VLOOKUP(A:A,[1]android_repos_all_metrics!B:K,6,FALSE)</f>
        <v>97</v>
      </c>
      <c r="AF136">
        <f>VLOOKUP(A:A,[1]android_repos_all_metrics!B:K,7,FALSE)</f>
        <v>120142</v>
      </c>
      <c r="AG136">
        <f>VLOOKUP(A:A,[1]android_repos_all_metrics!B:K,8,FALSE)</f>
        <v>234</v>
      </c>
      <c r="AH136">
        <f>VLOOKUP(A:A,[1]android_repos_all_metrics!B:K,9,FALSE)</f>
        <v>2265</v>
      </c>
      <c r="AI136">
        <f>VLOOKUP(A:A,[1]android_repos_all_metrics!B:K,10,FALSE)</f>
        <v>18</v>
      </c>
    </row>
    <row r="137" spans="1:35">
      <c r="A137" t="s">
        <v>186</v>
      </c>
      <c r="B137" t="b">
        <v>1</v>
      </c>
      <c r="C137" t="b">
        <v>0</v>
      </c>
      <c r="D137" t="b">
        <v>0</v>
      </c>
      <c r="F137" t="b">
        <v>0</v>
      </c>
      <c r="H137" t="s">
        <v>37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>
        <v>1</v>
      </c>
      <c r="AB137">
        <v>0</v>
      </c>
      <c r="AC137">
        <f>VLOOKUP(A:A,[1]android_repos_all_metrics!B:K,4,FALSE)</f>
        <v>142</v>
      </c>
      <c r="AD137">
        <f>VLOOKUP(A:A,[1]android_repos_all_metrics!B:K,5,FALSE)</f>
        <v>6</v>
      </c>
      <c r="AE137">
        <f>VLOOKUP(A:A,[1]android_repos_all_metrics!B:K,6,FALSE)</f>
        <v>2</v>
      </c>
      <c r="AF137">
        <f>VLOOKUP(A:A,[1]android_repos_all_metrics!B:K,7,FALSE)</f>
        <v>2053</v>
      </c>
      <c r="AG137">
        <f>VLOOKUP(A:A,[1]android_repos_all_metrics!B:K,8,FALSE)</f>
        <v>2</v>
      </c>
      <c r="AH137">
        <f>VLOOKUP(A:A,[1]android_repos_all_metrics!B:K,9,FALSE)</f>
        <v>3</v>
      </c>
      <c r="AI137">
        <f>VLOOKUP(A:A,[1]android_repos_all_metrics!B:K,10,FALSE)</f>
        <v>0</v>
      </c>
    </row>
    <row r="138" spans="1:35">
      <c r="A138" t="s">
        <v>187</v>
      </c>
      <c r="B138" t="b">
        <v>1</v>
      </c>
      <c r="C138" t="b">
        <v>0</v>
      </c>
      <c r="D138" t="b">
        <v>0</v>
      </c>
      <c r="F138" t="b">
        <v>0</v>
      </c>
      <c r="H138" t="s">
        <v>37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>
        <v>4</v>
      </c>
      <c r="AB138">
        <v>0</v>
      </c>
      <c r="AC138">
        <f>VLOOKUP(A:A,[1]android_repos_all_metrics!B:K,4,FALSE)</f>
        <v>506</v>
      </c>
      <c r="AD138">
        <f>VLOOKUP(A:A,[1]android_repos_all_metrics!B:K,5,FALSE)</f>
        <v>174</v>
      </c>
      <c r="AE138">
        <f>VLOOKUP(A:A,[1]android_repos_all_metrics!B:K,6,FALSE)</f>
        <v>1</v>
      </c>
      <c r="AF138">
        <f>VLOOKUP(A:A,[1]android_repos_all_metrics!B:K,7,FALSE)</f>
        <v>71208</v>
      </c>
      <c r="AG138">
        <f>VLOOKUP(A:A,[1]android_repos_all_metrics!B:K,8,FALSE)</f>
        <v>1</v>
      </c>
      <c r="AH138">
        <f>VLOOKUP(A:A,[1]android_repos_all_metrics!B:K,9,FALSE)</f>
        <v>5</v>
      </c>
      <c r="AI138">
        <f>VLOOKUP(A:A,[1]android_repos_all_metrics!B:K,10,FALSE)</f>
        <v>6</v>
      </c>
    </row>
    <row r="139" spans="1:35">
      <c r="A139" t="s">
        <v>188</v>
      </c>
      <c r="B139" t="b">
        <v>1</v>
      </c>
      <c r="C139" t="b">
        <v>0</v>
      </c>
      <c r="D139" t="b">
        <v>0</v>
      </c>
      <c r="F139" t="b">
        <v>0</v>
      </c>
      <c r="H139" t="s">
        <v>43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>
        <v>1</v>
      </c>
      <c r="AB139">
        <v>0</v>
      </c>
      <c r="AC139">
        <f>VLOOKUP(A:A,[1]android_repos_all_metrics!B:K,4,FALSE)</f>
        <v>281</v>
      </c>
      <c r="AD139">
        <f>VLOOKUP(A:A,[1]android_repos_all_metrics!B:K,5,FALSE)</f>
        <v>62</v>
      </c>
      <c r="AE139">
        <f>VLOOKUP(A:A,[1]android_repos_all_metrics!B:K,6,FALSE)</f>
        <v>8</v>
      </c>
      <c r="AF139">
        <f>VLOOKUP(A:A,[1]android_repos_all_metrics!B:K,7,FALSE)</f>
        <v>18918</v>
      </c>
      <c r="AG139">
        <f>VLOOKUP(A:A,[1]android_repos_all_metrics!B:K,8,FALSE)</f>
        <v>26</v>
      </c>
      <c r="AH139">
        <f>VLOOKUP(A:A,[1]android_repos_all_metrics!B:K,9,FALSE)</f>
        <v>67</v>
      </c>
      <c r="AI139">
        <f>VLOOKUP(A:A,[1]android_repos_all_metrics!B:K,10,FALSE)</f>
        <v>23</v>
      </c>
    </row>
    <row r="140" spans="1:35">
      <c r="A140" t="s">
        <v>189</v>
      </c>
      <c r="B140" t="b">
        <v>0</v>
      </c>
      <c r="C140" t="b">
        <v>0</v>
      </c>
      <c r="D140" t="b">
        <v>0</v>
      </c>
      <c r="F140" t="b">
        <v>0</v>
      </c>
      <c r="H140" t="s">
        <v>41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>
        <v>1</v>
      </c>
      <c r="AB140">
        <v>0</v>
      </c>
      <c r="AC140">
        <f>VLOOKUP(A:A,[1]android_repos_all_metrics!B:K,4,FALSE)</f>
        <v>288</v>
      </c>
      <c r="AD140">
        <f>VLOOKUP(A:A,[1]android_repos_all_metrics!B:K,5,FALSE)</f>
        <v>2</v>
      </c>
      <c r="AE140">
        <f>VLOOKUP(A:A,[1]android_repos_all_metrics!B:K,6,FALSE)</f>
        <v>50</v>
      </c>
      <c r="AF140">
        <f>VLOOKUP(A:A,[1]android_repos_all_metrics!B:K,7,FALSE)</f>
        <v>2692</v>
      </c>
      <c r="AG140">
        <f>VLOOKUP(A:A,[1]android_repos_all_metrics!B:K,8,FALSE)</f>
        <v>76</v>
      </c>
      <c r="AH140">
        <f>VLOOKUP(A:A,[1]android_repos_all_metrics!B:K,9,FALSE)</f>
        <v>763</v>
      </c>
      <c r="AI140">
        <f>VLOOKUP(A:A,[1]android_repos_all_metrics!B:K,10,FALSE)</f>
        <v>2</v>
      </c>
    </row>
    <row r="141" spans="1:35">
      <c r="A141" t="s">
        <v>190</v>
      </c>
      <c r="B141" t="b">
        <v>1</v>
      </c>
      <c r="C141" t="b">
        <v>0</v>
      </c>
      <c r="D141" t="b">
        <v>0</v>
      </c>
      <c r="F141" t="b">
        <v>0</v>
      </c>
      <c r="H141" t="s">
        <v>37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>
        <v>1</v>
      </c>
      <c r="AB141">
        <v>0</v>
      </c>
      <c r="AC141">
        <f>VLOOKUP(A:A,[1]android_repos_all_metrics!B:K,4,FALSE)</f>
        <v>770</v>
      </c>
      <c r="AD141">
        <f>VLOOKUP(A:A,[1]android_repos_all_metrics!B:K,5,FALSE)</f>
        <v>42</v>
      </c>
      <c r="AE141">
        <f>VLOOKUP(A:A,[1]android_repos_all_metrics!B:K,6,FALSE)</f>
        <v>16</v>
      </c>
      <c r="AF141">
        <f>VLOOKUP(A:A,[1]android_repos_all_metrics!B:K,7,FALSE)</f>
        <v>6533</v>
      </c>
      <c r="AG141">
        <f>VLOOKUP(A:A,[1]android_repos_all_metrics!B:K,8,FALSE)</f>
        <v>79</v>
      </c>
      <c r="AH141">
        <f>VLOOKUP(A:A,[1]android_repos_all_metrics!B:K,9,FALSE)</f>
        <v>195</v>
      </c>
      <c r="AI141">
        <f>VLOOKUP(A:A,[1]android_repos_all_metrics!B:K,10,FALSE)</f>
        <v>72</v>
      </c>
    </row>
    <row r="142" spans="1:35">
      <c r="A142" t="s">
        <v>191</v>
      </c>
      <c r="B142" t="b">
        <v>1</v>
      </c>
      <c r="C142" t="b">
        <v>0</v>
      </c>
      <c r="D142" t="b">
        <v>0</v>
      </c>
      <c r="F142" t="b">
        <v>0</v>
      </c>
      <c r="H142" t="s">
        <v>43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>
        <v>1</v>
      </c>
      <c r="AB142">
        <v>0</v>
      </c>
      <c r="AC142">
        <f>VLOOKUP(A:A,[1]android_repos_all_metrics!B:K,4,FALSE)</f>
        <v>101</v>
      </c>
      <c r="AD142">
        <f>VLOOKUP(A:A,[1]android_repos_all_metrics!B:K,5,FALSE)</f>
        <v>35</v>
      </c>
      <c r="AE142">
        <f>VLOOKUP(A:A,[1]android_repos_all_metrics!B:K,6,FALSE)</f>
        <v>3</v>
      </c>
      <c r="AF142">
        <f>VLOOKUP(A:A,[1]android_repos_all_metrics!B:K,7,FALSE)</f>
        <v>108111</v>
      </c>
      <c r="AG142">
        <f>VLOOKUP(A:A,[1]android_repos_all_metrics!B:K,8,FALSE)</f>
        <v>21</v>
      </c>
      <c r="AH142">
        <f>VLOOKUP(A:A,[1]android_repos_all_metrics!B:K,9,FALSE)</f>
        <v>95</v>
      </c>
      <c r="AI142">
        <f>VLOOKUP(A:A,[1]android_repos_all_metrics!B:K,10,FALSE)</f>
        <v>14</v>
      </c>
    </row>
    <row r="143" spans="1:35">
      <c r="A143" t="s">
        <v>192</v>
      </c>
      <c r="B143" t="b">
        <v>1</v>
      </c>
      <c r="C143" t="b">
        <v>0</v>
      </c>
      <c r="D143" t="b">
        <v>0</v>
      </c>
      <c r="F143" t="b">
        <v>0</v>
      </c>
      <c r="H143" t="s">
        <v>37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>
        <v>1</v>
      </c>
      <c r="AB143">
        <v>0</v>
      </c>
      <c r="AC143">
        <f>VLOOKUP(A:A,[1]android_repos_all_metrics!B:K,4,FALSE)</f>
        <v>88</v>
      </c>
      <c r="AD143">
        <f>VLOOKUP(A:A,[1]android_repos_all_metrics!B:K,5,FALSE)</f>
        <v>0</v>
      </c>
      <c r="AE143">
        <f>VLOOKUP(A:A,[1]android_repos_all_metrics!B:K,6,FALSE)</f>
        <v>1</v>
      </c>
      <c r="AF143">
        <f>VLOOKUP(A:A,[1]android_repos_all_metrics!B:K,7,FALSE)</f>
        <v>795</v>
      </c>
      <c r="AG143">
        <f>VLOOKUP(A:A,[1]android_repos_all_metrics!B:K,8,FALSE)</f>
        <v>0</v>
      </c>
      <c r="AH143">
        <f>VLOOKUP(A:A,[1]android_repos_all_metrics!B:K,9,FALSE)</f>
        <v>3</v>
      </c>
      <c r="AI143">
        <f>VLOOKUP(A:A,[1]android_repos_all_metrics!B:K,10,FALSE)</f>
        <v>0</v>
      </c>
    </row>
    <row r="144" spans="1:35">
      <c r="A144" t="s">
        <v>193</v>
      </c>
      <c r="B144" t="b">
        <v>1</v>
      </c>
      <c r="C144" t="b">
        <v>0</v>
      </c>
      <c r="D144" t="b">
        <v>0</v>
      </c>
      <c r="F144" t="b">
        <v>0</v>
      </c>
      <c r="H144" t="s">
        <v>43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>
        <v>1</v>
      </c>
      <c r="AB144">
        <v>0</v>
      </c>
      <c r="AC144">
        <f>VLOOKUP(A:A,[1]android_repos_all_metrics!B:K,4,FALSE)</f>
        <v>19</v>
      </c>
      <c r="AD144">
        <f>VLOOKUP(A:A,[1]android_repos_all_metrics!B:K,5,FALSE)</f>
        <v>15</v>
      </c>
      <c r="AE144">
        <f>VLOOKUP(A:A,[1]android_repos_all_metrics!B:K,6,FALSE)</f>
        <v>2</v>
      </c>
      <c r="AF144">
        <f>VLOOKUP(A:A,[1]android_repos_all_metrics!B:K,7,FALSE)</f>
        <v>133</v>
      </c>
      <c r="AG144">
        <f>VLOOKUP(A:A,[1]android_repos_all_metrics!B:K,8,FALSE)</f>
        <v>5</v>
      </c>
      <c r="AH144">
        <f>VLOOKUP(A:A,[1]android_repos_all_metrics!B:K,9,FALSE)</f>
        <v>29</v>
      </c>
      <c r="AI144">
        <f>VLOOKUP(A:A,[1]android_repos_all_metrics!B:K,10,FALSE)</f>
        <v>2</v>
      </c>
    </row>
    <row r="145" spans="1:35">
      <c r="A145" t="s">
        <v>194</v>
      </c>
      <c r="B145" t="b">
        <v>0</v>
      </c>
      <c r="C145" t="b">
        <v>0</v>
      </c>
      <c r="D145" t="b">
        <v>0</v>
      </c>
      <c r="F145" t="b">
        <v>0</v>
      </c>
      <c r="H145" t="s">
        <v>41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>
        <v>1</v>
      </c>
      <c r="AB145">
        <v>0</v>
      </c>
      <c r="AC145">
        <f>VLOOKUP(A:A,[1]android_repos_all_metrics!B:K,4,FALSE)</f>
        <v>22</v>
      </c>
      <c r="AD145">
        <f>VLOOKUP(A:A,[1]android_repos_all_metrics!B:K,5,FALSE)</f>
        <v>0</v>
      </c>
      <c r="AE145">
        <f>VLOOKUP(A:A,[1]android_repos_all_metrics!B:K,6,FALSE)</f>
        <v>1</v>
      </c>
      <c r="AF145">
        <f>VLOOKUP(A:A,[1]android_repos_all_metrics!B:K,7,FALSE)</f>
        <v>226</v>
      </c>
      <c r="AG145">
        <f>VLOOKUP(A:A,[1]android_repos_all_metrics!B:K,8,FALSE)</f>
        <v>1</v>
      </c>
      <c r="AH145">
        <f>VLOOKUP(A:A,[1]android_repos_all_metrics!B:K,9,FALSE)</f>
        <v>3</v>
      </c>
      <c r="AI145">
        <f>VLOOKUP(A:A,[1]android_repos_all_metrics!B:K,10,FALSE)</f>
        <v>0</v>
      </c>
    </row>
    <row r="146" spans="1:35">
      <c r="A146" t="s">
        <v>195</v>
      </c>
      <c r="B146" t="b">
        <v>1</v>
      </c>
      <c r="C146" t="b">
        <v>1</v>
      </c>
      <c r="D146" t="b">
        <v>1</v>
      </c>
      <c r="E146" t="s">
        <v>36</v>
      </c>
      <c r="F146" t="b">
        <v>0</v>
      </c>
      <c r="H146" t="s">
        <v>37</v>
      </c>
      <c r="I146" t="s">
        <v>37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>
        <v>3</v>
      </c>
      <c r="AA146">
        <v>2</v>
      </c>
      <c r="AB146">
        <v>0</v>
      </c>
      <c r="AC146">
        <f>VLOOKUP(A:A,[1]android_repos_all_metrics!B:K,4,FALSE)</f>
        <v>1236</v>
      </c>
      <c r="AD146">
        <f>VLOOKUP(A:A,[1]android_repos_all_metrics!B:K,5,FALSE)</f>
        <v>16</v>
      </c>
      <c r="AE146">
        <f>VLOOKUP(A:A,[1]android_repos_all_metrics!B:K,6,FALSE)</f>
        <v>26</v>
      </c>
      <c r="AF146">
        <f>VLOOKUP(A:A,[1]android_repos_all_metrics!B:K,7,FALSE)</f>
        <v>32490</v>
      </c>
      <c r="AG146">
        <f>VLOOKUP(A:A,[1]android_repos_all_metrics!B:K,8,FALSE)</f>
        <v>30</v>
      </c>
      <c r="AH146">
        <f>VLOOKUP(A:A,[1]android_repos_all_metrics!B:K,9,FALSE)</f>
        <v>218</v>
      </c>
      <c r="AI146">
        <f>VLOOKUP(A:A,[1]android_repos_all_metrics!B:K,10,FALSE)</f>
        <v>30</v>
      </c>
    </row>
    <row r="147" spans="1:35">
      <c r="A147" t="s">
        <v>196</v>
      </c>
      <c r="B147" t="b">
        <v>0</v>
      </c>
      <c r="C147" t="b">
        <v>0</v>
      </c>
      <c r="D147" t="b">
        <v>0</v>
      </c>
      <c r="F147" t="b">
        <v>0</v>
      </c>
      <c r="H147" t="s">
        <v>41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>
        <v>1</v>
      </c>
      <c r="AB147">
        <v>0</v>
      </c>
      <c r="AC147">
        <f>VLOOKUP(A:A,[1]android_repos_all_metrics!B:K,4,FALSE)</f>
        <v>357</v>
      </c>
      <c r="AD147">
        <f>VLOOKUP(A:A,[1]android_repos_all_metrics!B:K,5,FALSE)</f>
        <v>62</v>
      </c>
      <c r="AE147">
        <f>VLOOKUP(A:A,[1]android_repos_all_metrics!B:K,6,FALSE)</f>
        <v>29</v>
      </c>
      <c r="AF147">
        <f>VLOOKUP(A:A,[1]android_repos_all_metrics!B:K,7,FALSE)</f>
        <v>4142</v>
      </c>
      <c r="AG147">
        <f>VLOOKUP(A:A,[1]android_repos_all_metrics!B:K,8,FALSE)</f>
        <v>44</v>
      </c>
      <c r="AH147">
        <f>VLOOKUP(A:A,[1]android_repos_all_metrics!B:K,9,FALSE)</f>
        <v>40</v>
      </c>
      <c r="AI147">
        <f>VLOOKUP(A:A,[1]android_repos_all_metrics!B:K,10,FALSE)</f>
        <v>28</v>
      </c>
    </row>
    <row r="148" spans="1:35">
      <c r="A148" t="s">
        <v>197</v>
      </c>
      <c r="B148" t="b">
        <v>1</v>
      </c>
      <c r="C148" t="b">
        <v>0</v>
      </c>
      <c r="D148" t="b">
        <v>0</v>
      </c>
      <c r="F148" t="b">
        <v>0</v>
      </c>
      <c r="H148" t="s">
        <v>37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>
        <v>2</v>
      </c>
      <c r="AB148">
        <v>0</v>
      </c>
      <c r="AC148">
        <f>VLOOKUP(A:A,[1]android_repos_all_metrics!B:K,4,FALSE)</f>
        <v>18</v>
      </c>
      <c r="AD148">
        <f>VLOOKUP(A:A,[1]android_repos_all_metrics!B:K,5,FALSE)</f>
        <v>0</v>
      </c>
      <c r="AE148">
        <f>VLOOKUP(A:A,[1]android_repos_all_metrics!B:K,6,FALSE)</f>
        <v>2</v>
      </c>
      <c r="AF148">
        <f>VLOOKUP(A:A,[1]android_repos_all_metrics!B:K,7,FALSE)</f>
        <v>618</v>
      </c>
      <c r="AG148">
        <f>VLOOKUP(A:A,[1]android_repos_all_metrics!B:K,8,FALSE)</f>
        <v>0</v>
      </c>
      <c r="AH148">
        <f>VLOOKUP(A:A,[1]android_repos_all_metrics!B:K,9,FALSE)</f>
        <v>2</v>
      </c>
      <c r="AI148">
        <f>VLOOKUP(A:A,[1]android_repos_all_metrics!B:K,10,FALSE)</f>
        <v>1</v>
      </c>
    </row>
    <row r="149" spans="1:35">
      <c r="A149" t="s">
        <v>198</v>
      </c>
      <c r="B149" t="b">
        <v>1</v>
      </c>
      <c r="C149" t="b">
        <v>0</v>
      </c>
      <c r="D149" t="b">
        <v>0</v>
      </c>
      <c r="F149" t="b">
        <v>0</v>
      </c>
      <c r="H149" t="s">
        <v>37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>
        <v>2</v>
      </c>
      <c r="AB149">
        <v>0</v>
      </c>
      <c r="AC149">
        <f>VLOOKUP(A:A,[1]android_repos_all_metrics!B:K,4,FALSE)</f>
        <v>144</v>
      </c>
      <c r="AD149">
        <f>VLOOKUP(A:A,[1]android_repos_all_metrics!B:K,5,FALSE)</f>
        <v>13</v>
      </c>
      <c r="AE149">
        <f>VLOOKUP(A:A,[1]android_repos_all_metrics!B:K,6,FALSE)</f>
        <v>1</v>
      </c>
      <c r="AF149">
        <f>VLOOKUP(A:A,[1]android_repos_all_metrics!B:K,7,FALSE)</f>
        <v>3649</v>
      </c>
      <c r="AG149">
        <f>VLOOKUP(A:A,[1]android_repos_all_metrics!B:K,8,FALSE)</f>
        <v>0</v>
      </c>
      <c r="AH149">
        <f>VLOOKUP(A:A,[1]android_repos_all_metrics!B:K,9,FALSE)</f>
        <v>4</v>
      </c>
      <c r="AI149">
        <f>VLOOKUP(A:A,[1]android_repos_all_metrics!B:K,10,FALSE)</f>
        <v>0</v>
      </c>
    </row>
    <row r="150" spans="1:35">
      <c r="A150" t="s">
        <v>199</v>
      </c>
      <c r="B150" t="b">
        <v>1</v>
      </c>
      <c r="C150" t="b">
        <v>0</v>
      </c>
      <c r="D150" t="b">
        <v>0</v>
      </c>
      <c r="F150" t="b">
        <v>0</v>
      </c>
      <c r="H150" t="s">
        <v>43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>
        <v>1</v>
      </c>
      <c r="AB150">
        <v>0</v>
      </c>
      <c r="AC150">
        <f>VLOOKUP(A:A,[1]android_repos_all_metrics!B:K,4,FALSE)</f>
        <v>51</v>
      </c>
      <c r="AD150">
        <f>VLOOKUP(A:A,[1]android_repos_all_metrics!B:K,5,FALSE)</f>
        <v>0</v>
      </c>
      <c r="AE150">
        <f>VLOOKUP(A:A,[1]android_repos_all_metrics!B:K,6,FALSE)</f>
        <v>1</v>
      </c>
      <c r="AF150">
        <f>VLOOKUP(A:A,[1]android_repos_all_metrics!B:K,7,FALSE)</f>
        <v>200</v>
      </c>
      <c r="AG150">
        <f>VLOOKUP(A:A,[1]android_repos_all_metrics!B:K,8,FALSE)</f>
        <v>1</v>
      </c>
      <c r="AH150">
        <f>VLOOKUP(A:A,[1]android_repos_all_metrics!B:K,9,FALSE)</f>
        <v>2</v>
      </c>
      <c r="AI150">
        <f>VLOOKUP(A:A,[1]android_repos_all_metrics!B:K,10,FALSE)</f>
        <v>0</v>
      </c>
    </row>
    <row r="151" spans="1:35">
      <c r="A151" t="s">
        <v>200</v>
      </c>
      <c r="B151" t="b">
        <v>1</v>
      </c>
      <c r="C151" t="b">
        <v>1</v>
      </c>
      <c r="D151" t="b">
        <v>1</v>
      </c>
      <c r="E151" t="s">
        <v>36</v>
      </c>
      <c r="F151" t="b">
        <v>0</v>
      </c>
      <c r="H151" t="s">
        <v>37</v>
      </c>
      <c r="I151" t="s">
        <v>37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>
        <v>1</v>
      </c>
      <c r="AA151">
        <v>1</v>
      </c>
      <c r="AB151">
        <v>0</v>
      </c>
      <c r="AC151">
        <f>VLOOKUP(A:A,[1]android_repos_all_metrics!B:K,4,FALSE)</f>
        <v>178</v>
      </c>
      <c r="AD151">
        <f>VLOOKUP(A:A,[1]android_repos_all_metrics!B:K,5,FALSE)</f>
        <v>43</v>
      </c>
      <c r="AE151">
        <f>VLOOKUP(A:A,[1]android_repos_all_metrics!B:K,6,FALSE)</f>
        <v>2</v>
      </c>
      <c r="AF151">
        <f>VLOOKUP(A:A,[1]android_repos_all_metrics!B:K,7,FALSE)</f>
        <v>385</v>
      </c>
      <c r="AG151">
        <f>VLOOKUP(A:A,[1]android_repos_all_metrics!B:K,8,FALSE)</f>
        <v>22</v>
      </c>
      <c r="AH151">
        <f>VLOOKUP(A:A,[1]android_repos_all_metrics!B:K,9,FALSE)</f>
        <v>207</v>
      </c>
      <c r="AI151">
        <f>VLOOKUP(A:A,[1]android_repos_all_metrics!B:K,10,FALSE)</f>
        <v>2</v>
      </c>
    </row>
    <row r="152" spans="1:35">
      <c r="A152" t="s">
        <v>201</v>
      </c>
      <c r="B152" t="b">
        <v>1</v>
      </c>
      <c r="C152" t="b">
        <v>0</v>
      </c>
      <c r="D152" t="b">
        <v>0</v>
      </c>
      <c r="F152" t="b">
        <v>0</v>
      </c>
      <c r="H152" t="s">
        <v>37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>
        <v>1</v>
      </c>
      <c r="AB152">
        <v>0</v>
      </c>
      <c r="AC152">
        <f>VLOOKUP(A:A,[1]android_repos_all_metrics!B:K,4,FALSE)</f>
        <v>70</v>
      </c>
      <c r="AD152">
        <f>VLOOKUP(A:A,[1]android_repos_all_metrics!B:K,5,FALSE)</f>
        <v>0</v>
      </c>
      <c r="AE152">
        <f>VLOOKUP(A:A,[1]android_repos_all_metrics!B:K,6,FALSE)</f>
        <v>1</v>
      </c>
      <c r="AF152">
        <f>VLOOKUP(A:A,[1]android_repos_all_metrics!B:K,7,FALSE)</f>
        <v>877</v>
      </c>
      <c r="AG152">
        <f>VLOOKUP(A:A,[1]android_repos_all_metrics!B:K,8,FALSE)</f>
        <v>1</v>
      </c>
      <c r="AH152">
        <f>VLOOKUP(A:A,[1]android_repos_all_metrics!B:K,9,FALSE)</f>
        <v>22</v>
      </c>
      <c r="AI152">
        <f>VLOOKUP(A:A,[1]android_repos_all_metrics!B:K,10,FALSE)</f>
        <v>0</v>
      </c>
    </row>
    <row r="153" spans="1:35">
      <c r="A153" t="s">
        <v>202</v>
      </c>
      <c r="B153" t="b">
        <v>0</v>
      </c>
      <c r="C153" t="b">
        <v>0</v>
      </c>
      <c r="D153" t="b">
        <v>0</v>
      </c>
      <c r="F153" t="b">
        <v>0</v>
      </c>
      <c r="H153" t="s">
        <v>41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>
        <v>1</v>
      </c>
      <c r="AB153">
        <v>0</v>
      </c>
      <c r="AC153">
        <f>VLOOKUP(A:A,[1]android_repos_all_metrics!B:K,4,FALSE)</f>
        <v>6</v>
      </c>
      <c r="AD153">
        <f>VLOOKUP(A:A,[1]android_repos_all_metrics!B:K,5,FALSE)</f>
        <v>1</v>
      </c>
      <c r="AE153">
        <f>VLOOKUP(A:A,[1]android_repos_all_metrics!B:K,6,FALSE)</f>
        <v>1</v>
      </c>
      <c r="AF153">
        <f>VLOOKUP(A:A,[1]android_repos_all_metrics!B:K,7,FALSE)</f>
        <v>49234</v>
      </c>
      <c r="AG153">
        <f>VLOOKUP(A:A,[1]android_repos_all_metrics!B:K,8,FALSE)</f>
        <v>5</v>
      </c>
      <c r="AH153">
        <f>VLOOKUP(A:A,[1]android_repos_all_metrics!B:K,9,FALSE)</f>
        <v>5</v>
      </c>
      <c r="AI153">
        <f>VLOOKUP(A:A,[1]android_repos_all_metrics!B:K,10,FALSE)</f>
        <v>2</v>
      </c>
    </row>
    <row r="154" spans="1:35">
      <c r="A154" t="s">
        <v>203</v>
      </c>
      <c r="B154" t="b">
        <v>1</v>
      </c>
      <c r="C154" t="b">
        <v>0</v>
      </c>
      <c r="D154" t="b">
        <v>0</v>
      </c>
      <c r="F154" t="b">
        <v>0</v>
      </c>
      <c r="H154" t="s">
        <v>41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>
        <v>1</v>
      </c>
      <c r="AB154">
        <v>0</v>
      </c>
      <c r="AC154">
        <f>VLOOKUP(A:A,[1]android_repos_all_metrics!B:K,4,FALSE)</f>
        <v>22</v>
      </c>
      <c r="AD154">
        <f>VLOOKUP(A:A,[1]android_repos_all_metrics!B:K,5,FALSE)</f>
        <v>3</v>
      </c>
      <c r="AE154">
        <f>VLOOKUP(A:A,[1]android_repos_all_metrics!B:K,6,FALSE)</f>
        <v>1</v>
      </c>
      <c r="AF154">
        <f>VLOOKUP(A:A,[1]android_repos_all_metrics!B:K,7,FALSE)</f>
        <v>3075</v>
      </c>
      <c r="AG154">
        <f>VLOOKUP(A:A,[1]android_repos_all_metrics!B:K,8,FALSE)</f>
        <v>0</v>
      </c>
      <c r="AH154">
        <f>VLOOKUP(A:A,[1]android_repos_all_metrics!B:K,9,FALSE)</f>
        <v>1</v>
      </c>
      <c r="AI154">
        <f>VLOOKUP(A:A,[1]android_repos_all_metrics!B:K,10,FALSE)</f>
        <v>0</v>
      </c>
    </row>
    <row r="155" spans="1:35">
      <c r="A155" t="s">
        <v>204</v>
      </c>
      <c r="B155" t="b">
        <v>0</v>
      </c>
      <c r="C155" t="b">
        <v>0</v>
      </c>
      <c r="D155" t="b">
        <v>0</v>
      </c>
      <c r="F155" t="b">
        <v>0</v>
      </c>
      <c r="H155" t="s">
        <v>41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>
        <v>1</v>
      </c>
      <c r="AB155">
        <v>0</v>
      </c>
      <c r="AC155">
        <f>VLOOKUP(A:A,[1]android_repos_all_metrics!B:K,4,FALSE)</f>
        <v>66</v>
      </c>
      <c r="AD155">
        <f>VLOOKUP(A:A,[1]android_repos_all_metrics!B:K,5,FALSE)</f>
        <v>4</v>
      </c>
      <c r="AE155">
        <f>VLOOKUP(A:A,[1]android_repos_all_metrics!B:K,6,FALSE)</f>
        <v>3</v>
      </c>
      <c r="AF155">
        <f>VLOOKUP(A:A,[1]android_repos_all_metrics!B:K,7,FALSE)</f>
        <v>496</v>
      </c>
      <c r="AG155">
        <f>VLOOKUP(A:A,[1]android_repos_all_metrics!B:K,8,FALSE)</f>
        <v>2</v>
      </c>
      <c r="AH155">
        <f>VLOOKUP(A:A,[1]android_repos_all_metrics!B:K,9,FALSE)</f>
        <v>6</v>
      </c>
      <c r="AI155">
        <f>VLOOKUP(A:A,[1]android_repos_all_metrics!B:K,10,FALSE)</f>
        <v>7</v>
      </c>
    </row>
    <row r="156" spans="1:35">
      <c r="A156" t="s">
        <v>205</v>
      </c>
      <c r="B156" t="b">
        <v>1</v>
      </c>
      <c r="C156" t="b">
        <v>0</v>
      </c>
      <c r="D156" t="b">
        <v>0</v>
      </c>
      <c r="F156" t="b">
        <v>0</v>
      </c>
      <c r="H156" t="s">
        <v>37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>
        <v>1</v>
      </c>
      <c r="AB156">
        <v>0</v>
      </c>
      <c r="AC156">
        <f>VLOOKUP(A:A,[1]android_repos_all_metrics!B:K,4,FALSE)</f>
        <v>145</v>
      </c>
      <c r="AD156">
        <f>VLOOKUP(A:A,[1]android_repos_all_metrics!B:K,5,FALSE)</f>
        <v>3</v>
      </c>
      <c r="AE156">
        <f>VLOOKUP(A:A,[1]android_repos_all_metrics!B:K,6,FALSE)</f>
        <v>4</v>
      </c>
      <c r="AF156">
        <f>VLOOKUP(A:A,[1]android_repos_all_metrics!B:K,7,FALSE)</f>
        <v>155449</v>
      </c>
      <c r="AG156">
        <f>VLOOKUP(A:A,[1]android_repos_all_metrics!B:K,8,FALSE)</f>
        <v>92</v>
      </c>
      <c r="AH156">
        <f>VLOOKUP(A:A,[1]android_repos_all_metrics!B:K,9,FALSE)</f>
        <v>519</v>
      </c>
      <c r="AI156">
        <f>VLOOKUP(A:A,[1]android_repos_all_metrics!B:K,10,FALSE)</f>
        <v>20</v>
      </c>
    </row>
    <row r="157" spans="1:35">
      <c r="A157" t="s">
        <v>206</v>
      </c>
      <c r="B157" t="b">
        <v>1</v>
      </c>
      <c r="C157" t="b">
        <v>0</v>
      </c>
      <c r="D157" t="b">
        <v>0</v>
      </c>
      <c r="F157" t="b">
        <v>0</v>
      </c>
      <c r="H157" t="s">
        <v>37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>
        <v>2</v>
      </c>
      <c r="AB157">
        <v>0</v>
      </c>
      <c r="AC157">
        <f>VLOOKUP(A:A,[1]android_repos_all_metrics!B:K,4,FALSE)</f>
        <v>7</v>
      </c>
      <c r="AD157">
        <f>VLOOKUP(A:A,[1]android_repos_all_metrics!B:K,5,FALSE)</f>
        <v>0</v>
      </c>
      <c r="AE157">
        <f>VLOOKUP(A:A,[1]android_repos_all_metrics!B:K,6,FALSE)</f>
        <v>1</v>
      </c>
      <c r="AF157">
        <f>VLOOKUP(A:A,[1]android_repos_all_metrics!B:K,7,FALSE)</f>
        <v>205</v>
      </c>
      <c r="AG157">
        <f>VLOOKUP(A:A,[1]android_repos_all_metrics!B:K,8,FALSE)</f>
        <v>8</v>
      </c>
      <c r="AH157">
        <f>VLOOKUP(A:A,[1]android_repos_all_metrics!B:K,9,FALSE)</f>
        <v>10</v>
      </c>
      <c r="AI157">
        <f>VLOOKUP(A:A,[1]android_repos_all_metrics!B:K,10,FALSE)</f>
        <v>0</v>
      </c>
    </row>
    <row r="158" spans="1:35">
      <c r="A158" t="s">
        <v>207</v>
      </c>
      <c r="B158" t="b">
        <v>1</v>
      </c>
      <c r="C158" t="b">
        <v>0</v>
      </c>
      <c r="D158" t="b">
        <v>0</v>
      </c>
      <c r="F158" t="b">
        <v>0</v>
      </c>
      <c r="H158" t="s">
        <v>37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>
        <v>1</v>
      </c>
      <c r="AB158">
        <v>0</v>
      </c>
      <c r="AC158">
        <f>VLOOKUP(A:A,[1]android_repos_all_metrics!B:K,4,FALSE)</f>
        <v>62</v>
      </c>
      <c r="AD158">
        <f>VLOOKUP(A:A,[1]android_repos_all_metrics!B:K,5,FALSE)</f>
        <v>2</v>
      </c>
      <c r="AE158">
        <f>VLOOKUP(A:A,[1]android_repos_all_metrics!B:K,6,FALSE)</f>
        <v>3</v>
      </c>
      <c r="AF158">
        <f>VLOOKUP(A:A,[1]android_repos_all_metrics!B:K,7,FALSE)</f>
        <v>386</v>
      </c>
      <c r="AG158">
        <f>VLOOKUP(A:A,[1]android_repos_all_metrics!B:K,8,FALSE)</f>
        <v>8</v>
      </c>
      <c r="AH158">
        <f>VLOOKUP(A:A,[1]android_repos_all_metrics!B:K,9,FALSE)</f>
        <v>15</v>
      </c>
      <c r="AI158">
        <f>VLOOKUP(A:A,[1]android_repos_all_metrics!B:K,10,FALSE)</f>
        <v>1</v>
      </c>
    </row>
    <row r="159" spans="1:35">
      <c r="A159" t="s">
        <v>208</v>
      </c>
      <c r="B159" t="b">
        <v>1</v>
      </c>
      <c r="C159" t="b">
        <v>0</v>
      </c>
      <c r="D159" t="b">
        <v>0</v>
      </c>
      <c r="F159" t="b">
        <v>0</v>
      </c>
      <c r="H159" t="s">
        <v>86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>
        <v>2</v>
      </c>
      <c r="AB159">
        <v>0</v>
      </c>
      <c r="AC159">
        <f>VLOOKUP(A:A,[1]android_repos_all_metrics!B:K,4,FALSE)</f>
        <v>141</v>
      </c>
      <c r="AD159">
        <f>VLOOKUP(A:A,[1]android_repos_all_metrics!B:K,5,FALSE)</f>
        <v>12</v>
      </c>
      <c r="AE159">
        <f>VLOOKUP(A:A,[1]android_repos_all_metrics!B:K,6,FALSE)</f>
        <v>2</v>
      </c>
      <c r="AF159">
        <f>VLOOKUP(A:A,[1]android_repos_all_metrics!B:K,7,FALSE)</f>
        <v>29861</v>
      </c>
      <c r="AG159">
        <f>VLOOKUP(A:A,[1]android_repos_all_metrics!B:K,8,FALSE)</f>
        <v>298</v>
      </c>
      <c r="AH159">
        <f>VLOOKUP(A:A,[1]android_repos_all_metrics!B:K,9,FALSE)</f>
        <v>487</v>
      </c>
      <c r="AI159">
        <f>VLOOKUP(A:A,[1]android_repos_all_metrics!B:K,10,FALSE)</f>
        <v>42</v>
      </c>
    </row>
    <row r="160" spans="1:35">
      <c r="A160" t="s">
        <v>209</v>
      </c>
      <c r="B160" t="b">
        <v>1</v>
      </c>
      <c r="C160" t="b">
        <v>0</v>
      </c>
      <c r="D160" t="b">
        <v>0</v>
      </c>
      <c r="F160" t="b">
        <v>0</v>
      </c>
      <c r="H160" t="s">
        <v>37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>
        <v>1</v>
      </c>
      <c r="AB160">
        <v>0</v>
      </c>
      <c r="AC160">
        <f>VLOOKUP(A:A,[1]android_repos_all_metrics!B:K,4,FALSE)</f>
        <v>10</v>
      </c>
      <c r="AD160">
        <f>VLOOKUP(A:A,[1]android_repos_all_metrics!B:K,5,FALSE)</f>
        <v>1</v>
      </c>
      <c r="AE160">
        <f>VLOOKUP(A:A,[1]android_repos_all_metrics!B:K,6,FALSE)</f>
        <v>2</v>
      </c>
      <c r="AF160">
        <f>VLOOKUP(A:A,[1]android_repos_all_metrics!B:K,7,FALSE)</f>
        <v>2258</v>
      </c>
      <c r="AG160">
        <f>VLOOKUP(A:A,[1]android_repos_all_metrics!B:K,8,FALSE)</f>
        <v>1</v>
      </c>
      <c r="AH160">
        <f>VLOOKUP(A:A,[1]android_repos_all_metrics!B:K,9,FALSE)</f>
        <v>3</v>
      </c>
      <c r="AI160">
        <f>VLOOKUP(A:A,[1]android_repos_all_metrics!B:K,10,FALSE)</f>
        <v>0</v>
      </c>
    </row>
    <row r="161" spans="1:35">
      <c r="A161" t="s">
        <v>210</v>
      </c>
      <c r="B161" t="b">
        <v>1</v>
      </c>
      <c r="C161" t="b">
        <v>0</v>
      </c>
      <c r="D161" t="b">
        <v>0</v>
      </c>
      <c r="F161" t="b">
        <v>0</v>
      </c>
      <c r="H161" t="s">
        <v>43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>
        <v>1</v>
      </c>
      <c r="AB161">
        <v>0</v>
      </c>
      <c r="AC161">
        <f>VLOOKUP(A:A,[1]android_repos_all_metrics!B:K,4,FALSE)</f>
        <v>296</v>
      </c>
      <c r="AD161">
        <f>VLOOKUP(A:A,[1]android_repos_all_metrics!B:K,5,FALSE)</f>
        <v>48</v>
      </c>
      <c r="AE161">
        <f>VLOOKUP(A:A,[1]android_repos_all_metrics!B:K,6,FALSE)</f>
        <v>4</v>
      </c>
      <c r="AF161">
        <f>VLOOKUP(A:A,[1]android_repos_all_metrics!B:K,7,FALSE)</f>
        <v>2581</v>
      </c>
      <c r="AG161">
        <f>VLOOKUP(A:A,[1]android_repos_all_metrics!B:K,8,FALSE)</f>
        <v>35</v>
      </c>
      <c r="AH161">
        <f>VLOOKUP(A:A,[1]android_repos_all_metrics!B:K,9,FALSE)</f>
        <v>299</v>
      </c>
      <c r="AI161">
        <f>VLOOKUP(A:A,[1]android_repos_all_metrics!B:K,10,FALSE)</f>
        <v>11</v>
      </c>
    </row>
    <row r="162" spans="1:35">
      <c r="A162" t="s">
        <v>211</v>
      </c>
      <c r="B162" t="b">
        <v>1</v>
      </c>
      <c r="C162" t="b">
        <v>0</v>
      </c>
      <c r="D162" t="b">
        <v>0</v>
      </c>
      <c r="F162" t="b">
        <v>0</v>
      </c>
      <c r="H162" t="s">
        <v>37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>
        <v>1</v>
      </c>
      <c r="AB162">
        <v>0</v>
      </c>
      <c r="AC162">
        <f>VLOOKUP(A:A,[1]android_repos_all_metrics!B:K,4,FALSE)</f>
        <v>993</v>
      </c>
      <c r="AD162">
        <f>VLOOKUP(A:A,[1]android_repos_all_metrics!B:K,5,FALSE)</f>
        <v>179</v>
      </c>
      <c r="AE162">
        <f>VLOOKUP(A:A,[1]android_repos_all_metrics!B:K,6,FALSE)</f>
        <v>4</v>
      </c>
      <c r="AF162">
        <f>VLOOKUP(A:A,[1]android_repos_all_metrics!B:K,7,FALSE)</f>
        <v>1674</v>
      </c>
      <c r="AG162">
        <f>VLOOKUP(A:A,[1]android_repos_all_metrics!B:K,8,FALSE)</f>
        <v>5</v>
      </c>
      <c r="AH162">
        <f>VLOOKUP(A:A,[1]android_repos_all_metrics!B:K,9,FALSE)</f>
        <v>20</v>
      </c>
      <c r="AI162">
        <f>VLOOKUP(A:A,[1]android_repos_all_metrics!B:K,10,FALSE)</f>
        <v>2</v>
      </c>
    </row>
    <row r="163" spans="1:35">
      <c r="A163" t="s">
        <v>212</v>
      </c>
      <c r="B163" t="b">
        <v>1</v>
      </c>
      <c r="C163" t="b">
        <v>0</v>
      </c>
      <c r="D163" t="b">
        <v>0</v>
      </c>
      <c r="F163" t="b">
        <v>0</v>
      </c>
      <c r="H163" t="s">
        <v>37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>
        <v>1</v>
      </c>
      <c r="AB163">
        <v>0</v>
      </c>
      <c r="AC163">
        <f>VLOOKUP(A:A,[1]android_repos_all_metrics!B:K,4,FALSE)</f>
        <v>498</v>
      </c>
      <c r="AD163">
        <f>VLOOKUP(A:A,[1]android_repos_all_metrics!B:K,5,FALSE)</f>
        <v>96</v>
      </c>
      <c r="AE163">
        <f>VLOOKUP(A:A,[1]android_repos_all_metrics!B:K,6,FALSE)</f>
        <v>4</v>
      </c>
      <c r="AF163">
        <f>VLOOKUP(A:A,[1]android_repos_all_metrics!B:K,7,FALSE)</f>
        <v>12915</v>
      </c>
      <c r="AG163">
        <f>VLOOKUP(A:A,[1]android_repos_all_metrics!B:K,8,FALSE)</f>
        <v>4</v>
      </c>
      <c r="AH163">
        <f>VLOOKUP(A:A,[1]android_repos_all_metrics!B:K,9,FALSE)</f>
        <v>26</v>
      </c>
      <c r="AI163">
        <f>VLOOKUP(A:A,[1]android_repos_all_metrics!B:K,10,FALSE)</f>
        <v>0</v>
      </c>
    </row>
    <row r="164" spans="1:35">
      <c r="A164" t="s">
        <v>213</v>
      </c>
      <c r="B164" t="b">
        <v>1</v>
      </c>
      <c r="C164" t="b">
        <v>0</v>
      </c>
      <c r="D164" t="b">
        <v>0</v>
      </c>
      <c r="F164" t="b">
        <v>0</v>
      </c>
      <c r="H164" t="s">
        <v>37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>
        <v>1</v>
      </c>
      <c r="AB164">
        <v>0</v>
      </c>
      <c r="AC164">
        <f>VLOOKUP(A:A,[1]android_repos_all_metrics!B:K,4,FALSE)</f>
        <v>445</v>
      </c>
      <c r="AD164">
        <f>VLOOKUP(A:A,[1]android_repos_all_metrics!B:K,5,FALSE)</f>
        <v>68</v>
      </c>
      <c r="AE164">
        <f>VLOOKUP(A:A,[1]android_repos_all_metrics!B:K,6,FALSE)</f>
        <v>4</v>
      </c>
      <c r="AF164">
        <f>VLOOKUP(A:A,[1]android_repos_all_metrics!B:K,7,FALSE)</f>
        <v>1953</v>
      </c>
      <c r="AG164">
        <f>VLOOKUP(A:A,[1]android_repos_all_metrics!B:K,8,FALSE)</f>
        <v>3</v>
      </c>
      <c r="AH164">
        <f>VLOOKUP(A:A,[1]android_repos_all_metrics!B:K,9,FALSE)</f>
        <v>59</v>
      </c>
      <c r="AI164">
        <f>VLOOKUP(A:A,[1]android_repos_all_metrics!B:K,10,FALSE)</f>
        <v>24</v>
      </c>
    </row>
    <row r="165" spans="1:35">
      <c r="A165" t="s">
        <v>214</v>
      </c>
      <c r="B165" t="b">
        <v>1</v>
      </c>
      <c r="C165" t="b">
        <v>0</v>
      </c>
      <c r="D165" t="b">
        <v>0</v>
      </c>
      <c r="F165" t="b">
        <v>0</v>
      </c>
      <c r="H165" t="s">
        <v>37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>
        <v>2</v>
      </c>
      <c r="AB165">
        <v>0</v>
      </c>
      <c r="AC165">
        <f>VLOOKUP(A:A,[1]android_repos_all_metrics!B:K,4,FALSE)</f>
        <v>511</v>
      </c>
      <c r="AD165">
        <f>VLOOKUP(A:A,[1]android_repos_all_metrics!B:K,5,FALSE)</f>
        <v>64</v>
      </c>
      <c r="AE165">
        <f>VLOOKUP(A:A,[1]android_repos_all_metrics!B:K,6,FALSE)</f>
        <v>4</v>
      </c>
      <c r="AF165">
        <f>VLOOKUP(A:A,[1]android_repos_all_metrics!B:K,7,FALSE)</f>
        <v>9304</v>
      </c>
      <c r="AG165">
        <f>VLOOKUP(A:A,[1]android_repos_all_metrics!B:K,8,FALSE)</f>
        <v>4</v>
      </c>
      <c r="AH165">
        <f>VLOOKUP(A:A,[1]android_repos_all_metrics!B:K,9,FALSE)</f>
        <v>34</v>
      </c>
      <c r="AI165">
        <f>VLOOKUP(A:A,[1]android_repos_all_metrics!B:K,10,FALSE)</f>
        <v>8</v>
      </c>
    </row>
    <row r="166" spans="1:35">
      <c r="A166" t="s">
        <v>215</v>
      </c>
      <c r="B166" t="b">
        <v>1</v>
      </c>
      <c r="C166" t="b">
        <v>0</v>
      </c>
      <c r="D166" t="b">
        <v>0</v>
      </c>
      <c r="F166" t="b">
        <v>0</v>
      </c>
      <c r="H166" t="s">
        <v>37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>
        <v>1</v>
      </c>
      <c r="AB166">
        <v>0</v>
      </c>
      <c r="AC166">
        <f>VLOOKUP(A:A,[1]android_repos_all_metrics!B:K,4,FALSE)</f>
        <v>923</v>
      </c>
      <c r="AD166">
        <f>VLOOKUP(A:A,[1]android_repos_all_metrics!B:K,5,FALSE)</f>
        <v>182</v>
      </c>
      <c r="AE166">
        <f>VLOOKUP(A:A,[1]android_repos_all_metrics!B:K,6,FALSE)</f>
        <v>4</v>
      </c>
      <c r="AF166">
        <f>VLOOKUP(A:A,[1]android_repos_all_metrics!B:K,7,FALSE)</f>
        <v>3126</v>
      </c>
      <c r="AG166">
        <f>VLOOKUP(A:A,[1]android_repos_all_metrics!B:K,8,FALSE)</f>
        <v>6</v>
      </c>
      <c r="AH166">
        <f>VLOOKUP(A:A,[1]android_repos_all_metrics!B:K,9,FALSE)</f>
        <v>15</v>
      </c>
      <c r="AI166">
        <f>VLOOKUP(A:A,[1]android_repos_all_metrics!B:K,10,FALSE)</f>
        <v>0</v>
      </c>
    </row>
    <row r="167" spans="1:35">
      <c r="A167" t="s">
        <v>216</v>
      </c>
      <c r="B167" t="b">
        <v>1</v>
      </c>
      <c r="C167" t="b">
        <v>0</v>
      </c>
      <c r="D167" t="b">
        <v>0</v>
      </c>
      <c r="F167" t="b">
        <v>0</v>
      </c>
      <c r="H167" t="s">
        <v>43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>
        <v>1</v>
      </c>
      <c r="AB167">
        <v>0</v>
      </c>
      <c r="AC167">
        <f>VLOOKUP(A:A,[1]android_repos_all_metrics!B:K,4,FALSE)</f>
        <v>19</v>
      </c>
      <c r="AD167">
        <f>VLOOKUP(A:A,[1]android_repos_all_metrics!B:K,5,FALSE)</f>
        <v>0</v>
      </c>
      <c r="AE167">
        <f>VLOOKUP(A:A,[1]android_repos_all_metrics!B:K,6,FALSE)</f>
        <v>1</v>
      </c>
      <c r="AF167">
        <f>VLOOKUP(A:A,[1]android_repos_all_metrics!B:K,7,FALSE)</f>
        <v>6336</v>
      </c>
      <c r="AG167">
        <f>VLOOKUP(A:A,[1]android_repos_all_metrics!B:K,8,FALSE)</f>
        <v>43</v>
      </c>
      <c r="AH167">
        <f>VLOOKUP(A:A,[1]android_repos_all_metrics!B:K,9,FALSE)</f>
        <v>114</v>
      </c>
      <c r="AI167">
        <f>VLOOKUP(A:A,[1]android_repos_all_metrics!B:K,10,FALSE)</f>
        <v>0</v>
      </c>
    </row>
    <row r="168" spans="1:35">
      <c r="A168" t="s">
        <v>217</v>
      </c>
      <c r="B168" t="b">
        <v>1</v>
      </c>
      <c r="C168" t="b">
        <v>0</v>
      </c>
      <c r="D168" t="b">
        <v>0</v>
      </c>
      <c r="F168" t="b">
        <v>0</v>
      </c>
      <c r="H168" t="s">
        <v>37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>
        <v>1</v>
      </c>
      <c r="AB168">
        <v>0</v>
      </c>
      <c r="AC168">
        <f>VLOOKUP(A:A,[1]android_repos_all_metrics!B:K,4,FALSE)</f>
        <v>46</v>
      </c>
      <c r="AD168">
        <f>VLOOKUP(A:A,[1]android_repos_all_metrics!B:K,5,FALSE)</f>
        <v>3</v>
      </c>
      <c r="AE168">
        <f>VLOOKUP(A:A,[1]android_repos_all_metrics!B:K,6,FALSE)</f>
        <v>2</v>
      </c>
      <c r="AF168">
        <f>VLOOKUP(A:A,[1]android_repos_all_metrics!B:K,7,FALSE)</f>
        <v>13155</v>
      </c>
      <c r="AG168">
        <f>VLOOKUP(A:A,[1]android_repos_all_metrics!B:K,8,FALSE)</f>
        <v>0</v>
      </c>
      <c r="AH168">
        <f>VLOOKUP(A:A,[1]android_repos_all_metrics!B:K,9,FALSE)</f>
        <v>2</v>
      </c>
      <c r="AI168">
        <f>VLOOKUP(A:A,[1]android_repos_all_metrics!B:K,10,FALSE)</f>
        <v>0</v>
      </c>
    </row>
    <row r="169" spans="1:35">
      <c r="A169" t="s">
        <v>218</v>
      </c>
      <c r="B169" t="b">
        <v>1</v>
      </c>
      <c r="C169" t="b">
        <v>0</v>
      </c>
      <c r="D169" t="b">
        <v>0</v>
      </c>
      <c r="F169" t="b">
        <v>0</v>
      </c>
      <c r="H169" t="s">
        <v>37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>
        <v>2</v>
      </c>
      <c r="AB169">
        <v>0</v>
      </c>
      <c r="AC169">
        <f>VLOOKUP(A:A,[1]android_repos_all_metrics!B:K,4,FALSE)</f>
        <v>86</v>
      </c>
      <c r="AD169">
        <f>VLOOKUP(A:A,[1]android_repos_all_metrics!B:K,5,FALSE)</f>
        <v>37</v>
      </c>
      <c r="AE169">
        <f>VLOOKUP(A:A,[1]android_repos_all_metrics!B:K,6,FALSE)</f>
        <v>2</v>
      </c>
      <c r="AF169">
        <f>VLOOKUP(A:A,[1]android_repos_all_metrics!B:K,7,FALSE)</f>
        <v>243</v>
      </c>
      <c r="AG169">
        <f>VLOOKUP(A:A,[1]android_repos_all_metrics!B:K,8,FALSE)</f>
        <v>2</v>
      </c>
      <c r="AH169">
        <f>VLOOKUP(A:A,[1]android_repos_all_metrics!B:K,9,FALSE)</f>
        <v>13</v>
      </c>
      <c r="AI169">
        <f>VLOOKUP(A:A,[1]android_repos_all_metrics!B:K,10,FALSE)</f>
        <v>0</v>
      </c>
    </row>
    <row r="170" spans="1:35">
      <c r="A170" t="s">
        <v>219</v>
      </c>
      <c r="B170" t="b">
        <v>1</v>
      </c>
      <c r="C170" t="b">
        <v>0</v>
      </c>
      <c r="D170" t="b">
        <v>0</v>
      </c>
      <c r="F170" t="b">
        <v>0</v>
      </c>
      <c r="H170" t="s">
        <v>43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>
        <v>1</v>
      </c>
      <c r="AB170">
        <v>0</v>
      </c>
      <c r="AC170">
        <f>VLOOKUP(A:A,[1]android_repos_all_metrics!B:K,4,FALSE)</f>
        <v>135</v>
      </c>
      <c r="AD170">
        <f>VLOOKUP(A:A,[1]android_repos_all_metrics!B:K,5,FALSE)</f>
        <v>0</v>
      </c>
      <c r="AE170">
        <f>VLOOKUP(A:A,[1]android_repos_all_metrics!B:K,6,FALSE)</f>
        <v>5</v>
      </c>
      <c r="AF170">
        <f>VLOOKUP(A:A,[1]android_repos_all_metrics!B:K,7,FALSE)</f>
        <v>15594</v>
      </c>
      <c r="AG170">
        <f>VLOOKUP(A:A,[1]android_repos_all_metrics!B:K,8,FALSE)</f>
        <v>6</v>
      </c>
      <c r="AH170">
        <f>VLOOKUP(A:A,[1]android_repos_all_metrics!B:K,9,FALSE)</f>
        <v>5</v>
      </c>
      <c r="AI170">
        <f>VLOOKUP(A:A,[1]android_repos_all_metrics!B:K,10,FALSE)</f>
        <v>1</v>
      </c>
    </row>
    <row r="171" spans="1:35">
      <c r="A171" t="s">
        <v>220</v>
      </c>
      <c r="B171" t="b">
        <v>1</v>
      </c>
      <c r="C171" t="b">
        <v>1</v>
      </c>
      <c r="D171" t="b">
        <v>0</v>
      </c>
      <c r="F171" t="b">
        <v>1</v>
      </c>
      <c r="G171" t="s">
        <v>39</v>
      </c>
      <c r="H171" t="s">
        <v>41</v>
      </c>
      <c r="I171" t="s">
        <v>41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>
        <v>1</v>
      </c>
      <c r="AB171">
        <v>0</v>
      </c>
      <c r="AC171">
        <f>VLOOKUP(A:A,[1]android_repos_all_metrics!B:K,4,FALSE)</f>
        <v>146</v>
      </c>
      <c r="AD171">
        <f>VLOOKUP(A:A,[1]android_repos_all_metrics!B:K,5,FALSE)</f>
        <v>2</v>
      </c>
      <c r="AE171">
        <f>VLOOKUP(A:A,[1]android_repos_all_metrics!B:K,6,FALSE)</f>
        <v>3</v>
      </c>
      <c r="AF171">
        <f>VLOOKUP(A:A,[1]android_repos_all_metrics!B:K,7,FALSE)</f>
        <v>2593</v>
      </c>
      <c r="AG171">
        <f>VLOOKUP(A:A,[1]android_repos_all_metrics!B:K,8,FALSE)</f>
        <v>42</v>
      </c>
      <c r="AH171">
        <f>VLOOKUP(A:A,[1]android_repos_all_metrics!B:K,9,FALSE)</f>
        <v>228</v>
      </c>
      <c r="AI171">
        <f>VLOOKUP(A:A,[1]android_repos_all_metrics!B:K,10,FALSE)</f>
        <v>4</v>
      </c>
    </row>
    <row r="172" spans="1:35">
      <c r="A172" t="s">
        <v>221</v>
      </c>
      <c r="B172" t="b">
        <v>1</v>
      </c>
      <c r="C172" t="b">
        <v>0</v>
      </c>
      <c r="D172" t="b">
        <v>0</v>
      </c>
      <c r="F172" t="b">
        <v>0</v>
      </c>
      <c r="H172" t="s">
        <v>37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>
        <v>1</v>
      </c>
      <c r="AB172">
        <v>0</v>
      </c>
      <c r="AC172">
        <f>VLOOKUP(A:A,[1]android_repos_all_metrics!B:K,4,FALSE)</f>
        <v>142</v>
      </c>
      <c r="AD172">
        <f>VLOOKUP(A:A,[1]android_repos_all_metrics!B:K,5,FALSE)</f>
        <v>40</v>
      </c>
      <c r="AE172">
        <f>VLOOKUP(A:A,[1]android_repos_all_metrics!B:K,6,FALSE)</f>
        <v>1</v>
      </c>
      <c r="AF172">
        <f>VLOOKUP(A:A,[1]android_repos_all_metrics!B:K,7,FALSE)</f>
        <v>836</v>
      </c>
      <c r="AG172">
        <f>VLOOKUP(A:A,[1]android_repos_all_metrics!B:K,8,FALSE)</f>
        <v>135</v>
      </c>
      <c r="AH172">
        <f>VLOOKUP(A:A,[1]android_repos_all_metrics!B:K,9,FALSE)</f>
        <v>952</v>
      </c>
      <c r="AI172">
        <f>VLOOKUP(A:A,[1]android_repos_all_metrics!B:K,10,FALSE)</f>
        <v>4</v>
      </c>
    </row>
    <row r="173" spans="1:35">
      <c r="A173" t="s">
        <v>222</v>
      </c>
      <c r="B173" t="b">
        <v>1</v>
      </c>
      <c r="C173" t="b">
        <v>0</v>
      </c>
      <c r="D173" t="b">
        <v>0</v>
      </c>
      <c r="F173" t="b">
        <v>0</v>
      </c>
      <c r="H173" t="s">
        <v>37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>
        <v>1</v>
      </c>
      <c r="AB173">
        <v>0</v>
      </c>
      <c r="AC173">
        <f>VLOOKUP(A:A,[1]android_repos_all_metrics!B:K,4,FALSE)</f>
        <v>3876</v>
      </c>
      <c r="AD173">
        <f>VLOOKUP(A:A,[1]android_repos_all_metrics!B:K,5,FALSE)</f>
        <v>19</v>
      </c>
      <c r="AE173">
        <f>VLOOKUP(A:A,[1]android_repos_all_metrics!B:K,6,FALSE)</f>
        <v>9</v>
      </c>
      <c r="AF173">
        <f>VLOOKUP(A:A,[1]android_repos_all_metrics!B:K,7,FALSE)</f>
        <v>70805</v>
      </c>
      <c r="AG173">
        <f>VLOOKUP(A:A,[1]android_repos_all_metrics!B:K,8,FALSE)</f>
        <v>163</v>
      </c>
      <c r="AH173">
        <f>VLOOKUP(A:A,[1]android_repos_all_metrics!B:K,9,FALSE)</f>
        <v>262</v>
      </c>
      <c r="AI173">
        <f>VLOOKUP(A:A,[1]android_repos_all_metrics!B:K,10,FALSE)</f>
        <v>20</v>
      </c>
    </row>
    <row r="174" spans="1:35">
      <c r="A174" t="s">
        <v>223</v>
      </c>
      <c r="B174" t="b">
        <v>1</v>
      </c>
      <c r="C174" t="b">
        <v>0</v>
      </c>
      <c r="D174" t="b">
        <v>0</v>
      </c>
      <c r="F174" t="b">
        <v>0</v>
      </c>
      <c r="H174" t="s">
        <v>41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>
        <v>1</v>
      </c>
      <c r="AB174">
        <v>0</v>
      </c>
      <c r="AC174">
        <f>VLOOKUP(A:A,[1]android_repos_all_metrics!B:K,4,FALSE)</f>
        <v>7165</v>
      </c>
      <c r="AD174">
        <f>VLOOKUP(A:A,[1]android_repos_all_metrics!B:K,5,FALSE)</f>
        <v>58</v>
      </c>
      <c r="AE174">
        <f>VLOOKUP(A:A,[1]android_repos_all_metrics!B:K,6,FALSE)</f>
        <v>50</v>
      </c>
      <c r="AF174">
        <f>VLOOKUP(A:A,[1]android_repos_all_metrics!B:K,7,FALSE)</f>
        <v>61764</v>
      </c>
      <c r="AG174">
        <f>VLOOKUP(A:A,[1]android_repos_all_metrics!B:K,8,FALSE)</f>
        <v>195</v>
      </c>
      <c r="AH174">
        <f>VLOOKUP(A:A,[1]android_repos_all_metrics!B:K,9,FALSE)</f>
        <v>564</v>
      </c>
      <c r="AI174">
        <f>VLOOKUP(A:A,[1]android_repos_all_metrics!B:K,10,FALSE)</f>
        <v>192</v>
      </c>
    </row>
    <row r="175" spans="1:35">
      <c r="A175" t="s">
        <v>224</v>
      </c>
      <c r="B175" t="b">
        <v>1</v>
      </c>
      <c r="C175" t="b">
        <v>0</v>
      </c>
      <c r="D175" t="b">
        <v>0</v>
      </c>
      <c r="F175" t="b">
        <v>0</v>
      </c>
      <c r="H175" t="s">
        <v>37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>
        <v>2</v>
      </c>
      <c r="AB175">
        <v>0</v>
      </c>
      <c r="AC175">
        <f>VLOOKUP(A:A,[1]android_repos_all_metrics!B:K,4,FALSE)</f>
        <v>82</v>
      </c>
      <c r="AD175">
        <f>VLOOKUP(A:A,[1]android_repos_all_metrics!B:K,5,FALSE)</f>
        <v>0</v>
      </c>
      <c r="AE175">
        <f>VLOOKUP(A:A,[1]android_repos_all_metrics!B:K,6,FALSE)</f>
        <v>1</v>
      </c>
      <c r="AF175">
        <f>VLOOKUP(A:A,[1]android_repos_all_metrics!B:K,7,FALSE)</f>
        <v>16659</v>
      </c>
      <c r="AG175">
        <f>VLOOKUP(A:A,[1]android_repos_all_metrics!B:K,8,FALSE)</f>
        <v>1</v>
      </c>
      <c r="AH175">
        <f>VLOOKUP(A:A,[1]android_repos_all_metrics!B:K,9,FALSE)</f>
        <v>10</v>
      </c>
      <c r="AI175">
        <f>VLOOKUP(A:A,[1]android_repos_all_metrics!B:K,10,FALSE)</f>
        <v>0</v>
      </c>
    </row>
    <row r="176" spans="1:35">
      <c r="A176" t="s">
        <v>225</v>
      </c>
      <c r="B176" t="b">
        <v>1</v>
      </c>
      <c r="C176" t="b">
        <v>0</v>
      </c>
      <c r="D176" t="b">
        <v>0</v>
      </c>
      <c r="F176" t="b">
        <v>0</v>
      </c>
      <c r="H176" t="s">
        <v>37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>
        <v>1</v>
      </c>
      <c r="AB176">
        <v>0</v>
      </c>
      <c r="AC176">
        <f>VLOOKUP(A:A,[1]android_repos_all_metrics!B:K,4,FALSE)</f>
        <v>62</v>
      </c>
      <c r="AD176">
        <f>VLOOKUP(A:A,[1]android_repos_all_metrics!B:K,5,FALSE)</f>
        <v>3</v>
      </c>
      <c r="AE176">
        <f>VLOOKUP(A:A,[1]android_repos_all_metrics!B:K,6,FALSE)</f>
        <v>3</v>
      </c>
      <c r="AF176">
        <f>VLOOKUP(A:A,[1]android_repos_all_metrics!B:K,7,FALSE)</f>
        <v>4064</v>
      </c>
      <c r="AG176">
        <f>VLOOKUP(A:A,[1]android_repos_all_metrics!B:K,8,FALSE)</f>
        <v>15</v>
      </c>
      <c r="AH176">
        <f>VLOOKUP(A:A,[1]android_repos_all_metrics!B:K,9,FALSE)</f>
        <v>88</v>
      </c>
      <c r="AI176">
        <f>VLOOKUP(A:A,[1]android_repos_all_metrics!B:K,10,FALSE)</f>
        <v>2</v>
      </c>
    </row>
    <row r="177" spans="1:35">
      <c r="A177" t="s">
        <v>226</v>
      </c>
      <c r="B177" t="b">
        <v>1</v>
      </c>
      <c r="C177" t="b">
        <v>0</v>
      </c>
      <c r="D177" t="b">
        <v>0</v>
      </c>
      <c r="F177" t="b">
        <v>0</v>
      </c>
      <c r="H177" t="s">
        <v>37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>
        <v>1</v>
      </c>
      <c r="AB177">
        <v>0</v>
      </c>
      <c r="AC177">
        <f>VLOOKUP(A:A,[1]android_repos_all_metrics!B:K,4,FALSE)</f>
        <v>385</v>
      </c>
      <c r="AD177">
        <f>VLOOKUP(A:A,[1]android_repos_all_metrics!B:K,5,FALSE)</f>
        <v>3</v>
      </c>
      <c r="AE177">
        <f>VLOOKUP(A:A,[1]android_repos_all_metrics!B:K,6,FALSE)</f>
        <v>10</v>
      </c>
      <c r="AF177">
        <f>VLOOKUP(A:A,[1]android_repos_all_metrics!B:K,7,FALSE)</f>
        <v>53010</v>
      </c>
      <c r="AG177">
        <f>VLOOKUP(A:A,[1]android_repos_all_metrics!B:K,8,FALSE)</f>
        <v>5</v>
      </c>
      <c r="AH177">
        <f>VLOOKUP(A:A,[1]android_repos_all_metrics!B:K,9,FALSE)</f>
        <v>89</v>
      </c>
      <c r="AI177">
        <f>VLOOKUP(A:A,[1]android_repos_all_metrics!B:K,10,FALSE)</f>
        <v>3</v>
      </c>
    </row>
    <row r="178" spans="1:35">
      <c r="A178" t="s">
        <v>227</v>
      </c>
      <c r="B178" t="b">
        <v>1</v>
      </c>
      <c r="C178" t="b">
        <v>0</v>
      </c>
      <c r="D178" t="b">
        <v>0</v>
      </c>
      <c r="F178" t="b">
        <v>0</v>
      </c>
      <c r="H178" t="s">
        <v>37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>
        <v>1</v>
      </c>
      <c r="AB178">
        <v>0</v>
      </c>
      <c r="AC178">
        <f>VLOOKUP(A:A,[1]android_repos_all_metrics!B:K,4,FALSE)</f>
        <v>11</v>
      </c>
      <c r="AD178">
        <f>VLOOKUP(A:A,[1]android_repos_all_metrics!B:K,5,FALSE)</f>
        <v>0</v>
      </c>
      <c r="AE178">
        <f>VLOOKUP(A:A,[1]android_repos_all_metrics!B:K,6,FALSE)</f>
        <v>1</v>
      </c>
      <c r="AF178">
        <f>VLOOKUP(A:A,[1]android_repos_all_metrics!B:K,7,FALSE)</f>
        <v>18122</v>
      </c>
      <c r="AG178">
        <f>VLOOKUP(A:A,[1]android_repos_all_metrics!B:K,8,FALSE)</f>
        <v>31</v>
      </c>
      <c r="AH178">
        <f>VLOOKUP(A:A,[1]android_repos_all_metrics!B:K,9,FALSE)</f>
        <v>123</v>
      </c>
      <c r="AI178">
        <f>VLOOKUP(A:A,[1]android_repos_all_metrics!B:K,10,FALSE)</f>
        <v>0</v>
      </c>
    </row>
    <row r="179" spans="1:35">
      <c r="A179" t="s">
        <v>228</v>
      </c>
      <c r="B179" t="b">
        <v>1</v>
      </c>
      <c r="C179" t="b">
        <v>0</v>
      </c>
      <c r="D179" t="b">
        <v>0</v>
      </c>
      <c r="F179" t="b">
        <v>0</v>
      </c>
      <c r="H179" t="s">
        <v>37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>
        <v>1</v>
      </c>
      <c r="AB179">
        <v>0</v>
      </c>
      <c r="AC179">
        <f>VLOOKUP(A:A,[1]android_repos_all_metrics!B:K,4,FALSE)</f>
        <v>41</v>
      </c>
      <c r="AD179">
        <f>VLOOKUP(A:A,[1]android_repos_all_metrics!B:K,5,FALSE)</f>
        <v>8</v>
      </c>
      <c r="AE179">
        <f>VLOOKUP(A:A,[1]android_repos_all_metrics!B:K,6,FALSE)</f>
        <v>1</v>
      </c>
      <c r="AF179">
        <f>VLOOKUP(A:A,[1]android_repos_all_metrics!B:K,7,FALSE)</f>
        <v>8783</v>
      </c>
      <c r="AG179">
        <f>VLOOKUP(A:A,[1]android_repos_all_metrics!B:K,8,FALSE)</f>
        <v>5</v>
      </c>
      <c r="AH179">
        <f>VLOOKUP(A:A,[1]android_repos_all_metrics!B:K,9,FALSE)</f>
        <v>14</v>
      </c>
      <c r="AI179">
        <f>VLOOKUP(A:A,[1]android_repos_all_metrics!B:K,10,FALSE)</f>
        <v>3</v>
      </c>
    </row>
    <row r="180" spans="1:35">
      <c r="A180" t="s">
        <v>229</v>
      </c>
      <c r="B180" t="b">
        <v>1</v>
      </c>
      <c r="C180" t="b">
        <v>0</v>
      </c>
      <c r="D180" t="b">
        <v>0</v>
      </c>
      <c r="F180" t="b">
        <v>0</v>
      </c>
      <c r="H180" t="s">
        <v>126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>
        <v>3</v>
      </c>
      <c r="AB180">
        <v>0</v>
      </c>
      <c r="AC180">
        <f>VLOOKUP(A:A,[1]android_repos_all_metrics!B:K,4,FALSE)</f>
        <v>25</v>
      </c>
      <c r="AD180">
        <f>VLOOKUP(A:A,[1]android_repos_all_metrics!B:K,5,FALSE)</f>
        <v>6</v>
      </c>
      <c r="AE180">
        <f>VLOOKUP(A:A,[1]android_repos_all_metrics!B:K,6,FALSE)</f>
        <v>1</v>
      </c>
      <c r="AF180">
        <f>VLOOKUP(A:A,[1]android_repos_all_metrics!B:K,7,FALSE)</f>
        <v>8775</v>
      </c>
      <c r="AG180">
        <f>VLOOKUP(A:A,[1]android_repos_all_metrics!B:K,8,FALSE)</f>
        <v>4</v>
      </c>
      <c r="AH180">
        <f>VLOOKUP(A:A,[1]android_repos_all_metrics!B:K,9,FALSE)</f>
        <v>16</v>
      </c>
      <c r="AI180">
        <f>VLOOKUP(A:A,[1]android_repos_all_metrics!B:K,10,FALSE)</f>
        <v>0</v>
      </c>
    </row>
    <row r="181" spans="1:35">
      <c r="A181" t="s">
        <v>230</v>
      </c>
      <c r="B181" t="b">
        <v>1</v>
      </c>
      <c r="C181" t="b">
        <v>0</v>
      </c>
      <c r="D181" t="b">
        <v>0</v>
      </c>
      <c r="F181" t="b">
        <v>0</v>
      </c>
      <c r="H181" t="s">
        <v>37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>
        <v>1</v>
      </c>
      <c r="AB181">
        <v>0</v>
      </c>
      <c r="AC181">
        <f>VLOOKUP(A:A,[1]android_repos_all_metrics!B:K,4,FALSE)</f>
        <v>626</v>
      </c>
      <c r="AD181">
        <f>VLOOKUP(A:A,[1]android_repos_all_metrics!B:K,5,FALSE)</f>
        <v>117</v>
      </c>
      <c r="AE181">
        <f>VLOOKUP(A:A,[1]android_repos_all_metrics!B:K,6,FALSE)</f>
        <v>22</v>
      </c>
      <c r="AF181">
        <f>VLOOKUP(A:A,[1]android_repos_all_metrics!B:K,7,FALSE)</f>
        <v>5478</v>
      </c>
      <c r="AG181">
        <f>VLOOKUP(A:A,[1]android_repos_all_metrics!B:K,8,FALSE)</f>
        <v>18</v>
      </c>
      <c r="AH181">
        <f>VLOOKUP(A:A,[1]android_repos_all_metrics!B:K,9,FALSE)</f>
        <v>78</v>
      </c>
      <c r="AI181">
        <f>VLOOKUP(A:A,[1]android_repos_all_metrics!B:K,10,FALSE)</f>
        <v>5</v>
      </c>
    </row>
    <row r="182" spans="1:35">
      <c r="A182" t="s">
        <v>231</v>
      </c>
      <c r="B182" t="b">
        <v>0</v>
      </c>
      <c r="C182" t="b">
        <v>0</v>
      </c>
      <c r="D182" t="b">
        <v>0</v>
      </c>
      <c r="F182" t="b">
        <v>0</v>
      </c>
      <c r="H182" t="s">
        <v>41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>
        <v>1</v>
      </c>
      <c r="AB182">
        <v>0</v>
      </c>
      <c r="AC182">
        <f>VLOOKUP(A:A,[1]android_repos_all_metrics!B:K,4,FALSE)</f>
        <v>460</v>
      </c>
      <c r="AD182">
        <f>VLOOKUP(A:A,[1]android_repos_all_metrics!B:K,5,FALSE)</f>
        <v>0</v>
      </c>
      <c r="AE182">
        <f>VLOOKUP(A:A,[1]android_repos_all_metrics!B:K,6,FALSE)</f>
        <v>1</v>
      </c>
      <c r="AF182">
        <f>VLOOKUP(A:A,[1]android_repos_all_metrics!B:K,7,FALSE)</f>
        <v>178909</v>
      </c>
      <c r="AG182">
        <f>VLOOKUP(A:A,[1]android_repos_all_metrics!B:K,8,FALSE)</f>
        <v>20</v>
      </c>
      <c r="AH182">
        <f>VLOOKUP(A:A,[1]android_repos_all_metrics!B:K,9,FALSE)</f>
        <v>97</v>
      </c>
      <c r="AI182">
        <f>VLOOKUP(A:A,[1]android_repos_all_metrics!B:K,10,FALSE)</f>
        <v>3</v>
      </c>
    </row>
    <row r="183" spans="1:35">
      <c r="A183" t="s">
        <v>232</v>
      </c>
      <c r="B183" t="b">
        <v>1</v>
      </c>
      <c r="C183" t="b">
        <v>0</v>
      </c>
      <c r="D183" t="b">
        <v>0</v>
      </c>
      <c r="F183" t="b">
        <v>0</v>
      </c>
      <c r="H183" t="s">
        <v>37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>
        <v>1</v>
      </c>
      <c r="AB183">
        <v>0</v>
      </c>
      <c r="AC183">
        <f>VLOOKUP(A:A,[1]android_repos_all_metrics!B:K,4,FALSE)</f>
        <v>182</v>
      </c>
      <c r="AD183">
        <f>VLOOKUP(A:A,[1]android_repos_all_metrics!B:K,5,FALSE)</f>
        <v>63</v>
      </c>
      <c r="AE183">
        <f>VLOOKUP(A:A,[1]android_repos_all_metrics!B:K,6,FALSE)</f>
        <v>3</v>
      </c>
      <c r="AF183">
        <f>VLOOKUP(A:A,[1]android_repos_all_metrics!B:K,7,FALSE)</f>
        <v>1287</v>
      </c>
      <c r="AG183">
        <f>VLOOKUP(A:A,[1]android_repos_all_metrics!B:K,8,FALSE)</f>
        <v>0</v>
      </c>
      <c r="AH183">
        <f>VLOOKUP(A:A,[1]android_repos_all_metrics!B:K,9,FALSE)</f>
        <v>2</v>
      </c>
      <c r="AI183">
        <f>VLOOKUP(A:A,[1]android_repos_all_metrics!B:K,10,FALSE)</f>
        <v>4</v>
      </c>
    </row>
    <row r="184" spans="1:35">
      <c r="A184" t="s">
        <v>233</v>
      </c>
      <c r="B184" t="b">
        <v>1</v>
      </c>
      <c r="C184" t="b">
        <v>0</v>
      </c>
      <c r="D184" t="b">
        <v>0</v>
      </c>
      <c r="F184" t="b">
        <v>0</v>
      </c>
      <c r="H184" t="s">
        <v>43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>
        <v>1</v>
      </c>
      <c r="AB184">
        <v>0</v>
      </c>
      <c r="AC184">
        <f>VLOOKUP(A:A,[1]android_repos_all_metrics!B:K,4,FALSE)</f>
        <v>39</v>
      </c>
      <c r="AD184">
        <f>VLOOKUP(A:A,[1]android_repos_all_metrics!B:K,5,FALSE)</f>
        <v>0</v>
      </c>
      <c r="AE184">
        <f>VLOOKUP(A:A,[1]android_repos_all_metrics!B:K,6,FALSE)</f>
        <v>1</v>
      </c>
      <c r="AF184">
        <f>VLOOKUP(A:A,[1]android_repos_all_metrics!B:K,7,FALSE)</f>
        <v>194</v>
      </c>
      <c r="AG184">
        <f>VLOOKUP(A:A,[1]android_repos_all_metrics!B:K,8,FALSE)</f>
        <v>1</v>
      </c>
      <c r="AH184">
        <f>VLOOKUP(A:A,[1]android_repos_all_metrics!B:K,9,FALSE)</f>
        <v>18</v>
      </c>
      <c r="AI184">
        <f>VLOOKUP(A:A,[1]android_repos_all_metrics!B:K,10,FALSE)</f>
        <v>0</v>
      </c>
    </row>
    <row r="185" spans="1:35">
      <c r="A185" t="s">
        <v>234</v>
      </c>
      <c r="B185" t="b">
        <v>0</v>
      </c>
      <c r="C185" t="b">
        <v>0</v>
      </c>
      <c r="D185" t="b">
        <v>0</v>
      </c>
      <c r="F185" t="b">
        <v>0</v>
      </c>
      <c r="H185" t="s">
        <v>41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>
        <v>1</v>
      </c>
      <c r="AB185">
        <v>0</v>
      </c>
      <c r="AC185">
        <f>VLOOKUP(A:A,[1]android_repos_all_metrics!B:K,4,FALSE)</f>
        <v>75</v>
      </c>
      <c r="AD185">
        <f>VLOOKUP(A:A,[1]android_repos_all_metrics!B:K,5,FALSE)</f>
        <v>20</v>
      </c>
      <c r="AE185">
        <f>VLOOKUP(A:A,[1]android_repos_all_metrics!B:K,6,FALSE)</f>
        <v>2</v>
      </c>
      <c r="AF185">
        <f>VLOOKUP(A:A,[1]android_repos_all_metrics!B:K,7,FALSE)</f>
        <v>3451</v>
      </c>
      <c r="AG185">
        <f>VLOOKUP(A:A,[1]android_repos_all_metrics!B:K,8,FALSE)</f>
        <v>17</v>
      </c>
      <c r="AH185">
        <f>VLOOKUP(A:A,[1]android_repos_all_metrics!B:K,9,FALSE)</f>
        <v>34</v>
      </c>
      <c r="AI185">
        <f>VLOOKUP(A:A,[1]android_repos_all_metrics!B:K,10,FALSE)</f>
        <v>1</v>
      </c>
    </row>
    <row r="186" spans="1:35">
      <c r="A186" t="s">
        <v>235</v>
      </c>
      <c r="B186" t="b">
        <v>1</v>
      </c>
      <c r="C186" t="b">
        <v>0</v>
      </c>
      <c r="D186" t="b">
        <v>0</v>
      </c>
      <c r="F186" t="b">
        <v>0</v>
      </c>
      <c r="H186" t="s">
        <v>37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>
        <v>1</v>
      </c>
      <c r="AB186">
        <v>0</v>
      </c>
      <c r="AC186">
        <f>VLOOKUP(A:A,[1]android_repos_all_metrics!B:K,4,FALSE)</f>
        <v>24</v>
      </c>
      <c r="AD186">
        <f>VLOOKUP(A:A,[1]android_repos_all_metrics!B:K,5,FALSE)</f>
        <v>8</v>
      </c>
      <c r="AE186">
        <f>VLOOKUP(A:A,[1]android_repos_all_metrics!B:K,6,FALSE)</f>
        <v>2</v>
      </c>
      <c r="AF186">
        <f>VLOOKUP(A:A,[1]android_repos_all_metrics!B:K,7,FALSE)</f>
        <v>89374</v>
      </c>
      <c r="AG186">
        <f>VLOOKUP(A:A,[1]android_repos_all_metrics!B:K,8,FALSE)</f>
        <v>1198</v>
      </c>
      <c r="AH186">
        <f>VLOOKUP(A:A,[1]android_repos_all_metrics!B:K,9,FALSE)</f>
        <v>5513</v>
      </c>
      <c r="AI186">
        <f>VLOOKUP(A:A,[1]android_repos_all_metrics!B:K,10,FALSE)</f>
        <v>1</v>
      </c>
    </row>
    <row r="187" spans="1:35">
      <c r="A187" t="s">
        <v>236</v>
      </c>
      <c r="B187" t="b">
        <v>1</v>
      </c>
      <c r="C187" t="b">
        <v>0</v>
      </c>
      <c r="D187" t="b">
        <v>0</v>
      </c>
      <c r="F187" t="b">
        <v>0</v>
      </c>
      <c r="H187" t="s">
        <v>37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>
        <v>1</v>
      </c>
      <c r="AB187">
        <v>0</v>
      </c>
      <c r="AC187">
        <f>VLOOKUP(A:A,[1]android_repos_all_metrics!B:K,4,FALSE)</f>
        <v>6</v>
      </c>
      <c r="AD187">
        <f>VLOOKUP(A:A,[1]android_repos_all_metrics!B:K,5,FALSE)</f>
        <v>2</v>
      </c>
      <c r="AE187">
        <f>VLOOKUP(A:A,[1]android_repos_all_metrics!B:K,6,FALSE)</f>
        <v>2</v>
      </c>
      <c r="AF187">
        <f>VLOOKUP(A:A,[1]android_repos_all_metrics!B:K,7,FALSE)</f>
        <v>16844</v>
      </c>
      <c r="AG187">
        <f>VLOOKUP(A:A,[1]android_repos_all_metrics!B:K,8,FALSE)</f>
        <v>147</v>
      </c>
      <c r="AH187">
        <f>VLOOKUP(A:A,[1]android_repos_all_metrics!B:K,9,FALSE)</f>
        <v>819</v>
      </c>
      <c r="AI187">
        <f>VLOOKUP(A:A,[1]android_repos_all_metrics!B:K,10,FALSE)</f>
        <v>1</v>
      </c>
    </row>
    <row r="188" spans="1:35">
      <c r="A188" t="s">
        <v>237</v>
      </c>
      <c r="B188" t="b">
        <v>0</v>
      </c>
      <c r="C188" t="b">
        <v>0</v>
      </c>
      <c r="D188" t="b">
        <v>0</v>
      </c>
      <c r="F188" t="b">
        <v>0</v>
      </c>
      <c r="H188" t="s">
        <v>41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>
        <v>1</v>
      </c>
      <c r="AB188">
        <v>0</v>
      </c>
      <c r="AC188">
        <f>VLOOKUP(A:A,[1]android_repos_all_metrics!B:K,4,FALSE)</f>
        <v>65</v>
      </c>
      <c r="AD188">
        <f>VLOOKUP(A:A,[1]android_repos_all_metrics!B:K,5,FALSE)</f>
        <v>0</v>
      </c>
      <c r="AE188">
        <f>VLOOKUP(A:A,[1]android_repos_all_metrics!B:K,6,FALSE)</f>
        <v>1</v>
      </c>
      <c r="AF188">
        <f>VLOOKUP(A:A,[1]android_repos_all_metrics!B:K,7,FALSE)</f>
        <v>336</v>
      </c>
      <c r="AG188">
        <f>VLOOKUP(A:A,[1]android_repos_all_metrics!B:K,8,FALSE)</f>
        <v>1</v>
      </c>
      <c r="AH188">
        <f>VLOOKUP(A:A,[1]android_repos_all_metrics!B:K,9,FALSE)</f>
        <v>41</v>
      </c>
      <c r="AI188">
        <f>VLOOKUP(A:A,[1]android_repos_all_metrics!B:K,10,FALSE)</f>
        <v>0</v>
      </c>
    </row>
    <row r="189" spans="1:35">
      <c r="A189" t="s">
        <v>238</v>
      </c>
      <c r="B189" t="b">
        <v>1</v>
      </c>
      <c r="C189" t="b">
        <v>0</v>
      </c>
      <c r="D189" t="b">
        <v>0</v>
      </c>
      <c r="F189" t="b">
        <v>0</v>
      </c>
      <c r="H189" t="s">
        <v>37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>
        <v>1</v>
      </c>
      <c r="AB189">
        <v>0</v>
      </c>
      <c r="AC189">
        <f>VLOOKUP(A:A,[1]android_repos_all_metrics!B:K,4,FALSE)</f>
        <v>27</v>
      </c>
      <c r="AD189">
        <f>VLOOKUP(A:A,[1]android_repos_all_metrics!B:K,5,FALSE)</f>
        <v>2</v>
      </c>
      <c r="AE189">
        <f>VLOOKUP(A:A,[1]android_repos_all_metrics!B:K,6,FALSE)</f>
        <v>2</v>
      </c>
      <c r="AF189">
        <f>VLOOKUP(A:A,[1]android_repos_all_metrics!B:K,7,FALSE)</f>
        <v>141</v>
      </c>
      <c r="AG189">
        <f>VLOOKUP(A:A,[1]android_repos_all_metrics!B:K,8,FALSE)</f>
        <v>130</v>
      </c>
      <c r="AH189">
        <f>VLOOKUP(A:A,[1]android_repos_all_metrics!B:K,9,FALSE)</f>
        <v>674</v>
      </c>
      <c r="AI189">
        <f>VLOOKUP(A:A,[1]android_repos_all_metrics!B:K,10,FALSE)</f>
        <v>2</v>
      </c>
    </row>
    <row r="190" spans="1:35">
      <c r="A190" t="s">
        <v>239</v>
      </c>
      <c r="B190" t="b">
        <v>1</v>
      </c>
      <c r="C190" t="b">
        <v>0</v>
      </c>
      <c r="D190" t="b">
        <v>0</v>
      </c>
      <c r="F190" t="b">
        <v>0</v>
      </c>
      <c r="H190" t="s">
        <v>41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>
        <v>1</v>
      </c>
      <c r="AB190">
        <v>0</v>
      </c>
      <c r="AC190">
        <f>VLOOKUP(A:A,[1]android_repos_all_metrics!B:K,4,FALSE)</f>
        <v>116</v>
      </c>
      <c r="AD190">
        <f>VLOOKUP(A:A,[1]android_repos_all_metrics!B:K,5,FALSE)</f>
        <v>1</v>
      </c>
      <c r="AE190">
        <f>VLOOKUP(A:A,[1]android_repos_all_metrics!B:K,6,FALSE)</f>
        <v>2</v>
      </c>
      <c r="AF190">
        <f>VLOOKUP(A:A,[1]android_repos_all_metrics!B:K,7,FALSE)</f>
        <v>3602</v>
      </c>
      <c r="AG190">
        <f>VLOOKUP(A:A,[1]android_repos_all_metrics!B:K,8,FALSE)</f>
        <v>46</v>
      </c>
      <c r="AH190">
        <f>VLOOKUP(A:A,[1]android_repos_all_metrics!B:K,9,FALSE)</f>
        <v>95</v>
      </c>
      <c r="AI190">
        <f>VLOOKUP(A:A,[1]android_repos_all_metrics!B:K,10,FALSE)</f>
        <v>7</v>
      </c>
    </row>
    <row r="191" spans="1:35">
      <c r="A191" t="s">
        <v>240</v>
      </c>
      <c r="B191" t="b">
        <v>1</v>
      </c>
      <c r="C191" t="b">
        <v>0</v>
      </c>
      <c r="D191" t="b">
        <v>0</v>
      </c>
      <c r="F191" t="b">
        <v>0</v>
      </c>
      <c r="H191" t="s">
        <v>37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>
        <v>3</v>
      </c>
      <c r="AB191">
        <v>0</v>
      </c>
      <c r="AC191">
        <f>VLOOKUP(A:A,[1]android_repos_all_metrics!B:K,4,FALSE)</f>
        <v>17</v>
      </c>
      <c r="AD191">
        <f>VLOOKUP(A:A,[1]android_repos_all_metrics!B:K,5,FALSE)</f>
        <v>18</v>
      </c>
      <c r="AE191">
        <f>VLOOKUP(A:A,[1]android_repos_all_metrics!B:K,6,FALSE)</f>
        <v>1</v>
      </c>
      <c r="AF191">
        <f>VLOOKUP(A:A,[1]android_repos_all_metrics!B:K,7,FALSE)</f>
        <v>259</v>
      </c>
      <c r="AG191">
        <f>VLOOKUP(A:A,[1]android_repos_all_metrics!B:K,8,FALSE)</f>
        <v>2</v>
      </c>
      <c r="AH191">
        <f>VLOOKUP(A:A,[1]android_repos_all_metrics!B:K,9,FALSE)</f>
        <v>3</v>
      </c>
      <c r="AI191">
        <f>VLOOKUP(A:A,[1]android_repos_all_metrics!B:K,10,FALSE)</f>
        <v>1</v>
      </c>
    </row>
    <row r="192" spans="1:35">
      <c r="A192" t="s">
        <v>241</v>
      </c>
      <c r="B192" t="b">
        <v>0</v>
      </c>
      <c r="C192" t="b">
        <v>0</v>
      </c>
      <c r="D192" t="b">
        <v>0</v>
      </c>
      <c r="F192" t="b">
        <v>0</v>
      </c>
      <c r="H192" t="s">
        <v>43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>
        <v>1</v>
      </c>
      <c r="AB192">
        <v>0</v>
      </c>
      <c r="AC192">
        <f>VLOOKUP(A:A,[1]android_repos_all_metrics!B:K,4,FALSE)</f>
        <v>24</v>
      </c>
      <c r="AD192">
        <f>VLOOKUP(A:A,[1]android_repos_all_metrics!B:K,5,FALSE)</f>
        <v>0</v>
      </c>
      <c r="AE192">
        <f>VLOOKUP(A:A,[1]android_repos_all_metrics!B:K,6,FALSE)</f>
        <v>1</v>
      </c>
      <c r="AF192">
        <f>VLOOKUP(A:A,[1]android_repos_all_metrics!B:K,7,FALSE)</f>
        <v>179</v>
      </c>
      <c r="AG192">
        <f>VLOOKUP(A:A,[1]android_repos_all_metrics!B:K,8,FALSE)</f>
        <v>1</v>
      </c>
      <c r="AH192">
        <f>VLOOKUP(A:A,[1]android_repos_all_metrics!B:K,9,FALSE)</f>
        <v>2</v>
      </c>
      <c r="AI192">
        <f>VLOOKUP(A:A,[1]android_repos_all_metrics!B:K,10,FALSE)</f>
        <v>0</v>
      </c>
    </row>
    <row r="193" spans="1:35">
      <c r="A193" t="s">
        <v>242</v>
      </c>
      <c r="B193" t="b">
        <v>1</v>
      </c>
      <c r="C193" t="b">
        <v>0</v>
      </c>
      <c r="D193" t="b">
        <v>0</v>
      </c>
      <c r="F193" t="b">
        <v>0</v>
      </c>
      <c r="H193" t="s">
        <v>37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>
        <v>1</v>
      </c>
      <c r="AB193">
        <v>0</v>
      </c>
      <c r="AC193">
        <f>VLOOKUP(A:A,[1]android_repos_all_metrics!B:K,4,FALSE)</f>
        <v>24</v>
      </c>
      <c r="AD193">
        <f>VLOOKUP(A:A,[1]android_repos_all_metrics!B:K,5,FALSE)</f>
        <v>2</v>
      </c>
      <c r="AE193">
        <f>VLOOKUP(A:A,[1]android_repos_all_metrics!B:K,6,FALSE)</f>
        <v>1</v>
      </c>
      <c r="AF193">
        <f>VLOOKUP(A:A,[1]android_repos_all_metrics!B:K,7,FALSE)</f>
        <v>582</v>
      </c>
      <c r="AG193">
        <f>VLOOKUP(A:A,[1]android_repos_all_metrics!B:K,8,FALSE)</f>
        <v>1</v>
      </c>
      <c r="AH193">
        <f>VLOOKUP(A:A,[1]android_repos_all_metrics!B:K,9,FALSE)</f>
        <v>7</v>
      </c>
      <c r="AI193">
        <f>VLOOKUP(A:A,[1]android_repos_all_metrics!B:K,10,FALSE)</f>
        <v>0</v>
      </c>
    </row>
    <row r="194" spans="1:35">
      <c r="A194" t="s">
        <v>243</v>
      </c>
      <c r="B194" t="b">
        <v>1</v>
      </c>
      <c r="C194" t="b">
        <v>0</v>
      </c>
      <c r="D194" t="b">
        <v>0</v>
      </c>
      <c r="F194" t="b">
        <v>0</v>
      </c>
      <c r="H194" t="s">
        <v>244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>
        <v>10</v>
      </c>
      <c r="AB194">
        <v>0</v>
      </c>
      <c r="AC194">
        <f>VLOOKUP(A:A,[1]android_repos_all_metrics!B:K,4,FALSE)</f>
        <v>2691</v>
      </c>
      <c r="AD194">
        <f>VLOOKUP(A:A,[1]android_repos_all_metrics!B:K,5,FALSE)</f>
        <v>415</v>
      </c>
      <c r="AE194">
        <f>VLOOKUP(A:A,[1]android_repos_all_metrics!B:K,6,FALSE)</f>
        <v>19</v>
      </c>
      <c r="AF194">
        <f>VLOOKUP(A:A,[1]android_repos_all_metrics!B:K,7,FALSE)</f>
        <v>32778</v>
      </c>
      <c r="AG194">
        <f>VLOOKUP(A:A,[1]android_repos_all_metrics!B:K,8,FALSE)</f>
        <v>39</v>
      </c>
      <c r="AH194">
        <f>VLOOKUP(A:A,[1]android_repos_all_metrics!B:K,9,FALSE)</f>
        <v>144</v>
      </c>
      <c r="AI194">
        <f>VLOOKUP(A:A,[1]android_repos_all_metrics!B:K,10,FALSE)</f>
        <v>48</v>
      </c>
    </row>
    <row r="195" spans="1:35">
      <c r="A195" t="s">
        <v>245</v>
      </c>
      <c r="B195" t="b">
        <v>1</v>
      </c>
      <c r="C195" t="b">
        <v>1</v>
      </c>
      <c r="D195" t="b">
        <v>0</v>
      </c>
      <c r="F195" t="b">
        <v>1</v>
      </c>
      <c r="G195" t="s">
        <v>39</v>
      </c>
      <c r="H195" t="s">
        <v>41</v>
      </c>
      <c r="I195" t="s">
        <v>41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>
        <v>1</v>
      </c>
      <c r="AB195">
        <v>0</v>
      </c>
      <c r="AC195">
        <f>VLOOKUP(A:A,[1]android_repos_all_metrics!B:K,4,FALSE)</f>
        <v>2839</v>
      </c>
      <c r="AD195">
        <f>VLOOKUP(A:A,[1]android_repos_all_metrics!B:K,5,FALSE)</f>
        <v>28</v>
      </c>
      <c r="AE195">
        <f>VLOOKUP(A:A,[1]android_repos_all_metrics!B:K,6,FALSE)</f>
        <v>8</v>
      </c>
      <c r="AF195">
        <f>VLOOKUP(A:A,[1]android_repos_all_metrics!B:K,7,FALSE)</f>
        <v>49005</v>
      </c>
      <c r="AG195">
        <f>VLOOKUP(A:A,[1]android_repos_all_metrics!B:K,8,FALSE)</f>
        <v>69</v>
      </c>
      <c r="AH195">
        <f>VLOOKUP(A:A,[1]android_repos_all_metrics!B:K,9,FALSE)</f>
        <v>298</v>
      </c>
      <c r="AI195">
        <f>VLOOKUP(A:A,[1]android_repos_all_metrics!B:K,10,FALSE)</f>
        <v>82</v>
      </c>
    </row>
    <row r="196" spans="1:35">
      <c r="A196" t="s">
        <v>246</v>
      </c>
      <c r="B196" t="b">
        <v>1</v>
      </c>
      <c r="C196" t="b">
        <v>0</v>
      </c>
      <c r="D196" t="b">
        <v>0</v>
      </c>
      <c r="F196" t="b">
        <v>0</v>
      </c>
      <c r="H196" t="s">
        <v>37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>
        <v>1</v>
      </c>
      <c r="AB196">
        <v>0</v>
      </c>
      <c r="AC196">
        <f>VLOOKUP(A:A,[1]android_repos_all_metrics!B:K,4,FALSE)</f>
        <v>27</v>
      </c>
      <c r="AD196">
        <f>VLOOKUP(A:A,[1]android_repos_all_metrics!B:K,5,FALSE)</f>
        <v>0</v>
      </c>
      <c r="AE196">
        <f>VLOOKUP(A:A,[1]android_repos_all_metrics!B:K,6,FALSE)</f>
        <v>1</v>
      </c>
      <c r="AF196">
        <f>VLOOKUP(A:A,[1]android_repos_all_metrics!B:K,7,FALSE)</f>
        <v>229013</v>
      </c>
      <c r="AG196">
        <f>VLOOKUP(A:A,[1]android_repos_all_metrics!B:K,8,FALSE)</f>
        <v>1</v>
      </c>
      <c r="AH196">
        <f>VLOOKUP(A:A,[1]android_repos_all_metrics!B:K,9,FALSE)</f>
        <v>3</v>
      </c>
      <c r="AI196">
        <f>VLOOKUP(A:A,[1]android_repos_all_metrics!B:K,10,FALSE)</f>
        <v>0</v>
      </c>
    </row>
    <row r="197" spans="1:35">
      <c r="A197" t="s">
        <v>247</v>
      </c>
      <c r="B197" t="b">
        <v>0</v>
      </c>
      <c r="C197" t="b">
        <v>0</v>
      </c>
      <c r="D197" t="b">
        <v>0</v>
      </c>
      <c r="F197" t="b">
        <v>0</v>
      </c>
      <c r="H197" t="s">
        <v>41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>
        <v>1</v>
      </c>
      <c r="AB197">
        <v>0</v>
      </c>
      <c r="AC197">
        <f>VLOOKUP(A:A,[1]android_repos_all_metrics!B:K,4,FALSE)</f>
        <v>311</v>
      </c>
      <c r="AD197">
        <f>VLOOKUP(A:A,[1]android_repos_all_metrics!B:K,5,FALSE)</f>
        <v>39</v>
      </c>
      <c r="AE197">
        <f>VLOOKUP(A:A,[1]android_repos_all_metrics!B:K,6,FALSE)</f>
        <v>5</v>
      </c>
      <c r="AF197">
        <f>VLOOKUP(A:A,[1]android_repos_all_metrics!B:K,7,FALSE)</f>
        <v>7867</v>
      </c>
      <c r="AG197">
        <f>VLOOKUP(A:A,[1]android_repos_all_metrics!B:K,8,FALSE)</f>
        <v>13</v>
      </c>
      <c r="AH197">
        <f>VLOOKUP(A:A,[1]android_repos_all_metrics!B:K,9,FALSE)</f>
        <v>35</v>
      </c>
      <c r="AI197">
        <f>VLOOKUP(A:A,[1]android_repos_all_metrics!B:K,10,FALSE)</f>
        <v>10</v>
      </c>
    </row>
    <row r="198" spans="1:35">
      <c r="A198" t="s">
        <v>248</v>
      </c>
      <c r="B198" t="b">
        <v>1</v>
      </c>
      <c r="C198" t="b">
        <v>0</v>
      </c>
      <c r="D198" t="b">
        <v>0</v>
      </c>
      <c r="F198" t="b">
        <v>0</v>
      </c>
      <c r="H198" t="s">
        <v>37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>
        <v>1</v>
      </c>
      <c r="AB198">
        <v>0</v>
      </c>
      <c r="AC198">
        <f>VLOOKUP(A:A,[1]android_repos_all_metrics!B:K,4,FALSE)</f>
        <v>1523</v>
      </c>
      <c r="AD198">
        <f>VLOOKUP(A:A,[1]android_repos_all_metrics!B:K,5,FALSE)</f>
        <v>100</v>
      </c>
      <c r="AE198">
        <f>VLOOKUP(A:A,[1]android_repos_all_metrics!B:K,6,FALSE)</f>
        <v>4</v>
      </c>
      <c r="AF198">
        <f>VLOOKUP(A:A,[1]android_repos_all_metrics!B:K,7,FALSE)</f>
        <v>498398</v>
      </c>
      <c r="AG198">
        <f>VLOOKUP(A:A,[1]android_repos_all_metrics!B:K,8,FALSE)</f>
        <v>4</v>
      </c>
      <c r="AH198">
        <f>VLOOKUP(A:A,[1]android_repos_all_metrics!B:K,9,FALSE)</f>
        <v>16</v>
      </c>
      <c r="AI198">
        <f>VLOOKUP(A:A,[1]android_repos_all_metrics!B:K,10,FALSE)</f>
        <v>14</v>
      </c>
    </row>
    <row r="199" spans="1:35">
      <c r="A199" t="s">
        <v>249</v>
      </c>
      <c r="B199" t="b">
        <v>1</v>
      </c>
      <c r="C199" t="b">
        <v>0</v>
      </c>
      <c r="D199" t="b">
        <v>0</v>
      </c>
      <c r="F199" t="b">
        <v>0</v>
      </c>
      <c r="H199" t="s">
        <v>41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>
        <v>1</v>
      </c>
      <c r="AB199">
        <v>0</v>
      </c>
      <c r="AC199">
        <f>VLOOKUP(A:A,[1]android_repos_all_metrics!B:K,4,FALSE)</f>
        <v>2261</v>
      </c>
      <c r="AD199">
        <f>VLOOKUP(A:A,[1]android_repos_all_metrics!B:K,5,FALSE)</f>
        <v>124</v>
      </c>
      <c r="AE199">
        <f>VLOOKUP(A:A,[1]android_repos_all_metrics!B:K,6,FALSE)</f>
        <v>155</v>
      </c>
      <c r="AF199">
        <f>VLOOKUP(A:A,[1]android_repos_all_metrics!B:K,7,FALSE)</f>
        <v>13073</v>
      </c>
      <c r="AG199">
        <f>VLOOKUP(A:A,[1]android_repos_all_metrics!B:K,8,FALSE)</f>
        <v>456</v>
      </c>
      <c r="AH199">
        <f>VLOOKUP(A:A,[1]android_repos_all_metrics!B:K,9,FALSE)</f>
        <v>2277</v>
      </c>
      <c r="AI199">
        <f>VLOOKUP(A:A,[1]android_repos_all_metrics!B:K,10,FALSE)</f>
        <v>43</v>
      </c>
    </row>
    <row r="200" spans="1:35">
      <c r="A200" t="s">
        <v>250</v>
      </c>
      <c r="B200" t="b">
        <v>1</v>
      </c>
      <c r="C200" t="b">
        <v>0</v>
      </c>
      <c r="D200" t="b">
        <v>0</v>
      </c>
      <c r="F200" t="b">
        <v>0</v>
      </c>
      <c r="H200" t="s">
        <v>37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>
        <v>1</v>
      </c>
      <c r="AB200">
        <v>0</v>
      </c>
      <c r="AC200">
        <f>VLOOKUP(A:A,[1]android_repos_all_metrics!B:K,4,FALSE)</f>
        <v>20</v>
      </c>
      <c r="AD200">
        <f>VLOOKUP(A:A,[1]android_repos_all_metrics!B:K,5,FALSE)</f>
        <v>0</v>
      </c>
      <c r="AE200">
        <f>VLOOKUP(A:A,[1]android_repos_all_metrics!B:K,6,FALSE)</f>
        <v>1</v>
      </c>
      <c r="AF200">
        <f>VLOOKUP(A:A,[1]android_repos_all_metrics!B:K,7,FALSE)</f>
        <v>976</v>
      </c>
      <c r="AG200">
        <f>VLOOKUP(A:A,[1]android_repos_all_metrics!B:K,8,FALSE)</f>
        <v>0</v>
      </c>
      <c r="AH200">
        <f>VLOOKUP(A:A,[1]android_repos_all_metrics!B:K,9,FALSE)</f>
        <v>2</v>
      </c>
      <c r="AI200">
        <f>VLOOKUP(A:A,[1]android_repos_all_metrics!B:K,10,FALSE)</f>
        <v>0</v>
      </c>
    </row>
    <row r="201" spans="1:35">
      <c r="A201" t="s">
        <v>251</v>
      </c>
      <c r="B201" t="b">
        <v>1</v>
      </c>
      <c r="C201" t="b">
        <v>0</v>
      </c>
      <c r="D201" t="b">
        <v>0</v>
      </c>
      <c r="F201" t="b">
        <v>0</v>
      </c>
      <c r="H201" t="s">
        <v>37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>
        <v>1</v>
      </c>
      <c r="AB201">
        <v>0</v>
      </c>
      <c r="AC201">
        <f>VLOOKUP(A:A,[1]android_repos_all_metrics!B:K,4,FALSE)</f>
        <v>71</v>
      </c>
      <c r="AD201">
        <f>VLOOKUP(A:A,[1]android_repos_all_metrics!B:K,5,FALSE)</f>
        <v>4</v>
      </c>
      <c r="AE201">
        <f>VLOOKUP(A:A,[1]android_repos_all_metrics!B:K,6,FALSE)</f>
        <v>1</v>
      </c>
      <c r="AF201">
        <f>VLOOKUP(A:A,[1]android_repos_all_metrics!B:K,7,FALSE)</f>
        <v>3983</v>
      </c>
      <c r="AG201">
        <f>VLOOKUP(A:A,[1]android_repos_all_metrics!B:K,8,FALSE)</f>
        <v>4</v>
      </c>
      <c r="AH201">
        <f>VLOOKUP(A:A,[1]android_repos_all_metrics!B:K,9,FALSE)</f>
        <v>9</v>
      </c>
      <c r="AI201">
        <f>VLOOKUP(A:A,[1]android_repos_all_metrics!B:K,10,FALSE)</f>
        <v>3</v>
      </c>
    </row>
    <row r="202" spans="1:35">
      <c r="A202" t="s">
        <v>252</v>
      </c>
      <c r="B202" t="b">
        <v>0</v>
      </c>
      <c r="C202" t="b">
        <v>0</v>
      </c>
      <c r="D202" t="b">
        <v>0</v>
      </c>
      <c r="F202" t="b">
        <v>0</v>
      </c>
      <c r="H202" t="s">
        <v>41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>
        <v>1</v>
      </c>
      <c r="AB202">
        <v>0</v>
      </c>
      <c r="AC202">
        <f>VLOOKUP(A:A,[1]android_repos_all_metrics!B:K,4,FALSE)</f>
        <v>66</v>
      </c>
      <c r="AD202">
        <f>VLOOKUP(A:A,[1]android_repos_all_metrics!B:K,5,FALSE)</f>
        <v>14</v>
      </c>
      <c r="AE202">
        <f>VLOOKUP(A:A,[1]android_repos_all_metrics!B:K,6,FALSE)</f>
        <v>1</v>
      </c>
      <c r="AF202">
        <f>VLOOKUP(A:A,[1]android_repos_all_metrics!B:K,7,FALSE)</f>
        <v>1737</v>
      </c>
      <c r="AG202">
        <f>VLOOKUP(A:A,[1]android_repos_all_metrics!B:K,8,FALSE)</f>
        <v>13</v>
      </c>
      <c r="AH202">
        <f>VLOOKUP(A:A,[1]android_repos_all_metrics!B:K,9,FALSE)</f>
        <v>54</v>
      </c>
      <c r="AI202">
        <f>VLOOKUP(A:A,[1]android_repos_all_metrics!B:K,10,FALSE)</f>
        <v>0</v>
      </c>
    </row>
    <row r="203" spans="1:35">
      <c r="A203" t="s">
        <v>253</v>
      </c>
      <c r="B203" t="b">
        <v>1</v>
      </c>
      <c r="C203" t="b">
        <v>0</v>
      </c>
      <c r="D203" t="b">
        <v>0</v>
      </c>
      <c r="F203" t="b">
        <v>0</v>
      </c>
      <c r="H203" t="s">
        <v>37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>
        <v>2</v>
      </c>
      <c r="AB203">
        <v>0</v>
      </c>
      <c r="AC203">
        <f>VLOOKUP(A:A,[1]android_repos_all_metrics!B:K,4,FALSE)</f>
        <v>160</v>
      </c>
      <c r="AD203">
        <f>VLOOKUP(A:A,[1]android_repos_all_metrics!B:K,5,FALSE)</f>
        <v>5</v>
      </c>
      <c r="AE203">
        <f>VLOOKUP(A:A,[1]android_repos_all_metrics!B:K,6,FALSE)</f>
        <v>16</v>
      </c>
      <c r="AF203">
        <f>VLOOKUP(A:A,[1]android_repos_all_metrics!B:K,7,FALSE)</f>
        <v>18382</v>
      </c>
      <c r="AG203">
        <f>VLOOKUP(A:A,[1]android_repos_all_metrics!B:K,8,FALSE)</f>
        <v>5</v>
      </c>
      <c r="AH203">
        <f>VLOOKUP(A:A,[1]android_repos_all_metrics!B:K,9,FALSE)</f>
        <v>91</v>
      </c>
      <c r="AI203">
        <f>VLOOKUP(A:A,[1]android_repos_all_metrics!B:K,10,FALSE)</f>
        <v>20</v>
      </c>
    </row>
    <row r="204" spans="1:35">
      <c r="A204" t="s">
        <v>254</v>
      </c>
      <c r="B204" t="b">
        <v>1</v>
      </c>
      <c r="C204" t="b">
        <v>0</v>
      </c>
      <c r="D204" t="b">
        <v>0</v>
      </c>
      <c r="F204" t="b">
        <v>0</v>
      </c>
      <c r="H204" t="s">
        <v>37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>
        <v>1</v>
      </c>
      <c r="AB204">
        <v>0</v>
      </c>
      <c r="AC204">
        <f>VLOOKUP(A:A,[1]android_repos_all_metrics!B:K,4,FALSE)</f>
        <v>24</v>
      </c>
      <c r="AD204">
        <f>VLOOKUP(A:A,[1]android_repos_all_metrics!B:K,5,FALSE)</f>
        <v>6</v>
      </c>
      <c r="AE204">
        <f>VLOOKUP(A:A,[1]android_repos_all_metrics!B:K,6,FALSE)</f>
        <v>1</v>
      </c>
      <c r="AF204">
        <f>VLOOKUP(A:A,[1]android_repos_all_metrics!B:K,7,FALSE)</f>
        <v>1227</v>
      </c>
      <c r="AG204">
        <f>VLOOKUP(A:A,[1]android_repos_all_metrics!B:K,8,FALSE)</f>
        <v>11</v>
      </c>
      <c r="AH204">
        <f>VLOOKUP(A:A,[1]android_repos_all_metrics!B:K,9,FALSE)</f>
        <v>39</v>
      </c>
      <c r="AI204">
        <f>VLOOKUP(A:A,[1]android_repos_all_metrics!B:K,10,FALSE)</f>
        <v>3</v>
      </c>
    </row>
    <row r="205" spans="1:35">
      <c r="A205" t="s">
        <v>255</v>
      </c>
      <c r="B205" t="b">
        <v>1</v>
      </c>
      <c r="C205" t="b">
        <v>0</v>
      </c>
      <c r="D205" t="b">
        <v>0</v>
      </c>
      <c r="F205" t="b">
        <v>0</v>
      </c>
      <c r="H205" t="s">
        <v>136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>
        <v>2</v>
      </c>
      <c r="AB205">
        <v>0</v>
      </c>
      <c r="AC205">
        <f>VLOOKUP(A:A,[1]android_repos_all_metrics!B:K,4,FALSE)</f>
        <v>712</v>
      </c>
      <c r="AD205">
        <f>VLOOKUP(A:A,[1]android_repos_all_metrics!B:K,5,FALSE)</f>
        <v>36</v>
      </c>
      <c r="AE205">
        <f>VLOOKUP(A:A,[1]android_repos_all_metrics!B:K,6,FALSE)</f>
        <v>3</v>
      </c>
      <c r="AF205">
        <f>VLOOKUP(A:A,[1]android_repos_all_metrics!B:K,7,FALSE)</f>
        <v>3439</v>
      </c>
      <c r="AG205">
        <f>VLOOKUP(A:A,[1]android_repos_all_metrics!B:K,8,FALSE)</f>
        <v>6</v>
      </c>
      <c r="AH205">
        <f>VLOOKUP(A:A,[1]android_repos_all_metrics!B:K,9,FALSE)</f>
        <v>14</v>
      </c>
      <c r="AI205">
        <f>VLOOKUP(A:A,[1]android_repos_all_metrics!B:K,10,FALSE)</f>
        <v>16</v>
      </c>
    </row>
    <row r="206" spans="1:35">
      <c r="A206" t="s">
        <v>256</v>
      </c>
      <c r="B206" t="b">
        <v>1</v>
      </c>
      <c r="C206" t="b">
        <v>0</v>
      </c>
      <c r="D206" t="b">
        <v>0</v>
      </c>
      <c r="F206" t="b">
        <v>0</v>
      </c>
      <c r="H206" t="s">
        <v>37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>
        <v>1</v>
      </c>
      <c r="AB206">
        <v>0</v>
      </c>
      <c r="AC206">
        <f>VLOOKUP(A:A,[1]android_repos_all_metrics!B:K,4,FALSE)</f>
        <v>47</v>
      </c>
      <c r="AD206">
        <f>VLOOKUP(A:A,[1]android_repos_all_metrics!B:K,5,FALSE)</f>
        <v>19</v>
      </c>
      <c r="AE206">
        <f>VLOOKUP(A:A,[1]android_repos_all_metrics!B:K,6,FALSE)</f>
        <v>1</v>
      </c>
      <c r="AF206">
        <f>VLOOKUP(A:A,[1]android_repos_all_metrics!B:K,7,FALSE)</f>
        <v>1021</v>
      </c>
      <c r="AG206">
        <f>VLOOKUP(A:A,[1]android_repos_all_metrics!B:K,8,FALSE)</f>
        <v>10</v>
      </c>
      <c r="AH206">
        <f>VLOOKUP(A:A,[1]android_repos_all_metrics!B:K,9,FALSE)</f>
        <v>90</v>
      </c>
      <c r="AI206">
        <f>VLOOKUP(A:A,[1]android_repos_all_metrics!B:K,10,FALSE)</f>
        <v>0</v>
      </c>
    </row>
    <row r="207" spans="1:35">
      <c r="A207" t="s">
        <v>257</v>
      </c>
      <c r="B207" t="b">
        <v>1</v>
      </c>
      <c r="C207" t="b">
        <v>1</v>
      </c>
      <c r="D207" t="b">
        <v>0</v>
      </c>
      <c r="F207" t="b">
        <v>1</v>
      </c>
      <c r="G207" t="s">
        <v>39</v>
      </c>
      <c r="H207" t="s">
        <v>41</v>
      </c>
      <c r="I207" t="s">
        <v>41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>
        <v>1</v>
      </c>
      <c r="AB207">
        <v>0</v>
      </c>
      <c r="AC207">
        <f>VLOOKUP(A:A,[1]android_repos_all_metrics!B:K,4,FALSE)</f>
        <v>137</v>
      </c>
      <c r="AD207">
        <f>VLOOKUP(A:A,[1]android_repos_all_metrics!B:K,5,FALSE)</f>
        <v>4</v>
      </c>
      <c r="AE207">
        <f>VLOOKUP(A:A,[1]android_repos_all_metrics!B:K,6,FALSE)</f>
        <v>3</v>
      </c>
      <c r="AF207">
        <f>VLOOKUP(A:A,[1]android_repos_all_metrics!B:K,7,FALSE)</f>
        <v>7986</v>
      </c>
      <c r="AG207">
        <f>VLOOKUP(A:A,[1]android_repos_all_metrics!B:K,8,FALSE)</f>
        <v>91</v>
      </c>
      <c r="AH207">
        <f>VLOOKUP(A:A,[1]android_repos_all_metrics!B:K,9,FALSE)</f>
        <v>425</v>
      </c>
      <c r="AI207">
        <f>VLOOKUP(A:A,[1]android_repos_all_metrics!B:K,10,FALSE)</f>
        <v>2</v>
      </c>
    </row>
    <row r="208" spans="1:35">
      <c r="A208" t="s">
        <v>258</v>
      </c>
      <c r="B208" t="b">
        <v>0</v>
      </c>
      <c r="C208" t="b">
        <v>0</v>
      </c>
      <c r="D208" t="b">
        <v>0</v>
      </c>
      <c r="F208" t="b">
        <v>0</v>
      </c>
      <c r="H208" t="s">
        <v>41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>
        <v>1</v>
      </c>
      <c r="AB208">
        <v>0</v>
      </c>
      <c r="AC208">
        <f>VLOOKUP(A:A,[1]android_repos_all_metrics!B:K,4,FALSE)</f>
        <v>161</v>
      </c>
      <c r="AD208">
        <f>VLOOKUP(A:A,[1]android_repos_all_metrics!B:K,5,FALSE)</f>
        <v>1</v>
      </c>
      <c r="AE208">
        <f>VLOOKUP(A:A,[1]android_repos_all_metrics!B:K,6,FALSE)</f>
        <v>1</v>
      </c>
      <c r="AF208">
        <f>VLOOKUP(A:A,[1]android_repos_all_metrics!B:K,7,FALSE)</f>
        <v>11674</v>
      </c>
      <c r="AG208">
        <f>VLOOKUP(A:A,[1]android_repos_all_metrics!B:K,8,FALSE)</f>
        <v>0</v>
      </c>
      <c r="AH208">
        <f>VLOOKUP(A:A,[1]android_repos_all_metrics!B:K,9,FALSE)</f>
        <v>4</v>
      </c>
      <c r="AI208">
        <f>VLOOKUP(A:A,[1]android_repos_all_metrics!B:K,10,FALSE)</f>
        <v>5</v>
      </c>
    </row>
    <row r="209" spans="1:35">
      <c r="A209" t="s">
        <v>259</v>
      </c>
      <c r="B209" t="b">
        <v>1</v>
      </c>
      <c r="C209" t="b">
        <v>0</v>
      </c>
      <c r="D209" t="b">
        <v>0</v>
      </c>
      <c r="F209" t="b">
        <v>0</v>
      </c>
      <c r="H209" t="s">
        <v>37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>
        <v>11</v>
      </c>
      <c r="AB209">
        <v>0</v>
      </c>
      <c r="AC209">
        <f>VLOOKUP(A:A,[1]android_repos_all_metrics!B:K,4,FALSE)</f>
        <v>2324</v>
      </c>
      <c r="AD209">
        <f>VLOOKUP(A:A,[1]android_repos_all_metrics!B:K,5,FALSE)</f>
        <v>273</v>
      </c>
      <c r="AE209">
        <f>VLOOKUP(A:A,[1]android_repos_all_metrics!B:K,6,FALSE)</f>
        <v>10</v>
      </c>
      <c r="AF209">
        <f>VLOOKUP(A:A,[1]android_repos_all_metrics!B:K,7,FALSE)</f>
        <v>9541</v>
      </c>
      <c r="AG209">
        <f>VLOOKUP(A:A,[1]android_repos_all_metrics!B:K,8,FALSE)</f>
        <v>6</v>
      </c>
      <c r="AH209">
        <f>VLOOKUP(A:A,[1]android_repos_all_metrics!B:K,9,FALSE)</f>
        <v>28</v>
      </c>
      <c r="AI209">
        <f>VLOOKUP(A:A,[1]android_repos_all_metrics!B:K,10,FALSE)</f>
        <v>28</v>
      </c>
    </row>
    <row r="210" spans="1:35">
      <c r="A210" t="s">
        <v>260</v>
      </c>
      <c r="B210" t="b">
        <v>1</v>
      </c>
      <c r="C210" t="b">
        <v>1</v>
      </c>
      <c r="D210" t="b">
        <v>1</v>
      </c>
      <c r="E210" t="s">
        <v>36</v>
      </c>
      <c r="F210" t="b">
        <v>0</v>
      </c>
      <c r="H210" t="s">
        <v>37</v>
      </c>
      <c r="I210" t="s">
        <v>37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>
        <v>1</v>
      </c>
      <c r="AA210">
        <v>12</v>
      </c>
      <c r="AB210">
        <v>0</v>
      </c>
      <c r="AC210">
        <f>VLOOKUP(A:A,[1]android_repos_all_metrics!B:K,4,FALSE)</f>
        <v>17531</v>
      </c>
      <c r="AD210">
        <f>VLOOKUP(A:A,[1]android_repos_all_metrics!B:K,5,FALSE)</f>
        <v>7193</v>
      </c>
      <c r="AE210">
        <f>VLOOKUP(A:A,[1]android_repos_all_metrics!B:K,6,FALSE)</f>
        <v>349</v>
      </c>
      <c r="AF210">
        <f>VLOOKUP(A:A,[1]android_repos_all_metrics!B:K,7,FALSE)</f>
        <v>205532</v>
      </c>
      <c r="AG210">
        <f>VLOOKUP(A:A,[1]android_repos_all_metrics!B:K,8,FALSE)</f>
        <v>1878</v>
      </c>
      <c r="AH210">
        <f>VLOOKUP(A:A,[1]android_repos_all_metrics!B:K,9,FALSE)</f>
        <v>6127</v>
      </c>
      <c r="AI210">
        <f>VLOOKUP(A:A,[1]android_repos_all_metrics!B:K,10,FALSE)</f>
        <v>372</v>
      </c>
    </row>
    <row r="211" spans="1:35">
      <c r="A211" t="s">
        <v>261</v>
      </c>
      <c r="B211" t="b">
        <v>1</v>
      </c>
      <c r="C211" t="b">
        <v>0</v>
      </c>
      <c r="D211" t="b">
        <v>0</v>
      </c>
      <c r="F211" t="b">
        <v>0</v>
      </c>
      <c r="H211" t="s">
        <v>43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>
        <v>1</v>
      </c>
      <c r="AB211">
        <v>0</v>
      </c>
      <c r="AC211">
        <f>VLOOKUP(A:A,[1]android_repos_all_metrics!B:K,4,FALSE)</f>
        <v>53</v>
      </c>
      <c r="AD211">
        <f>VLOOKUP(A:A,[1]android_repos_all_metrics!B:K,5,FALSE)</f>
        <v>4</v>
      </c>
      <c r="AE211">
        <f>VLOOKUP(A:A,[1]android_repos_all_metrics!B:K,6,FALSE)</f>
        <v>3</v>
      </c>
      <c r="AF211">
        <f>VLOOKUP(A:A,[1]android_repos_all_metrics!B:K,7,FALSE)</f>
        <v>59253</v>
      </c>
      <c r="AG211">
        <f>VLOOKUP(A:A,[1]android_repos_all_metrics!B:K,8,FALSE)</f>
        <v>32</v>
      </c>
      <c r="AH211">
        <f>VLOOKUP(A:A,[1]android_repos_all_metrics!B:K,9,FALSE)</f>
        <v>270</v>
      </c>
      <c r="AI211">
        <f>VLOOKUP(A:A,[1]android_repos_all_metrics!B:K,10,FALSE)</f>
        <v>0</v>
      </c>
    </row>
    <row r="212" spans="1:35">
      <c r="A212" t="s">
        <v>262</v>
      </c>
      <c r="B212" t="b">
        <v>1</v>
      </c>
      <c r="C212" t="b">
        <v>0</v>
      </c>
      <c r="D212" t="b">
        <v>0</v>
      </c>
      <c r="F212" t="b">
        <v>0</v>
      </c>
      <c r="H212" t="s">
        <v>41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>
        <v>1</v>
      </c>
      <c r="AB212">
        <v>0</v>
      </c>
      <c r="AC212">
        <f>VLOOKUP(A:A,[1]android_repos_all_metrics!B:K,4,FALSE)</f>
        <v>8</v>
      </c>
      <c r="AD212">
        <f>VLOOKUP(A:A,[1]android_repos_all_metrics!B:K,5,FALSE)</f>
        <v>0</v>
      </c>
      <c r="AE212">
        <f>VLOOKUP(A:A,[1]android_repos_all_metrics!B:K,6,FALSE)</f>
        <v>1</v>
      </c>
      <c r="AF212">
        <f>VLOOKUP(A:A,[1]android_repos_all_metrics!B:K,7,FALSE)</f>
        <v>87529</v>
      </c>
      <c r="AG212">
        <f>VLOOKUP(A:A,[1]android_repos_all_metrics!B:K,8,FALSE)</f>
        <v>0</v>
      </c>
      <c r="AH212">
        <f>VLOOKUP(A:A,[1]android_repos_all_metrics!B:K,9,FALSE)</f>
        <v>2</v>
      </c>
      <c r="AI212">
        <f>VLOOKUP(A:A,[1]android_repos_all_metrics!B:K,10,FALSE)</f>
        <v>0</v>
      </c>
    </row>
    <row r="213" spans="1:35">
      <c r="A213" t="s">
        <v>263</v>
      </c>
      <c r="B213" t="b">
        <v>1</v>
      </c>
      <c r="C213" t="b">
        <v>0</v>
      </c>
      <c r="D213" t="b">
        <v>0</v>
      </c>
      <c r="F213" t="b">
        <v>0</v>
      </c>
      <c r="H213" t="s">
        <v>86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>
        <v>3</v>
      </c>
      <c r="AB213">
        <v>0</v>
      </c>
      <c r="AC213">
        <f>VLOOKUP(A:A,[1]android_repos_all_metrics!B:K,4,FALSE)</f>
        <v>577</v>
      </c>
      <c r="AD213">
        <f>VLOOKUP(A:A,[1]android_repos_all_metrics!B:K,5,FALSE)</f>
        <v>662</v>
      </c>
      <c r="AE213">
        <f>VLOOKUP(A:A,[1]android_repos_all_metrics!B:K,6,FALSE)</f>
        <v>63</v>
      </c>
      <c r="AF213">
        <f>VLOOKUP(A:A,[1]android_repos_all_metrics!B:K,7,FALSE)</f>
        <v>38905</v>
      </c>
      <c r="AG213">
        <f>VLOOKUP(A:A,[1]android_repos_all_metrics!B:K,8,FALSE)</f>
        <v>595</v>
      </c>
      <c r="AH213">
        <f>VLOOKUP(A:A,[1]android_repos_all_metrics!B:K,9,FALSE)</f>
        <v>2689</v>
      </c>
      <c r="AI213">
        <f>VLOOKUP(A:A,[1]android_repos_all_metrics!B:K,10,FALSE)</f>
        <v>25</v>
      </c>
    </row>
    <row r="214" spans="1:35">
      <c r="A214" t="s">
        <v>264</v>
      </c>
      <c r="B214" t="b">
        <v>1</v>
      </c>
      <c r="C214" t="b">
        <v>0</v>
      </c>
      <c r="D214" t="b">
        <v>0</v>
      </c>
      <c r="F214" t="b">
        <v>0</v>
      </c>
      <c r="H214" t="s">
        <v>37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>
        <v>1</v>
      </c>
      <c r="AB214">
        <v>0</v>
      </c>
      <c r="AC214">
        <f>VLOOKUP(A:A,[1]android_repos_all_metrics!B:K,4,FALSE)</f>
        <v>118</v>
      </c>
      <c r="AD214">
        <f>VLOOKUP(A:A,[1]android_repos_all_metrics!B:K,5,FALSE)</f>
        <v>2</v>
      </c>
      <c r="AE214">
        <f>VLOOKUP(A:A,[1]android_repos_all_metrics!B:K,6,FALSE)</f>
        <v>2</v>
      </c>
      <c r="AF214">
        <f>VLOOKUP(A:A,[1]android_repos_all_metrics!B:K,7,FALSE)</f>
        <v>12680</v>
      </c>
      <c r="AG214">
        <f>VLOOKUP(A:A,[1]android_repos_all_metrics!B:K,8,FALSE)</f>
        <v>1</v>
      </c>
      <c r="AH214">
        <f>VLOOKUP(A:A,[1]android_repos_all_metrics!B:K,9,FALSE)</f>
        <v>4</v>
      </c>
      <c r="AI214">
        <f>VLOOKUP(A:A,[1]android_repos_all_metrics!B:K,10,FALSE)</f>
        <v>0</v>
      </c>
    </row>
    <row r="215" spans="1:35">
      <c r="A215" t="s">
        <v>265</v>
      </c>
      <c r="B215" t="b">
        <v>1</v>
      </c>
      <c r="C215" t="b">
        <v>1</v>
      </c>
      <c r="D215" t="b">
        <v>1</v>
      </c>
      <c r="E215" t="s">
        <v>104</v>
      </c>
      <c r="F215" t="b">
        <v>0</v>
      </c>
      <c r="H215" t="s">
        <v>37</v>
      </c>
      <c r="I215" t="s">
        <v>37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>
        <v>1</v>
      </c>
      <c r="AA215">
        <v>2</v>
      </c>
      <c r="AB215">
        <v>0</v>
      </c>
      <c r="AC215">
        <f>VLOOKUP(A:A,[1]android_repos_all_metrics!B:K,4,FALSE)</f>
        <v>8547</v>
      </c>
      <c r="AD215">
        <f>VLOOKUP(A:A,[1]android_repos_all_metrics!B:K,5,FALSE)</f>
        <v>2844</v>
      </c>
      <c r="AE215">
        <f>VLOOKUP(A:A,[1]android_repos_all_metrics!B:K,6,FALSE)</f>
        <v>258</v>
      </c>
      <c r="AF215">
        <f>VLOOKUP(A:A,[1]android_repos_all_metrics!B:K,7,FALSE)</f>
        <v>104601</v>
      </c>
      <c r="AG215">
        <f>VLOOKUP(A:A,[1]android_repos_all_metrics!B:K,8,FALSE)</f>
        <v>1233</v>
      </c>
      <c r="AH215">
        <f>VLOOKUP(A:A,[1]android_repos_all_metrics!B:K,9,FALSE)</f>
        <v>4995</v>
      </c>
      <c r="AI215">
        <f>VLOOKUP(A:A,[1]android_repos_all_metrics!B:K,10,FALSE)</f>
        <v>215</v>
      </c>
    </row>
    <row r="216" spans="1:35">
      <c r="A216" t="s">
        <v>266</v>
      </c>
      <c r="B216" t="b">
        <v>1</v>
      </c>
      <c r="C216" t="b">
        <v>0</v>
      </c>
      <c r="D216" t="b">
        <v>0</v>
      </c>
      <c r="F216" t="b">
        <v>0</v>
      </c>
      <c r="H216" t="s">
        <v>37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>
        <v>1</v>
      </c>
      <c r="AB216">
        <v>0</v>
      </c>
      <c r="AC216">
        <f>VLOOKUP(A:A,[1]android_repos_all_metrics!B:K,4,FALSE)</f>
        <v>260</v>
      </c>
      <c r="AD216">
        <f>VLOOKUP(A:A,[1]android_repos_all_metrics!B:K,5,FALSE)</f>
        <v>21</v>
      </c>
      <c r="AE216">
        <f>VLOOKUP(A:A,[1]android_repos_all_metrics!B:K,6,FALSE)</f>
        <v>4</v>
      </c>
      <c r="AF216">
        <f>VLOOKUP(A:A,[1]android_repos_all_metrics!B:K,7,FALSE)</f>
        <v>11453</v>
      </c>
      <c r="AG216">
        <f>VLOOKUP(A:A,[1]android_repos_all_metrics!B:K,8,FALSE)</f>
        <v>25</v>
      </c>
      <c r="AH216">
        <f>VLOOKUP(A:A,[1]android_repos_all_metrics!B:K,9,FALSE)</f>
        <v>214</v>
      </c>
      <c r="AI216">
        <f>VLOOKUP(A:A,[1]android_repos_all_metrics!B:K,10,FALSE)</f>
        <v>18</v>
      </c>
    </row>
    <row r="217" spans="1:35">
      <c r="A217" t="s">
        <v>267</v>
      </c>
      <c r="B217" t="b">
        <v>1</v>
      </c>
      <c r="C217" t="b">
        <v>0</v>
      </c>
      <c r="D217" t="b">
        <v>0</v>
      </c>
      <c r="F217" t="b">
        <v>0</v>
      </c>
      <c r="H217" t="s">
        <v>37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>
        <v>1</v>
      </c>
      <c r="AB217">
        <v>0</v>
      </c>
      <c r="AC217">
        <f>VLOOKUP(A:A,[1]android_repos_all_metrics!B:K,4,FALSE)</f>
        <v>1950</v>
      </c>
      <c r="AD217">
        <f>VLOOKUP(A:A,[1]android_repos_all_metrics!B:K,5,FALSE)</f>
        <v>318</v>
      </c>
      <c r="AE217">
        <f>VLOOKUP(A:A,[1]android_repos_all_metrics!B:K,6,FALSE)</f>
        <v>19</v>
      </c>
      <c r="AF217">
        <f>VLOOKUP(A:A,[1]android_repos_all_metrics!B:K,7,FALSE)</f>
        <v>22313</v>
      </c>
      <c r="AG217">
        <f>VLOOKUP(A:A,[1]android_repos_all_metrics!B:K,8,FALSE)</f>
        <v>74</v>
      </c>
      <c r="AH217">
        <f>VLOOKUP(A:A,[1]android_repos_all_metrics!B:K,9,FALSE)</f>
        <v>480</v>
      </c>
      <c r="AI217">
        <f>VLOOKUP(A:A,[1]android_repos_all_metrics!B:K,10,FALSE)</f>
        <v>33</v>
      </c>
    </row>
    <row r="218" spans="1:35">
      <c r="A218" t="s">
        <v>268</v>
      </c>
      <c r="B218" t="b">
        <v>0</v>
      </c>
      <c r="C218" t="b">
        <v>0</v>
      </c>
      <c r="D218" t="b">
        <v>0</v>
      </c>
      <c r="F218" t="b">
        <v>0</v>
      </c>
      <c r="H218" t="s">
        <v>41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>
        <v>1</v>
      </c>
      <c r="AB218">
        <v>0</v>
      </c>
      <c r="AC218">
        <f>VLOOKUP(A:A,[1]android_repos_all_metrics!B:K,4,FALSE)</f>
        <v>57</v>
      </c>
      <c r="AD218">
        <f>VLOOKUP(A:A,[1]android_repos_all_metrics!B:K,5,FALSE)</f>
        <v>0</v>
      </c>
      <c r="AE218">
        <f>VLOOKUP(A:A,[1]android_repos_all_metrics!B:K,6,FALSE)</f>
        <v>1</v>
      </c>
      <c r="AF218">
        <f>VLOOKUP(A:A,[1]android_repos_all_metrics!B:K,7,FALSE)</f>
        <v>4606</v>
      </c>
      <c r="AG218">
        <f>VLOOKUP(A:A,[1]android_repos_all_metrics!B:K,8,FALSE)</f>
        <v>1</v>
      </c>
      <c r="AH218">
        <f>VLOOKUP(A:A,[1]android_repos_all_metrics!B:K,9,FALSE)</f>
        <v>8</v>
      </c>
      <c r="AI218">
        <f>VLOOKUP(A:A,[1]android_repos_all_metrics!B:K,10,FALSE)</f>
        <v>0</v>
      </c>
    </row>
    <row r="219" spans="1:35">
      <c r="A219" t="s">
        <v>269</v>
      </c>
      <c r="B219" t="b">
        <v>1</v>
      </c>
      <c r="C219" t="b">
        <v>1</v>
      </c>
      <c r="D219" t="b">
        <v>0</v>
      </c>
      <c r="F219" t="b">
        <v>1</v>
      </c>
      <c r="G219" t="s">
        <v>270</v>
      </c>
      <c r="H219" t="s">
        <v>136</v>
      </c>
      <c r="I219" t="s">
        <v>43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>
        <v>2</v>
      </c>
      <c r="AB219">
        <v>0</v>
      </c>
      <c r="AC219">
        <f>VLOOKUP(A:A,[1]android_repos_all_metrics!B:K,4,FALSE)</f>
        <v>2645</v>
      </c>
      <c r="AD219">
        <f>VLOOKUP(A:A,[1]android_repos_all_metrics!B:K,5,FALSE)</f>
        <v>112</v>
      </c>
      <c r="AE219">
        <f>VLOOKUP(A:A,[1]android_repos_all_metrics!B:K,6,FALSE)</f>
        <v>61</v>
      </c>
      <c r="AF219">
        <f>VLOOKUP(A:A,[1]android_repos_all_metrics!B:K,7,FALSE)</f>
        <v>25825</v>
      </c>
      <c r="AG219">
        <f>VLOOKUP(A:A,[1]android_repos_all_metrics!B:K,8,FALSE)</f>
        <v>197</v>
      </c>
      <c r="AH219">
        <f>VLOOKUP(A:A,[1]android_repos_all_metrics!B:K,9,FALSE)</f>
        <v>868</v>
      </c>
      <c r="AI219">
        <f>VLOOKUP(A:A,[1]android_repos_all_metrics!B:K,10,FALSE)</f>
        <v>150</v>
      </c>
    </row>
    <row r="220" spans="1:35">
      <c r="A220" t="s">
        <v>271</v>
      </c>
      <c r="B220" t="b">
        <v>1</v>
      </c>
      <c r="C220" t="b">
        <v>1</v>
      </c>
      <c r="D220" t="b">
        <v>1</v>
      </c>
      <c r="E220" t="s">
        <v>36</v>
      </c>
      <c r="F220" t="b">
        <v>0</v>
      </c>
      <c r="H220" t="s">
        <v>37</v>
      </c>
      <c r="I220" t="s">
        <v>37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>
        <v>1</v>
      </c>
      <c r="AA220">
        <v>4</v>
      </c>
      <c r="AB220">
        <v>0</v>
      </c>
      <c r="AC220">
        <f>VLOOKUP(A:A,[1]android_repos_all_metrics!B:K,4,FALSE)</f>
        <v>318</v>
      </c>
      <c r="AD220">
        <f>VLOOKUP(A:A,[1]android_repos_all_metrics!B:K,5,FALSE)</f>
        <v>96</v>
      </c>
      <c r="AE220">
        <f>VLOOKUP(A:A,[1]android_repos_all_metrics!B:K,6,FALSE)</f>
        <v>2</v>
      </c>
      <c r="AF220">
        <f>VLOOKUP(A:A,[1]android_repos_all_metrics!B:K,7,FALSE)</f>
        <v>3715</v>
      </c>
      <c r="AG220">
        <f>VLOOKUP(A:A,[1]android_repos_all_metrics!B:K,8,FALSE)</f>
        <v>0</v>
      </c>
      <c r="AH220">
        <f>VLOOKUP(A:A,[1]android_repos_all_metrics!B:K,9,FALSE)</f>
        <v>7</v>
      </c>
      <c r="AI220">
        <f>VLOOKUP(A:A,[1]android_repos_all_metrics!B:K,10,FALSE)</f>
        <v>2</v>
      </c>
    </row>
    <row r="221" spans="1:35">
      <c r="A221" t="s">
        <v>272</v>
      </c>
      <c r="B221" t="b">
        <v>1</v>
      </c>
      <c r="C221" t="b">
        <v>0</v>
      </c>
      <c r="D221" t="b">
        <v>0</v>
      </c>
      <c r="F221" t="b">
        <v>0</v>
      </c>
      <c r="H221" t="s">
        <v>37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>
        <v>1</v>
      </c>
      <c r="AB221">
        <v>0</v>
      </c>
      <c r="AC221">
        <f>VLOOKUP(A:A,[1]android_repos_all_metrics!B:K,4,FALSE)</f>
        <v>316</v>
      </c>
      <c r="AD221">
        <f>VLOOKUP(A:A,[1]android_repos_all_metrics!B:K,5,FALSE)</f>
        <v>2</v>
      </c>
      <c r="AE221">
        <f>VLOOKUP(A:A,[1]android_repos_all_metrics!B:K,6,FALSE)</f>
        <v>2</v>
      </c>
      <c r="AF221">
        <f>VLOOKUP(A:A,[1]android_repos_all_metrics!B:K,7,FALSE)</f>
        <v>65689</v>
      </c>
      <c r="AG221">
        <f>VLOOKUP(A:A,[1]android_repos_all_metrics!B:K,8,FALSE)</f>
        <v>110</v>
      </c>
      <c r="AH221">
        <f>VLOOKUP(A:A,[1]android_repos_all_metrics!B:K,9,FALSE)</f>
        <v>975</v>
      </c>
      <c r="AI221">
        <f>VLOOKUP(A:A,[1]android_repos_all_metrics!B:K,10,FALSE)</f>
        <v>6</v>
      </c>
    </row>
    <row r="222" spans="1:35">
      <c r="A222" t="s">
        <v>273</v>
      </c>
      <c r="B222" t="b">
        <v>1</v>
      </c>
      <c r="C222" t="b">
        <v>0</v>
      </c>
      <c r="D222" t="b">
        <v>0</v>
      </c>
      <c r="F222" t="b">
        <v>0</v>
      </c>
      <c r="H222" t="s">
        <v>37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>
        <v>8</v>
      </c>
      <c r="AB222">
        <v>0</v>
      </c>
      <c r="AC222">
        <f>VLOOKUP(A:A,[1]android_repos_all_metrics!B:K,4,FALSE)</f>
        <v>7411</v>
      </c>
      <c r="AD222">
        <f>VLOOKUP(A:A,[1]android_repos_all_metrics!B:K,5,FALSE)</f>
        <v>1402</v>
      </c>
      <c r="AE222">
        <f>VLOOKUP(A:A,[1]android_repos_all_metrics!B:K,6,FALSE)</f>
        <v>140</v>
      </c>
      <c r="AF222">
        <f>VLOOKUP(A:A,[1]android_repos_all_metrics!B:K,7,FALSE)</f>
        <v>267775</v>
      </c>
      <c r="AG222">
        <f>VLOOKUP(A:A,[1]android_repos_all_metrics!B:K,8,FALSE)</f>
        <v>783</v>
      </c>
      <c r="AH222">
        <f>VLOOKUP(A:A,[1]android_repos_all_metrics!B:K,9,FALSE)</f>
        <v>2486</v>
      </c>
      <c r="AI222">
        <f>VLOOKUP(A:A,[1]android_repos_all_metrics!B:K,10,FALSE)</f>
        <v>807</v>
      </c>
    </row>
    <row r="223" spans="1:35">
      <c r="A223" t="s">
        <v>274</v>
      </c>
      <c r="B223" t="b">
        <v>1</v>
      </c>
      <c r="C223" t="b">
        <v>0</v>
      </c>
      <c r="D223" t="b">
        <v>0</v>
      </c>
      <c r="F223" t="b">
        <v>0</v>
      </c>
      <c r="H223" t="s">
        <v>37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>
        <v>1</v>
      </c>
      <c r="AB223">
        <v>0</v>
      </c>
      <c r="AC223">
        <f>VLOOKUP(A:A,[1]android_repos_all_metrics!B:K,4,FALSE)</f>
        <v>361</v>
      </c>
      <c r="AD223">
        <f>VLOOKUP(A:A,[1]android_repos_all_metrics!B:K,5,FALSE)</f>
        <v>121</v>
      </c>
      <c r="AE223">
        <f>VLOOKUP(A:A,[1]android_repos_all_metrics!B:K,6,FALSE)</f>
        <v>4</v>
      </c>
      <c r="AF223">
        <f>VLOOKUP(A:A,[1]android_repos_all_metrics!B:K,7,FALSE)</f>
        <v>4905</v>
      </c>
      <c r="AG223">
        <f>VLOOKUP(A:A,[1]android_repos_all_metrics!B:K,8,FALSE)</f>
        <v>2</v>
      </c>
      <c r="AH223">
        <f>VLOOKUP(A:A,[1]android_repos_all_metrics!B:K,9,FALSE)</f>
        <v>10</v>
      </c>
      <c r="AI223">
        <f>VLOOKUP(A:A,[1]android_repos_all_metrics!B:K,10,FALSE)</f>
        <v>6</v>
      </c>
    </row>
    <row r="224" spans="1:35">
      <c r="A224" t="s">
        <v>275</v>
      </c>
      <c r="B224" t="b">
        <v>1</v>
      </c>
      <c r="C224" t="b">
        <v>0</v>
      </c>
      <c r="D224" t="b">
        <v>0</v>
      </c>
      <c r="F224" t="b">
        <v>0</v>
      </c>
      <c r="H224" t="s">
        <v>37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>
        <v>1</v>
      </c>
      <c r="AB224">
        <v>0</v>
      </c>
      <c r="AC224">
        <f>VLOOKUP(A:A,[1]android_repos_all_metrics!B:K,4,FALSE)</f>
        <v>458</v>
      </c>
      <c r="AD224">
        <f>VLOOKUP(A:A,[1]android_repos_all_metrics!B:K,5,FALSE)</f>
        <v>6</v>
      </c>
      <c r="AE224">
        <f>VLOOKUP(A:A,[1]android_repos_all_metrics!B:K,6,FALSE)</f>
        <v>2</v>
      </c>
      <c r="AF224">
        <f>VLOOKUP(A:A,[1]android_repos_all_metrics!B:K,7,FALSE)</f>
        <v>157948</v>
      </c>
      <c r="AG224">
        <f>VLOOKUP(A:A,[1]android_repos_all_metrics!B:K,8,FALSE)</f>
        <v>70</v>
      </c>
      <c r="AH224">
        <f>VLOOKUP(A:A,[1]android_repos_all_metrics!B:K,9,FALSE)</f>
        <v>304</v>
      </c>
      <c r="AI224">
        <f>VLOOKUP(A:A,[1]android_repos_all_metrics!B:K,10,FALSE)</f>
        <v>54</v>
      </c>
    </row>
    <row r="225" spans="1:35">
      <c r="A225" t="s">
        <v>276</v>
      </c>
      <c r="B225" t="b">
        <v>1</v>
      </c>
      <c r="C225" t="b">
        <v>1</v>
      </c>
      <c r="D225" t="b">
        <v>0</v>
      </c>
      <c r="F225" t="b">
        <v>1</v>
      </c>
      <c r="G225" t="s">
        <v>39</v>
      </c>
      <c r="H225" t="s">
        <v>41</v>
      </c>
      <c r="I225" t="s">
        <v>41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>
        <v>1</v>
      </c>
      <c r="AB225">
        <v>0</v>
      </c>
      <c r="AC225">
        <f>VLOOKUP(A:A,[1]android_repos_all_metrics!B:K,4,FALSE)</f>
        <v>4367</v>
      </c>
      <c r="AD225">
        <f>VLOOKUP(A:A,[1]android_repos_all_metrics!B:K,5,FALSE)</f>
        <v>15</v>
      </c>
      <c r="AE225">
        <f>VLOOKUP(A:A,[1]android_repos_all_metrics!B:K,6,FALSE)</f>
        <v>52</v>
      </c>
      <c r="AF225">
        <f>VLOOKUP(A:A,[1]android_repos_all_metrics!B:K,7,FALSE)</f>
        <v>64881</v>
      </c>
      <c r="AG225">
        <f>VLOOKUP(A:A,[1]android_repos_all_metrics!B:K,8,FALSE)</f>
        <v>77</v>
      </c>
      <c r="AH225">
        <f>VLOOKUP(A:A,[1]android_repos_all_metrics!B:K,9,FALSE)</f>
        <v>235</v>
      </c>
      <c r="AI225">
        <f>VLOOKUP(A:A,[1]android_repos_all_metrics!B:K,10,FALSE)</f>
        <v>65</v>
      </c>
    </row>
    <row r="226" spans="1:35">
      <c r="A226" t="s">
        <v>277</v>
      </c>
      <c r="B226" t="b">
        <v>1</v>
      </c>
      <c r="C226" t="b">
        <v>0</v>
      </c>
      <c r="D226" t="b">
        <v>0</v>
      </c>
      <c r="F226" t="b">
        <v>0</v>
      </c>
      <c r="H226" t="s">
        <v>136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>
        <v>2</v>
      </c>
      <c r="AB226">
        <v>0</v>
      </c>
      <c r="AC226">
        <f>VLOOKUP(A:A,[1]android_repos_all_metrics!B:K,4,FALSE)</f>
        <v>1128</v>
      </c>
      <c r="AD226">
        <f>VLOOKUP(A:A,[1]android_repos_all_metrics!B:K,5,FALSE)</f>
        <v>6</v>
      </c>
      <c r="AE226">
        <f>VLOOKUP(A:A,[1]android_repos_all_metrics!B:K,6,FALSE)</f>
        <v>5</v>
      </c>
      <c r="AF226">
        <f>VLOOKUP(A:A,[1]android_repos_all_metrics!B:K,7,FALSE)</f>
        <v>9066</v>
      </c>
      <c r="AG226">
        <f>VLOOKUP(A:A,[1]android_repos_all_metrics!B:K,8,FALSE)</f>
        <v>58</v>
      </c>
      <c r="AH226">
        <f>VLOOKUP(A:A,[1]android_repos_all_metrics!B:K,9,FALSE)</f>
        <v>213</v>
      </c>
      <c r="AI226">
        <f>VLOOKUP(A:A,[1]android_repos_all_metrics!B:K,10,FALSE)</f>
        <v>46</v>
      </c>
    </row>
    <row r="227" spans="1:35">
      <c r="A227" t="s">
        <v>278</v>
      </c>
      <c r="B227" t="b">
        <v>1</v>
      </c>
      <c r="C227" t="b">
        <v>0</v>
      </c>
      <c r="D227" t="b">
        <v>0</v>
      </c>
      <c r="F227" t="b">
        <v>0</v>
      </c>
      <c r="H227" t="s">
        <v>37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>
        <v>2</v>
      </c>
      <c r="AB227">
        <v>0</v>
      </c>
      <c r="AC227">
        <f>VLOOKUP(A:A,[1]android_repos_all_metrics!B:K,4,FALSE)</f>
        <v>73</v>
      </c>
      <c r="AD227">
        <f>VLOOKUP(A:A,[1]android_repos_all_metrics!B:K,5,FALSE)</f>
        <v>9</v>
      </c>
      <c r="AE227">
        <f>VLOOKUP(A:A,[1]android_repos_all_metrics!B:K,6,FALSE)</f>
        <v>1</v>
      </c>
      <c r="AF227">
        <f>VLOOKUP(A:A,[1]android_repos_all_metrics!B:K,7,FALSE)</f>
        <v>606</v>
      </c>
      <c r="AG227">
        <f>VLOOKUP(A:A,[1]android_repos_all_metrics!B:K,8,FALSE)</f>
        <v>3</v>
      </c>
      <c r="AH227">
        <f>VLOOKUP(A:A,[1]android_repos_all_metrics!B:K,9,FALSE)</f>
        <v>3</v>
      </c>
      <c r="AI227">
        <f>VLOOKUP(A:A,[1]android_repos_all_metrics!B:K,10,FALSE)</f>
        <v>0</v>
      </c>
    </row>
    <row r="228" spans="1:35">
      <c r="A228" t="s">
        <v>279</v>
      </c>
      <c r="B228" t="b">
        <v>1</v>
      </c>
      <c r="C228" t="b">
        <v>0</v>
      </c>
      <c r="D228" t="b">
        <v>0</v>
      </c>
      <c r="F228" t="b">
        <v>0</v>
      </c>
      <c r="H228" t="s">
        <v>41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>
        <v>1</v>
      </c>
      <c r="AB228">
        <v>0</v>
      </c>
      <c r="AC228">
        <f>VLOOKUP(A:A,[1]android_repos_all_metrics!B:K,4,FALSE)</f>
        <v>43</v>
      </c>
      <c r="AD228">
        <f>VLOOKUP(A:A,[1]android_repos_all_metrics!B:K,5,FALSE)</f>
        <v>0</v>
      </c>
      <c r="AE228">
        <f>VLOOKUP(A:A,[1]android_repos_all_metrics!B:K,6,FALSE)</f>
        <v>2</v>
      </c>
      <c r="AF228">
        <f>VLOOKUP(A:A,[1]android_repos_all_metrics!B:K,7,FALSE)</f>
        <v>10294</v>
      </c>
      <c r="AG228">
        <f>VLOOKUP(A:A,[1]android_repos_all_metrics!B:K,8,FALSE)</f>
        <v>1</v>
      </c>
      <c r="AH228">
        <f>VLOOKUP(A:A,[1]android_repos_all_metrics!B:K,9,FALSE)</f>
        <v>1</v>
      </c>
      <c r="AI228">
        <f>VLOOKUP(A:A,[1]android_repos_all_metrics!B:K,10,FALSE)</f>
        <v>0</v>
      </c>
    </row>
    <row r="229" spans="1:35">
      <c r="A229" t="s">
        <v>280</v>
      </c>
      <c r="B229" t="b">
        <v>1</v>
      </c>
      <c r="C229" t="b">
        <v>0</v>
      </c>
      <c r="D229" t="b">
        <v>0</v>
      </c>
      <c r="F229" t="b">
        <v>0</v>
      </c>
      <c r="H229" t="s">
        <v>37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>
        <v>1</v>
      </c>
      <c r="AB229">
        <v>0</v>
      </c>
      <c r="AC229">
        <f>VLOOKUP(A:A,[1]android_repos_all_metrics!B:K,4,FALSE)</f>
        <v>10</v>
      </c>
      <c r="AD229">
        <f>VLOOKUP(A:A,[1]android_repos_all_metrics!B:K,5,FALSE)</f>
        <v>0</v>
      </c>
      <c r="AE229">
        <f>VLOOKUP(A:A,[1]android_repos_all_metrics!B:K,6,FALSE)</f>
        <v>1</v>
      </c>
      <c r="AF229">
        <f>VLOOKUP(A:A,[1]android_repos_all_metrics!B:K,7,FALSE)</f>
        <v>78</v>
      </c>
      <c r="AG229">
        <f>VLOOKUP(A:A,[1]android_repos_all_metrics!B:K,8,FALSE)</f>
        <v>0</v>
      </c>
      <c r="AH229">
        <f>VLOOKUP(A:A,[1]android_repos_all_metrics!B:K,9,FALSE)</f>
        <v>2</v>
      </c>
      <c r="AI229">
        <f>VLOOKUP(A:A,[1]android_repos_all_metrics!B:K,10,FALSE)</f>
        <v>0</v>
      </c>
    </row>
    <row r="230" spans="1:35">
      <c r="A230" t="s">
        <v>281</v>
      </c>
      <c r="B230" t="b">
        <v>1</v>
      </c>
      <c r="C230" t="b">
        <v>0</v>
      </c>
      <c r="D230" t="b">
        <v>0</v>
      </c>
      <c r="F230" t="b">
        <v>0</v>
      </c>
      <c r="H230" t="s">
        <v>37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>
        <v>1</v>
      </c>
      <c r="AB230">
        <v>0</v>
      </c>
      <c r="AC230">
        <f>VLOOKUP(A:A,[1]android_repos_all_metrics!B:K,4,FALSE)</f>
        <v>83</v>
      </c>
      <c r="AD230">
        <f>VLOOKUP(A:A,[1]android_repos_all_metrics!B:K,5,FALSE)</f>
        <v>0</v>
      </c>
      <c r="AE230">
        <f>VLOOKUP(A:A,[1]android_repos_all_metrics!B:K,6,FALSE)</f>
        <v>1</v>
      </c>
      <c r="AF230">
        <f>VLOOKUP(A:A,[1]android_repos_all_metrics!B:K,7,FALSE)</f>
        <v>168341</v>
      </c>
      <c r="AG230">
        <f>VLOOKUP(A:A,[1]android_repos_all_metrics!B:K,8,FALSE)</f>
        <v>2</v>
      </c>
      <c r="AH230">
        <f>VLOOKUP(A:A,[1]android_repos_all_metrics!B:K,9,FALSE)</f>
        <v>4</v>
      </c>
      <c r="AI230">
        <f>VLOOKUP(A:A,[1]android_repos_all_metrics!B:K,10,FALSE)</f>
        <v>0</v>
      </c>
    </row>
    <row r="231" spans="1:35">
      <c r="A231" t="s">
        <v>282</v>
      </c>
      <c r="B231" t="b">
        <v>1</v>
      </c>
      <c r="C231" t="b">
        <v>0</v>
      </c>
      <c r="D231" t="b">
        <v>0</v>
      </c>
      <c r="F231" t="b">
        <v>0</v>
      </c>
      <c r="H231" t="s">
        <v>37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>
        <v>1</v>
      </c>
      <c r="AB231">
        <v>0</v>
      </c>
      <c r="AC231">
        <f>VLOOKUP(A:A,[1]android_repos_all_metrics!B:K,4,FALSE)</f>
        <v>277</v>
      </c>
      <c r="AD231">
        <f>VLOOKUP(A:A,[1]android_repos_all_metrics!B:K,5,FALSE)</f>
        <v>29</v>
      </c>
      <c r="AE231">
        <f>VLOOKUP(A:A,[1]android_repos_all_metrics!B:K,6,FALSE)</f>
        <v>9</v>
      </c>
      <c r="AF231">
        <f>VLOOKUP(A:A,[1]android_repos_all_metrics!B:K,7,FALSE)</f>
        <v>32103</v>
      </c>
      <c r="AG231">
        <f>VLOOKUP(A:A,[1]android_repos_all_metrics!B:K,8,FALSE)</f>
        <v>58</v>
      </c>
      <c r="AH231">
        <f>VLOOKUP(A:A,[1]android_repos_all_metrics!B:K,9,FALSE)</f>
        <v>438</v>
      </c>
      <c r="AI231">
        <f>VLOOKUP(A:A,[1]android_repos_all_metrics!B:K,10,FALSE)</f>
        <v>3</v>
      </c>
    </row>
    <row r="232" spans="1:35">
      <c r="A232" t="s">
        <v>283</v>
      </c>
      <c r="B232" t="b">
        <v>1</v>
      </c>
      <c r="C232" t="b">
        <v>0</v>
      </c>
      <c r="D232" t="b">
        <v>0</v>
      </c>
      <c r="F232" t="b">
        <v>0</v>
      </c>
      <c r="H232" t="s">
        <v>37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>
        <v>1</v>
      </c>
      <c r="AB232">
        <v>0</v>
      </c>
      <c r="AC232">
        <f>VLOOKUP(A:A,[1]android_repos_all_metrics!B:K,4,FALSE)</f>
        <v>47</v>
      </c>
      <c r="AD232">
        <f>VLOOKUP(A:A,[1]android_repos_all_metrics!B:K,5,FALSE)</f>
        <v>0</v>
      </c>
      <c r="AE232">
        <f>VLOOKUP(A:A,[1]android_repos_all_metrics!B:K,6,FALSE)</f>
        <v>1</v>
      </c>
      <c r="AF232">
        <f>VLOOKUP(A:A,[1]android_repos_all_metrics!B:K,7,FALSE)</f>
        <v>21619</v>
      </c>
      <c r="AG232">
        <f>VLOOKUP(A:A,[1]android_repos_all_metrics!B:K,8,FALSE)</f>
        <v>0</v>
      </c>
      <c r="AH232">
        <f>VLOOKUP(A:A,[1]android_repos_all_metrics!B:K,9,FALSE)</f>
        <v>3</v>
      </c>
      <c r="AI232">
        <f>VLOOKUP(A:A,[1]android_repos_all_metrics!B:K,10,FALSE)</f>
        <v>0</v>
      </c>
    </row>
    <row r="233" spans="1:35">
      <c r="A233" t="s">
        <v>284</v>
      </c>
      <c r="B233" t="b">
        <v>1</v>
      </c>
      <c r="C233" t="b">
        <v>0</v>
      </c>
      <c r="D233" t="b">
        <v>0</v>
      </c>
      <c r="F233" t="b">
        <v>0</v>
      </c>
      <c r="H233" t="s">
        <v>37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>
        <v>1</v>
      </c>
      <c r="AB233">
        <v>0</v>
      </c>
      <c r="AC233">
        <f>VLOOKUP(A:A,[1]android_repos_all_metrics!B:K,4,FALSE)</f>
        <v>0</v>
      </c>
      <c r="AD233">
        <f>VLOOKUP(A:A,[1]android_repos_all_metrics!B:K,5,FALSE)</f>
        <v>0</v>
      </c>
      <c r="AE233">
        <f>VLOOKUP(A:A,[1]android_repos_all_metrics!B:K,6,FALSE)</f>
        <v>0</v>
      </c>
      <c r="AF233">
        <f>VLOOKUP(A:A,[1]android_repos_all_metrics!B:K,7,FALSE)</f>
        <v>4175</v>
      </c>
      <c r="AG233">
        <f>VLOOKUP(A:A,[1]android_repos_all_metrics!B:K,8,FALSE)</f>
        <v>1</v>
      </c>
      <c r="AH233">
        <f>VLOOKUP(A:A,[1]android_repos_all_metrics!B:K,9,FALSE)</f>
        <v>26</v>
      </c>
      <c r="AI233">
        <f>VLOOKUP(A:A,[1]android_repos_all_metrics!B:K,10,FALSE)</f>
        <v>3</v>
      </c>
    </row>
    <row r="234" spans="1:35">
      <c r="A234" t="s">
        <v>285</v>
      </c>
      <c r="B234" t="b">
        <v>1</v>
      </c>
      <c r="C234" t="b">
        <v>0</v>
      </c>
      <c r="D234" t="b">
        <v>0</v>
      </c>
      <c r="F234" t="b">
        <v>0</v>
      </c>
      <c r="H234" t="s">
        <v>86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>
        <v>17</v>
      </c>
      <c r="AB234">
        <v>0</v>
      </c>
      <c r="AC234">
        <f>VLOOKUP(A:A,[1]android_repos_all_metrics!B:K,4,FALSE)</f>
        <v>166</v>
      </c>
      <c r="AD234">
        <f>VLOOKUP(A:A,[1]android_repos_all_metrics!B:K,5,FALSE)</f>
        <v>43</v>
      </c>
      <c r="AE234">
        <f>VLOOKUP(A:A,[1]android_repos_all_metrics!B:K,6,FALSE)</f>
        <v>2</v>
      </c>
      <c r="AF234">
        <f>VLOOKUP(A:A,[1]android_repos_all_metrics!B:K,7,FALSE)</f>
        <v>16819</v>
      </c>
      <c r="AG234">
        <f>VLOOKUP(A:A,[1]android_repos_all_metrics!B:K,8,FALSE)</f>
        <v>11</v>
      </c>
      <c r="AH234">
        <f>VLOOKUP(A:A,[1]android_repos_all_metrics!B:K,9,FALSE)</f>
        <v>109</v>
      </c>
      <c r="AI234">
        <f>VLOOKUP(A:A,[1]android_repos_all_metrics!B:K,10,FALSE)</f>
        <v>29</v>
      </c>
    </row>
    <row r="235" spans="1:35">
      <c r="A235" t="s">
        <v>286</v>
      </c>
      <c r="B235" t="b">
        <v>1</v>
      </c>
      <c r="C235" t="b">
        <v>0</v>
      </c>
      <c r="D235" t="b">
        <v>0</v>
      </c>
      <c r="F235" t="b">
        <v>0</v>
      </c>
      <c r="H235" t="s">
        <v>37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>
        <v>1</v>
      </c>
      <c r="AB235">
        <v>0</v>
      </c>
      <c r="AC235">
        <f>VLOOKUP(A:A,[1]android_repos_all_metrics!B:K,4,FALSE)</f>
        <v>554</v>
      </c>
      <c r="AD235">
        <f>VLOOKUP(A:A,[1]android_repos_all_metrics!B:K,5,FALSE)</f>
        <v>7</v>
      </c>
      <c r="AE235">
        <f>VLOOKUP(A:A,[1]android_repos_all_metrics!B:K,6,FALSE)</f>
        <v>9</v>
      </c>
      <c r="AF235">
        <f>VLOOKUP(A:A,[1]android_repos_all_metrics!B:K,7,FALSE)</f>
        <v>305306</v>
      </c>
      <c r="AG235">
        <f>VLOOKUP(A:A,[1]android_repos_all_metrics!B:K,8,FALSE)</f>
        <v>0</v>
      </c>
      <c r="AH235">
        <f>VLOOKUP(A:A,[1]android_repos_all_metrics!B:K,9,FALSE)</f>
        <v>4</v>
      </c>
      <c r="AI235">
        <f>VLOOKUP(A:A,[1]android_repos_all_metrics!B:K,10,FALSE)</f>
        <v>7</v>
      </c>
    </row>
    <row r="236" spans="1:35">
      <c r="A236" t="s">
        <v>287</v>
      </c>
      <c r="B236" t="b">
        <v>1</v>
      </c>
      <c r="C236" t="b">
        <v>0</v>
      </c>
      <c r="D236" t="b">
        <v>0</v>
      </c>
      <c r="F236" t="b">
        <v>0</v>
      </c>
      <c r="H236" t="s">
        <v>37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>
        <v>1</v>
      </c>
      <c r="AB236">
        <v>0</v>
      </c>
      <c r="AC236">
        <f>VLOOKUP(A:A,[1]android_repos_all_metrics!B:K,4,FALSE)</f>
        <v>121</v>
      </c>
      <c r="AD236">
        <f>VLOOKUP(A:A,[1]android_repos_all_metrics!B:K,5,FALSE)</f>
        <v>36</v>
      </c>
      <c r="AE236">
        <f>VLOOKUP(A:A,[1]android_repos_all_metrics!B:K,6,FALSE)</f>
        <v>2</v>
      </c>
      <c r="AF236">
        <f>VLOOKUP(A:A,[1]android_repos_all_metrics!B:K,7,FALSE)</f>
        <v>2561</v>
      </c>
      <c r="AG236">
        <f>VLOOKUP(A:A,[1]android_repos_all_metrics!B:K,8,FALSE)</f>
        <v>1</v>
      </c>
      <c r="AH236">
        <f>VLOOKUP(A:A,[1]android_repos_all_metrics!B:K,9,FALSE)</f>
        <v>5</v>
      </c>
      <c r="AI236">
        <f>VLOOKUP(A:A,[1]android_repos_all_metrics!B:K,10,FALSE)</f>
        <v>0</v>
      </c>
    </row>
    <row r="237" spans="1:35">
      <c r="A237" t="s">
        <v>288</v>
      </c>
      <c r="B237" t="b">
        <v>1</v>
      </c>
      <c r="C237" t="b">
        <v>0</v>
      </c>
      <c r="D237" t="b">
        <v>0</v>
      </c>
      <c r="F237" t="b">
        <v>0</v>
      </c>
      <c r="H237" t="s">
        <v>37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>
        <v>1</v>
      </c>
      <c r="AB237">
        <v>0</v>
      </c>
      <c r="AC237">
        <f>VLOOKUP(A:A,[1]android_repos_all_metrics!B:K,4,FALSE)</f>
        <v>97</v>
      </c>
      <c r="AD237">
        <f>VLOOKUP(A:A,[1]android_repos_all_metrics!B:K,5,FALSE)</f>
        <v>22</v>
      </c>
      <c r="AE237">
        <f>VLOOKUP(A:A,[1]android_repos_all_metrics!B:K,6,FALSE)</f>
        <v>2</v>
      </c>
      <c r="AF237">
        <f>VLOOKUP(A:A,[1]android_repos_all_metrics!B:K,7,FALSE)</f>
        <v>188638</v>
      </c>
      <c r="AG237">
        <f>VLOOKUP(A:A,[1]android_repos_all_metrics!B:K,8,FALSE)</f>
        <v>1</v>
      </c>
      <c r="AH237">
        <f>VLOOKUP(A:A,[1]android_repos_all_metrics!B:K,9,FALSE)</f>
        <v>5</v>
      </c>
      <c r="AI237">
        <f>VLOOKUP(A:A,[1]android_repos_all_metrics!B:K,10,FALSE)</f>
        <v>1</v>
      </c>
    </row>
    <row r="238" spans="1:35">
      <c r="A238" t="s">
        <v>289</v>
      </c>
      <c r="B238" t="b">
        <v>1</v>
      </c>
      <c r="C238" t="b">
        <v>0</v>
      </c>
      <c r="D238" t="b">
        <v>0</v>
      </c>
      <c r="F238" t="b">
        <v>0</v>
      </c>
      <c r="H238" t="s">
        <v>37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>
        <v>3</v>
      </c>
      <c r="AB238">
        <v>0</v>
      </c>
      <c r="AC238">
        <f>VLOOKUP(A:A,[1]android_repos_all_metrics!B:K,4,FALSE)</f>
        <v>575</v>
      </c>
      <c r="AD238">
        <f>VLOOKUP(A:A,[1]android_repos_all_metrics!B:K,5,FALSE)</f>
        <v>28</v>
      </c>
      <c r="AE238">
        <f>VLOOKUP(A:A,[1]android_repos_all_metrics!B:K,6,FALSE)</f>
        <v>3</v>
      </c>
      <c r="AF238">
        <f>VLOOKUP(A:A,[1]android_repos_all_metrics!B:K,7,FALSE)</f>
        <v>16968</v>
      </c>
      <c r="AG238">
        <f>VLOOKUP(A:A,[1]android_repos_all_metrics!B:K,8,FALSE)</f>
        <v>13</v>
      </c>
      <c r="AH238">
        <f>VLOOKUP(A:A,[1]android_repos_all_metrics!B:K,9,FALSE)</f>
        <v>28</v>
      </c>
      <c r="AI238">
        <f>VLOOKUP(A:A,[1]android_repos_all_metrics!B:K,10,FALSE)</f>
        <v>27</v>
      </c>
    </row>
    <row r="239" spans="1:35">
      <c r="A239" t="s">
        <v>290</v>
      </c>
      <c r="B239" t="b">
        <v>1</v>
      </c>
      <c r="C239" t="b">
        <v>0</v>
      </c>
      <c r="D239" t="b">
        <v>0</v>
      </c>
      <c r="F239" t="b">
        <v>0</v>
      </c>
      <c r="H239" t="s">
        <v>43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>
        <v>1</v>
      </c>
      <c r="AB239">
        <v>0</v>
      </c>
      <c r="AC239">
        <f>VLOOKUP(A:A,[1]android_repos_all_metrics!B:K,4,FALSE)</f>
        <v>29</v>
      </c>
      <c r="AD239">
        <f>VLOOKUP(A:A,[1]android_repos_all_metrics!B:K,5,FALSE)</f>
        <v>4</v>
      </c>
      <c r="AE239">
        <f>VLOOKUP(A:A,[1]android_repos_all_metrics!B:K,6,FALSE)</f>
        <v>1</v>
      </c>
      <c r="AF239">
        <f>VLOOKUP(A:A,[1]android_repos_all_metrics!B:K,7,FALSE)</f>
        <v>2137</v>
      </c>
      <c r="AG239">
        <f>VLOOKUP(A:A,[1]android_repos_all_metrics!B:K,8,FALSE)</f>
        <v>6</v>
      </c>
      <c r="AH239">
        <f>VLOOKUP(A:A,[1]android_repos_all_metrics!B:K,9,FALSE)</f>
        <v>20</v>
      </c>
      <c r="AI239">
        <f>VLOOKUP(A:A,[1]android_repos_all_metrics!B:K,10,FALSE)</f>
        <v>2</v>
      </c>
    </row>
    <row r="240" spans="1:35">
      <c r="A240" t="s">
        <v>291</v>
      </c>
      <c r="B240" t="b">
        <v>1</v>
      </c>
      <c r="C240" t="b">
        <v>0</v>
      </c>
      <c r="D240" t="b">
        <v>0</v>
      </c>
      <c r="F240" t="b">
        <v>0</v>
      </c>
      <c r="H240" t="s">
        <v>37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>
        <v>1</v>
      </c>
      <c r="AB240">
        <v>0</v>
      </c>
      <c r="AC240">
        <f>VLOOKUP(A:A,[1]android_repos_all_metrics!B:K,4,FALSE)</f>
        <v>465</v>
      </c>
      <c r="AD240">
        <f>VLOOKUP(A:A,[1]android_repos_all_metrics!B:K,5,FALSE)</f>
        <v>69</v>
      </c>
      <c r="AE240">
        <f>VLOOKUP(A:A,[1]android_repos_all_metrics!B:K,6,FALSE)</f>
        <v>18</v>
      </c>
      <c r="AF240">
        <f>VLOOKUP(A:A,[1]android_repos_all_metrics!B:K,7,FALSE)</f>
        <v>93913</v>
      </c>
      <c r="AG240">
        <f>VLOOKUP(A:A,[1]android_repos_all_metrics!B:K,8,FALSE)</f>
        <v>0</v>
      </c>
      <c r="AH240">
        <f>VLOOKUP(A:A,[1]android_repos_all_metrics!B:K,9,FALSE)</f>
        <v>3</v>
      </c>
      <c r="AI240">
        <f>VLOOKUP(A:A,[1]android_repos_all_metrics!B:K,10,FALSE)</f>
        <v>24</v>
      </c>
    </row>
    <row r="241" spans="1:35">
      <c r="A241" t="s">
        <v>292</v>
      </c>
      <c r="B241" t="b">
        <v>1</v>
      </c>
      <c r="C241" t="b">
        <v>0</v>
      </c>
      <c r="D241" t="b">
        <v>0</v>
      </c>
      <c r="F241" t="b">
        <v>0</v>
      </c>
      <c r="H241" t="s">
        <v>76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>
        <v>1</v>
      </c>
      <c r="AB241">
        <v>0</v>
      </c>
      <c r="AC241">
        <f>VLOOKUP(A:A,[1]android_repos_all_metrics!B:K,4,FALSE)</f>
        <v>707</v>
      </c>
      <c r="AD241">
        <f>VLOOKUP(A:A,[1]android_repos_all_metrics!B:K,5,FALSE)</f>
        <v>0</v>
      </c>
      <c r="AE241">
        <f>VLOOKUP(A:A,[1]android_repos_all_metrics!B:K,6,FALSE)</f>
        <v>61</v>
      </c>
      <c r="AF241">
        <f>VLOOKUP(A:A,[1]android_repos_all_metrics!B:K,7,FALSE)</f>
        <v>244096</v>
      </c>
      <c r="AG241">
        <f>VLOOKUP(A:A,[1]android_repos_all_metrics!B:K,8,FALSE)</f>
        <v>0</v>
      </c>
      <c r="AH241">
        <f>VLOOKUP(A:A,[1]android_repos_all_metrics!B:K,9,FALSE)</f>
        <v>8</v>
      </c>
      <c r="AI241">
        <f>VLOOKUP(A:A,[1]android_repos_all_metrics!B:K,10,FALSE)</f>
        <v>3</v>
      </c>
    </row>
    <row r="242" spans="1:35">
      <c r="A242" t="s">
        <v>293</v>
      </c>
      <c r="B242" t="b">
        <v>0</v>
      </c>
      <c r="C242" t="b">
        <v>0</v>
      </c>
      <c r="D242" t="b">
        <v>0</v>
      </c>
      <c r="F242" t="b">
        <v>0</v>
      </c>
      <c r="H242" t="s">
        <v>41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>
        <v>1</v>
      </c>
      <c r="AB242">
        <v>0</v>
      </c>
      <c r="AC242">
        <f>VLOOKUP(A:A,[1]android_repos_all_metrics!B:K,4,FALSE)</f>
        <v>43</v>
      </c>
      <c r="AD242">
        <f>VLOOKUP(A:A,[1]android_repos_all_metrics!B:K,5,FALSE)</f>
        <v>5</v>
      </c>
      <c r="AE242">
        <f>VLOOKUP(A:A,[1]android_repos_all_metrics!B:K,6,FALSE)</f>
        <v>3</v>
      </c>
      <c r="AF242">
        <f>VLOOKUP(A:A,[1]android_repos_all_metrics!B:K,7,FALSE)</f>
        <v>207</v>
      </c>
      <c r="AG242">
        <f>VLOOKUP(A:A,[1]android_repos_all_metrics!B:K,8,FALSE)</f>
        <v>13</v>
      </c>
      <c r="AH242">
        <f>VLOOKUP(A:A,[1]android_repos_all_metrics!B:K,9,FALSE)</f>
        <v>62</v>
      </c>
      <c r="AI242">
        <f>VLOOKUP(A:A,[1]android_repos_all_metrics!B:K,10,FALSE)</f>
        <v>12</v>
      </c>
    </row>
    <row r="243" spans="1:35">
      <c r="A243" t="s">
        <v>294</v>
      </c>
      <c r="B243" t="b">
        <v>0</v>
      </c>
      <c r="C243" t="b">
        <v>0</v>
      </c>
      <c r="D243" t="b">
        <v>0</v>
      </c>
      <c r="F243" t="b">
        <v>0</v>
      </c>
      <c r="H243" t="s">
        <v>41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>
        <v>1</v>
      </c>
      <c r="AB243">
        <v>0</v>
      </c>
      <c r="AC243">
        <f>VLOOKUP(A:A,[1]android_repos_all_metrics!B:K,4,FALSE)</f>
        <v>90</v>
      </c>
      <c r="AD243">
        <f>VLOOKUP(A:A,[1]android_repos_all_metrics!B:K,5,FALSE)</f>
        <v>0</v>
      </c>
      <c r="AE243">
        <f>VLOOKUP(A:A,[1]android_repos_all_metrics!B:K,6,FALSE)</f>
        <v>3</v>
      </c>
      <c r="AF243">
        <f>VLOOKUP(A:A,[1]android_repos_all_metrics!B:K,7,FALSE)</f>
        <v>486</v>
      </c>
      <c r="AG243">
        <f>VLOOKUP(A:A,[1]android_repos_all_metrics!B:K,8,FALSE)</f>
        <v>1</v>
      </c>
      <c r="AH243">
        <f>VLOOKUP(A:A,[1]android_repos_all_metrics!B:K,9,FALSE)</f>
        <v>4</v>
      </c>
      <c r="AI243">
        <f>VLOOKUP(A:A,[1]android_repos_all_metrics!B:K,10,FALSE)</f>
        <v>2</v>
      </c>
    </row>
    <row r="244" spans="1:35">
      <c r="A244" t="s">
        <v>295</v>
      </c>
      <c r="B244" t="b">
        <v>1</v>
      </c>
      <c r="C244" t="b">
        <v>0</v>
      </c>
      <c r="D244" t="b">
        <v>0</v>
      </c>
      <c r="F244" t="b">
        <v>0</v>
      </c>
      <c r="H244" t="s">
        <v>37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>
        <v>3</v>
      </c>
      <c r="AB244">
        <v>0</v>
      </c>
      <c r="AC244">
        <f>VLOOKUP(A:A,[1]android_repos_all_metrics!B:K,4,FALSE)</f>
        <v>4802</v>
      </c>
      <c r="AD244">
        <f>VLOOKUP(A:A,[1]android_repos_all_metrics!B:K,5,FALSE)</f>
        <v>82</v>
      </c>
      <c r="AE244">
        <f>VLOOKUP(A:A,[1]android_repos_all_metrics!B:K,6,FALSE)</f>
        <v>228</v>
      </c>
      <c r="AF244">
        <f>VLOOKUP(A:A,[1]android_repos_all_metrics!B:K,7,FALSE)</f>
        <v>72108</v>
      </c>
      <c r="AG244">
        <f>VLOOKUP(A:A,[1]android_repos_all_metrics!B:K,8,FALSE)</f>
        <v>185</v>
      </c>
      <c r="AH244">
        <f>VLOOKUP(A:A,[1]android_repos_all_metrics!B:K,9,FALSE)</f>
        <v>2513</v>
      </c>
      <c r="AI244">
        <f>VLOOKUP(A:A,[1]android_repos_all_metrics!B:K,10,FALSE)</f>
        <v>127</v>
      </c>
    </row>
    <row r="245" spans="1:35">
      <c r="A245" t="s">
        <v>296</v>
      </c>
      <c r="B245" t="b">
        <v>0</v>
      </c>
      <c r="C245" t="b">
        <v>0</v>
      </c>
      <c r="D245" t="b">
        <v>0</v>
      </c>
      <c r="F245" t="b">
        <v>0</v>
      </c>
      <c r="H245" t="s">
        <v>41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>
        <v>1</v>
      </c>
      <c r="AB245">
        <v>0</v>
      </c>
      <c r="AC245">
        <f>VLOOKUP(A:A,[1]android_repos_all_metrics!B:K,4,FALSE)</f>
        <v>229</v>
      </c>
      <c r="AD245">
        <f>VLOOKUP(A:A,[1]android_repos_all_metrics!B:K,5,FALSE)</f>
        <v>10</v>
      </c>
      <c r="AE245">
        <f>VLOOKUP(A:A,[1]android_repos_all_metrics!B:K,6,FALSE)</f>
        <v>4</v>
      </c>
      <c r="AF245">
        <f>VLOOKUP(A:A,[1]android_repos_all_metrics!B:K,7,FALSE)</f>
        <v>1395</v>
      </c>
      <c r="AG245">
        <f>VLOOKUP(A:A,[1]android_repos_all_metrics!B:K,8,FALSE)</f>
        <v>78</v>
      </c>
      <c r="AH245">
        <f>VLOOKUP(A:A,[1]android_repos_all_metrics!B:K,9,FALSE)</f>
        <v>469</v>
      </c>
      <c r="AI245">
        <f>VLOOKUP(A:A,[1]android_repos_all_metrics!B:K,10,FALSE)</f>
        <v>30</v>
      </c>
    </row>
    <row r="246" spans="1:35">
      <c r="A246" t="s">
        <v>297</v>
      </c>
      <c r="B246" t="b">
        <v>0</v>
      </c>
      <c r="C246" t="b">
        <v>0</v>
      </c>
      <c r="D246" t="b">
        <v>0</v>
      </c>
      <c r="F246" t="b">
        <v>0</v>
      </c>
      <c r="H246" t="s">
        <v>41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>
        <v>1</v>
      </c>
      <c r="AB246">
        <v>0</v>
      </c>
      <c r="AC246">
        <f>VLOOKUP(A:A,[1]android_repos_all_metrics!B:K,4,FALSE)</f>
        <v>414</v>
      </c>
      <c r="AD246">
        <f>VLOOKUP(A:A,[1]android_repos_all_metrics!B:K,5,FALSE)</f>
        <v>251</v>
      </c>
      <c r="AE246">
        <f>VLOOKUP(A:A,[1]android_repos_all_metrics!B:K,6,FALSE)</f>
        <v>22</v>
      </c>
      <c r="AF246">
        <f>VLOOKUP(A:A,[1]android_repos_all_metrics!B:K,7,FALSE)</f>
        <v>56550</v>
      </c>
      <c r="AG246">
        <f>VLOOKUP(A:A,[1]android_repos_all_metrics!B:K,8,FALSE)</f>
        <v>54</v>
      </c>
      <c r="AH246">
        <f>VLOOKUP(A:A,[1]android_repos_all_metrics!B:K,9,FALSE)</f>
        <v>22</v>
      </c>
      <c r="AI246">
        <f>VLOOKUP(A:A,[1]android_repos_all_metrics!B:K,10,FALSE)</f>
        <v>42</v>
      </c>
    </row>
    <row r="247" spans="1:35">
      <c r="A247" t="s">
        <v>298</v>
      </c>
      <c r="B247" t="b">
        <v>1</v>
      </c>
      <c r="C247" t="b">
        <v>1</v>
      </c>
      <c r="D247" t="b">
        <v>1</v>
      </c>
      <c r="E247" t="s">
        <v>36</v>
      </c>
      <c r="F247" t="b">
        <v>0</v>
      </c>
      <c r="H247" t="s">
        <v>37</v>
      </c>
      <c r="I247" t="s">
        <v>37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>
        <v>1</v>
      </c>
      <c r="AA247">
        <v>4</v>
      </c>
      <c r="AB247">
        <v>0</v>
      </c>
      <c r="AC247">
        <f>VLOOKUP(A:A,[1]android_repos_all_metrics!B:K,4,FALSE)</f>
        <v>18879</v>
      </c>
      <c r="AD247">
        <f>VLOOKUP(A:A,[1]android_repos_all_metrics!B:K,5,FALSE)</f>
        <v>4006</v>
      </c>
      <c r="AE247">
        <f>VLOOKUP(A:A,[1]android_repos_all_metrics!B:K,6,FALSE)</f>
        <v>120</v>
      </c>
      <c r="AF247">
        <f>VLOOKUP(A:A,[1]android_repos_all_metrics!B:K,7,FALSE)</f>
        <v>277576</v>
      </c>
      <c r="AG247">
        <f>VLOOKUP(A:A,[1]android_repos_all_metrics!B:K,8,FALSE)</f>
        <v>554</v>
      </c>
      <c r="AH247">
        <f>VLOOKUP(A:A,[1]android_repos_all_metrics!B:K,9,FALSE)</f>
        <v>1960</v>
      </c>
      <c r="AI247">
        <f>VLOOKUP(A:A,[1]android_repos_all_metrics!B:K,10,FALSE)</f>
        <v>23</v>
      </c>
    </row>
    <row r="248" spans="1:35">
      <c r="A248" t="s">
        <v>299</v>
      </c>
      <c r="B248" t="b">
        <v>1</v>
      </c>
      <c r="C248" t="b">
        <v>0</v>
      </c>
      <c r="D248" t="b">
        <v>0</v>
      </c>
      <c r="F248" t="b">
        <v>0</v>
      </c>
      <c r="H248" t="s">
        <v>37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>
        <v>1</v>
      </c>
      <c r="AB248">
        <v>0</v>
      </c>
      <c r="AC248">
        <f>VLOOKUP(A:A,[1]android_repos_all_metrics!B:K,4,FALSE)</f>
        <v>702</v>
      </c>
      <c r="AD248">
        <f>VLOOKUP(A:A,[1]android_repos_all_metrics!B:K,5,FALSE)</f>
        <v>137</v>
      </c>
      <c r="AE248">
        <f>VLOOKUP(A:A,[1]android_repos_all_metrics!B:K,6,FALSE)</f>
        <v>6</v>
      </c>
      <c r="AF248">
        <f>VLOOKUP(A:A,[1]android_repos_all_metrics!B:K,7,FALSE)</f>
        <v>1359</v>
      </c>
      <c r="AG248">
        <f>VLOOKUP(A:A,[1]android_repos_all_metrics!B:K,8,FALSE)</f>
        <v>8</v>
      </c>
      <c r="AH248">
        <f>VLOOKUP(A:A,[1]android_repos_all_metrics!B:K,9,FALSE)</f>
        <v>17</v>
      </c>
      <c r="AI248">
        <f>VLOOKUP(A:A,[1]android_repos_all_metrics!B:K,10,FALSE)</f>
        <v>9</v>
      </c>
    </row>
    <row r="249" spans="1:35">
      <c r="A249" t="s">
        <v>300</v>
      </c>
      <c r="B249" t="b">
        <v>0</v>
      </c>
      <c r="C249" t="b">
        <v>0</v>
      </c>
      <c r="D249" t="b">
        <v>0</v>
      </c>
      <c r="F249" t="b">
        <v>0</v>
      </c>
      <c r="H249" t="s">
        <v>41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>
        <v>1</v>
      </c>
      <c r="AB249">
        <v>0</v>
      </c>
      <c r="AC249">
        <f>VLOOKUP(A:A,[1]android_repos_all_metrics!B:K,4,FALSE)</f>
        <v>1017</v>
      </c>
      <c r="AD249">
        <f>VLOOKUP(A:A,[1]android_repos_all_metrics!B:K,5,FALSE)</f>
        <v>1</v>
      </c>
      <c r="AE249">
        <f>VLOOKUP(A:A,[1]android_repos_all_metrics!B:K,6,FALSE)</f>
        <v>3</v>
      </c>
      <c r="AF249">
        <f>VLOOKUP(A:A,[1]android_repos_all_metrics!B:K,7,FALSE)</f>
        <v>12261</v>
      </c>
      <c r="AG249">
        <f>VLOOKUP(A:A,[1]android_repos_all_metrics!B:K,8,FALSE)</f>
        <v>11</v>
      </c>
      <c r="AH249">
        <f>VLOOKUP(A:A,[1]android_repos_all_metrics!B:K,9,FALSE)</f>
        <v>78</v>
      </c>
      <c r="AI249">
        <f>VLOOKUP(A:A,[1]android_repos_all_metrics!B:K,10,FALSE)</f>
        <v>7</v>
      </c>
    </row>
    <row r="250" spans="1:35">
      <c r="A250" t="s">
        <v>301</v>
      </c>
      <c r="B250" t="b">
        <v>1</v>
      </c>
      <c r="C250" t="b">
        <v>0</v>
      </c>
      <c r="D250" t="b">
        <v>0</v>
      </c>
      <c r="F250" t="b">
        <v>0</v>
      </c>
      <c r="H250" t="s">
        <v>37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>
        <v>1</v>
      </c>
      <c r="AB250">
        <v>0</v>
      </c>
      <c r="AC250">
        <f>VLOOKUP(A:A,[1]android_repos_all_metrics!B:K,4,FALSE)</f>
        <v>1029</v>
      </c>
      <c r="AD250">
        <f>VLOOKUP(A:A,[1]android_repos_all_metrics!B:K,5,FALSE)</f>
        <v>3</v>
      </c>
      <c r="AE250">
        <f>VLOOKUP(A:A,[1]android_repos_all_metrics!B:K,6,FALSE)</f>
        <v>2</v>
      </c>
      <c r="AF250">
        <f>VLOOKUP(A:A,[1]android_repos_all_metrics!B:K,7,FALSE)</f>
        <v>8673</v>
      </c>
      <c r="AG250">
        <f>VLOOKUP(A:A,[1]android_repos_all_metrics!B:K,8,FALSE)</f>
        <v>6</v>
      </c>
      <c r="AH250">
        <f>VLOOKUP(A:A,[1]android_repos_all_metrics!B:K,9,FALSE)</f>
        <v>55</v>
      </c>
      <c r="AI250">
        <f>VLOOKUP(A:A,[1]android_repos_all_metrics!B:K,10,FALSE)</f>
        <v>9</v>
      </c>
    </row>
    <row r="251" spans="1:35">
      <c r="A251" t="s">
        <v>302</v>
      </c>
      <c r="B251" t="b">
        <v>1</v>
      </c>
      <c r="C251" t="b">
        <v>0</v>
      </c>
      <c r="D251" t="b">
        <v>0</v>
      </c>
      <c r="F251" t="b">
        <v>0</v>
      </c>
      <c r="H251" t="s">
        <v>37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>
        <v>1</v>
      </c>
      <c r="AB251">
        <v>0</v>
      </c>
      <c r="AC251">
        <f>VLOOKUP(A:A,[1]android_repos_all_metrics!B:K,4,FALSE)</f>
        <v>19</v>
      </c>
      <c r="AD251">
        <f>VLOOKUP(A:A,[1]android_repos_all_metrics!B:K,5,FALSE)</f>
        <v>3</v>
      </c>
      <c r="AE251">
        <f>VLOOKUP(A:A,[1]android_repos_all_metrics!B:K,6,FALSE)</f>
        <v>2</v>
      </c>
      <c r="AF251">
        <f>VLOOKUP(A:A,[1]android_repos_all_metrics!B:K,7,FALSE)</f>
        <v>733</v>
      </c>
      <c r="AG251">
        <f>VLOOKUP(A:A,[1]android_repos_all_metrics!B:K,8,FALSE)</f>
        <v>11</v>
      </c>
      <c r="AH251">
        <f>VLOOKUP(A:A,[1]android_repos_all_metrics!B:K,9,FALSE)</f>
        <v>25</v>
      </c>
      <c r="AI251">
        <f>VLOOKUP(A:A,[1]android_repos_all_metrics!B:K,10,FALSE)</f>
        <v>4</v>
      </c>
    </row>
    <row r="252" spans="1:35">
      <c r="A252" t="s">
        <v>303</v>
      </c>
      <c r="B252" t="b">
        <v>1</v>
      </c>
      <c r="C252" t="b">
        <v>0</v>
      </c>
      <c r="D252" t="b">
        <v>0</v>
      </c>
      <c r="F252" t="b">
        <v>0</v>
      </c>
      <c r="H252" t="s">
        <v>86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>
        <v>2</v>
      </c>
      <c r="AB252">
        <v>0</v>
      </c>
      <c r="AC252">
        <f>VLOOKUP(A:A,[1]android_repos_all_metrics!B:K,4,FALSE)</f>
        <v>1090</v>
      </c>
      <c r="AD252">
        <f>VLOOKUP(A:A,[1]android_repos_all_metrics!B:K,5,FALSE)</f>
        <v>10</v>
      </c>
      <c r="AE252">
        <f>VLOOKUP(A:A,[1]android_repos_all_metrics!B:K,6,FALSE)</f>
        <v>5</v>
      </c>
      <c r="AF252">
        <f>VLOOKUP(A:A,[1]android_repos_all_metrics!B:K,7,FALSE)</f>
        <v>123812</v>
      </c>
      <c r="AG252">
        <f>VLOOKUP(A:A,[1]android_repos_all_metrics!B:K,8,FALSE)</f>
        <v>35</v>
      </c>
      <c r="AH252">
        <f>VLOOKUP(A:A,[1]android_repos_all_metrics!B:K,9,FALSE)</f>
        <v>148</v>
      </c>
      <c r="AI252">
        <f>VLOOKUP(A:A,[1]android_repos_all_metrics!B:K,10,FALSE)</f>
        <v>105</v>
      </c>
    </row>
    <row r="253" spans="1:35">
      <c r="A253" t="s">
        <v>304</v>
      </c>
      <c r="B253" t="b">
        <v>0</v>
      </c>
      <c r="C253" t="b">
        <v>0</v>
      </c>
      <c r="D253" t="b">
        <v>0</v>
      </c>
      <c r="F253" t="b">
        <v>0</v>
      </c>
      <c r="H253" t="s">
        <v>41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>
        <v>1</v>
      </c>
      <c r="AB253">
        <v>0</v>
      </c>
      <c r="AC253">
        <f>VLOOKUP(A:A,[1]android_repos_all_metrics!B:K,4,FALSE)</f>
        <v>11</v>
      </c>
      <c r="AD253">
        <f>VLOOKUP(A:A,[1]android_repos_all_metrics!B:K,5,FALSE)</f>
        <v>0</v>
      </c>
      <c r="AE253">
        <f>VLOOKUP(A:A,[1]android_repos_all_metrics!B:K,6,FALSE)</f>
        <v>1</v>
      </c>
      <c r="AF253">
        <f>VLOOKUP(A:A,[1]android_repos_all_metrics!B:K,7,FALSE)</f>
        <v>174</v>
      </c>
      <c r="AG253">
        <f>VLOOKUP(A:A,[1]android_repos_all_metrics!B:K,8,FALSE)</f>
        <v>10</v>
      </c>
      <c r="AH253">
        <f>VLOOKUP(A:A,[1]android_repos_all_metrics!B:K,9,FALSE)</f>
        <v>39</v>
      </c>
      <c r="AI253">
        <f>VLOOKUP(A:A,[1]android_repos_all_metrics!B:K,10,FALSE)</f>
        <v>0</v>
      </c>
    </row>
    <row r="254" spans="1:35">
      <c r="A254" t="s">
        <v>305</v>
      </c>
      <c r="B254" t="b">
        <v>1</v>
      </c>
      <c r="C254" t="b">
        <v>1</v>
      </c>
      <c r="D254" t="b">
        <v>0</v>
      </c>
      <c r="F254" t="b">
        <v>1</v>
      </c>
      <c r="G254" t="s">
        <v>39</v>
      </c>
      <c r="H254" t="s">
        <v>41</v>
      </c>
      <c r="I254" t="s">
        <v>41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>
        <v>1</v>
      </c>
      <c r="AB254">
        <v>0</v>
      </c>
      <c r="AC254">
        <f>VLOOKUP(A:A,[1]android_repos_all_metrics!B:K,4,FALSE)</f>
        <v>112</v>
      </c>
      <c r="AD254">
        <f>VLOOKUP(A:A,[1]android_repos_all_metrics!B:K,5,FALSE)</f>
        <v>47</v>
      </c>
      <c r="AE254">
        <f>VLOOKUP(A:A,[1]android_repos_all_metrics!B:K,6,FALSE)</f>
        <v>11</v>
      </c>
      <c r="AF254">
        <f>VLOOKUP(A:A,[1]android_repos_all_metrics!B:K,7,FALSE)</f>
        <v>4587</v>
      </c>
      <c r="AG254">
        <f>VLOOKUP(A:A,[1]android_repos_all_metrics!B:K,8,FALSE)</f>
        <v>12</v>
      </c>
      <c r="AH254">
        <f>VLOOKUP(A:A,[1]android_repos_all_metrics!B:K,9,FALSE)</f>
        <v>70</v>
      </c>
      <c r="AI254">
        <f>VLOOKUP(A:A,[1]android_repos_all_metrics!B:K,10,FALSE)</f>
        <v>12</v>
      </c>
    </row>
    <row r="255" spans="1:35">
      <c r="A255" t="s">
        <v>306</v>
      </c>
      <c r="B255" t="b">
        <v>0</v>
      </c>
      <c r="C255" t="b">
        <v>0</v>
      </c>
      <c r="D255" t="b">
        <v>0</v>
      </c>
      <c r="F255" t="b">
        <v>0</v>
      </c>
      <c r="H255" t="s">
        <v>41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>
        <v>1</v>
      </c>
      <c r="AB255">
        <v>0</v>
      </c>
      <c r="AC255">
        <f>VLOOKUP(A:A,[1]android_repos_all_metrics!B:K,4,FALSE)</f>
        <v>159</v>
      </c>
      <c r="AD255">
        <f>VLOOKUP(A:A,[1]android_repos_all_metrics!B:K,5,FALSE)</f>
        <v>110</v>
      </c>
      <c r="AE255">
        <f>VLOOKUP(A:A,[1]android_repos_all_metrics!B:K,6,FALSE)</f>
        <v>7</v>
      </c>
      <c r="AF255">
        <f>VLOOKUP(A:A,[1]android_repos_all_metrics!B:K,7,FALSE)</f>
        <v>2309</v>
      </c>
      <c r="AG255">
        <f>VLOOKUP(A:A,[1]android_repos_all_metrics!B:K,8,FALSE)</f>
        <v>8</v>
      </c>
      <c r="AH255">
        <f>VLOOKUP(A:A,[1]android_repos_all_metrics!B:K,9,FALSE)</f>
        <v>3</v>
      </c>
      <c r="AI255">
        <f>VLOOKUP(A:A,[1]android_repos_all_metrics!B:K,10,FALSE)</f>
        <v>16</v>
      </c>
    </row>
    <row r="256" spans="1:35">
      <c r="A256" t="s">
        <v>307</v>
      </c>
      <c r="B256" t="b">
        <v>1</v>
      </c>
      <c r="C256" t="b">
        <v>1</v>
      </c>
      <c r="D256" t="b">
        <v>1</v>
      </c>
      <c r="E256" t="s">
        <v>36</v>
      </c>
      <c r="F256" t="b">
        <v>0</v>
      </c>
      <c r="H256" t="s">
        <v>308</v>
      </c>
      <c r="I256" t="s">
        <v>37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>
        <v>1</v>
      </c>
      <c r="AA256">
        <v>2</v>
      </c>
      <c r="AB256">
        <v>0</v>
      </c>
      <c r="AC256">
        <f>VLOOKUP(A:A,[1]android_repos_all_metrics!B:K,4,FALSE)</f>
        <v>199</v>
      </c>
      <c r="AD256">
        <f>VLOOKUP(A:A,[1]android_repos_all_metrics!B:K,5,FALSE)</f>
        <v>24</v>
      </c>
      <c r="AE256">
        <f>VLOOKUP(A:A,[1]android_repos_all_metrics!B:K,6,FALSE)</f>
        <v>1</v>
      </c>
      <c r="AF256">
        <f>VLOOKUP(A:A,[1]android_repos_all_metrics!B:K,7,FALSE)</f>
        <v>861</v>
      </c>
      <c r="AG256">
        <f>VLOOKUP(A:A,[1]android_repos_all_metrics!B:K,8,FALSE)</f>
        <v>1</v>
      </c>
      <c r="AH256">
        <f>VLOOKUP(A:A,[1]android_repos_all_metrics!B:K,9,FALSE)</f>
        <v>8</v>
      </c>
      <c r="AI256">
        <f>VLOOKUP(A:A,[1]android_repos_all_metrics!B:K,10,FALSE)</f>
        <v>0</v>
      </c>
    </row>
    <row r="257" spans="1:35">
      <c r="A257" t="s">
        <v>309</v>
      </c>
      <c r="B257" t="b">
        <v>1</v>
      </c>
      <c r="C257" t="b">
        <v>0</v>
      </c>
      <c r="D257" t="b">
        <v>0</v>
      </c>
      <c r="F257" t="b">
        <v>0</v>
      </c>
      <c r="H257" t="s">
        <v>37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>
        <v>1</v>
      </c>
      <c r="AB257">
        <v>0</v>
      </c>
      <c r="AC257">
        <f>VLOOKUP(A:A,[1]android_repos_all_metrics!B:K,4,FALSE)</f>
        <v>1710</v>
      </c>
      <c r="AD257">
        <f>VLOOKUP(A:A,[1]android_repos_all_metrics!B:K,5,FALSE)</f>
        <v>136</v>
      </c>
      <c r="AE257">
        <f>VLOOKUP(A:A,[1]android_repos_all_metrics!B:K,6,FALSE)</f>
        <v>6</v>
      </c>
      <c r="AF257">
        <f>VLOOKUP(A:A,[1]android_repos_all_metrics!B:K,7,FALSE)</f>
        <v>165001</v>
      </c>
      <c r="AG257">
        <f>VLOOKUP(A:A,[1]android_repos_all_metrics!B:K,8,FALSE)</f>
        <v>77</v>
      </c>
      <c r="AH257">
        <f>VLOOKUP(A:A,[1]android_repos_all_metrics!B:K,9,FALSE)</f>
        <v>738</v>
      </c>
      <c r="AI257">
        <f>VLOOKUP(A:A,[1]android_repos_all_metrics!B:K,10,FALSE)</f>
        <v>22</v>
      </c>
    </row>
    <row r="258" spans="1:35">
      <c r="A258" t="s">
        <v>310</v>
      </c>
      <c r="B258" t="b">
        <v>0</v>
      </c>
      <c r="C258" t="b">
        <v>0</v>
      </c>
      <c r="D258" t="b">
        <v>0</v>
      </c>
      <c r="F258" t="b">
        <v>0</v>
      </c>
      <c r="H258" t="s">
        <v>41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>
        <v>1</v>
      </c>
      <c r="AB258">
        <v>0</v>
      </c>
      <c r="AC258">
        <f>VLOOKUP(A:A,[1]android_repos_all_metrics!B:K,4,FALSE)</f>
        <v>54</v>
      </c>
      <c r="AD258">
        <f>VLOOKUP(A:A,[1]android_repos_all_metrics!B:K,5,FALSE)</f>
        <v>0</v>
      </c>
      <c r="AE258">
        <f>VLOOKUP(A:A,[1]android_repos_all_metrics!B:K,6,FALSE)</f>
        <v>2</v>
      </c>
      <c r="AF258">
        <f>VLOOKUP(A:A,[1]android_repos_all_metrics!B:K,7,FALSE)</f>
        <v>6902</v>
      </c>
      <c r="AG258">
        <f>VLOOKUP(A:A,[1]android_repos_all_metrics!B:K,8,FALSE)</f>
        <v>11</v>
      </c>
      <c r="AH258">
        <f>VLOOKUP(A:A,[1]android_repos_all_metrics!B:K,9,FALSE)</f>
        <v>55</v>
      </c>
      <c r="AI258">
        <f>VLOOKUP(A:A,[1]android_repos_all_metrics!B:K,10,FALSE)</f>
        <v>3</v>
      </c>
    </row>
    <row r="259" spans="1:35">
      <c r="A259" t="s">
        <v>311</v>
      </c>
      <c r="B259" t="b">
        <v>1</v>
      </c>
      <c r="C259" t="b">
        <v>0</v>
      </c>
      <c r="D259" t="b">
        <v>0</v>
      </c>
      <c r="F259" t="b">
        <v>0</v>
      </c>
      <c r="H259" t="s">
        <v>37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>
        <v>2</v>
      </c>
      <c r="AB259">
        <v>0</v>
      </c>
      <c r="AC259">
        <f>VLOOKUP(A:A,[1]android_repos_all_metrics!B:K,4,FALSE)</f>
        <v>354</v>
      </c>
      <c r="AD259">
        <f>VLOOKUP(A:A,[1]android_repos_all_metrics!B:K,5,FALSE)</f>
        <v>130</v>
      </c>
      <c r="AE259">
        <f>VLOOKUP(A:A,[1]android_repos_all_metrics!B:K,6,FALSE)</f>
        <v>18</v>
      </c>
      <c r="AF259">
        <f>VLOOKUP(A:A,[1]android_repos_all_metrics!B:K,7,FALSE)</f>
        <v>5948</v>
      </c>
      <c r="AG259">
        <f>VLOOKUP(A:A,[1]android_repos_all_metrics!B:K,8,FALSE)</f>
        <v>13</v>
      </c>
      <c r="AH259">
        <f>VLOOKUP(A:A,[1]android_repos_all_metrics!B:K,9,FALSE)</f>
        <v>11</v>
      </c>
      <c r="AI259">
        <f>VLOOKUP(A:A,[1]android_repos_all_metrics!B:K,10,FALSE)</f>
        <v>96</v>
      </c>
    </row>
    <row r="260" spans="1:35">
      <c r="A260" t="s">
        <v>312</v>
      </c>
      <c r="B260" t="b">
        <v>1</v>
      </c>
      <c r="C260" t="b">
        <v>0</v>
      </c>
      <c r="D260" t="b">
        <v>0</v>
      </c>
      <c r="F260" t="b">
        <v>0</v>
      </c>
      <c r="H260" t="s">
        <v>37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>
        <v>2</v>
      </c>
      <c r="AB260">
        <v>0</v>
      </c>
      <c r="AC260">
        <f>VLOOKUP(A:A,[1]android_repos_all_metrics!B:K,4,FALSE)</f>
        <v>12</v>
      </c>
      <c r="AD260">
        <f>VLOOKUP(A:A,[1]android_repos_all_metrics!B:K,5,FALSE)</f>
        <v>9</v>
      </c>
      <c r="AE260">
        <f>VLOOKUP(A:A,[1]android_repos_all_metrics!B:K,6,FALSE)</f>
        <v>7</v>
      </c>
      <c r="AF260">
        <f>VLOOKUP(A:A,[1]android_repos_all_metrics!B:K,7,FALSE)</f>
        <v>355</v>
      </c>
      <c r="AG260">
        <f>VLOOKUP(A:A,[1]android_repos_all_metrics!B:K,8,FALSE)</f>
        <v>1</v>
      </c>
      <c r="AH260">
        <f>VLOOKUP(A:A,[1]android_repos_all_metrics!B:K,9,FALSE)</f>
        <v>1</v>
      </c>
      <c r="AI260">
        <f>VLOOKUP(A:A,[1]android_repos_all_metrics!B:K,10,FALSE)</f>
        <v>5</v>
      </c>
    </row>
    <row r="261" spans="1:35">
      <c r="A261" t="s">
        <v>313</v>
      </c>
      <c r="B261" t="b">
        <v>1</v>
      </c>
      <c r="C261" t="b">
        <v>0</v>
      </c>
      <c r="D261" t="b">
        <v>0</v>
      </c>
      <c r="F261" t="b">
        <v>0</v>
      </c>
      <c r="H261" t="s">
        <v>37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>
        <v>2</v>
      </c>
      <c r="AB261">
        <v>0</v>
      </c>
      <c r="AC261">
        <f>VLOOKUP(A:A,[1]android_repos_all_metrics!B:K,4,FALSE)</f>
        <v>17</v>
      </c>
      <c r="AD261">
        <f>VLOOKUP(A:A,[1]android_repos_all_metrics!B:K,5,FALSE)</f>
        <v>11</v>
      </c>
      <c r="AE261">
        <f>VLOOKUP(A:A,[1]android_repos_all_metrics!B:K,6,FALSE)</f>
        <v>4</v>
      </c>
      <c r="AF261">
        <f>VLOOKUP(A:A,[1]android_repos_all_metrics!B:K,7,FALSE)</f>
        <v>214</v>
      </c>
      <c r="AG261">
        <f>VLOOKUP(A:A,[1]android_repos_all_metrics!B:K,8,FALSE)</f>
        <v>1</v>
      </c>
      <c r="AH261">
        <f>VLOOKUP(A:A,[1]android_repos_all_metrics!B:K,9,FALSE)</f>
        <v>2</v>
      </c>
      <c r="AI261">
        <f>VLOOKUP(A:A,[1]android_repos_all_metrics!B:K,10,FALSE)</f>
        <v>9</v>
      </c>
    </row>
    <row r="262" spans="1:35">
      <c r="A262" t="s">
        <v>314</v>
      </c>
      <c r="B262" t="b">
        <v>0</v>
      </c>
      <c r="C262" t="b">
        <v>0</v>
      </c>
      <c r="D262" t="b">
        <v>0</v>
      </c>
      <c r="F262" t="b">
        <v>0</v>
      </c>
      <c r="H262" t="s">
        <v>41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>
        <v>1</v>
      </c>
      <c r="AB262">
        <v>0</v>
      </c>
      <c r="AC262">
        <f>VLOOKUP(A:A,[1]android_repos_all_metrics!B:K,4,FALSE)</f>
        <v>161</v>
      </c>
      <c r="AD262">
        <f>VLOOKUP(A:A,[1]android_repos_all_metrics!B:K,5,FALSE)</f>
        <v>3</v>
      </c>
      <c r="AE262">
        <f>VLOOKUP(A:A,[1]android_repos_all_metrics!B:K,6,FALSE)</f>
        <v>2</v>
      </c>
      <c r="AF262">
        <f>VLOOKUP(A:A,[1]android_repos_all_metrics!B:K,7,FALSE)</f>
        <v>9421</v>
      </c>
      <c r="AG262">
        <f>VLOOKUP(A:A,[1]android_repos_all_metrics!B:K,8,FALSE)</f>
        <v>244</v>
      </c>
      <c r="AH262">
        <f>VLOOKUP(A:A,[1]android_repos_all_metrics!B:K,9,FALSE)</f>
        <v>1685</v>
      </c>
      <c r="AI262">
        <f>VLOOKUP(A:A,[1]android_repos_all_metrics!B:K,10,FALSE)</f>
        <v>7</v>
      </c>
    </row>
    <row r="263" spans="1:35">
      <c r="A263" t="s">
        <v>315</v>
      </c>
      <c r="B263" t="b">
        <v>1</v>
      </c>
      <c r="C263" t="b">
        <v>0</v>
      </c>
      <c r="D263" t="b">
        <v>0</v>
      </c>
      <c r="F263" t="b">
        <v>0</v>
      </c>
      <c r="H263" t="s">
        <v>37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>
        <v>1</v>
      </c>
      <c r="AB263">
        <v>0</v>
      </c>
      <c r="AC263">
        <f>VLOOKUP(A:A,[1]android_repos_all_metrics!B:K,4,FALSE)</f>
        <v>307</v>
      </c>
      <c r="AD263">
        <f>VLOOKUP(A:A,[1]android_repos_all_metrics!B:K,5,FALSE)</f>
        <v>102</v>
      </c>
      <c r="AE263">
        <f>VLOOKUP(A:A,[1]android_repos_all_metrics!B:K,6,FALSE)</f>
        <v>2</v>
      </c>
      <c r="AF263">
        <f>VLOOKUP(A:A,[1]android_repos_all_metrics!B:K,7,FALSE)</f>
        <v>759</v>
      </c>
      <c r="AG263">
        <f>VLOOKUP(A:A,[1]android_repos_all_metrics!B:K,8,FALSE)</f>
        <v>0</v>
      </c>
      <c r="AH263">
        <f>VLOOKUP(A:A,[1]android_repos_all_metrics!B:K,9,FALSE)</f>
        <v>1</v>
      </c>
      <c r="AI263">
        <f>VLOOKUP(A:A,[1]android_repos_all_metrics!B:K,10,FALSE)</f>
        <v>1</v>
      </c>
    </row>
    <row r="264" spans="1:35">
      <c r="A264" t="s">
        <v>316</v>
      </c>
      <c r="B264" t="b">
        <v>1</v>
      </c>
      <c r="C264" t="b">
        <v>0</v>
      </c>
      <c r="D264" t="b">
        <v>0</v>
      </c>
      <c r="F264" t="b">
        <v>0</v>
      </c>
      <c r="H264" t="s">
        <v>37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>
        <v>3</v>
      </c>
      <c r="AB264">
        <v>0</v>
      </c>
      <c r="AC264">
        <f>VLOOKUP(A:A,[1]android_repos_all_metrics!B:K,4,FALSE)</f>
        <v>211</v>
      </c>
      <c r="AD264">
        <f>VLOOKUP(A:A,[1]android_repos_all_metrics!B:K,5,FALSE)</f>
        <v>25</v>
      </c>
      <c r="AE264">
        <f>VLOOKUP(A:A,[1]android_repos_all_metrics!B:K,6,FALSE)</f>
        <v>4</v>
      </c>
      <c r="AF264">
        <f>VLOOKUP(A:A,[1]android_repos_all_metrics!B:K,7,FALSE)</f>
        <v>15122</v>
      </c>
      <c r="AG264">
        <f>VLOOKUP(A:A,[1]android_repos_all_metrics!B:K,8,FALSE)</f>
        <v>7</v>
      </c>
      <c r="AH264">
        <f>VLOOKUP(A:A,[1]android_repos_all_metrics!B:K,9,FALSE)</f>
        <v>22</v>
      </c>
      <c r="AI264">
        <f>VLOOKUP(A:A,[1]android_repos_all_metrics!B:K,10,FALSE)</f>
        <v>4</v>
      </c>
    </row>
    <row r="265" spans="1:35">
      <c r="A265" t="s">
        <v>317</v>
      </c>
      <c r="B265" t="b">
        <v>0</v>
      </c>
      <c r="C265" t="b">
        <v>0</v>
      </c>
      <c r="D265" t="b">
        <v>0</v>
      </c>
      <c r="F265" t="b">
        <v>0</v>
      </c>
      <c r="H265" t="s">
        <v>41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>
        <v>1</v>
      </c>
      <c r="AB265">
        <v>0</v>
      </c>
      <c r="AC265">
        <f>VLOOKUP(A:A,[1]android_repos_all_metrics!B:K,4,FALSE)</f>
        <v>49</v>
      </c>
      <c r="AD265">
        <f>VLOOKUP(A:A,[1]android_repos_all_metrics!B:K,5,FALSE)</f>
        <v>5</v>
      </c>
      <c r="AE265">
        <f>VLOOKUP(A:A,[1]android_repos_all_metrics!B:K,6,FALSE)</f>
        <v>2</v>
      </c>
      <c r="AF265">
        <f>VLOOKUP(A:A,[1]android_repos_all_metrics!B:K,7,FALSE)</f>
        <v>7353</v>
      </c>
      <c r="AG265">
        <f>VLOOKUP(A:A,[1]android_repos_all_metrics!B:K,8,FALSE)</f>
        <v>21</v>
      </c>
      <c r="AH265">
        <f>VLOOKUP(A:A,[1]android_repos_all_metrics!B:K,9,FALSE)</f>
        <v>72</v>
      </c>
      <c r="AI265">
        <f>VLOOKUP(A:A,[1]android_repos_all_metrics!B:K,10,FALSE)</f>
        <v>0</v>
      </c>
    </row>
    <row r="266" spans="1:35">
      <c r="A266" t="s">
        <v>318</v>
      </c>
      <c r="B266" t="b">
        <v>1</v>
      </c>
      <c r="C266" t="b">
        <v>0</v>
      </c>
      <c r="D266" t="b">
        <v>0</v>
      </c>
      <c r="F266" t="b">
        <v>0</v>
      </c>
      <c r="H266" t="s">
        <v>37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>
        <v>1</v>
      </c>
      <c r="AB266">
        <v>0</v>
      </c>
      <c r="AC266">
        <f>VLOOKUP(A:A,[1]android_repos_all_metrics!B:K,4,FALSE)</f>
        <v>47</v>
      </c>
      <c r="AD266">
        <f>VLOOKUP(A:A,[1]android_repos_all_metrics!B:K,5,FALSE)</f>
        <v>14</v>
      </c>
      <c r="AE266">
        <f>VLOOKUP(A:A,[1]android_repos_all_metrics!B:K,6,FALSE)</f>
        <v>2</v>
      </c>
      <c r="AF266">
        <f>VLOOKUP(A:A,[1]android_repos_all_metrics!B:K,7,FALSE)</f>
        <v>234</v>
      </c>
      <c r="AG266">
        <f>VLOOKUP(A:A,[1]android_repos_all_metrics!B:K,8,FALSE)</f>
        <v>1</v>
      </c>
      <c r="AH266">
        <f>VLOOKUP(A:A,[1]android_repos_all_metrics!B:K,9,FALSE)</f>
        <v>25</v>
      </c>
      <c r="AI266">
        <f>VLOOKUP(A:A,[1]android_repos_all_metrics!B:K,10,FALSE)</f>
        <v>1</v>
      </c>
    </row>
    <row r="267" spans="1:35">
      <c r="A267" t="s">
        <v>319</v>
      </c>
      <c r="B267" t="b">
        <v>1</v>
      </c>
      <c r="C267" t="b">
        <v>1</v>
      </c>
      <c r="D267" t="b">
        <v>1</v>
      </c>
      <c r="E267" t="s">
        <v>104</v>
      </c>
      <c r="F267" t="b">
        <v>0</v>
      </c>
      <c r="H267" t="s">
        <v>37</v>
      </c>
      <c r="I267" t="s">
        <v>37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>
        <v>3</v>
      </c>
      <c r="AA267">
        <v>3</v>
      </c>
      <c r="AB267">
        <v>0</v>
      </c>
      <c r="AC267">
        <f>VLOOKUP(A:A,[1]android_repos_all_metrics!B:K,4,FALSE)</f>
        <v>60</v>
      </c>
      <c r="AD267">
        <f>VLOOKUP(A:A,[1]android_repos_all_metrics!B:K,5,FALSE)</f>
        <v>0</v>
      </c>
      <c r="AE267">
        <f>VLOOKUP(A:A,[1]android_repos_all_metrics!B:K,6,FALSE)</f>
        <v>1</v>
      </c>
      <c r="AF267">
        <f>VLOOKUP(A:A,[1]android_repos_all_metrics!B:K,7,FALSE)</f>
        <v>490</v>
      </c>
      <c r="AG267">
        <f>VLOOKUP(A:A,[1]android_repos_all_metrics!B:K,8,FALSE)</f>
        <v>0</v>
      </c>
      <c r="AH267">
        <f>VLOOKUP(A:A,[1]android_repos_all_metrics!B:K,9,FALSE)</f>
        <v>2</v>
      </c>
      <c r="AI267">
        <f>VLOOKUP(A:A,[1]android_repos_all_metrics!B:K,10,FALSE)</f>
        <v>0</v>
      </c>
    </row>
    <row r="268" spans="1:35">
      <c r="A268" t="s">
        <v>320</v>
      </c>
      <c r="B268" t="b">
        <v>1</v>
      </c>
      <c r="C268" t="b">
        <v>0</v>
      </c>
      <c r="D268" t="b">
        <v>0</v>
      </c>
      <c r="F268" t="b">
        <v>0</v>
      </c>
      <c r="H268" t="s">
        <v>41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>
        <v>1</v>
      </c>
      <c r="AB268">
        <v>0</v>
      </c>
      <c r="AC268">
        <f>VLOOKUP(A:A,[1]android_repos_all_metrics!B:K,4,FALSE)</f>
        <v>343</v>
      </c>
      <c r="AD268">
        <f>VLOOKUP(A:A,[1]android_repos_all_metrics!B:K,5,FALSE)</f>
        <v>5</v>
      </c>
      <c r="AE268">
        <f>VLOOKUP(A:A,[1]android_repos_all_metrics!B:K,6,FALSE)</f>
        <v>2</v>
      </c>
      <c r="AF268">
        <f>VLOOKUP(A:A,[1]android_repos_all_metrics!B:K,7,FALSE)</f>
        <v>15836</v>
      </c>
      <c r="AG268">
        <f>VLOOKUP(A:A,[1]android_repos_all_metrics!B:K,8,FALSE)</f>
        <v>1</v>
      </c>
      <c r="AH268">
        <f>VLOOKUP(A:A,[1]android_repos_all_metrics!B:K,9,FALSE)</f>
        <v>3</v>
      </c>
      <c r="AI268">
        <f>VLOOKUP(A:A,[1]android_repos_all_metrics!B:K,10,FALSE)</f>
        <v>2</v>
      </c>
    </row>
    <row r="269" spans="1:35">
      <c r="A269" t="s">
        <v>321</v>
      </c>
      <c r="B269" t="b">
        <v>1</v>
      </c>
      <c r="C269" t="b">
        <v>0</v>
      </c>
      <c r="D269" t="b">
        <v>0</v>
      </c>
      <c r="F269" t="b">
        <v>0</v>
      </c>
      <c r="H269" t="s">
        <v>41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>
        <v>1</v>
      </c>
      <c r="AB269">
        <v>0</v>
      </c>
      <c r="AC269">
        <f>VLOOKUP(A:A,[1]android_repos_all_metrics!B:K,4,FALSE)</f>
        <v>235</v>
      </c>
      <c r="AD269">
        <f>VLOOKUP(A:A,[1]android_repos_all_metrics!B:K,5,FALSE)</f>
        <v>24</v>
      </c>
      <c r="AE269">
        <f>VLOOKUP(A:A,[1]android_repos_all_metrics!B:K,6,FALSE)</f>
        <v>13</v>
      </c>
      <c r="AF269">
        <f>VLOOKUP(A:A,[1]android_repos_all_metrics!B:K,7,FALSE)</f>
        <v>2315</v>
      </c>
      <c r="AG269">
        <f>VLOOKUP(A:A,[1]android_repos_all_metrics!B:K,8,FALSE)</f>
        <v>55</v>
      </c>
      <c r="AH269">
        <f>VLOOKUP(A:A,[1]android_repos_all_metrics!B:K,9,FALSE)</f>
        <v>117</v>
      </c>
      <c r="AI269">
        <f>VLOOKUP(A:A,[1]android_repos_all_metrics!B:K,10,FALSE)</f>
        <v>78</v>
      </c>
    </row>
    <row r="270" spans="1:35">
      <c r="A270" t="s">
        <v>322</v>
      </c>
      <c r="B270" t="b">
        <v>1</v>
      </c>
      <c r="C270" t="b">
        <v>0</v>
      </c>
      <c r="D270" t="b">
        <v>0</v>
      </c>
      <c r="F270" t="b">
        <v>0</v>
      </c>
      <c r="H270" t="s">
        <v>37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>
        <v>2</v>
      </c>
      <c r="AB270">
        <v>0</v>
      </c>
      <c r="AC270">
        <f>VLOOKUP(A:A,[1]android_repos_all_metrics!B:K,4,FALSE)</f>
        <v>326</v>
      </c>
      <c r="AD270">
        <f>VLOOKUP(A:A,[1]android_repos_all_metrics!B:K,5,FALSE)</f>
        <v>3</v>
      </c>
      <c r="AE270">
        <f>VLOOKUP(A:A,[1]android_repos_all_metrics!B:K,6,FALSE)</f>
        <v>4</v>
      </c>
      <c r="AF270">
        <f>VLOOKUP(A:A,[1]android_repos_all_metrics!B:K,7,FALSE)</f>
        <v>749966</v>
      </c>
      <c r="AG270">
        <f>VLOOKUP(A:A,[1]android_repos_all_metrics!B:K,8,FALSE)</f>
        <v>2</v>
      </c>
      <c r="AH270">
        <f>VLOOKUP(A:A,[1]android_repos_all_metrics!B:K,9,FALSE)</f>
        <v>5</v>
      </c>
      <c r="AI270">
        <f>VLOOKUP(A:A,[1]android_repos_all_metrics!B:K,10,FALSE)</f>
        <v>1</v>
      </c>
    </row>
    <row r="271" spans="1:35">
      <c r="A271" t="s">
        <v>323</v>
      </c>
      <c r="B271" t="b">
        <v>1</v>
      </c>
      <c r="C271" t="b">
        <v>1</v>
      </c>
      <c r="D271" t="b">
        <v>1</v>
      </c>
      <c r="E271" t="s">
        <v>104</v>
      </c>
      <c r="F271" t="b">
        <v>0</v>
      </c>
      <c r="H271" t="s">
        <v>37</v>
      </c>
      <c r="I271" t="s">
        <v>37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>
        <v>1</v>
      </c>
      <c r="AA271">
        <v>2</v>
      </c>
      <c r="AB271">
        <v>0</v>
      </c>
      <c r="AC271">
        <f>VLOOKUP(A:A,[1]android_repos_all_metrics!B:K,4,FALSE)</f>
        <v>656</v>
      </c>
      <c r="AD271">
        <f>VLOOKUP(A:A,[1]android_repos_all_metrics!B:K,5,FALSE)</f>
        <v>91</v>
      </c>
      <c r="AE271">
        <f>VLOOKUP(A:A,[1]android_repos_all_metrics!B:K,6,FALSE)</f>
        <v>2</v>
      </c>
      <c r="AF271">
        <f>VLOOKUP(A:A,[1]android_repos_all_metrics!B:K,7,FALSE)</f>
        <v>3516</v>
      </c>
      <c r="AG271">
        <f>VLOOKUP(A:A,[1]android_repos_all_metrics!B:K,8,FALSE)</f>
        <v>0</v>
      </c>
      <c r="AH271">
        <f>VLOOKUP(A:A,[1]android_repos_all_metrics!B:K,9,FALSE)</f>
        <v>3</v>
      </c>
      <c r="AI271">
        <f>VLOOKUP(A:A,[1]android_repos_all_metrics!B:K,10,FALSE)</f>
        <v>2</v>
      </c>
    </row>
    <row r="272" spans="1:35">
      <c r="A272" t="s">
        <v>324</v>
      </c>
      <c r="B272" t="b">
        <v>0</v>
      </c>
      <c r="C272" t="b">
        <v>0</v>
      </c>
      <c r="D272" t="b">
        <v>0</v>
      </c>
      <c r="F272" t="b">
        <v>0</v>
      </c>
      <c r="H272" t="s">
        <v>325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>
        <v>2</v>
      </c>
      <c r="AB272">
        <v>0</v>
      </c>
      <c r="AC272">
        <f>VLOOKUP(A:A,[1]android_repos_all_metrics!B:K,4,FALSE)</f>
        <v>3398</v>
      </c>
      <c r="AD272">
        <f>VLOOKUP(A:A,[1]android_repos_all_metrics!B:K,5,FALSE)</f>
        <v>794</v>
      </c>
      <c r="AE272">
        <f>VLOOKUP(A:A,[1]android_repos_all_metrics!B:K,6,FALSE)</f>
        <v>31</v>
      </c>
      <c r="AF272">
        <f>VLOOKUP(A:A,[1]android_repos_all_metrics!B:K,7,FALSE)</f>
        <v>113686</v>
      </c>
      <c r="AG272">
        <f>VLOOKUP(A:A,[1]android_repos_all_metrics!B:K,8,FALSE)</f>
        <v>510</v>
      </c>
      <c r="AH272">
        <f>VLOOKUP(A:A,[1]android_repos_all_metrics!B:K,9,FALSE)</f>
        <v>2879</v>
      </c>
      <c r="AI272">
        <f>VLOOKUP(A:A,[1]android_repos_all_metrics!B:K,10,FALSE)</f>
        <v>396</v>
      </c>
    </row>
    <row r="273" spans="1:35">
      <c r="A273" t="s">
        <v>326</v>
      </c>
      <c r="B273" t="b">
        <v>1</v>
      </c>
      <c r="C273" t="b">
        <v>1</v>
      </c>
      <c r="D273" t="b">
        <v>1</v>
      </c>
      <c r="E273" t="s">
        <v>36</v>
      </c>
      <c r="F273" t="b">
        <v>0</v>
      </c>
      <c r="H273" t="s">
        <v>37</v>
      </c>
      <c r="I273" t="s">
        <v>37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>
        <v>1</v>
      </c>
      <c r="AA273">
        <v>2</v>
      </c>
      <c r="AB273">
        <v>0</v>
      </c>
      <c r="AC273">
        <f>VLOOKUP(A:A,[1]android_repos_all_metrics!B:K,4,FALSE)</f>
        <v>1261</v>
      </c>
      <c r="AD273">
        <f>VLOOKUP(A:A,[1]android_repos_all_metrics!B:K,5,FALSE)</f>
        <v>890</v>
      </c>
      <c r="AE273">
        <f>VLOOKUP(A:A,[1]android_repos_all_metrics!B:K,6,FALSE)</f>
        <v>63</v>
      </c>
      <c r="AF273">
        <f>VLOOKUP(A:A,[1]android_repos_all_metrics!B:K,7,FALSE)</f>
        <v>3785</v>
      </c>
      <c r="AG273">
        <f>VLOOKUP(A:A,[1]android_repos_all_metrics!B:K,8,FALSE)</f>
        <v>46</v>
      </c>
      <c r="AH273">
        <f>VLOOKUP(A:A,[1]android_repos_all_metrics!B:K,9,FALSE)</f>
        <v>276</v>
      </c>
      <c r="AI273">
        <f>VLOOKUP(A:A,[1]android_repos_all_metrics!B:K,10,FALSE)</f>
        <v>95</v>
      </c>
    </row>
    <row r="274" spans="1:35">
      <c r="A274" t="s">
        <v>327</v>
      </c>
      <c r="B274" t="b">
        <v>1</v>
      </c>
      <c r="C274" t="b">
        <v>0</v>
      </c>
      <c r="D274" t="b">
        <v>0</v>
      </c>
      <c r="F274" t="b">
        <v>0</v>
      </c>
      <c r="H274" t="s">
        <v>41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>
        <v>1</v>
      </c>
      <c r="AB274">
        <v>0</v>
      </c>
      <c r="AC274">
        <f>VLOOKUP(A:A,[1]android_repos_all_metrics!B:K,4,FALSE)</f>
        <v>133</v>
      </c>
      <c r="AD274">
        <f>VLOOKUP(A:A,[1]android_repos_all_metrics!B:K,5,FALSE)</f>
        <v>3</v>
      </c>
      <c r="AE274">
        <f>VLOOKUP(A:A,[1]android_repos_all_metrics!B:K,6,FALSE)</f>
        <v>3</v>
      </c>
      <c r="AF274">
        <f>VLOOKUP(A:A,[1]android_repos_all_metrics!B:K,7,FALSE)</f>
        <v>5721</v>
      </c>
      <c r="AG274">
        <f>VLOOKUP(A:A,[1]android_repos_all_metrics!B:K,8,FALSE)</f>
        <v>18</v>
      </c>
      <c r="AH274">
        <f>VLOOKUP(A:A,[1]android_repos_all_metrics!B:K,9,FALSE)</f>
        <v>41</v>
      </c>
      <c r="AI274">
        <f>VLOOKUP(A:A,[1]android_repos_all_metrics!B:K,10,FALSE)</f>
        <v>37</v>
      </c>
    </row>
    <row r="275" spans="1:35">
      <c r="A275" t="s">
        <v>328</v>
      </c>
      <c r="B275" t="b">
        <v>1</v>
      </c>
      <c r="C275" t="b">
        <v>0</v>
      </c>
      <c r="D275" t="b">
        <v>0</v>
      </c>
      <c r="F275" t="b">
        <v>0</v>
      </c>
      <c r="H275" t="s">
        <v>37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>
        <v>3</v>
      </c>
      <c r="AB275">
        <v>0</v>
      </c>
      <c r="AC275">
        <f>VLOOKUP(A:A,[1]android_repos_all_metrics!B:K,4,FALSE)</f>
        <v>59</v>
      </c>
      <c r="AD275">
        <f>VLOOKUP(A:A,[1]android_repos_all_metrics!B:K,5,FALSE)</f>
        <v>3</v>
      </c>
      <c r="AE275">
        <f>VLOOKUP(A:A,[1]android_repos_all_metrics!B:K,6,FALSE)</f>
        <v>3</v>
      </c>
      <c r="AF275">
        <f>VLOOKUP(A:A,[1]android_repos_all_metrics!B:K,7,FALSE)</f>
        <v>50048</v>
      </c>
      <c r="AG275">
        <f>VLOOKUP(A:A,[1]android_repos_all_metrics!B:K,8,FALSE)</f>
        <v>4</v>
      </c>
      <c r="AH275">
        <f>VLOOKUP(A:A,[1]android_repos_all_metrics!B:K,9,FALSE)</f>
        <v>3</v>
      </c>
      <c r="AI275">
        <f>VLOOKUP(A:A,[1]android_repos_all_metrics!B:K,10,FALSE)</f>
        <v>0</v>
      </c>
    </row>
    <row r="276" spans="1:35">
      <c r="A276" t="s">
        <v>329</v>
      </c>
      <c r="B276" t="b">
        <v>1</v>
      </c>
      <c r="C276" t="b">
        <v>0</v>
      </c>
      <c r="D276" t="b">
        <v>0</v>
      </c>
      <c r="F276" t="b">
        <v>0</v>
      </c>
      <c r="H276" t="s">
        <v>37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>
        <v>1</v>
      </c>
      <c r="AB276">
        <v>0</v>
      </c>
      <c r="AC276">
        <f>VLOOKUP(A:A,[1]android_repos_all_metrics!B:K,4,FALSE)</f>
        <v>16</v>
      </c>
      <c r="AD276">
        <f>VLOOKUP(A:A,[1]android_repos_all_metrics!B:K,5,FALSE)</f>
        <v>1</v>
      </c>
      <c r="AE276">
        <f>VLOOKUP(A:A,[1]android_repos_all_metrics!B:K,6,FALSE)</f>
        <v>1</v>
      </c>
      <c r="AF276">
        <f>VLOOKUP(A:A,[1]android_repos_all_metrics!B:K,7,FALSE)</f>
        <v>952</v>
      </c>
      <c r="AG276">
        <f>VLOOKUP(A:A,[1]android_repos_all_metrics!B:K,8,FALSE)</f>
        <v>0</v>
      </c>
      <c r="AH276">
        <f>VLOOKUP(A:A,[1]android_repos_all_metrics!B:K,9,FALSE)</f>
        <v>2</v>
      </c>
      <c r="AI276">
        <f>VLOOKUP(A:A,[1]android_repos_all_metrics!B:K,10,FALSE)</f>
        <v>0</v>
      </c>
    </row>
    <row r="277" spans="1:35">
      <c r="A277" t="s">
        <v>330</v>
      </c>
      <c r="B277" t="b">
        <v>1</v>
      </c>
      <c r="C277" t="b">
        <v>1</v>
      </c>
      <c r="D277" t="b">
        <v>1</v>
      </c>
      <c r="E277" t="s">
        <v>36</v>
      </c>
      <c r="F277" t="b">
        <v>0</v>
      </c>
      <c r="H277" t="s">
        <v>37</v>
      </c>
      <c r="I277" t="s">
        <v>37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>
        <v>2</v>
      </c>
      <c r="AA277">
        <v>2</v>
      </c>
      <c r="AB277">
        <v>0</v>
      </c>
      <c r="AC277">
        <f>VLOOKUP(A:A,[1]android_repos_all_metrics!B:K,4,FALSE)</f>
        <v>138</v>
      </c>
      <c r="AD277">
        <f>VLOOKUP(A:A,[1]android_repos_all_metrics!B:K,5,FALSE)</f>
        <v>0</v>
      </c>
      <c r="AE277">
        <f>VLOOKUP(A:A,[1]android_repos_all_metrics!B:K,6,FALSE)</f>
        <v>1</v>
      </c>
      <c r="AF277">
        <f>VLOOKUP(A:A,[1]android_repos_all_metrics!B:K,7,FALSE)</f>
        <v>4070</v>
      </c>
      <c r="AG277">
        <f>VLOOKUP(A:A,[1]android_repos_all_metrics!B:K,8,FALSE)</f>
        <v>6</v>
      </c>
      <c r="AH277">
        <f>VLOOKUP(A:A,[1]android_repos_all_metrics!B:K,9,FALSE)</f>
        <v>23</v>
      </c>
      <c r="AI277">
        <f>VLOOKUP(A:A,[1]android_repos_all_metrics!B:K,10,FALSE)</f>
        <v>2</v>
      </c>
    </row>
    <row r="278" spans="1:35">
      <c r="A278" t="s">
        <v>331</v>
      </c>
      <c r="B278" t="b">
        <v>1</v>
      </c>
      <c r="C278" t="b">
        <v>0</v>
      </c>
      <c r="D278" t="b">
        <v>0</v>
      </c>
      <c r="F278" t="b">
        <v>0</v>
      </c>
      <c r="H278" t="s">
        <v>37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>
        <v>1</v>
      </c>
      <c r="AB278">
        <v>0</v>
      </c>
      <c r="AC278">
        <f>VLOOKUP(A:A,[1]android_repos_all_metrics!B:K,4,FALSE)</f>
        <v>106</v>
      </c>
      <c r="AD278">
        <f>VLOOKUP(A:A,[1]android_repos_all_metrics!B:K,5,FALSE)</f>
        <v>28</v>
      </c>
      <c r="AE278">
        <f>VLOOKUP(A:A,[1]android_repos_all_metrics!B:K,6,FALSE)</f>
        <v>1</v>
      </c>
      <c r="AF278">
        <f>VLOOKUP(A:A,[1]android_repos_all_metrics!B:K,7,FALSE)</f>
        <v>41738</v>
      </c>
      <c r="AG278">
        <f>VLOOKUP(A:A,[1]android_repos_all_metrics!B:K,8,FALSE)</f>
        <v>21</v>
      </c>
      <c r="AH278">
        <f>VLOOKUP(A:A,[1]android_repos_all_metrics!B:K,9,FALSE)</f>
        <v>122</v>
      </c>
      <c r="AI278">
        <f>VLOOKUP(A:A,[1]android_repos_all_metrics!B:K,10,FALSE)</f>
        <v>1</v>
      </c>
    </row>
    <row r="279" spans="1:35">
      <c r="A279" t="s">
        <v>332</v>
      </c>
      <c r="B279" t="b">
        <v>1</v>
      </c>
      <c r="C279" t="b">
        <v>0</v>
      </c>
      <c r="D279" t="b">
        <v>0</v>
      </c>
      <c r="F279" t="b">
        <v>0</v>
      </c>
      <c r="H279" t="s">
        <v>37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>
        <v>2</v>
      </c>
      <c r="AB279">
        <v>0</v>
      </c>
      <c r="AC279">
        <f>VLOOKUP(A:A,[1]android_repos_all_metrics!B:K,4,FALSE)</f>
        <v>728</v>
      </c>
      <c r="AD279">
        <f>VLOOKUP(A:A,[1]android_repos_all_metrics!B:K,5,FALSE)</f>
        <v>98</v>
      </c>
      <c r="AE279">
        <f>VLOOKUP(A:A,[1]android_repos_all_metrics!B:K,6,FALSE)</f>
        <v>22</v>
      </c>
      <c r="AF279">
        <f>VLOOKUP(A:A,[1]android_repos_all_metrics!B:K,7,FALSE)</f>
        <v>1411</v>
      </c>
      <c r="AG279">
        <f>VLOOKUP(A:A,[1]android_repos_all_metrics!B:K,8,FALSE)</f>
        <v>73</v>
      </c>
      <c r="AH279">
        <f>VLOOKUP(A:A,[1]android_repos_all_metrics!B:K,9,FALSE)</f>
        <v>351</v>
      </c>
      <c r="AI279">
        <f>VLOOKUP(A:A,[1]android_repos_all_metrics!B:K,10,FALSE)</f>
        <v>23</v>
      </c>
    </row>
    <row r="280" spans="1:35">
      <c r="A280" t="s">
        <v>333</v>
      </c>
      <c r="B280" t="b">
        <v>1</v>
      </c>
      <c r="C280" t="b">
        <v>0</v>
      </c>
      <c r="D280" t="b">
        <v>0</v>
      </c>
      <c r="F280" t="b">
        <v>0</v>
      </c>
      <c r="H280" t="s">
        <v>244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>
        <v>2</v>
      </c>
      <c r="AB280">
        <v>0</v>
      </c>
      <c r="AC280">
        <f>VLOOKUP(A:A,[1]android_repos_all_metrics!B:K,4,FALSE)</f>
        <v>93</v>
      </c>
      <c r="AD280">
        <f>VLOOKUP(A:A,[1]android_repos_all_metrics!B:K,5,FALSE)</f>
        <v>43</v>
      </c>
      <c r="AE280">
        <f>VLOOKUP(A:A,[1]android_repos_all_metrics!B:K,6,FALSE)</f>
        <v>16</v>
      </c>
      <c r="AF280">
        <f>VLOOKUP(A:A,[1]android_repos_all_metrics!B:K,7,FALSE)</f>
        <v>31537</v>
      </c>
      <c r="AG280">
        <f>VLOOKUP(A:A,[1]android_repos_all_metrics!B:K,8,FALSE)</f>
        <v>70</v>
      </c>
      <c r="AH280">
        <f>VLOOKUP(A:A,[1]android_repos_all_metrics!B:K,9,FALSE)</f>
        <v>449</v>
      </c>
      <c r="AI280">
        <f>VLOOKUP(A:A,[1]android_repos_all_metrics!B:K,10,FALSE)</f>
        <v>3</v>
      </c>
    </row>
    <row r="281" spans="1:35">
      <c r="A281" t="s">
        <v>334</v>
      </c>
      <c r="B281" t="b">
        <v>1</v>
      </c>
      <c r="C281" t="b">
        <v>0</v>
      </c>
      <c r="D281" t="b">
        <v>0</v>
      </c>
      <c r="F281" t="b">
        <v>0</v>
      </c>
      <c r="H281" t="s">
        <v>86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>
        <v>12</v>
      </c>
      <c r="AB281">
        <v>0</v>
      </c>
      <c r="AC281">
        <f>VLOOKUP(A:A,[1]android_repos_all_metrics!B:K,4,FALSE)</f>
        <v>1271</v>
      </c>
      <c r="AD281">
        <f>VLOOKUP(A:A,[1]android_repos_all_metrics!B:K,5,FALSE)</f>
        <v>53</v>
      </c>
      <c r="AE281">
        <f>VLOOKUP(A:A,[1]android_repos_all_metrics!B:K,6,FALSE)</f>
        <v>19</v>
      </c>
      <c r="AF281">
        <f>VLOOKUP(A:A,[1]android_repos_all_metrics!B:K,7,FALSE)</f>
        <v>157244</v>
      </c>
      <c r="AG281">
        <f>VLOOKUP(A:A,[1]android_repos_all_metrics!B:K,8,FALSE)</f>
        <v>179</v>
      </c>
      <c r="AH281">
        <f>VLOOKUP(A:A,[1]android_repos_all_metrics!B:K,9,FALSE)</f>
        <v>1631</v>
      </c>
      <c r="AI281">
        <f>VLOOKUP(A:A,[1]android_repos_all_metrics!B:K,10,FALSE)</f>
        <v>123</v>
      </c>
    </row>
    <row r="282" spans="1:35">
      <c r="A282" t="s">
        <v>335</v>
      </c>
      <c r="B282" t="b">
        <v>1</v>
      </c>
      <c r="C282" t="b">
        <v>1</v>
      </c>
      <c r="D282" t="b">
        <v>0</v>
      </c>
      <c r="F282" t="b">
        <v>1</v>
      </c>
      <c r="G282" t="s">
        <v>39</v>
      </c>
      <c r="H282" t="s">
        <v>41</v>
      </c>
      <c r="I282" t="s">
        <v>41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>
        <v>1</v>
      </c>
      <c r="AB282">
        <v>0</v>
      </c>
      <c r="AC282">
        <f>VLOOKUP(A:A,[1]android_repos_all_metrics!B:K,4,FALSE)</f>
        <v>280</v>
      </c>
      <c r="AD282">
        <f>VLOOKUP(A:A,[1]android_repos_all_metrics!B:K,5,FALSE)</f>
        <v>0</v>
      </c>
      <c r="AE282">
        <f>VLOOKUP(A:A,[1]android_repos_all_metrics!B:K,6,FALSE)</f>
        <v>1</v>
      </c>
      <c r="AF282">
        <f>VLOOKUP(A:A,[1]android_repos_all_metrics!B:K,7,FALSE)</f>
        <v>33868</v>
      </c>
      <c r="AG282">
        <f>VLOOKUP(A:A,[1]android_repos_all_metrics!B:K,8,FALSE)</f>
        <v>6</v>
      </c>
      <c r="AH282">
        <f>VLOOKUP(A:A,[1]android_repos_all_metrics!B:K,9,FALSE)</f>
        <v>23</v>
      </c>
      <c r="AI282">
        <f>VLOOKUP(A:A,[1]android_repos_all_metrics!B:K,10,FALSE)</f>
        <v>1</v>
      </c>
    </row>
    <row r="283" spans="1:35">
      <c r="A283" t="s">
        <v>336</v>
      </c>
      <c r="B283" t="b">
        <v>1</v>
      </c>
      <c r="C283" t="b">
        <v>0</v>
      </c>
      <c r="D283" t="b">
        <v>0</v>
      </c>
      <c r="F283" t="b">
        <v>0</v>
      </c>
      <c r="H283" t="s">
        <v>37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>
        <v>7</v>
      </c>
      <c r="AB283">
        <v>0</v>
      </c>
      <c r="AC283">
        <f>VLOOKUP(A:A,[1]android_repos_all_metrics!B:K,4,FALSE)</f>
        <v>65</v>
      </c>
      <c r="AD283">
        <f>VLOOKUP(A:A,[1]android_repos_all_metrics!B:K,5,FALSE)</f>
        <v>1</v>
      </c>
      <c r="AE283">
        <f>VLOOKUP(A:A,[1]android_repos_all_metrics!B:K,6,FALSE)</f>
        <v>2</v>
      </c>
      <c r="AF283">
        <f>VLOOKUP(A:A,[1]android_repos_all_metrics!B:K,7,FALSE)</f>
        <v>6055</v>
      </c>
      <c r="AG283">
        <f>VLOOKUP(A:A,[1]android_repos_all_metrics!B:K,8,FALSE)</f>
        <v>10</v>
      </c>
      <c r="AH283">
        <f>VLOOKUP(A:A,[1]android_repos_all_metrics!B:K,9,FALSE)</f>
        <v>55</v>
      </c>
      <c r="AI283">
        <f>VLOOKUP(A:A,[1]android_repos_all_metrics!B:K,10,FALSE)</f>
        <v>1</v>
      </c>
    </row>
    <row r="284" spans="1:35">
      <c r="A284" t="s">
        <v>337</v>
      </c>
      <c r="B284" t="b">
        <v>1</v>
      </c>
      <c r="C284" t="b">
        <v>0</v>
      </c>
      <c r="D284" t="b">
        <v>0</v>
      </c>
      <c r="F284" t="b">
        <v>0</v>
      </c>
      <c r="H284" t="s">
        <v>37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>
        <v>7</v>
      </c>
      <c r="AB284">
        <v>1</v>
      </c>
      <c r="AC284">
        <f>VLOOKUP(A:A,[1]android_repos_all_metrics!B:K,4,FALSE)</f>
        <v>2809</v>
      </c>
      <c r="AD284">
        <f>VLOOKUP(A:A,[1]android_repos_all_metrics!B:K,5,FALSE)</f>
        <v>978</v>
      </c>
      <c r="AE284">
        <f>VLOOKUP(A:A,[1]android_repos_all_metrics!B:K,6,FALSE)</f>
        <v>13</v>
      </c>
      <c r="AF284">
        <f>VLOOKUP(A:A,[1]android_repos_all_metrics!B:K,7,FALSE)</f>
        <v>25749</v>
      </c>
      <c r="AG284">
        <f>VLOOKUP(A:A,[1]android_repos_all_metrics!B:K,8,FALSE)</f>
        <v>3</v>
      </c>
      <c r="AH284">
        <f>VLOOKUP(A:A,[1]android_repos_all_metrics!B:K,9,FALSE)</f>
        <v>19</v>
      </c>
      <c r="AI284">
        <f>VLOOKUP(A:A,[1]android_repos_all_metrics!B:K,10,FALSE)</f>
        <v>8</v>
      </c>
    </row>
    <row r="285" spans="1:35">
      <c r="A285" t="s">
        <v>338</v>
      </c>
      <c r="B285" t="b">
        <v>0</v>
      </c>
      <c r="C285" t="b">
        <v>0</v>
      </c>
      <c r="D285" t="b">
        <v>0</v>
      </c>
      <c r="F285" t="b">
        <v>0</v>
      </c>
      <c r="H285" t="s">
        <v>43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>
        <v>1</v>
      </c>
      <c r="AB285">
        <v>0</v>
      </c>
      <c r="AC285">
        <f>VLOOKUP(A:A,[1]android_repos_all_metrics!B:K,4,FALSE)</f>
        <v>13</v>
      </c>
      <c r="AD285">
        <f>VLOOKUP(A:A,[1]android_repos_all_metrics!B:K,5,FALSE)</f>
        <v>2</v>
      </c>
      <c r="AE285">
        <f>VLOOKUP(A:A,[1]android_repos_all_metrics!B:K,6,FALSE)</f>
        <v>1</v>
      </c>
      <c r="AF285">
        <f>VLOOKUP(A:A,[1]android_repos_all_metrics!B:K,7,FALSE)</f>
        <v>158</v>
      </c>
      <c r="AG285">
        <f>VLOOKUP(A:A,[1]android_repos_all_metrics!B:K,8,FALSE)</f>
        <v>0</v>
      </c>
      <c r="AH285">
        <f>VLOOKUP(A:A,[1]android_repos_all_metrics!B:K,9,FALSE)</f>
        <v>1</v>
      </c>
      <c r="AI285">
        <f>VLOOKUP(A:A,[1]android_repos_all_metrics!B:K,10,FALSE)</f>
        <v>0</v>
      </c>
    </row>
    <row r="286" spans="1:35">
      <c r="A286" t="s">
        <v>339</v>
      </c>
      <c r="B286" t="b">
        <v>0</v>
      </c>
      <c r="C286" t="b">
        <v>0</v>
      </c>
      <c r="D286" t="b">
        <v>0</v>
      </c>
      <c r="F286" t="b">
        <v>0</v>
      </c>
      <c r="H286" t="s">
        <v>41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>
        <v>1</v>
      </c>
      <c r="AB286">
        <v>0</v>
      </c>
      <c r="AC286">
        <f>VLOOKUP(A:A,[1]android_repos_all_metrics!B:K,4,FALSE)</f>
        <v>23</v>
      </c>
      <c r="AD286">
        <f>VLOOKUP(A:A,[1]android_repos_all_metrics!B:K,5,FALSE)</f>
        <v>0</v>
      </c>
      <c r="AE286">
        <f>VLOOKUP(A:A,[1]android_repos_all_metrics!B:K,6,FALSE)</f>
        <v>1</v>
      </c>
      <c r="AF286">
        <f>VLOOKUP(A:A,[1]android_repos_all_metrics!B:K,7,FALSE)</f>
        <v>664</v>
      </c>
      <c r="AG286">
        <f>VLOOKUP(A:A,[1]android_repos_all_metrics!B:K,8,FALSE)</f>
        <v>4</v>
      </c>
      <c r="AH286">
        <f>VLOOKUP(A:A,[1]android_repos_all_metrics!B:K,9,FALSE)</f>
        <v>30</v>
      </c>
      <c r="AI286">
        <f>VLOOKUP(A:A,[1]android_repos_all_metrics!B:K,10,FALSE)</f>
        <v>1</v>
      </c>
    </row>
    <row r="287" spans="1:35">
      <c r="A287" t="s">
        <v>340</v>
      </c>
      <c r="B287" t="b">
        <v>1</v>
      </c>
      <c r="C287" t="b">
        <v>0</v>
      </c>
      <c r="D287" t="b">
        <v>0</v>
      </c>
      <c r="F287" t="b">
        <v>0</v>
      </c>
      <c r="H287" t="s">
        <v>37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>
        <v>1</v>
      </c>
      <c r="AB287">
        <v>0</v>
      </c>
      <c r="AC287">
        <f>VLOOKUP(A:A,[1]android_repos_all_metrics!B:K,4,FALSE)</f>
        <v>1683</v>
      </c>
      <c r="AD287">
        <f>VLOOKUP(A:A,[1]android_repos_all_metrics!B:K,5,FALSE)</f>
        <v>66</v>
      </c>
      <c r="AE287">
        <f>VLOOKUP(A:A,[1]android_repos_all_metrics!B:K,6,FALSE)</f>
        <v>23</v>
      </c>
      <c r="AF287">
        <f>VLOOKUP(A:A,[1]android_repos_all_metrics!B:K,7,FALSE)</f>
        <v>50808</v>
      </c>
      <c r="AG287">
        <f>VLOOKUP(A:A,[1]android_repos_all_metrics!B:K,8,FALSE)</f>
        <v>80</v>
      </c>
      <c r="AH287">
        <f>VLOOKUP(A:A,[1]android_repos_all_metrics!B:K,9,FALSE)</f>
        <v>982</v>
      </c>
      <c r="AI287">
        <f>VLOOKUP(A:A,[1]android_repos_all_metrics!B:K,10,FALSE)</f>
        <v>42</v>
      </c>
    </row>
    <row r="288" spans="1:35">
      <c r="A288" t="s">
        <v>341</v>
      </c>
      <c r="B288" t="b">
        <v>1</v>
      </c>
      <c r="C288" t="b">
        <v>0</v>
      </c>
      <c r="D288" t="b">
        <v>0</v>
      </c>
      <c r="F288" t="b">
        <v>0</v>
      </c>
      <c r="H288" t="s">
        <v>41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>
        <v>1</v>
      </c>
      <c r="AB288">
        <v>0</v>
      </c>
      <c r="AC288">
        <f>VLOOKUP(A:A,[1]android_repos_all_metrics!B:K,4,FALSE)</f>
        <v>2142</v>
      </c>
      <c r="AD288">
        <f>VLOOKUP(A:A,[1]android_repos_all_metrics!B:K,5,FALSE)</f>
        <v>226</v>
      </c>
      <c r="AE288">
        <f>VLOOKUP(A:A,[1]android_repos_all_metrics!B:K,6,FALSE)</f>
        <v>32</v>
      </c>
      <c r="AF288">
        <f>VLOOKUP(A:A,[1]android_repos_all_metrics!B:K,7,FALSE)</f>
        <v>16902</v>
      </c>
      <c r="AG288">
        <f>VLOOKUP(A:A,[1]android_repos_all_metrics!B:K,8,FALSE)</f>
        <v>118</v>
      </c>
      <c r="AH288">
        <f>VLOOKUP(A:A,[1]android_repos_all_metrics!B:K,9,FALSE)</f>
        <v>132</v>
      </c>
      <c r="AI288">
        <f>VLOOKUP(A:A,[1]android_repos_all_metrics!B:K,10,FALSE)</f>
        <v>132</v>
      </c>
    </row>
    <row r="289" spans="1:35">
      <c r="A289" t="s">
        <v>342</v>
      </c>
      <c r="B289" t="b">
        <v>1</v>
      </c>
      <c r="C289" t="b">
        <v>0</v>
      </c>
      <c r="D289" t="b">
        <v>0</v>
      </c>
      <c r="F289" t="b">
        <v>0</v>
      </c>
      <c r="H289" t="s">
        <v>37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>
        <v>2</v>
      </c>
      <c r="AB289">
        <v>0</v>
      </c>
      <c r="AC289">
        <f>VLOOKUP(A:A,[1]android_repos_all_metrics!B:K,4,FALSE)</f>
        <v>60</v>
      </c>
      <c r="AD289">
        <f>VLOOKUP(A:A,[1]android_repos_all_metrics!B:K,5,FALSE)</f>
        <v>11</v>
      </c>
      <c r="AE289">
        <f>VLOOKUP(A:A,[1]android_repos_all_metrics!B:K,6,FALSE)</f>
        <v>5</v>
      </c>
      <c r="AF289">
        <f>VLOOKUP(A:A,[1]android_repos_all_metrics!B:K,7,FALSE)</f>
        <v>5026</v>
      </c>
      <c r="AG289">
        <f>VLOOKUP(A:A,[1]android_repos_all_metrics!B:K,8,FALSE)</f>
        <v>35</v>
      </c>
      <c r="AH289">
        <f>VLOOKUP(A:A,[1]android_repos_all_metrics!B:K,9,FALSE)</f>
        <v>528</v>
      </c>
      <c r="AI289">
        <f>VLOOKUP(A:A,[1]android_repos_all_metrics!B:K,10,FALSE)</f>
        <v>2</v>
      </c>
    </row>
    <row r="290" spans="1:35">
      <c r="A290" t="s">
        <v>343</v>
      </c>
      <c r="B290" t="b">
        <v>1</v>
      </c>
      <c r="C290" t="b">
        <v>0</v>
      </c>
      <c r="D290" t="b">
        <v>0</v>
      </c>
      <c r="F290" t="b">
        <v>0</v>
      </c>
      <c r="H290" t="s">
        <v>37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>
        <v>2</v>
      </c>
      <c r="AB290">
        <v>0</v>
      </c>
      <c r="AC290">
        <f>VLOOKUP(A:A,[1]android_repos_all_metrics!B:K,4,FALSE)</f>
        <v>2624</v>
      </c>
      <c r="AD290">
        <f>VLOOKUP(A:A,[1]android_repos_all_metrics!B:K,5,FALSE)</f>
        <v>95</v>
      </c>
      <c r="AE290">
        <f>VLOOKUP(A:A,[1]android_repos_all_metrics!B:K,6,FALSE)</f>
        <v>14</v>
      </c>
      <c r="AF290">
        <f>VLOOKUP(A:A,[1]android_repos_all_metrics!B:K,7,FALSE)</f>
        <v>229778</v>
      </c>
      <c r="AG290">
        <f>VLOOKUP(A:A,[1]android_repos_all_metrics!B:K,8,FALSE)</f>
        <v>51</v>
      </c>
      <c r="AH290">
        <f>VLOOKUP(A:A,[1]android_repos_all_metrics!B:K,9,FALSE)</f>
        <v>880</v>
      </c>
      <c r="AI290">
        <f>VLOOKUP(A:A,[1]android_repos_all_metrics!B:K,10,FALSE)</f>
        <v>54</v>
      </c>
    </row>
    <row r="291" spans="1:35">
      <c r="A291" t="s">
        <v>344</v>
      </c>
      <c r="B291" t="b">
        <v>1</v>
      </c>
      <c r="C291" t="b">
        <v>0</v>
      </c>
      <c r="D291" t="b">
        <v>0</v>
      </c>
      <c r="F291" t="b">
        <v>0</v>
      </c>
      <c r="H291" t="s">
        <v>37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>
        <v>2</v>
      </c>
      <c r="AB291">
        <v>0</v>
      </c>
      <c r="AC291">
        <f>VLOOKUP(A:A,[1]android_repos_all_metrics!B:K,4,FALSE)</f>
        <v>517</v>
      </c>
      <c r="AD291">
        <f>VLOOKUP(A:A,[1]android_repos_all_metrics!B:K,5,FALSE)</f>
        <v>33</v>
      </c>
      <c r="AE291">
        <f>VLOOKUP(A:A,[1]android_repos_all_metrics!B:K,6,FALSE)</f>
        <v>18</v>
      </c>
      <c r="AF291">
        <f>VLOOKUP(A:A,[1]android_repos_all_metrics!B:K,7,FALSE)</f>
        <v>2367</v>
      </c>
      <c r="AG291">
        <f>VLOOKUP(A:A,[1]android_repos_all_metrics!B:K,8,FALSE)</f>
        <v>30</v>
      </c>
      <c r="AH291">
        <f>VLOOKUP(A:A,[1]android_repos_all_metrics!B:K,9,FALSE)</f>
        <v>291</v>
      </c>
      <c r="AI291">
        <f>VLOOKUP(A:A,[1]android_repos_all_metrics!B:K,10,FALSE)</f>
        <v>15</v>
      </c>
    </row>
    <row r="292" spans="1:35">
      <c r="A292" t="s">
        <v>345</v>
      </c>
      <c r="B292" t="b">
        <v>1</v>
      </c>
      <c r="C292" t="b">
        <v>1</v>
      </c>
      <c r="D292" t="b">
        <v>1</v>
      </c>
      <c r="E292" t="s">
        <v>104</v>
      </c>
      <c r="F292" t="b">
        <v>0</v>
      </c>
      <c r="H292" t="s">
        <v>86</v>
      </c>
      <c r="I292" t="s">
        <v>37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>
        <v>2</v>
      </c>
      <c r="AB292">
        <v>0</v>
      </c>
      <c r="AC292">
        <f>VLOOKUP(A:A,[1]android_repos_all_metrics!B:K,4,FALSE)</f>
        <v>184</v>
      </c>
      <c r="AD292">
        <f>VLOOKUP(A:A,[1]android_repos_all_metrics!B:K,5,FALSE)</f>
        <v>30</v>
      </c>
      <c r="AE292">
        <f>VLOOKUP(A:A,[1]android_repos_all_metrics!B:K,6,FALSE)</f>
        <v>5</v>
      </c>
      <c r="AF292">
        <f>VLOOKUP(A:A,[1]android_repos_all_metrics!B:K,7,FALSE)</f>
        <v>676</v>
      </c>
      <c r="AG292">
        <f>VLOOKUP(A:A,[1]android_repos_all_metrics!B:K,8,FALSE)</f>
        <v>19</v>
      </c>
      <c r="AH292">
        <f>VLOOKUP(A:A,[1]android_repos_all_metrics!B:K,9,FALSE)</f>
        <v>103</v>
      </c>
      <c r="AI292">
        <f>VLOOKUP(A:A,[1]android_repos_all_metrics!B:K,10,FALSE)</f>
        <v>36</v>
      </c>
    </row>
    <row r="293" spans="1:35">
      <c r="A293" t="s">
        <v>346</v>
      </c>
      <c r="B293" t="b">
        <v>0</v>
      </c>
      <c r="C293" t="b">
        <v>0</v>
      </c>
      <c r="D293" t="b">
        <v>0</v>
      </c>
      <c r="F293" t="b">
        <v>0</v>
      </c>
      <c r="H293" t="s">
        <v>41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>
        <v>1</v>
      </c>
      <c r="AB293">
        <v>0</v>
      </c>
      <c r="AC293">
        <f>VLOOKUP(A:A,[1]android_repos_all_metrics!B:K,4,FALSE)</f>
        <v>108</v>
      </c>
      <c r="AD293">
        <f>VLOOKUP(A:A,[1]android_repos_all_metrics!B:K,5,FALSE)</f>
        <v>3</v>
      </c>
      <c r="AE293">
        <f>VLOOKUP(A:A,[1]android_repos_all_metrics!B:K,6,FALSE)</f>
        <v>3</v>
      </c>
      <c r="AF293">
        <f>VLOOKUP(A:A,[1]android_repos_all_metrics!B:K,7,FALSE)</f>
        <v>677</v>
      </c>
      <c r="AG293">
        <f>VLOOKUP(A:A,[1]android_repos_all_metrics!B:K,8,FALSE)</f>
        <v>2</v>
      </c>
      <c r="AH293">
        <f>VLOOKUP(A:A,[1]android_repos_all_metrics!B:K,9,FALSE)</f>
        <v>1</v>
      </c>
      <c r="AI293">
        <f>VLOOKUP(A:A,[1]android_repos_all_metrics!B:K,10,FALSE)</f>
        <v>1</v>
      </c>
    </row>
    <row r="294" spans="1:35">
      <c r="A294" t="s">
        <v>347</v>
      </c>
      <c r="B294" t="b">
        <v>1</v>
      </c>
      <c r="C294" t="b">
        <v>0</v>
      </c>
      <c r="D294" t="b">
        <v>0</v>
      </c>
      <c r="F294" t="b">
        <v>0</v>
      </c>
      <c r="H294" t="s">
        <v>37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>
        <v>2</v>
      </c>
      <c r="AB294">
        <v>0</v>
      </c>
      <c r="AC294">
        <f>VLOOKUP(A:A,[1]android_repos_all_metrics!B:K,4,FALSE)</f>
        <v>164</v>
      </c>
      <c r="AD294">
        <f>VLOOKUP(A:A,[1]android_repos_all_metrics!B:K,5,FALSE)</f>
        <v>22</v>
      </c>
      <c r="AE294">
        <f>VLOOKUP(A:A,[1]android_repos_all_metrics!B:K,6,FALSE)</f>
        <v>10</v>
      </c>
      <c r="AF294">
        <f>VLOOKUP(A:A,[1]android_repos_all_metrics!B:K,7,FALSE)</f>
        <v>80536</v>
      </c>
      <c r="AG294">
        <f>VLOOKUP(A:A,[1]android_repos_all_metrics!B:K,8,FALSE)</f>
        <v>11</v>
      </c>
      <c r="AH294">
        <f>VLOOKUP(A:A,[1]android_repos_all_metrics!B:K,9,FALSE)</f>
        <v>6</v>
      </c>
      <c r="AI294">
        <f>VLOOKUP(A:A,[1]android_repos_all_metrics!B:K,10,FALSE)</f>
        <v>0</v>
      </c>
    </row>
    <row r="295" spans="1:35">
      <c r="A295" t="s">
        <v>348</v>
      </c>
      <c r="B295" t="b">
        <v>1</v>
      </c>
      <c r="C295" t="b">
        <v>0</v>
      </c>
      <c r="D295" t="b">
        <v>0</v>
      </c>
      <c r="F295" t="b">
        <v>0</v>
      </c>
      <c r="H295" t="s">
        <v>43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>
        <v>1</v>
      </c>
      <c r="AB295">
        <v>0</v>
      </c>
      <c r="AC295">
        <f>VLOOKUP(A:A,[1]android_repos_all_metrics!B:K,4,FALSE)</f>
        <v>394</v>
      </c>
      <c r="AD295">
        <f>VLOOKUP(A:A,[1]android_repos_all_metrics!B:K,5,FALSE)</f>
        <v>77</v>
      </c>
      <c r="AE295">
        <f>VLOOKUP(A:A,[1]android_repos_all_metrics!B:K,6,FALSE)</f>
        <v>4</v>
      </c>
      <c r="AF295">
        <f>VLOOKUP(A:A,[1]android_repos_all_metrics!B:K,7,FALSE)</f>
        <v>13822</v>
      </c>
      <c r="AG295">
        <f>VLOOKUP(A:A,[1]android_repos_all_metrics!B:K,8,FALSE)</f>
        <v>61</v>
      </c>
      <c r="AH295">
        <f>VLOOKUP(A:A,[1]android_repos_all_metrics!B:K,9,FALSE)</f>
        <v>223</v>
      </c>
      <c r="AI295">
        <f>VLOOKUP(A:A,[1]android_repos_all_metrics!B:K,10,FALSE)</f>
        <v>5</v>
      </c>
    </row>
    <row r="296" spans="1:35">
      <c r="A296" t="s">
        <v>349</v>
      </c>
      <c r="B296" t="b">
        <v>1</v>
      </c>
      <c r="C296" t="b">
        <v>0</v>
      </c>
      <c r="D296" t="b">
        <v>0</v>
      </c>
      <c r="F296" t="b">
        <v>0</v>
      </c>
      <c r="H296" t="s">
        <v>37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>
        <v>1</v>
      </c>
      <c r="AB296">
        <v>0</v>
      </c>
      <c r="AC296">
        <f>VLOOKUP(A:A,[1]android_repos_all_metrics!B:K,4,FALSE)</f>
        <v>248</v>
      </c>
      <c r="AD296">
        <f>VLOOKUP(A:A,[1]android_repos_all_metrics!B:K,5,FALSE)</f>
        <v>5</v>
      </c>
      <c r="AE296">
        <f>VLOOKUP(A:A,[1]android_repos_all_metrics!B:K,6,FALSE)</f>
        <v>3</v>
      </c>
      <c r="AF296">
        <f>VLOOKUP(A:A,[1]android_repos_all_metrics!B:K,7,FALSE)</f>
        <v>1088</v>
      </c>
      <c r="AG296">
        <f>VLOOKUP(A:A,[1]android_repos_all_metrics!B:K,8,FALSE)</f>
        <v>0</v>
      </c>
      <c r="AH296">
        <f>VLOOKUP(A:A,[1]android_repos_all_metrics!B:K,9,FALSE)</f>
        <v>3</v>
      </c>
      <c r="AI296">
        <f>VLOOKUP(A:A,[1]android_repos_all_metrics!B:K,10,FALSE)</f>
        <v>1</v>
      </c>
    </row>
    <row r="297" spans="1:35">
      <c r="A297" t="s">
        <v>350</v>
      </c>
      <c r="B297" t="b">
        <v>1</v>
      </c>
      <c r="C297" t="b">
        <v>0</v>
      </c>
      <c r="D297" t="b">
        <v>0</v>
      </c>
      <c r="F297" t="b">
        <v>0</v>
      </c>
      <c r="H297" t="s">
        <v>37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>
        <v>1</v>
      </c>
      <c r="AB297">
        <v>0</v>
      </c>
      <c r="AC297">
        <f>VLOOKUP(A:A,[1]android_repos_all_metrics!B:K,4,FALSE)</f>
        <v>198</v>
      </c>
      <c r="AD297">
        <f>VLOOKUP(A:A,[1]android_repos_all_metrics!B:K,5,FALSE)</f>
        <v>74</v>
      </c>
      <c r="AE297">
        <f>VLOOKUP(A:A,[1]android_repos_all_metrics!B:K,6,FALSE)</f>
        <v>4</v>
      </c>
      <c r="AF297">
        <f>VLOOKUP(A:A,[1]android_repos_all_metrics!B:K,7,FALSE)</f>
        <v>50603</v>
      </c>
      <c r="AG297">
        <f>VLOOKUP(A:A,[1]android_repos_all_metrics!B:K,8,FALSE)</f>
        <v>16</v>
      </c>
      <c r="AH297">
        <f>VLOOKUP(A:A,[1]android_repos_all_metrics!B:K,9,FALSE)</f>
        <v>24</v>
      </c>
      <c r="AI297">
        <f>VLOOKUP(A:A,[1]android_repos_all_metrics!B:K,10,FALSE)</f>
        <v>2</v>
      </c>
    </row>
    <row r="298" spans="1:35">
      <c r="A298" t="s">
        <v>351</v>
      </c>
      <c r="B298" t="b">
        <v>1</v>
      </c>
      <c r="C298" t="b">
        <v>0</v>
      </c>
      <c r="D298" t="b">
        <v>0</v>
      </c>
      <c r="F298" t="b">
        <v>0</v>
      </c>
      <c r="H298" t="s">
        <v>37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>
        <v>1</v>
      </c>
      <c r="AB298">
        <v>0</v>
      </c>
      <c r="AC298">
        <f>VLOOKUP(A:A,[1]android_repos_all_metrics!B:K,4,FALSE)</f>
        <v>80</v>
      </c>
      <c r="AD298">
        <f>VLOOKUP(A:A,[1]android_repos_all_metrics!B:K,5,FALSE)</f>
        <v>3</v>
      </c>
      <c r="AE298">
        <f>VLOOKUP(A:A,[1]android_repos_all_metrics!B:K,6,FALSE)</f>
        <v>2</v>
      </c>
      <c r="AF298">
        <f>VLOOKUP(A:A,[1]android_repos_all_metrics!B:K,7,FALSE)</f>
        <v>33771</v>
      </c>
      <c r="AG298">
        <f>VLOOKUP(A:A,[1]android_repos_all_metrics!B:K,8,FALSE)</f>
        <v>3</v>
      </c>
      <c r="AH298">
        <f>VLOOKUP(A:A,[1]android_repos_all_metrics!B:K,9,FALSE)</f>
        <v>13</v>
      </c>
      <c r="AI298">
        <f>VLOOKUP(A:A,[1]android_repos_all_metrics!B:K,10,FALSE)</f>
        <v>7</v>
      </c>
    </row>
    <row r="299" spans="1:35">
      <c r="A299" t="s">
        <v>352</v>
      </c>
      <c r="B299" t="b">
        <v>1</v>
      </c>
      <c r="C299" t="b">
        <v>0</v>
      </c>
      <c r="D299" t="b">
        <v>0</v>
      </c>
      <c r="F299" t="b">
        <v>0</v>
      </c>
      <c r="H299" t="s">
        <v>37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>
        <v>1</v>
      </c>
      <c r="AB299">
        <v>0</v>
      </c>
      <c r="AC299">
        <f>VLOOKUP(A:A,[1]android_repos_all_metrics!B:K,4,FALSE)</f>
        <v>344</v>
      </c>
      <c r="AD299">
        <f>VLOOKUP(A:A,[1]android_repos_all_metrics!B:K,5,FALSE)</f>
        <v>52</v>
      </c>
      <c r="AE299">
        <f>VLOOKUP(A:A,[1]android_repos_all_metrics!B:K,6,FALSE)</f>
        <v>29</v>
      </c>
      <c r="AF299">
        <f>VLOOKUP(A:A,[1]android_repos_all_metrics!B:K,7,FALSE)</f>
        <v>24701</v>
      </c>
      <c r="AG299">
        <f>VLOOKUP(A:A,[1]android_repos_all_metrics!B:K,8,FALSE)</f>
        <v>10</v>
      </c>
      <c r="AH299">
        <f>VLOOKUP(A:A,[1]android_repos_all_metrics!B:K,9,FALSE)</f>
        <v>31</v>
      </c>
      <c r="AI299">
        <f>VLOOKUP(A:A,[1]android_repos_all_metrics!B:K,10,FALSE)</f>
        <v>4</v>
      </c>
    </row>
    <row r="300" spans="1:35">
      <c r="A300" t="s">
        <v>353</v>
      </c>
      <c r="B300" t="b">
        <v>1</v>
      </c>
      <c r="C300" t="b">
        <v>0</v>
      </c>
      <c r="D300" t="b">
        <v>0</v>
      </c>
      <c r="F300" t="b">
        <v>0</v>
      </c>
      <c r="H300" t="s">
        <v>37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>
        <v>1</v>
      </c>
      <c r="AB300">
        <v>0</v>
      </c>
      <c r="AC300">
        <f>VLOOKUP(A:A,[1]android_repos_all_metrics!B:K,4,FALSE)</f>
        <v>64</v>
      </c>
      <c r="AD300">
        <f>VLOOKUP(A:A,[1]android_repos_all_metrics!B:K,5,FALSE)</f>
        <v>11</v>
      </c>
      <c r="AE300">
        <f>VLOOKUP(A:A,[1]android_repos_all_metrics!B:K,6,FALSE)</f>
        <v>2</v>
      </c>
      <c r="AF300">
        <f>VLOOKUP(A:A,[1]android_repos_all_metrics!B:K,7,FALSE)</f>
        <v>1171</v>
      </c>
      <c r="AG300">
        <f>VLOOKUP(A:A,[1]android_repos_all_metrics!B:K,8,FALSE)</f>
        <v>2</v>
      </c>
      <c r="AH300">
        <f>VLOOKUP(A:A,[1]android_repos_all_metrics!B:K,9,FALSE)</f>
        <v>29</v>
      </c>
      <c r="AI300">
        <f>VLOOKUP(A:A,[1]android_repos_all_metrics!B:K,10,FALSE)</f>
        <v>3</v>
      </c>
    </row>
    <row r="301" spans="1:35">
      <c r="A301" t="s">
        <v>354</v>
      </c>
      <c r="B301" t="b">
        <v>1</v>
      </c>
      <c r="C301" t="b">
        <v>0</v>
      </c>
      <c r="D301" t="b">
        <v>0</v>
      </c>
      <c r="F301" t="b">
        <v>0</v>
      </c>
      <c r="H301" t="s">
        <v>37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>
        <v>1</v>
      </c>
      <c r="AB301">
        <v>0</v>
      </c>
      <c r="AC301">
        <f>VLOOKUP(A:A,[1]android_repos_all_metrics!B:K,4,FALSE)</f>
        <v>487</v>
      </c>
      <c r="AD301">
        <f>VLOOKUP(A:A,[1]android_repos_all_metrics!B:K,5,FALSE)</f>
        <v>564</v>
      </c>
      <c r="AE301">
        <f>VLOOKUP(A:A,[1]android_repos_all_metrics!B:K,6,FALSE)</f>
        <v>43</v>
      </c>
      <c r="AF301">
        <f>VLOOKUP(A:A,[1]android_repos_all_metrics!B:K,7,FALSE)</f>
        <v>30973</v>
      </c>
      <c r="AG301">
        <f>VLOOKUP(A:A,[1]android_repos_all_metrics!B:K,8,FALSE)</f>
        <v>179</v>
      </c>
      <c r="AH301">
        <f>VLOOKUP(A:A,[1]android_repos_all_metrics!B:K,9,FALSE)</f>
        <v>1777</v>
      </c>
      <c r="AI301">
        <f>VLOOKUP(A:A,[1]android_repos_all_metrics!B:K,10,FALSE)</f>
        <v>35</v>
      </c>
    </row>
    <row r="302" spans="1:35">
      <c r="A302" t="s">
        <v>355</v>
      </c>
      <c r="B302" t="b">
        <v>1</v>
      </c>
      <c r="C302" t="b">
        <v>1</v>
      </c>
      <c r="D302" t="b">
        <v>0</v>
      </c>
      <c r="F302" t="b">
        <v>1</v>
      </c>
      <c r="G302" t="s">
        <v>39</v>
      </c>
      <c r="H302" t="s">
        <v>41</v>
      </c>
      <c r="I302" t="s">
        <v>41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>
        <v>1</v>
      </c>
      <c r="AB302">
        <v>0</v>
      </c>
      <c r="AC302">
        <f>VLOOKUP(A:A,[1]android_repos_all_metrics!B:K,4,FALSE)</f>
        <v>14</v>
      </c>
      <c r="AD302">
        <f>VLOOKUP(A:A,[1]android_repos_all_metrics!B:K,5,FALSE)</f>
        <v>1</v>
      </c>
      <c r="AE302">
        <f>VLOOKUP(A:A,[1]android_repos_all_metrics!B:K,6,FALSE)</f>
        <v>1</v>
      </c>
      <c r="AF302">
        <f>VLOOKUP(A:A,[1]android_repos_all_metrics!B:K,7,FALSE)</f>
        <v>937</v>
      </c>
      <c r="AG302">
        <f>VLOOKUP(A:A,[1]android_repos_all_metrics!B:K,8,FALSE)</f>
        <v>2</v>
      </c>
      <c r="AH302">
        <f>VLOOKUP(A:A,[1]android_repos_all_metrics!B:K,9,FALSE)</f>
        <v>1</v>
      </c>
      <c r="AI302">
        <f>VLOOKUP(A:A,[1]android_repos_all_metrics!B:K,10,FALSE)</f>
        <v>0</v>
      </c>
    </row>
    <row r="303" spans="1:35">
      <c r="A303" t="s">
        <v>356</v>
      </c>
      <c r="B303" t="b">
        <v>1</v>
      </c>
      <c r="C303" t="b">
        <v>0</v>
      </c>
      <c r="D303" t="b">
        <v>0</v>
      </c>
      <c r="F303" t="b">
        <v>0</v>
      </c>
      <c r="H303" t="s">
        <v>41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>
        <v>1</v>
      </c>
      <c r="AB303">
        <v>0</v>
      </c>
      <c r="AC303">
        <f>VLOOKUP(A:A,[1]android_repos_all_metrics!B:K,4,FALSE)</f>
        <v>376</v>
      </c>
      <c r="AD303">
        <f>VLOOKUP(A:A,[1]android_repos_all_metrics!B:K,5,FALSE)</f>
        <v>5</v>
      </c>
      <c r="AE303">
        <f>VLOOKUP(A:A,[1]android_repos_all_metrics!B:K,6,FALSE)</f>
        <v>2</v>
      </c>
      <c r="AF303">
        <f>VLOOKUP(A:A,[1]android_repos_all_metrics!B:K,7,FALSE)</f>
        <v>11888</v>
      </c>
      <c r="AG303">
        <f>VLOOKUP(A:A,[1]android_repos_all_metrics!B:K,8,FALSE)</f>
        <v>27</v>
      </c>
      <c r="AH303">
        <f>VLOOKUP(A:A,[1]android_repos_all_metrics!B:K,9,FALSE)</f>
        <v>35</v>
      </c>
      <c r="AI303">
        <f>VLOOKUP(A:A,[1]android_repos_all_metrics!B:K,10,FALSE)</f>
        <v>3</v>
      </c>
    </row>
    <row r="304" spans="1:35">
      <c r="A304" t="s">
        <v>357</v>
      </c>
      <c r="B304" t="b">
        <v>1</v>
      </c>
      <c r="C304" t="b">
        <v>1</v>
      </c>
      <c r="D304" t="b">
        <v>0</v>
      </c>
      <c r="F304" t="b">
        <v>1</v>
      </c>
      <c r="G304" t="s">
        <v>39</v>
      </c>
      <c r="H304" t="s">
        <v>86</v>
      </c>
      <c r="I304" t="s">
        <v>41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>
        <v>2</v>
      </c>
      <c r="AB304">
        <v>0</v>
      </c>
      <c r="AC304">
        <f>VLOOKUP(A:A,[1]android_repos_all_metrics!B:K,4,FALSE)</f>
        <v>989</v>
      </c>
      <c r="AD304">
        <f>VLOOKUP(A:A,[1]android_repos_all_metrics!B:K,5,FALSE)</f>
        <v>1037</v>
      </c>
      <c r="AE304">
        <f>VLOOKUP(A:A,[1]android_repos_all_metrics!B:K,6,FALSE)</f>
        <v>30</v>
      </c>
      <c r="AF304">
        <f>VLOOKUP(A:A,[1]android_repos_all_metrics!B:K,7,FALSE)</f>
        <v>170564</v>
      </c>
      <c r="AG304">
        <f>VLOOKUP(A:A,[1]android_repos_all_metrics!B:K,8,FALSE)</f>
        <v>59</v>
      </c>
      <c r="AH304">
        <f>VLOOKUP(A:A,[1]android_repos_all_metrics!B:K,9,FALSE)</f>
        <v>246</v>
      </c>
      <c r="AI304">
        <f>VLOOKUP(A:A,[1]android_repos_all_metrics!B:K,10,FALSE)</f>
        <v>177</v>
      </c>
    </row>
    <row r="305" spans="1:35">
      <c r="A305" t="s">
        <v>358</v>
      </c>
      <c r="B305" t="b">
        <v>0</v>
      </c>
      <c r="C305" t="b">
        <v>0</v>
      </c>
      <c r="D305" t="b">
        <v>0</v>
      </c>
      <c r="F305" t="b">
        <v>0</v>
      </c>
      <c r="H305" t="s">
        <v>41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>
        <v>1</v>
      </c>
      <c r="AB305">
        <v>0</v>
      </c>
      <c r="AC305">
        <f>VLOOKUP(A:A,[1]android_repos_all_metrics!B:K,4,FALSE)</f>
        <v>117</v>
      </c>
      <c r="AD305">
        <f>VLOOKUP(A:A,[1]android_repos_all_metrics!B:K,5,FALSE)</f>
        <v>0</v>
      </c>
      <c r="AE305">
        <f>VLOOKUP(A:A,[1]android_repos_all_metrics!B:K,6,FALSE)</f>
        <v>2</v>
      </c>
      <c r="AF305">
        <f>VLOOKUP(A:A,[1]android_repos_all_metrics!B:K,7,FALSE)</f>
        <v>210</v>
      </c>
      <c r="AG305">
        <f>VLOOKUP(A:A,[1]android_repos_all_metrics!B:K,8,FALSE)</f>
        <v>0</v>
      </c>
      <c r="AH305">
        <f>VLOOKUP(A:A,[1]android_repos_all_metrics!B:K,9,FALSE)</f>
        <v>2</v>
      </c>
      <c r="AI305">
        <f>VLOOKUP(A:A,[1]android_repos_all_metrics!B:K,10,FALSE)</f>
        <v>2</v>
      </c>
    </row>
    <row r="306" spans="1:35">
      <c r="A306" t="s">
        <v>359</v>
      </c>
      <c r="B306" t="b">
        <v>0</v>
      </c>
      <c r="C306" t="b">
        <v>0</v>
      </c>
      <c r="D306" t="b">
        <v>0</v>
      </c>
      <c r="F306" t="b">
        <v>0</v>
      </c>
      <c r="H306" t="s">
        <v>43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>
        <v>1</v>
      </c>
      <c r="AB306">
        <v>0</v>
      </c>
      <c r="AC306">
        <f>VLOOKUP(A:A,[1]android_repos_all_metrics!B:K,4,FALSE)</f>
        <v>246</v>
      </c>
      <c r="AD306">
        <f>VLOOKUP(A:A,[1]android_repos_all_metrics!B:K,5,FALSE)</f>
        <v>60</v>
      </c>
      <c r="AE306">
        <f>VLOOKUP(A:A,[1]android_repos_all_metrics!B:K,6,FALSE)</f>
        <v>2</v>
      </c>
      <c r="AF306">
        <f>VLOOKUP(A:A,[1]android_repos_all_metrics!B:K,7,FALSE)</f>
        <v>9587</v>
      </c>
      <c r="AG306">
        <f>VLOOKUP(A:A,[1]android_repos_all_metrics!B:K,8,FALSE)</f>
        <v>5</v>
      </c>
      <c r="AH306">
        <f>VLOOKUP(A:A,[1]android_repos_all_metrics!B:K,9,FALSE)</f>
        <v>10</v>
      </c>
      <c r="AI306">
        <f>VLOOKUP(A:A,[1]android_repos_all_metrics!B:K,10,FALSE)</f>
        <v>9</v>
      </c>
    </row>
    <row r="307" spans="1:35">
      <c r="A307" t="s">
        <v>360</v>
      </c>
      <c r="B307" t="b">
        <v>1</v>
      </c>
      <c r="C307" t="b">
        <v>1</v>
      </c>
      <c r="D307" t="b">
        <v>1</v>
      </c>
      <c r="E307" t="s">
        <v>36</v>
      </c>
      <c r="F307" t="b">
        <v>0</v>
      </c>
      <c r="H307" t="s">
        <v>37</v>
      </c>
      <c r="I307" t="s">
        <v>37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>
        <v>3</v>
      </c>
      <c r="AA307">
        <v>1</v>
      </c>
      <c r="AB307">
        <v>0</v>
      </c>
      <c r="AC307" t="e">
        <f>VLOOKUP(A:A,[1]android_repos_all_metrics!B:K,4,FALSE)</f>
        <v>#N/A</v>
      </c>
      <c r="AD307" t="e">
        <f>VLOOKUP(A:A,[1]android_repos_all_metrics!B:K,5,FALSE)</f>
        <v>#N/A</v>
      </c>
      <c r="AE307" t="e">
        <f>VLOOKUP(A:A,[1]android_repos_all_metrics!B:K,6,FALSE)</f>
        <v>#N/A</v>
      </c>
      <c r="AF307" t="e">
        <f>VLOOKUP(A:A,[1]android_repos_all_metrics!B:K,7,FALSE)</f>
        <v>#N/A</v>
      </c>
      <c r="AG307" t="e">
        <f>VLOOKUP(A:A,[1]android_repos_all_metrics!B:K,8,FALSE)</f>
        <v>#N/A</v>
      </c>
      <c r="AH307" t="e">
        <f>VLOOKUP(A:A,[1]android_repos_all_metrics!B:K,9,FALSE)</f>
        <v>#N/A</v>
      </c>
      <c r="AI307" t="e">
        <f>VLOOKUP(A:A,[1]android_repos_all_metrics!B:K,10,FALSE)</f>
        <v>#N/A</v>
      </c>
    </row>
    <row r="308" spans="1:35">
      <c r="A308" t="s">
        <v>361</v>
      </c>
      <c r="B308" t="b">
        <v>0</v>
      </c>
      <c r="C308" t="b">
        <v>0</v>
      </c>
      <c r="D308" t="b">
        <v>0</v>
      </c>
      <c r="F308" t="b">
        <v>0</v>
      </c>
      <c r="H308" t="s">
        <v>41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>
        <v>1</v>
      </c>
      <c r="AB308">
        <v>0</v>
      </c>
      <c r="AC308">
        <f>VLOOKUP(A:A,[1]android_repos_all_metrics!B:K,4,FALSE)</f>
        <v>231</v>
      </c>
      <c r="AD308">
        <f>VLOOKUP(A:A,[1]android_repos_all_metrics!B:K,5,FALSE)</f>
        <v>9</v>
      </c>
      <c r="AE308">
        <f>VLOOKUP(A:A,[1]android_repos_all_metrics!B:K,6,FALSE)</f>
        <v>4</v>
      </c>
      <c r="AF308">
        <f>VLOOKUP(A:A,[1]android_repos_all_metrics!B:K,7,FALSE)</f>
        <v>31664</v>
      </c>
      <c r="AG308">
        <f>VLOOKUP(A:A,[1]android_repos_all_metrics!B:K,8,FALSE)</f>
        <v>19</v>
      </c>
      <c r="AH308">
        <f>VLOOKUP(A:A,[1]android_repos_all_metrics!B:K,9,FALSE)</f>
        <v>46</v>
      </c>
      <c r="AI308">
        <f>VLOOKUP(A:A,[1]android_repos_all_metrics!B:K,10,FALSE)</f>
        <v>10</v>
      </c>
    </row>
    <row r="309" spans="1:35">
      <c r="A309" t="s">
        <v>362</v>
      </c>
      <c r="B309" t="b">
        <v>1</v>
      </c>
      <c r="C309" t="b">
        <v>0</v>
      </c>
      <c r="D309" t="b">
        <v>0</v>
      </c>
      <c r="F309" t="b">
        <v>0</v>
      </c>
      <c r="H309" t="s">
        <v>37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>
        <v>1</v>
      </c>
      <c r="AB309">
        <v>0</v>
      </c>
      <c r="AC309">
        <f>VLOOKUP(A:A,[1]android_repos_all_metrics!B:K,4,FALSE)</f>
        <v>154</v>
      </c>
      <c r="AD309">
        <f>VLOOKUP(A:A,[1]android_repos_all_metrics!B:K,5,FALSE)</f>
        <v>2</v>
      </c>
      <c r="AE309">
        <f>VLOOKUP(A:A,[1]android_repos_all_metrics!B:K,6,FALSE)</f>
        <v>1</v>
      </c>
      <c r="AF309">
        <f>VLOOKUP(A:A,[1]android_repos_all_metrics!B:K,7,FALSE)</f>
        <v>4604</v>
      </c>
      <c r="AG309">
        <f>VLOOKUP(A:A,[1]android_repos_all_metrics!B:K,8,FALSE)</f>
        <v>37</v>
      </c>
      <c r="AH309">
        <f>VLOOKUP(A:A,[1]android_repos_all_metrics!B:K,9,FALSE)</f>
        <v>90</v>
      </c>
      <c r="AI309">
        <f>VLOOKUP(A:A,[1]android_repos_all_metrics!B:K,10,FALSE)</f>
        <v>0</v>
      </c>
    </row>
    <row r="310" spans="1:35">
      <c r="A310" t="s">
        <v>363</v>
      </c>
      <c r="B310" t="b">
        <v>1</v>
      </c>
      <c r="C310" t="b">
        <v>0</v>
      </c>
      <c r="D310" t="b">
        <v>0</v>
      </c>
      <c r="F310" t="b">
        <v>0</v>
      </c>
      <c r="H310" t="s">
        <v>43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>
        <v>1</v>
      </c>
      <c r="AB310">
        <v>0</v>
      </c>
      <c r="AC310">
        <f>VLOOKUP(A:A,[1]android_repos_all_metrics!B:K,4,FALSE)</f>
        <v>77</v>
      </c>
      <c r="AD310">
        <f>VLOOKUP(A:A,[1]android_repos_all_metrics!B:K,5,FALSE)</f>
        <v>17</v>
      </c>
      <c r="AE310">
        <f>VLOOKUP(A:A,[1]android_repos_all_metrics!B:K,6,FALSE)</f>
        <v>1</v>
      </c>
      <c r="AF310">
        <f>VLOOKUP(A:A,[1]android_repos_all_metrics!B:K,7,FALSE)</f>
        <v>1898</v>
      </c>
      <c r="AG310">
        <f>VLOOKUP(A:A,[1]android_repos_all_metrics!B:K,8,FALSE)</f>
        <v>3</v>
      </c>
      <c r="AH310">
        <f>VLOOKUP(A:A,[1]android_repos_all_metrics!B:K,9,FALSE)</f>
        <v>8</v>
      </c>
      <c r="AI310">
        <f>VLOOKUP(A:A,[1]android_repos_all_metrics!B:K,10,FALSE)</f>
        <v>7</v>
      </c>
    </row>
    <row r="311" spans="1:35">
      <c r="A311" t="s">
        <v>364</v>
      </c>
      <c r="B311" t="b">
        <v>0</v>
      </c>
      <c r="C311" t="b">
        <v>0</v>
      </c>
      <c r="D311" t="b">
        <v>0</v>
      </c>
      <c r="F311" t="b">
        <v>0</v>
      </c>
      <c r="H311" t="s">
        <v>41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>
        <v>1</v>
      </c>
      <c r="AB311">
        <v>0</v>
      </c>
      <c r="AC311">
        <f>VLOOKUP(A:A,[1]android_repos_all_metrics!B:K,4,FALSE)</f>
        <v>82</v>
      </c>
      <c r="AD311">
        <f>VLOOKUP(A:A,[1]android_repos_all_metrics!B:K,5,FALSE)</f>
        <v>22</v>
      </c>
      <c r="AE311">
        <f>VLOOKUP(A:A,[1]android_repos_all_metrics!B:K,6,FALSE)</f>
        <v>2</v>
      </c>
      <c r="AF311">
        <f>VLOOKUP(A:A,[1]android_repos_all_metrics!B:K,7,FALSE)</f>
        <v>1092</v>
      </c>
      <c r="AG311">
        <f>VLOOKUP(A:A,[1]android_repos_all_metrics!B:K,8,FALSE)</f>
        <v>5</v>
      </c>
      <c r="AH311">
        <f>VLOOKUP(A:A,[1]android_repos_all_metrics!B:K,9,FALSE)</f>
        <v>12</v>
      </c>
      <c r="AI311">
        <f>VLOOKUP(A:A,[1]android_repos_all_metrics!B:K,10,FALSE)</f>
        <v>0</v>
      </c>
    </row>
    <row r="312" spans="1:35">
      <c r="A312" t="s">
        <v>365</v>
      </c>
      <c r="B312" t="b">
        <v>1</v>
      </c>
      <c r="C312" t="b">
        <v>0</v>
      </c>
      <c r="D312" t="b">
        <v>0</v>
      </c>
      <c r="F312" t="b">
        <v>0</v>
      </c>
      <c r="H312" t="s">
        <v>37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>
        <v>1</v>
      </c>
      <c r="AB312">
        <v>0</v>
      </c>
      <c r="AC312">
        <f>VLOOKUP(A:A,[1]android_repos_all_metrics!B:K,4,FALSE)</f>
        <v>32</v>
      </c>
      <c r="AD312">
        <f>VLOOKUP(A:A,[1]android_repos_all_metrics!B:K,5,FALSE)</f>
        <v>2</v>
      </c>
      <c r="AE312">
        <f>VLOOKUP(A:A,[1]android_repos_all_metrics!B:K,6,FALSE)</f>
        <v>4</v>
      </c>
      <c r="AF312">
        <f>VLOOKUP(A:A,[1]android_repos_all_metrics!B:K,7,FALSE)</f>
        <v>145</v>
      </c>
      <c r="AG312">
        <f>VLOOKUP(A:A,[1]android_repos_all_metrics!B:K,8,FALSE)</f>
        <v>0</v>
      </c>
      <c r="AH312">
        <f>VLOOKUP(A:A,[1]android_repos_all_metrics!B:K,9,FALSE)</f>
        <v>6</v>
      </c>
      <c r="AI312">
        <f>VLOOKUP(A:A,[1]android_repos_all_metrics!B:K,10,FALSE)</f>
        <v>1</v>
      </c>
    </row>
    <row r="313" spans="1:35">
      <c r="A313" t="s">
        <v>366</v>
      </c>
      <c r="B313" t="b">
        <v>0</v>
      </c>
      <c r="C313" t="b">
        <v>0</v>
      </c>
      <c r="D313" t="b">
        <v>0</v>
      </c>
      <c r="F313" t="b">
        <v>0</v>
      </c>
      <c r="H313" t="s">
        <v>76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>
        <v>1</v>
      </c>
      <c r="AB313">
        <v>0</v>
      </c>
      <c r="AC313">
        <f>VLOOKUP(A:A,[1]android_repos_all_metrics!B:K,4,FALSE)</f>
        <v>272</v>
      </c>
      <c r="AD313">
        <f>VLOOKUP(A:A,[1]android_repos_all_metrics!B:K,5,FALSE)</f>
        <v>0</v>
      </c>
      <c r="AE313">
        <f>VLOOKUP(A:A,[1]android_repos_all_metrics!B:K,6,FALSE)</f>
        <v>4</v>
      </c>
      <c r="AF313">
        <f>VLOOKUP(A:A,[1]android_repos_all_metrics!B:K,7,FALSE)</f>
        <v>7763</v>
      </c>
      <c r="AG313">
        <f>VLOOKUP(A:A,[1]android_repos_all_metrics!B:K,8,FALSE)</f>
        <v>1</v>
      </c>
      <c r="AH313">
        <f>VLOOKUP(A:A,[1]android_repos_all_metrics!B:K,9,FALSE)</f>
        <v>2</v>
      </c>
      <c r="AI313">
        <f>VLOOKUP(A:A,[1]android_repos_all_metrics!B:K,10,FALSE)</f>
        <v>0</v>
      </c>
    </row>
    <row r="314" spans="1:35">
      <c r="A314" t="s">
        <v>367</v>
      </c>
      <c r="B314" t="b">
        <v>1</v>
      </c>
      <c r="C314" t="b">
        <v>0</v>
      </c>
      <c r="D314" t="b">
        <v>0</v>
      </c>
      <c r="F314" t="b">
        <v>0</v>
      </c>
      <c r="H314" t="s">
        <v>37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>
        <v>1</v>
      </c>
      <c r="AB314">
        <v>0</v>
      </c>
      <c r="AC314">
        <f>VLOOKUP(A:A,[1]android_repos_all_metrics!B:K,4,FALSE)</f>
        <v>108</v>
      </c>
      <c r="AD314">
        <f>VLOOKUP(A:A,[1]android_repos_all_metrics!B:K,5,FALSE)</f>
        <v>34</v>
      </c>
      <c r="AE314">
        <f>VLOOKUP(A:A,[1]android_repos_all_metrics!B:K,6,FALSE)</f>
        <v>2</v>
      </c>
      <c r="AF314">
        <f>VLOOKUP(A:A,[1]android_repos_all_metrics!B:K,7,FALSE)</f>
        <v>6781</v>
      </c>
      <c r="AG314">
        <f>VLOOKUP(A:A,[1]android_repos_all_metrics!B:K,8,FALSE)</f>
        <v>1</v>
      </c>
      <c r="AH314">
        <f>VLOOKUP(A:A,[1]android_repos_all_metrics!B:K,9,FALSE)</f>
        <v>8</v>
      </c>
      <c r="AI314">
        <f>VLOOKUP(A:A,[1]android_repos_all_metrics!B:K,10,FALSE)</f>
        <v>2</v>
      </c>
    </row>
    <row r="315" spans="1:35">
      <c r="A315" t="s">
        <v>368</v>
      </c>
      <c r="B315" t="b">
        <v>1</v>
      </c>
      <c r="C315" t="b">
        <v>0</v>
      </c>
      <c r="D315" t="b">
        <v>0</v>
      </c>
      <c r="F315" t="b">
        <v>0</v>
      </c>
      <c r="H315" t="s">
        <v>37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>
        <v>1</v>
      </c>
      <c r="AB315">
        <v>0</v>
      </c>
      <c r="AC315">
        <f>VLOOKUP(A:A,[1]android_repos_all_metrics!B:K,4,FALSE)</f>
        <v>1947</v>
      </c>
      <c r="AD315">
        <f>VLOOKUP(A:A,[1]android_repos_all_metrics!B:K,5,FALSE)</f>
        <v>241</v>
      </c>
      <c r="AE315">
        <f>VLOOKUP(A:A,[1]android_repos_all_metrics!B:K,6,FALSE)</f>
        <v>7</v>
      </c>
      <c r="AF315">
        <f>VLOOKUP(A:A,[1]android_repos_all_metrics!B:K,7,FALSE)</f>
        <v>9200</v>
      </c>
      <c r="AG315">
        <f>VLOOKUP(A:A,[1]android_repos_all_metrics!B:K,8,FALSE)</f>
        <v>17</v>
      </c>
      <c r="AH315">
        <f>VLOOKUP(A:A,[1]android_repos_all_metrics!B:K,9,FALSE)</f>
        <v>6</v>
      </c>
      <c r="AI315">
        <f>VLOOKUP(A:A,[1]android_repos_all_metrics!B:K,10,FALSE)</f>
        <v>94</v>
      </c>
    </row>
    <row r="316" spans="1:35">
      <c r="A316" t="s">
        <v>369</v>
      </c>
      <c r="B316" t="b">
        <v>1</v>
      </c>
      <c r="C316" t="b">
        <v>0</v>
      </c>
      <c r="D316" t="b">
        <v>0</v>
      </c>
      <c r="F316" t="b">
        <v>0</v>
      </c>
      <c r="H316" t="s">
        <v>37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>
        <v>1</v>
      </c>
      <c r="AB316">
        <v>0</v>
      </c>
      <c r="AC316">
        <f>VLOOKUP(A:A,[1]android_repos_all_metrics!B:K,4,FALSE)</f>
        <v>159</v>
      </c>
      <c r="AD316">
        <f>VLOOKUP(A:A,[1]android_repos_all_metrics!B:K,5,FALSE)</f>
        <v>32</v>
      </c>
      <c r="AE316">
        <f>VLOOKUP(A:A,[1]android_repos_all_metrics!B:K,6,FALSE)</f>
        <v>7</v>
      </c>
      <c r="AF316">
        <f>VLOOKUP(A:A,[1]android_repos_all_metrics!B:K,7,FALSE)</f>
        <v>1911</v>
      </c>
      <c r="AG316">
        <f>VLOOKUP(A:A,[1]android_repos_all_metrics!B:K,8,FALSE)</f>
        <v>5</v>
      </c>
      <c r="AH316">
        <f>VLOOKUP(A:A,[1]android_repos_all_metrics!B:K,9,FALSE)</f>
        <v>19</v>
      </c>
      <c r="AI316">
        <f>VLOOKUP(A:A,[1]android_repos_all_metrics!B:K,10,FALSE)</f>
        <v>7</v>
      </c>
    </row>
    <row r="317" spans="1:35">
      <c r="A317" t="s">
        <v>370</v>
      </c>
      <c r="B317" t="b">
        <v>1</v>
      </c>
      <c r="C317" t="b">
        <v>0</v>
      </c>
      <c r="D317" t="b">
        <v>0</v>
      </c>
      <c r="F317" t="b">
        <v>0</v>
      </c>
      <c r="H317" t="s">
        <v>37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>
        <v>2</v>
      </c>
      <c r="AB317">
        <v>0</v>
      </c>
      <c r="AC317">
        <f>VLOOKUP(A:A,[1]android_repos_all_metrics!B:K,4,FALSE)</f>
        <v>385</v>
      </c>
      <c r="AD317">
        <f>VLOOKUP(A:A,[1]android_repos_all_metrics!B:K,5,FALSE)</f>
        <v>28</v>
      </c>
      <c r="AE317">
        <f>VLOOKUP(A:A,[1]android_repos_all_metrics!B:K,6,FALSE)</f>
        <v>30</v>
      </c>
      <c r="AF317">
        <f>VLOOKUP(A:A,[1]android_repos_all_metrics!B:K,7,FALSE)</f>
        <v>381917</v>
      </c>
      <c r="AG317">
        <f>VLOOKUP(A:A,[1]android_repos_all_metrics!B:K,8,FALSE)</f>
        <v>6</v>
      </c>
      <c r="AH317">
        <f>VLOOKUP(A:A,[1]android_repos_all_metrics!B:K,9,FALSE)</f>
        <v>50</v>
      </c>
      <c r="AI317">
        <f>VLOOKUP(A:A,[1]android_repos_all_metrics!B:K,10,FALSE)</f>
        <v>12</v>
      </c>
    </row>
    <row r="318" spans="1:35">
      <c r="A318" t="s">
        <v>371</v>
      </c>
      <c r="B318" t="b">
        <v>1</v>
      </c>
      <c r="C318" t="b">
        <v>0</v>
      </c>
      <c r="D318" t="b">
        <v>0</v>
      </c>
      <c r="F318" t="b">
        <v>0</v>
      </c>
      <c r="H318" t="s">
        <v>37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>
        <v>1</v>
      </c>
      <c r="AB318">
        <v>0</v>
      </c>
      <c r="AC318">
        <f>VLOOKUP(A:A,[1]android_repos_all_metrics!B:K,4,FALSE)</f>
        <v>34</v>
      </c>
      <c r="AD318">
        <f>VLOOKUP(A:A,[1]android_repos_all_metrics!B:K,5,FALSE)</f>
        <v>1</v>
      </c>
      <c r="AE318">
        <f>VLOOKUP(A:A,[1]android_repos_all_metrics!B:K,6,FALSE)</f>
        <v>1</v>
      </c>
      <c r="AF318">
        <f>VLOOKUP(A:A,[1]android_repos_all_metrics!B:K,7,FALSE)</f>
        <v>370</v>
      </c>
      <c r="AG318">
        <f>VLOOKUP(A:A,[1]android_repos_all_metrics!B:K,8,FALSE)</f>
        <v>2</v>
      </c>
      <c r="AH318">
        <f>VLOOKUP(A:A,[1]android_repos_all_metrics!B:K,9,FALSE)</f>
        <v>78</v>
      </c>
      <c r="AI318">
        <f>VLOOKUP(A:A,[1]android_repos_all_metrics!B:K,10,FALSE)</f>
        <v>0</v>
      </c>
    </row>
    <row r="319" spans="1:35">
      <c r="A319" t="s">
        <v>372</v>
      </c>
      <c r="B319" t="b">
        <v>0</v>
      </c>
      <c r="C319" t="b">
        <v>0</v>
      </c>
      <c r="D319" t="b">
        <v>0</v>
      </c>
      <c r="F319" t="b">
        <v>0</v>
      </c>
      <c r="H319" t="s">
        <v>41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>
        <v>1</v>
      </c>
      <c r="AB319">
        <v>0</v>
      </c>
      <c r="AC319">
        <f>VLOOKUP(A:A,[1]android_repos_all_metrics!B:K,4,FALSE)</f>
        <v>20</v>
      </c>
      <c r="AD319">
        <f>VLOOKUP(A:A,[1]android_repos_all_metrics!B:K,5,FALSE)</f>
        <v>23</v>
      </c>
      <c r="AE319">
        <f>VLOOKUP(A:A,[1]android_repos_all_metrics!B:K,6,FALSE)</f>
        <v>1</v>
      </c>
      <c r="AF319">
        <f>VLOOKUP(A:A,[1]android_repos_all_metrics!B:K,7,FALSE)</f>
        <v>2478</v>
      </c>
      <c r="AG319">
        <f>VLOOKUP(A:A,[1]android_repos_all_metrics!B:K,8,FALSE)</f>
        <v>26</v>
      </c>
      <c r="AH319">
        <f>VLOOKUP(A:A,[1]android_repos_all_metrics!B:K,9,FALSE)</f>
        <v>41</v>
      </c>
      <c r="AI319">
        <f>VLOOKUP(A:A,[1]android_repos_all_metrics!B:K,10,FALSE)</f>
        <v>10</v>
      </c>
    </row>
    <row r="320" spans="1:35">
      <c r="A320" t="s">
        <v>373</v>
      </c>
      <c r="B320" t="b">
        <v>1</v>
      </c>
      <c r="C320" t="b">
        <v>0</v>
      </c>
      <c r="D320" t="b">
        <v>0</v>
      </c>
      <c r="F320" t="b">
        <v>0</v>
      </c>
      <c r="H320" t="s">
        <v>86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>
        <v>4</v>
      </c>
      <c r="AB320">
        <v>0</v>
      </c>
      <c r="AC320">
        <f>VLOOKUP(A:A,[1]android_repos_all_metrics!B:K,4,FALSE)</f>
        <v>72</v>
      </c>
      <c r="AD320">
        <f>VLOOKUP(A:A,[1]android_repos_all_metrics!B:K,5,FALSE)</f>
        <v>10</v>
      </c>
      <c r="AE320">
        <f>VLOOKUP(A:A,[1]android_repos_all_metrics!B:K,6,FALSE)</f>
        <v>7</v>
      </c>
      <c r="AF320">
        <f>VLOOKUP(A:A,[1]android_repos_all_metrics!B:K,7,FALSE)</f>
        <v>3396</v>
      </c>
      <c r="AG320">
        <f>VLOOKUP(A:A,[1]android_repos_all_metrics!B:K,8,FALSE)</f>
        <v>48</v>
      </c>
      <c r="AH320">
        <f>VLOOKUP(A:A,[1]android_repos_all_metrics!B:K,9,FALSE)</f>
        <v>155</v>
      </c>
      <c r="AI320">
        <f>VLOOKUP(A:A,[1]android_repos_all_metrics!B:K,10,FALSE)</f>
        <v>49</v>
      </c>
    </row>
    <row r="321" spans="1:35">
      <c r="A321" t="s">
        <v>374</v>
      </c>
      <c r="B321" t="b">
        <v>1</v>
      </c>
      <c r="C321" t="b">
        <v>0</v>
      </c>
      <c r="D321" t="b">
        <v>0</v>
      </c>
      <c r="F321" t="b">
        <v>0</v>
      </c>
      <c r="H321" t="s">
        <v>37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>
        <v>18</v>
      </c>
      <c r="AB321">
        <v>0</v>
      </c>
      <c r="AC321">
        <f>VLOOKUP(A:A,[1]android_repos_all_metrics!B:K,4,FALSE)</f>
        <v>8020</v>
      </c>
      <c r="AD321">
        <f>VLOOKUP(A:A,[1]android_repos_all_metrics!B:K,5,FALSE)</f>
        <v>3460</v>
      </c>
      <c r="AE321">
        <f>VLOOKUP(A:A,[1]android_repos_all_metrics!B:K,6,FALSE)</f>
        <v>58</v>
      </c>
      <c r="AF321">
        <f>VLOOKUP(A:A,[1]android_repos_all_metrics!B:K,7,FALSE)</f>
        <v>265853</v>
      </c>
      <c r="AG321">
        <f>VLOOKUP(A:A,[1]android_repos_all_metrics!B:K,8,FALSE)</f>
        <v>317</v>
      </c>
      <c r="AH321">
        <f>VLOOKUP(A:A,[1]android_repos_all_metrics!B:K,9,FALSE)</f>
        <v>6636</v>
      </c>
      <c r="AI321">
        <f>VLOOKUP(A:A,[1]android_repos_all_metrics!B:K,10,FALSE)</f>
        <v>133</v>
      </c>
    </row>
    <row r="322" spans="1:35">
      <c r="A322" t="s">
        <v>375</v>
      </c>
      <c r="B322" t="b">
        <v>1</v>
      </c>
      <c r="C322" t="b">
        <v>0</v>
      </c>
      <c r="D322" t="b">
        <v>0</v>
      </c>
      <c r="F322" t="b">
        <v>0</v>
      </c>
      <c r="H322" t="s">
        <v>43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>
        <v>1</v>
      </c>
      <c r="AB322">
        <v>0</v>
      </c>
      <c r="AC322">
        <f>VLOOKUP(A:A,[1]android_repos_all_metrics!B:K,4,FALSE)</f>
        <v>37</v>
      </c>
      <c r="AD322">
        <f>VLOOKUP(A:A,[1]android_repos_all_metrics!B:K,5,FALSE)</f>
        <v>2</v>
      </c>
      <c r="AE322">
        <f>VLOOKUP(A:A,[1]android_repos_all_metrics!B:K,6,FALSE)</f>
        <v>1</v>
      </c>
      <c r="AF322">
        <f>VLOOKUP(A:A,[1]android_repos_all_metrics!B:K,7,FALSE)</f>
        <v>266</v>
      </c>
      <c r="AG322">
        <f>VLOOKUP(A:A,[1]android_repos_all_metrics!B:K,8,FALSE)</f>
        <v>0</v>
      </c>
      <c r="AH322">
        <f>VLOOKUP(A:A,[1]android_repos_all_metrics!B:K,9,FALSE)</f>
        <v>1</v>
      </c>
      <c r="AI322">
        <f>VLOOKUP(A:A,[1]android_repos_all_metrics!B:K,10,FALSE)</f>
        <v>0</v>
      </c>
    </row>
    <row r="323" spans="1:35">
      <c r="A323" t="s">
        <v>376</v>
      </c>
      <c r="B323" t="b">
        <v>1</v>
      </c>
      <c r="C323" t="b">
        <v>0</v>
      </c>
      <c r="D323" t="b">
        <v>0</v>
      </c>
      <c r="F323" t="b">
        <v>0</v>
      </c>
      <c r="H323" t="s">
        <v>37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>
        <v>1</v>
      </c>
      <c r="AB323">
        <v>0</v>
      </c>
      <c r="AC323">
        <f>VLOOKUP(A:A,[1]android_repos_all_metrics!B:K,4,FALSE)</f>
        <v>291</v>
      </c>
      <c r="AD323">
        <f>VLOOKUP(A:A,[1]android_repos_all_metrics!B:K,5,FALSE)</f>
        <v>12</v>
      </c>
      <c r="AE323">
        <f>VLOOKUP(A:A,[1]android_repos_all_metrics!B:K,6,FALSE)</f>
        <v>27</v>
      </c>
      <c r="AF323">
        <f>VLOOKUP(A:A,[1]android_repos_all_metrics!B:K,7,FALSE)</f>
        <v>1086</v>
      </c>
      <c r="AG323">
        <f>VLOOKUP(A:A,[1]android_repos_all_metrics!B:K,8,FALSE)</f>
        <v>7</v>
      </c>
      <c r="AH323">
        <f>VLOOKUP(A:A,[1]android_repos_all_metrics!B:K,9,FALSE)</f>
        <v>73</v>
      </c>
      <c r="AI323">
        <f>VLOOKUP(A:A,[1]android_repos_all_metrics!B:K,10,FALSE)</f>
        <v>12</v>
      </c>
    </row>
    <row r="324" spans="1:35">
      <c r="A324" t="s">
        <v>377</v>
      </c>
      <c r="B324" t="b">
        <v>1</v>
      </c>
      <c r="C324" t="b">
        <v>0</v>
      </c>
      <c r="D324" t="b">
        <v>0</v>
      </c>
      <c r="F324" t="b">
        <v>0</v>
      </c>
      <c r="H324" t="s">
        <v>43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>
        <v>1</v>
      </c>
      <c r="AB324">
        <v>0</v>
      </c>
      <c r="AC324">
        <f>VLOOKUP(A:A,[1]android_repos_all_metrics!B:K,4,FALSE)</f>
        <v>1175</v>
      </c>
      <c r="AD324">
        <f>VLOOKUP(A:A,[1]android_repos_all_metrics!B:K,5,FALSE)</f>
        <v>90</v>
      </c>
      <c r="AE324">
        <f>VLOOKUP(A:A,[1]android_repos_all_metrics!B:K,6,FALSE)</f>
        <v>31</v>
      </c>
      <c r="AF324">
        <f>VLOOKUP(A:A,[1]android_repos_all_metrics!B:K,7,FALSE)</f>
        <v>52864</v>
      </c>
      <c r="AG324">
        <f>VLOOKUP(A:A,[1]android_repos_all_metrics!B:K,8,FALSE)</f>
        <v>26</v>
      </c>
      <c r="AH324">
        <f>VLOOKUP(A:A,[1]android_repos_all_metrics!B:K,9,FALSE)</f>
        <v>161</v>
      </c>
      <c r="AI324">
        <f>VLOOKUP(A:A,[1]android_repos_all_metrics!B:K,10,FALSE)</f>
        <v>42</v>
      </c>
    </row>
    <row r="325" spans="1:35">
      <c r="A325" t="s">
        <v>378</v>
      </c>
      <c r="B325" t="b">
        <v>1</v>
      </c>
      <c r="C325" t="b">
        <v>0</v>
      </c>
      <c r="D325" t="b">
        <v>0</v>
      </c>
      <c r="F325" t="b">
        <v>0</v>
      </c>
      <c r="H325" t="s">
        <v>37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>
        <v>1</v>
      </c>
      <c r="AB325">
        <v>0</v>
      </c>
      <c r="AC325">
        <f>VLOOKUP(A:A,[1]android_repos_all_metrics!B:K,4,FALSE)</f>
        <v>263</v>
      </c>
      <c r="AD325">
        <f>VLOOKUP(A:A,[1]android_repos_all_metrics!B:K,5,FALSE)</f>
        <v>8</v>
      </c>
      <c r="AE325">
        <f>VLOOKUP(A:A,[1]android_repos_all_metrics!B:K,6,FALSE)</f>
        <v>1</v>
      </c>
      <c r="AF325">
        <f>VLOOKUP(A:A,[1]android_repos_all_metrics!B:K,7,FALSE)</f>
        <v>2408</v>
      </c>
      <c r="AG325">
        <f>VLOOKUP(A:A,[1]android_repos_all_metrics!B:K,8,FALSE)</f>
        <v>3</v>
      </c>
      <c r="AH325">
        <f>VLOOKUP(A:A,[1]android_repos_all_metrics!B:K,9,FALSE)</f>
        <v>15</v>
      </c>
      <c r="AI325">
        <f>VLOOKUP(A:A,[1]android_repos_all_metrics!B:K,10,FALSE)</f>
        <v>0</v>
      </c>
    </row>
    <row r="326" spans="1:35">
      <c r="A326" t="s">
        <v>379</v>
      </c>
      <c r="B326" t="b">
        <v>1</v>
      </c>
      <c r="C326" t="b">
        <v>0</v>
      </c>
      <c r="D326" t="b">
        <v>0</v>
      </c>
      <c r="F326" t="b">
        <v>0</v>
      </c>
      <c r="H326" t="s">
        <v>308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>
        <v>2</v>
      </c>
      <c r="AB326">
        <v>0</v>
      </c>
      <c r="AC326">
        <f>VLOOKUP(A:A,[1]android_repos_all_metrics!B:K,4,FALSE)</f>
        <v>698</v>
      </c>
      <c r="AD326">
        <f>VLOOKUP(A:A,[1]android_repos_all_metrics!B:K,5,FALSE)</f>
        <v>412</v>
      </c>
      <c r="AE326">
        <f>VLOOKUP(A:A,[1]android_repos_all_metrics!B:K,6,FALSE)</f>
        <v>3</v>
      </c>
      <c r="AF326">
        <f>VLOOKUP(A:A,[1]android_repos_all_metrics!B:K,7,FALSE)</f>
        <v>1860</v>
      </c>
      <c r="AG326">
        <f>VLOOKUP(A:A,[1]android_repos_all_metrics!B:K,8,FALSE)</f>
        <v>1</v>
      </c>
      <c r="AH326">
        <f>VLOOKUP(A:A,[1]android_repos_all_metrics!B:K,9,FALSE)</f>
        <v>5</v>
      </c>
      <c r="AI326">
        <f>VLOOKUP(A:A,[1]android_repos_all_metrics!B:K,10,FALSE)</f>
        <v>32</v>
      </c>
    </row>
    <row r="327" spans="1:35">
      <c r="A327" t="s">
        <v>380</v>
      </c>
      <c r="B327" t="b">
        <v>1</v>
      </c>
      <c r="C327" t="b">
        <v>0</v>
      </c>
      <c r="D327" t="b">
        <v>0</v>
      </c>
      <c r="F327" t="b">
        <v>0</v>
      </c>
      <c r="H327" t="s">
        <v>37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>
        <v>2</v>
      </c>
      <c r="AB327">
        <v>0</v>
      </c>
      <c r="AC327">
        <f>VLOOKUP(A:A,[1]android_repos_all_metrics!B:K,4,FALSE)</f>
        <v>99</v>
      </c>
      <c r="AD327">
        <f>VLOOKUP(A:A,[1]android_repos_all_metrics!B:K,5,FALSE)</f>
        <v>7</v>
      </c>
      <c r="AE327">
        <f>VLOOKUP(A:A,[1]android_repos_all_metrics!B:K,6,FALSE)</f>
        <v>2</v>
      </c>
      <c r="AF327">
        <f>VLOOKUP(A:A,[1]android_repos_all_metrics!B:K,7,FALSE)</f>
        <v>3109</v>
      </c>
      <c r="AG327">
        <f>VLOOKUP(A:A,[1]android_repos_all_metrics!B:K,8,FALSE)</f>
        <v>1</v>
      </c>
      <c r="AH327">
        <f>VLOOKUP(A:A,[1]android_repos_all_metrics!B:K,9,FALSE)</f>
        <v>2</v>
      </c>
      <c r="AI327">
        <f>VLOOKUP(A:A,[1]android_repos_all_metrics!B:K,10,FALSE)</f>
        <v>16</v>
      </c>
    </row>
    <row r="328" spans="1:35">
      <c r="A328" t="s">
        <v>381</v>
      </c>
      <c r="B328" t="b">
        <v>1</v>
      </c>
      <c r="C328" t="b">
        <v>0</v>
      </c>
      <c r="D328" t="b">
        <v>0</v>
      </c>
      <c r="F328" t="b">
        <v>0</v>
      </c>
      <c r="H328" t="s">
        <v>37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>
        <v>1</v>
      </c>
      <c r="AB328">
        <v>0</v>
      </c>
      <c r="AC328">
        <f>VLOOKUP(A:A,[1]android_repos_all_metrics!B:K,4,FALSE)</f>
        <v>158</v>
      </c>
      <c r="AD328">
        <f>VLOOKUP(A:A,[1]android_repos_all_metrics!B:K,5,FALSE)</f>
        <v>0</v>
      </c>
      <c r="AE328">
        <f>VLOOKUP(A:A,[1]android_repos_all_metrics!B:K,6,FALSE)</f>
        <v>3</v>
      </c>
      <c r="AF328">
        <f>VLOOKUP(A:A,[1]android_repos_all_metrics!B:K,7,FALSE)</f>
        <v>3984</v>
      </c>
      <c r="AG328">
        <f>VLOOKUP(A:A,[1]android_repos_all_metrics!B:K,8,FALSE)</f>
        <v>0</v>
      </c>
      <c r="AH328">
        <f>VLOOKUP(A:A,[1]android_repos_all_metrics!B:K,9,FALSE)</f>
        <v>4</v>
      </c>
      <c r="AI328">
        <f>VLOOKUP(A:A,[1]android_repos_all_metrics!B:K,10,FALSE)</f>
        <v>3</v>
      </c>
    </row>
    <row r="329" spans="1:35">
      <c r="A329" t="s">
        <v>382</v>
      </c>
      <c r="B329" t="b">
        <v>1</v>
      </c>
      <c r="C329" t="b">
        <v>0</v>
      </c>
      <c r="D329" t="b">
        <v>0</v>
      </c>
      <c r="F329" t="b">
        <v>0</v>
      </c>
      <c r="H329" t="s">
        <v>37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>
        <v>2</v>
      </c>
      <c r="AB329">
        <v>0</v>
      </c>
      <c r="AC329">
        <f>VLOOKUP(A:A,[1]android_repos_all_metrics!B:K,4,FALSE)</f>
        <v>243</v>
      </c>
      <c r="AD329">
        <f>VLOOKUP(A:A,[1]android_repos_all_metrics!B:K,5,FALSE)</f>
        <v>58</v>
      </c>
      <c r="AE329">
        <f>VLOOKUP(A:A,[1]android_repos_all_metrics!B:K,6,FALSE)</f>
        <v>5</v>
      </c>
      <c r="AF329">
        <f>VLOOKUP(A:A,[1]android_repos_all_metrics!B:K,7,FALSE)</f>
        <v>8021</v>
      </c>
      <c r="AG329">
        <f>VLOOKUP(A:A,[1]android_repos_all_metrics!B:K,8,FALSE)</f>
        <v>42</v>
      </c>
      <c r="AH329">
        <f>VLOOKUP(A:A,[1]android_repos_all_metrics!B:K,9,FALSE)</f>
        <v>474</v>
      </c>
      <c r="AI329">
        <f>VLOOKUP(A:A,[1]android_repos_all_metrics!B:K,10,FALSE)</f>
        <v>2</v>
      </c>
    </row>
    <row r="330" spans="1:35">
      <c r="A330" t="s">
        <v>383</v>
      </c>
      <c r="B330" t="b">
        <v>1</v>
      </c>
      <c r="C330" t="b">
        <v>0</v>
      </c>
      <c r="D330" t="b">
        <v>0</v>
      </c>
      <c r="F330" t="b">
        <v>0</v>
      </c>
      <c r="H330" t="s">
        <v>41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>
        <v>1</v>
      </c>
      <c r="AB330">
        <v>0</v>
      </c>
      <c r="AC330">
        <f>VLOOKUP(A:A,[1]android_repos_all_metrics!B:K,4,FALSE)</f>
        <v>564</v>
      </c>
      <c r="AD330">
        <f>VLOOKUP(A:A,[1]android_repos_all_metrics!B:K,5,FALSE)</f>
        <v>38</v>
      </c>
      <c r="AE330">
        <f>VLOOKUP(A:A,[1]android_repos_all_metrics!B:K,6,FALSE)</f>
        <v>38</v>
      </c>
      <c r="AF330">
        <f>VLOOKUP(A:A,[1]android_repos_all_metrics!B:K,7,FALSE)</f>
        <v>25869</v>
      </c>
      <c r="AG330">
        <f>VLOOKUP(A:A,[1]android_repos_all_metrics!B:K,8,FALSE)</f>
        <v>9</v>
      </c>
      <c r="AH330">
        <f>VLOOKUP(A:A,[1]android_repos_all_metrics!B:K,9,FALSE)</f>
        <v>13</v>
      </c>
      <c r="AI330">
        <f>VLOOKUP(A:A,[1]android_repos_all_metrics!B:K,10,FALSE)</f>
        <v>12</v>
      </c>
    </row>
    <row r="331" spans="1:35">
      <c r="A331" t="s">
        <v>384</v>
      </c>
      <c r="B331" t="b">
        <v>1</v>
      </c>
      <c r="C331" t="b">
        <v>0</v>
      </c>
      <c r="D331" t="b">
        <v>0</v>
      </c>
      <c r="F331" t="b">
        <v>0</v>
      </c>
      <c r="H331" t="s">
        <v>41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>
        <v>1</v>
      </c>
      <c r="AB331">
        <v>0</v>
      </c>
      <c r="AC331">
        <f>VLOOKUP(A:A,[1]android_repos_all_metrics!B:K,4,FALSE)</f>
        <v>32</v>
      </c>
      <c r="AD331">
        <f>VLOOKUP(A:A,[1]android_repos_all_metrics!B:K,5,FALSE)</f>
        <v>1</v>
      </c>
      <c r="AE331">
        <f>VLOOKUP(A:A,[1]android_repos_all_metrics!B:K,6,FALSE)</f>
        <v>1</v>
      </c>
      <c r="AF331">
        <f>VLOOKUP(A:A,[1]android_repos_all_metrics!B:K,7,FALSE)</f>
        <v>2468</v>
      </c>
      <c r="AG331">
        <f>VLOOKUP(A:A,[1]android_repos_all_metrics!B:K,8,FALSE)</f>
        <v>2</v>
      </c>
      <c r="AH331">
        <f>VLOOKUP(A:A,[1]android_repos_all_metrics!B:K,9,FALSE)</f>
        <v>19</v>
      </c>
      <c r="AI331">
        <f>VLOOKUP(A:A,[1]android_repos_all_metrics!B:K,10,FALSE)</f>
        <v>2</v>
      </c>
    </row>
    <row r="332" spans="1:35">
      <c r="A332" t="s">
        <v>385</v>
      </c>
      <c r="B332" t="b">
        <v>1</v>
      </c>
      <c r="C332" t="b">
        <v>0</v>
      </c>
      <c r="D332" t="b">
        <v>0</v>
      </c>
      <c r="F332" t="b">
        <v>0</v>
      </c>
      <c r="H332" t="s">
        <v>37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>
        <v>1</v>
      </c>
      <c r="AB332">
        <v>0</v>
      </c>
      <c r="AC332">
        <f>VLOOKUP(A:A,[1]android_repos_all_metrics!B:K,4,FALSE)</f>
        <v>372</v>
      </c>
      <c r="AD332">
        <f>VLOOKUP(A:A,[1]android_repos_all_metrics!B:K,5,FALSE)</f>
        <v>36</v>
      </c>
      <c r="AE332">
        <f>VLOOKUP(A:A,[1]android_repos_all_metrics!B:K,6,FALSE)</f>
        <v>8</v>
      </c>
      <c r="AF332">
        <f>VLOOKUP(A:A,[1]android_repos_all_metrics!B:K,7,FALSE)</f>
        <v>2831</v>
      </c>
      <c r="AG332">
        <f>VLOOKUP(A:A,[1]android_repos_all_metrics!B:K,8,FALSE)</f>
        <v>1</v>
      </c>
      <c r="AH332">
        <f>VLOOKUP(A:A,[1]android_repos_all_metrics!B:K,9,FALSE)</f>
        <v>13</v>
      </c>
      <c r="AI332">
        <f>VLOOKUP(A:A,[1]android_repos_all_metrics!B:K,10,FALSE)</f>
        <v>1</v>
      </c>
    </row>
    <row r="333" spans="1:35">
      <c r="A333" t="s">
        <v>386</v>
      </c>
      <c r="B333" t="b">
        <v>1</v>
      </c>
      <c r="C333" t="b">
        <v>0</v>
      </c>
      <c r="D333" t="b">
        <v>0</v>
      </c>
      <c r="F333" t="b">
        <v>0</v>
      </c>
      <c r="H333" t="s">
        <v>37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>
        <v>1</v>
      </c>
      <c r="AB333">
        <v>0</v>
      </c>
      <c r="AC333">
        <f>VLOOKUP(A:A,[1]android_repos_all_metrics!B:K,4,FALSE)</f>
        <v>1473</v>
      </c>
      <c r="AD333">
        <f>VLOOKUP(A:A,[1]android_repos_all_metrics!B:K,5,FALSE)</f>
        <v>140</v>
      </c>
      <c r="AE333">
        <f>VLOOKUP(A:A,[1]android_repos_all_metrics!B:K,6,FALSE)</f>
        <v>37</v>
      </c>
      <c r="AF333">
        <f>VLOOKUP(A:A,[1]android_repos_all_metrics!B:K,7,FALSE)</f>
        <v>33563</v>
      </c>
      <c r="AG333">
        <f>VLOOKUP(A:A,[1]android_repos_all_metrics!B:K,8,FALSE)</f>
        <v>60</v>
      </c>
      <c r="AH333">
        <f>VLOOKUP(A:A,[1]android_repos_all_metrics!B:K,9,FALSE)</f>
        <v>502</v>
      </c>
      <c r="AI333">
        <f>VLOOKUP(A:A,[1]android_repos_all_metrics!B:K,10,FALSE)</f>
        <v>14</v>
      </c>
    </row>
    <row r="334" spans="1:35">
      <c r="A334" t="s">
        <v>387</v>
      </c>
      <c r="B334" t="b">
        <v>1</v>
      </c>
      <c r="C334" t="b">
        <v>0</v>
      </c>
      <c r="D334" t="b">
        <v>0</v>
      </c>
      <c r="F334" t="b">
        <v>0</v>
      </c>
      <c r="H334" t="s">
        <v>41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>
        <v>1</v>
      </c>
      <c r="AB334">
        <v>0</v>
      </c>
      <c r="AC334">
        <f>VLOOKUP(A:A,[1]android_repos_all_metrics!B:K,4,FALSE)</f>
        <v>232</v>
      </c>
      <c r="AD334">
        <f>VLOOKUP(A:A,[1]android_repos_all_metrics!B:K,5,FALSE)</f>
        <v>11</v>
      </c>
      <c r="AE334">
        <f>VLOOKUP(A:A,[1]android_repos_all_metrics!B:K,6,FALSE)</f>
        <v>5</v>
      </c>
      <c r="AF334">
        <f>VLOOKUP(A:A,[1]android_repos_all_metrics!B:K,7,FALSE)</f>
        <v>19805</v>
      </c>
      <c r="AG334">
        <f>VLOOKUP(A:A,[1]android_repos_all_metrics!B:K,8,FALSE)</f>
        <v>20</v>
      </c>
      <c r="AH334">
        <f>VLOOKUP(A:A,[1]android_repos_all_metrics!B:K,9,FALSE)</f>
        <v>70</v>
      </c>
      <c r="AI334">
        <f>VLOOKUP(A:A,[1]android_repos_all_metrics!B:K,10,FALSE)</f>
        <v>12</v>
      </c>
    </row>
    <row r="335" spans="1:35">
      <c r="A335" t="s">
        <v>388</v>
      </c>
      <c r="B335" t="b">
        <v>1</v>
      </c>
      <c r="C335" t="b">
        <v>0</v>
      </c>
      <c r="D335" t="b">
        <v>0</v>
      </c>
      <c r="F335" t="b">
        <v>0</v>
      </c>
      <c r="H335" t="s">
        <v>37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>
        <v>1</v>
      </c>
      <c r="AB335">
        <v>0</v>
      </c>
      <c r="AC335">
        <f>VLOOKUP(A:A,[1]android_repos_all_metrics!B:K,4,FALSE)</f>
        <v>137</v>
      </c>
      <c r="AD335">
        <f>VLOOKUP(A:A,[1]android_repos_all_metrics!B:K,5,FALSE)</f>
        <v>9</v>
      </c>
      <c r="AE335">
        <f>VLOOKUP(A:A,[1]android_repos_all_metrics!B:K,6,FALSE)</f>
        <v>1</v>
      </c>
      <c r="AF335">
        <f>VLOOKUP(A:A,[1]android_repos_all_metrics!B:K,7,FALSE)</f>
        <v>1614</v>
      </c>
      <c r="AG335">
        <f>VLOOKUP(A:A,[1]android_repos_all_metrics!B:K,8,FALSE)</f>
        <v>4</v>
      </c>
      <c r="AH335">
        <f>VLOOKUP(A:A,[1]android_repos_all_metrics!B:K,9,FALSE)</f>
        <v>12</v>
      </c>
      <c r="AI335">
        <f>VLOOKUP(A:A,[1]android_repos_all_metrics!B:K,10,FALSE)</f>
        <v>2</v>
      </c>
    </row>
    <row r="336" spans="1:35">
      <c r="A336" t="s">
        <v>389</v>
      </c>
      <c r="B336" t="b">
        <v>0</v>
      </c>
      <c r="C336" t="b">
        <v>0</v>
      </c>
      <c r="D336" t="b">
        <v>0</v>
      </c>
      <c r="F336" t="b">
        <v>0</v>
      </c>
      <c r="H336" t="s">
        <v>40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>
        <v>2</v>
      </c>
      <c r="AB336">
        <v>1</v>
      </c>
      <c r="AC336">
        <f>VLOOKUP(A:A,[1]android_repos_all_metrics!B:K,4,FALSE)</f>
        <v>100</v>
      </c>
      <c r="AD336">
        <f>VLOOKUP(A:A,[1]android_repos_all_metrics!B:K,5,FALSE)</f>
        <v>0</v>
      </c>
      <c r="AE336">
        <f>VLOOKUP(A:A,[1]android_repos_all_metrics!B:K,6,FALSE)</f>
        <v>2</v>
      </c>
      <c r="AF336">
        <f>VLOOKUP(A:A,[1]android_repos_all_metrics!B:K,7,FALSE)</f>
        <v>15062</v>
      </c>
      <c r="AG336">
        <f>VLOOKUP(A:A,[1]android_repos_all_metrics!B:K,8,FALSE)</f>
        <v>19</v>
      </c>
      <c r="AH336">
        <f>VLOOKUP(A:A,[1]android_repos_all_metrics!B:K,9,FALSE)</f>
        <v>29</v>
      </c>
      <c r="AI336">
        <f>VLOOKUP(A:A,[1]android_repos_all_metrics!B:K,10,FALSE)</f>
        <v>8</v>
      </c>
    </row>
    <row r="337" spans="1:35">
      <c r="A337" t="s">
        <v>390</v>
      </c>
      <c r="B337" t="b">
        <v>0</v>
      </c>
      <c r="C337" t="b">
        <v>0</v>
      </c>
      <c r="D337" t="b">
        <v>0</v>
      </c>
      <c r="F337" t="b">
        <v>0</v>
      </c>
      <c r="H337" t="s">
        <v>41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>
        <v>1</v>
      </c>
      <c r="AB337">
        <v>0</v>
      </c>
      <c r="AC337">
        <f>VLOOKUP(A:A,[1]android_repos_all_metrics!B:K,4,FALSE)</f>
        <v>518</v>
      </c>
      <c r="AD337">
        <f>VLOOKUP(A:A,[1]android_repos_all_metrics!B:K,5,FALSE)</f>
        <v>8</v>
      </c>
      <c r="AE337">
        <f>VLOOKUP(A:A,[1]android_repos_all_metrics!B:K,6,FALSE)</f>
        <v>5</v>
      </c>
      <c r="AF337">
        <f>VLOOKUP(A:A,[1]android_repos_all_metrics!B:K,7,FALSE)</f>
        <v>32566</v>
      </c>
      <c r="AG337">
        <f>VLOOKUP(A:A,[1]android_repos_all_metrics!B:K,8,FALSE)</f>
        <v>33</v>
      </c>
      <c r="AH337">
        <f>VLOOKUP(A:A,[1]android_repos_all_metrics!B:K,9,FALSE)</f>
        <v>47</v>
      </c>
      <c r="AI337">
        <f>VLOOKUP(A:A,[1]android_repos_all_metrics!B:K,10,FALSE)</f>
        <v>11</v>
      </c>
    </row>
    <row r="338" spans="1:35">
      <c r="A338" t="s">
        <v>391</v>
      </c>
      <c r="B338" t="b">
        <v>0</v>
      </c>
      <c r="C338" t="b">
        <v>0</v>
      </c>
      <c r="D338" t="b">
        <v>0</v>
      </c>
      <c r="F338" t="b">
        <v>0</v>
      </c>
      <c r="H338" t="s">
        <v>41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>
        <v>1</v>
      </c>
      <c r="AB338">
        <v>0</v>
      </c>
      <c r="AC338">
        <f>VLOOKUP(A:A,[1]android_repos_all_metrics!B:K,4,FALSE)</f>
        <v>119</v>
      </c>
      <c r="AD338">
        <f>VLOOKUP(A:A,[1]android_repos_all_metrics!B:K,5,FALSE)</f>
        <v>3</v>
      </c>
      <c r="AE338">
        <f>VLOOKUP(A:A,[1]android_repos_all_metrics!B:K,6,FALSE)</f>
        <v>1</v>
      </c>
      <c r="AF338">
        <f>VLOOKUP(A:A,[1]android_repos_all_metrics!B:K,7,FALSE)</f>
        <v>206165</v>
      </c>
      <c r="AG338">
        <f>VLOOKUP(A:A,[1]android_repos_all_metrics!B:K,8,FALSE)</f>
        <v>2</v>
      </c>
      <c r="AH338">
        <f>VLOOKUP(A:A,[1]android_repos_all_metrics!B:K,9,FALSE)</f>
        <v>4</v>
      </c>
      <c r="AI338">
        <f>VLOOKUP(A:A,[1]android_repos_all_metrics!B:K,10,FALSE)</f>
        <v>0</v>
      </c>
    </row>
    <row r="339" spans="1:35">
      <c r="A339" t="s">
        <v>392</v>
      </c>
      <c r="B339" t="b">
        <v>1</v>
      </c>
      <c r="C339" t="b">
        <v>0</v>
      </c>
      <c r="D339" t="b">
        <v>0</v>
      </c>
      <c r="F339" t="b">
        <v>0</v>
      </c>
      <c r="H339" t="s">
        <v>76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>
        <v>1</v>
      </c>
      <c r="AB339">
        <v>0</v>
      </c>
      <c r="AC339">
        <f>VLOOKUP(A:A,[1]android_repos_all_metrics!B:K,4,FALSE)</f>
        <v>3300</v>
      </c>
      <c r="AD339">
        <f>VLOOKUP(A:A,[1]android_repos_all_metrics!B:K,5,FALSE)</f>
        <v>0</v>
      </c>
      <c r="AE339">
        <f>VLOOKUP(A:A,[1]android_repos_all_metrics!B:K,6,FALSE)</f>
        <v>13</v>
      </c>
      <c r="AF339">
        <f>VLOOKUP(A:A,[1]android_repos_all_metrics!B:K,7,FALSE)</f>
        <v>407256</v>
      </c>
      <c r="AG339">
        <f>VLOOKUP(A:A,[1]android_repos_all_metrics!B:K,8,FALSE)</f>
        <v>1</v>
      </c>
      <c r="AH339">
        <f>VLOOKUP(A:A,[1]android_repos_all_metrics!B:K,9,FALSE)</f>
        <v>1</v>
      </c>
      <c r="AI339">
        <f>VLOOKUP(A:A,[1]android_repos_all_metrics!B:K,10,FALSE)</f>
        <v>0</v>
      </c>
    </row>
    <row r="340" spans="1:35">
      <c r="A340" t="s">
        <v>393</v>
      </c>
      <c r="B340" t="b">
        <v>1</v>
      </c>
      <c r="C340" t="b">
        <v>0</v>
      </c>
      <c r="D340" t="b">
        <v>0</v>
      </c>
      <c r="F340" t="b">
        <v>0</v>
      </c>
      <c r="H340" t="s">
        <v>37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>
        <v>1</v>
      </c>
      <c r="AB340">
        <v>0</v>
      </c>
      <c r="AC340">
        <f>VLOOKUP(A:A,[1]android_repos_all_metrics!B:K,4,FALSE)</f>
        <v>595</v>
      </c>
      <c r="AD340">
        <f>VLOOKUP(A:A,[1]android_repos_all_metrics!B:K,5,FALSE)</f>
        <v>1</v>
      </c>
      <c r="AE340">
        <f>VLOOKUP(A:A,[1]android_repos_all_metrics!B:K,6,FALSE)</f>
        <v>1</v>
      </c>
      <c r="AF340">
        <f>VLOOKUP(A:A,[1]android_repos_all_metrics!B:K,7,FALSE)</f>
        <v>16539</v>
      </c>
      <c r="AG340">
        <f>VLOOKUP(A:A,[1]android_repos_all_metrics!B:K,8,FALSE)</f>
        <v>1</v>
      </c>
      <c r="AH340">
        <f>VLOOKUP(A:A,[1]android_repos_all_metrics!B:K,9,FALSE)</f>
        <v>1</v>
      </c>
      <c r="AI340">
        <f>VLOOKUP(A:A,[1]android_repos_all_metrics!B:K,10,FALSE)</f>
        <v>0</v>
      </c>
    </row>
    <row r="341" spans="1:35">
      <c r="A341" t="s">
        <v>394</v>
      </c>
      <c r="B341" t="b">
        <v>1</v>
      </c>
      <c r="C341" t="b">
        <v>0</v>
      </c>
      <c r="D341" t="b">
        <v>0</v>
      </c>
      <c r="F341" t="b">
        <v>0</v>
      </c>
      <c r="H341" t="s">
        <v>308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>
        <v>2</v>
      </c>
      <c r="AB341">
        <v>0</v>
      </c>
      <c r="AC341">
        <f>VLOOKUP(A:A,[1]android_repos_all_metrics!B:K,4,FALSE)</f>
        <v>1559</v>
      </c>
      <c r="AD341">
        <f>VLOOKUP(A:A,[1]android_repos_all_metrics!B:K,5,FALSE)</f>
        <v>351</v>
      </c>
      <c r="AE341">
        <f>VLOOKUP(A:A,[1]android_repos_all_metrics!B:K,6,FALSE)</f>
        <v>6</v>
      </c>
      <c r="AF341">
        <f>VLOOKUP(A:A,[1]android_repos_all_metrics!B:K,7,FALSE)</f>
        <v>78216</v>
      </c>
      <c r="AG341">
        <f>VLOOKUP(A:A,[1]android_repos_all_metrics!B:K,8,FALSE)</f>
        <v>3</v>
      </c>
      <c r="AH341">
        <f>VLOOKUP(A:A,[1]android_repos_all_metrics!B:K,9,FALSE)</f>
        <v>13</v>
      </c>
      <c r="AI341">
        <f>VLOOKUP(A:A,[1]android_repos_all_metrics!B:K,10,FALSE)</f>
        <v>1</v>
      </c>
    </row>
    <row r="342" spans="1:35">
      <c r="A342" t="s">
        <v>395</v>
      </c>
      <c r="B342" t="b">
        <v>1</v>
      </c>
      <c r="C342" t="b">
        <v>0</v>
      </c>
      <c r="D342" t="b">
        <v>0</v>
      </c>
      <c r="F342" t="b">
        <v>0</v>
      </c>
      <c r="H342" t="s">
        <v>37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>
        <v>2</v>
      </c>
      <c r="AB342">
        <v>0</v>
      </c>
      <c r="AC342">
        <f>VLOOKUP(A:A,[1]android_repos_all_metrics!B:K,4,FALSE)</f>
        <v>288</v>
      </c>
      <c r="AD342">
        <f>VLOOKUP(A:A,[1]android_repos_all_metrics!B:K,5,FALSE)</f>
        <v>1</v>
      </c>
      <c r="AE342">
        <f>VLOOKUP(A:A,[1]android_repos_all_metrics!B:K,6,FALSE)</f>
        <v>1</v>
      </c>
      <c r="AF342">
        <f>VLOOKUP(A:A,[1]android_repos_all_metrics!B:K,7,FALSE)</f>
        <v>5179</v>
      </c>
      <c r="AG342">
        <f>VLOOKUP(A:A,[1]android_repos_all_metrics!B:K,8,FALSE)</f>
        <v>0</v>
      </c>
      <c r="AH342">
        <f>VLOOKUP(A:A,[1]android_repos_all_metrics!B:K,9,FALSE)</f>
        <v>2</v>
      </c>
      <c r="AI342">
        <f>VLOOKUP(A:A,[1]android_repos_all_metrics!B:K,10,FALSE)</f>
        <v>0</v>
      </c>
    </row>
    <row r="343" spans="1:35">
      <c r="A343" t="s">
        <v>396</v>
      </c>
      <c r="B343" t="b">
        <v>0</v>
      </c>
      <c r="C343" t="b">
        <v>0</v>
      </c>
      <c r="D343" t="b">
        <v>0</v>
      </c>
      <c r="F343" t="b">
        <v>0</v>
      </c>
      <c r="H343" t="s">
        <v>41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>
        <v>1</v>
      </c>
      <c r="AB343">
        <v>0</v>
      </c>
      <c r="AC343">
        <f>VLOOKUP(A:A,[1]android_repos_all_metrics!B:K,4,FALSE)</f>
        <v>127</v>
      </c>
      <c r="AD343">
        <f>VLOOKUP(A:A,[1]android_repos_all_metrics!B:K,5,FALSE)</f>
        <v>5</v>
      </c>
      <c r="AE343">
        <f>VLOOKUP(A:A,[1]android_repos_all_metrics!B:K,6,FALSE)</f>
        <v>1</v>
      </c>
      <c r="AF343">
        <f>VLOOKUP(A:A,[1]android_repos_all_metrics!B:K,7,FALSE)</f>
        <v>5306</v>
      </c>
      <c r="AG343">
        <f>VLOOKUP(A:A,[1]android_repos_all_metrics!B:K,8,FALSE)</f>
        <v>0</v>
      </c>
      <c r="AH343">
        <f>VLOOKUP(A:A,[1]android_repos_all_metrics!B:K,9,FALSE)</f>
        <v>7</v>
      </c>
      <c r="AI343">
        <f>VLOOKUP(A:A,[1]android_repos_all_metrics!B:K,10,FALSE)</f>
        <v>0</v>
      </c>
    </row>
    <row r="344" spans="1:35">
      <c r="A344" t="s">
        <v>397</v>
      </c>
      <c r="B344" t="b">
        <v>1</v>
      </c>
      <c r="C344" t="b">
        <v>0</v>
      </c>
      <c r="D344" t="b">
        <v>0</v>
      </c>
      <c r="F344" t="b">
        <v>0</v>
      </c>
      <c r="H344" t="s">
        <v>86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>
        <v>3</v>
      </c>
      <c r="AB344">
        <v>0</v>
      </c>
      <c r="AC344">
        <f>VLOOKUP(A:A,[1]android_repos_all_metrics!B:K,4,FALSE)</f>
        <v>144</v>
      </c>
      <c r="AD344">
        <f>VLOOKUP(A:A,[1]android_repos_all_metrics!B:K,5,FALSE)</f>
        <v>247</v>
      </c>
      <c r="AE344">
        <f>VLOOKUP(A:A,[1]android_repos_all_metrics!B:K,6,FALSE)</f>
        <v>2</v>
      </c>
      <c r="AF344">
        <f>VLOOKUP(A:A,[1]android_repos_all_metrics!B:K,7,FALSE)</f>
        <v>2003</v>
      </c>
      <c r="AG344">
        <f>VLOOKUP(A:A,[1]android_repos_all_metrics!B:K,8,FALSE)</f>
        <v>1</v>
      </c>
      <c r="AH344">
        <f>VLOOKUP(A:A,[1]android_repos_all_metrics!B:K,9,FALSE)</f>
        <v>6</v>
      </c>
      <c r="AI344">
        <f>VLOOKUP(A:A,[1]android_repos_all_metrics!B:K,10,FALSE)</f>
        <v>10</v>
      </c>
    </row>
    <row r="345" spans="1:35">
      <c r="A345" t="s">
        <v>398</v>
      </c>
      <c r="B345" t="b">
        <v>1</v>
      </c>
      <c r="C345" t="b">
        <v>0</v>
      </c>
      <c r="D345" t="b">
        <v>0</v>
      </c>
      <c r="F345" t="b">
        <v>0</v>
      </c>
      <c r="H345" t="s">
        <v>37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>
        <v>3</v>
      </c>
      <c r="AB345">
        <v>0</v>
      </c>
      <c r="AC345">
        <f>VLOOKUP(A:A,[1]android_repos_all_metrics!B:K,4,FALSE)</f>
        <v>0</v>
      </c>
      <c r="AD345">
        <f>VLOOKUP(A:A,[1]android_repos_all_metrics!B:K,5,FALSE)</f>
        <v>0</v>
      </c>
      <c r="AE345">
        <f>VLOOKUP(A:A,[1]android_repos_all_metrics!B:K,6,FALSE)</f>
        <v>0</v>
      </c>
      <c r="AF345">
        <f>VLOOKUP(A:A,[1]android_repos_all_metrics!B:K,7,FALSE)</f>
        <v>65469</v>
      </c>
      <c r="AG345">
        <f>VLOOKUP(A:A,[1]android_repos_all_metrics!B:K,8,FALSE)</f>
        <v>775</v>
      </c>
      <c r="AH345">
        <f>VLOOKUP(A:A,[1]android_repos_all_metrics!B:K,9,FALSE)</f>
        <v>5718</v>
      </c>
      <c r="AI345">
        <f>VLOOKUP(A:A,[1]android_repos_all_metrics!B:K,10,FALSE)</f>
        <v>192</v>
      </c>
    </row>
    <row r="346" spans="1:35">
      <c r="A346" t="s">
        <v>399</v>
      </c>
      <c r="B346" t="b">
        <v>1</v>
      </c>
      <c r="C346" t="b">
        <v>0</v>
      </c>
      <c r="D346" t="b">
        <v>0</v>
      </c>
      <c r="F346" t="b">
        <v>0</v>
      </c>
      <c r="H346" t="s">
        <v>41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>
        <v>1</v>
      </c>
      <c r="AB346">
        <v>0</v>
      </c>
      <c r="AC346">
        <f>VLOOKUP(A:A,[1]android_repos_all_metrics!B:K,4,FALSE)</f>
        <v>145</v>
      </c>
      <c r="AD346">
        <f>VLOOKUP(A:A,[1]android_repos_all_metrics!B:K,5,FALSE)</f>
        <v>7</v>
      </c>
      <c r="AE346">
        <f>VLOOKUP(A:A,[1]android_repos_all_metrics!B:K,6,FALSE)</f>
        <v>4</v>
      </c>
      <c r="AF346">
        <f>VLOOKUP(A:A,[1]android_repos_all_metrics!B:K,7,FALSE)</f>
        <v>952</v>
      </c>
      <c r="AG346">
        <f>VLOOKUP(A:A,[1]android_repos_all_metrics!B:K,8,FALSE)</f>
        <v>36</v>
      </c>
      <c r="AH346">
        <f>VLOOKUP(A:A,[1]android_repos_all_metrics!B:K,9,FALSE)</f>
        <v>100</v>
      </c>
      <c r="AI346">
        <f>VLOOKUP(A:A,[1]android_repos_all_metrics!B:K,10,FALSE)</f>
        <v>22</v>
      </c>
    </row>
    <row r="347" spans="1:35">
      <c r="A347" t="s">
        <v>400</v>
      </c>
      <c r="B347" t="b">
        <v>1</v>
      </c>
      <c r="C347" t="b">
        <v>0</v>
      </c>
      <c r="D347" t="b">
        <v>0</v>
      </c>
      <c r="F347" t="b">
        <v>0</v>
      </c>
      <c r="H347" t="s">
        <v>37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>
        <v>1</v>
      </c>
      <c r="AB347">
        <v>0</v>
      </c>
      <c r="AC347">
        <f>VLOOKUP(A:A,[1]android_repos_all_metrics!B:K,4,FALSE)</f>
        <v>153</v>
      </c>
      <c r="AD347">
        <f>VLOOKUP(A:A,[1]android_repos_all_metrics!B:K,5,FALSE)</f>
        <v>5</v>
      </c>
      <c r="AE347">
        <f>VLOOKUP(A:A,[1]android_repos_all_metrics!B:K,6,FALSE)</f>
        <v>4</v>
      </c>
      <c r="AF347">
        <f>VLOOKUP(A:A,[1]android_repos_all_metrics!B:K,7,FALSE)</f>
        <v>3241</v>
      </c>
      <c r="AG347">
        <f>VLOOKUP(A:A,[1]android_repos_all_metrics!B:K,8,FALSE)</f>
        <v>8</v>
      </c>
      <c r="AH347">
        <f>VLOOKUP(A:A,[1]android_repos_all_metrics!B:K,9,FALSE)</f>
        <v>85</v>
      </c>
      <c r="AI347">
        <f>VLOOKUP(A:A,[1]android_repos_all_metrics!B:K,10,FALSE)</f>
        <v>14</v>
      </c>
    </row>
    <row r="348" spans="1:35">
      <c r="A348" t="s">
        <v>401</v>
      </c>
      <c r="B348" t="b">
        <v>1</v>
      </c>
      <c r="C348" t="b">
        <v>0</v>
      </c>
      <c r="D348" t="b">
        <v>0</v>
      </c>
      <c r="F348" t="b">
        <v>0</v>
      </c>
      <c r="H348" t="s">
        <v>37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>
        <v>1</v>
      </c>
      <c r="AB348">
        <v>0</v>
      </c>
      <c r="AC348">
        <f>VLOOKUP(A:A,[1]android_repos_all_metrics!B:K,4,FALSE)</f>
        <v>12</v>
      </c>
      <c r="AD348">
        <f>VLOOKUP(A:A,[1]android_repos_all_metrics!B:K,5,FALSE)</f>
        <v>1</v>
      </c>
      <c r="AE348">
        <f>VLOOKUP(A:A,[1]android_repos_all_metrics!B:K,6,FALSE)</f>
        <v>2</v>
      </c>
      <c r="AF348">
        <f>VLOOKUP(A:A,[1]android_repos_all_metrics!B:K,7,FALSE)</f>
        <v>345</v>
      </c>
      <c r="AG348">
        <f>VLOOKUP(A:A,[1]android_repos_all_metrics!B:K,8,FALSE)</f>
        <v>2</v>
      </c>
      <c r="AH348">
        <f>VLOOKUP(A:A,[1]android_repos_all_metrics!B:K,9,FALSE)</f>
        <v>2</v>
      </c>
      <c r="AI348">
        <f>VLOOKUP(A:A,[1]android_repos_all_metrics!B:K,10,FALSE)</f>
        <v>0</v>
      </c>
    </row>
    <row r="349" spans="1:35">
      <c r="A349" t="s">
        <v>402</v>
      </c>
      <c r="B349" t="b">
        <v>1</v>
      </c>
      <c r="C349" t="b">
        <v>0</v>
      </c>
      <c r="D349" t="b">
        <v>0</v>
      </c>
      <c r="F349" t="b">
        <v>0</v>
      </c>
      <c r="H349" t="s">
        <v>43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>
        <v>1</v>
      </c>
      <c r="AB349">
        <v>0</v>
      </c>
      <c r="AC349">
        <f>VLOOKUP(A:A,[1]android_repos_all_metrics!B:K,4,FALSE)</f>
        <v>39</v>
      </c>
      <c r="AD349">
        <f>VLOOKUP(A:A,[1]android_repos_all_metrics!B:K,5,FALSE)</f>
        <v>0</v>
      </c>
      <c r="AE349">
        <f>VLOOKUP(A:A,[1]android_repos_all_metrics!B:K,6,FALSE)</f>
        <v>1</v>
      </c>
      <c r="AF349">
        <f>VLOOKUP(A:A,[1]android_repos_all_metrics!B:K,7,FALSE)</f>
        <v>200</v>
      </c>
      <c r="AG349">
        <f>VLOOKUP(A:A,[1]android_repos_all_metrics!B:K,8,FALSE)</f>
        <v>81</v>
      </c>
      <c r="AH349">
        <f>VLOOKUP(A:A,[1]android_repos_all_metrics!B:K,9,FALSE)</f>
        <v>185</v>
      </c>
      <c r="AI349">
        <f>VLOOKUP(A:A,[1]android_repos_all_metrics!B:K,10,FALSE)</f>
        <v>6</v>
      </c>
    </row>
    <row r="350" spans="1:35">
      <c r="A350" t="s">
        <v>403</v>
      </c>
      <c r="B350" t="b">
        <v>1</v>
      </c>
      <c r="C350" t="b">
        <v>0</v>
      </c>
      <c r="D350" t="b">
        <v>0</v>
      </c>
      <c r="F350" t="b">
        <v>0</v>
      </c>
      <c r="H350" t="s">
        <v>37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>
        <v>2</v>
      </c>
      <c r="AB350">
        <v>0</v>
      </c>
      <c r="AC350">
        <f>VLOOKUP(A:A,[1]android_repos_all_metrics!B:K,4,FALSE)</f>
        <v>59</v>
      </c>
      <c r="AD350">
        <f>VLOOKUP(A:A,[1]android_repos_all_metrics!B:K,5,FALSE)</f>
        <v>5</v>
      </c>
      <c r="AE350">
        <f>VLOOKUP(A:A,[1]android_repos_all_metrics!B:K,6,FALSE)</f>
        <v>5</v>
      </c>
      <c r="AF350">
        <f>VLOOKUP(A:A,[1]android_repos_all_metrics!B:K,7,FALSE)</f>
        <v>13795</v>
      </c>
      <c r="AG350">
        <f>VLOOKUP(A:A,[1]android_repos_all_metrics!B:K,8,FALSE)</f>
        <v>21</v>
      </c>
      <c r="AH350">
        <f>VLOOKUP(A:A,[1]android_repos_all_metrics!B:K,9,FALSE)</f>
        <v>205</v>
      </c>
      <c r="AI350">
        <f>VLOOKUP(A:A,[1]android_repos_all_metrics!B:K,10,FALSE)</f>
        <v>9</v>
      </c>
    </row>
    <row r="351" spans="1:35">
      <c r="A351" t="s">
        <v>404</v>
      </c>
      <c r="B351" t="b">
        <v>1</v>
      </c>
      <c r="C351" t="b">
        <v>0</v>
      </c>
      <c r="D351" t="b">
        <v>0</v>
      </c>
      <c r="F351" t="b">
        <v>0</v>
      </c>
      <c r="H351" t="s">
        <v>37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>
        <v>2</v>
      </c>
      <c r="AB351">
        <v>0</v>
      </c>
      <c r="AC351">
        <f>VLOOKUP(A:A,[1]android_repos_all_metrics!B:K,4,FALSE)</f>
        <v>206</v>
      </c>
      <c r="AD351">
        <f>VLOOKUP(A:A,[1]android_repos_all_metrics!B:K,5,FALSE)</f>
        <v>268</v>
      </c>
      <c r="AE351">
        <f>VLOOKUP(A:A,[1]android_repos_all_metrics!B:K,6,FALSE)</f>
        <v>5</v>
      </c>
      <c r="AF351">
        <f>VLOOKUP(A:A,[1]android_repos_all_metrics!B:K,7,FALSE)</f>
        <v>7389</v>
      </c>
      <c r="AG351">
        <f>VLOOKUP(A:A,[1]android_repos_all_metrics!B:K,8,FALSE)</f>
        <v>177</v>
      </c>
      <c r="AH351">
        <f>VLOOKUP(A:A,[1]android_repos_all_metrics!B:K,9,FALSE)</f>
        <v>170</v>
      </c>
      <c r="AI351">
        <f>VLOOKUP(A:A,[1]android_repos_all_metrics!B:K,10,FALSE)</f>
        <v>23</v>
      </c>
    </row>
    <row r="352" spans="1:35">
      <c r="A352" t="s">
        <v>405</v>
      </c>
      <c r="B352" t="b">
        <v>1</v>
      </c>
      <c r="C352" t="b">
        <v>0</v>
      </c>
      <c r="D352" t="b">
        <v>0</v>
      </c>
      <c r="F352" t="b">
        <v>0</v>
      </c>
      <c r="H352" t="s">
        <v>37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>
        <v>1</v>
      </c>
      <c r="AB352">
        <v>0</v>
      </c>
      <c r="AC352">
        <f>VLOOKUP(A:A,[1]android_repos_all_metrics!B:K,4,FALSE)</f>
        <v>104</v>
      </c>
      <c r="AD352">
        <f>VLOOKUP(A:A,[1]android_repos_all_metrics!B:K,5,FALSE)</f>
        <v>11</v>
      </c>
      <c r="AE352">
        <f>VLOOKUP(A:A,[1]android_repos_all_metrics!B:K,6,FALSE)</f>
        <v>10</v>
      </c>
      <c r="AF352">
        <f>VLOOKUP(A:A,[1]android_repos_all_metrics!B:K,7,FALSE)</f>
        <v>892</v>
      </c>
      <c r="AG352">
        <f>VLOOKUP(A:A,[1]android_repos_all_metrics!B:K,8,FALSE)</f>
        <v>70</v>
      </c>
      <c r="AH352">
        <f>VLOOKUP(A:A,[1]android_repos_all_metrics!B:K,9,FALSE)</f>
        <v>91</v>
      </c>
      <c r="AI352">
        <f>VLOOKUP(A:A,[1]android_repos_all_metrics!B:K,10,FALSE)</f>
        <v>6</v>
      </c>
    </row>
    <row r="353" spans="1:35">
      <c r="A353" t="s">
        <v>406</v>
      </c>
      <c r="B353" t="b">
        <v>1</v>
      </c>
      <c r="C353" t="b">
        <v>0</v>
      </c>
      <c r="D353" t="b">
        <v>0</v>
      </c>
      <c r="F353" t="b">
        <v>0</v>
      </c>
      <c r="H353" t="s">
        <v>407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>
        <v>1</v>
      </c>
      <c r="AB353">
        <v>0</v>
      </c>
      <c r="AC353" t="e">
        <f>VLOOKUP(A:A,[1]android_repos_all_metrics!B:K,4,FALSE)</f>
        <v>#N/A</v>
      </c>
      <c r="AD353" t="e">
        <f>VLOOKUP(A:A,[1]android_repos_all_metrics!B:K,5,FALSE)</f>
        <v>#N/A</v>
      </c>
      <c r="AE353" t="e">
        <f>VLOOKUP(A:A,[1]android_repos_all_metrics!B:K,6,FALSE)</f>
        <v>#N/A</v>
      </c>
      <c r="AF353" t="e">
        <f>VLOOKUP(A:A,[1]android_repos_all_metrics!B:K,7,FALSE)</f>
        <v>#N/A</v>
      </c>
      <c r="AG353" t="e">
        <f>VLOOKUP(A:A,[1]android_repos_all_metrics!B:K,8,FALSE)</f>
        <v>#N/A</v>
      </c>
      <c r="AH353" t="e">
        <f>VLOOKUP(A:A,[1]android_repos_all_metrics!B:K,9,FALSE)</f>
        <v>#N/A</v>
      </c>
      <c r="AI353" t="e">
        <f>VLOOKUP(A:A,[1]android_repos_all_metrics!B:K,10,FALSE)</f>
        <v>#N/A</v>
      </c>
    </row>
    <row r="354" spans="1:35">
      <c r="A354" t="s">
        <v>408</v>
      </c>
      <c r="B354" t="b">
        <v>1</v>
      </c>
      <c r="C354" t="b">
        <v>1</v>
      </c>
      <c r="D354" t="b">
        <v>1</v>
      </c>
      <c r="E354" t="s">
        <v>36</v>
      </c>
      <c r="F354" t="b">
        <v>0</v>
      </c>
      <c r="H354" t="s">
        <v>110</v>
      </c>
      <c r="I354" t="s">
        <v>37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>
        <v>2</v>
      </c>
      <c r="AA354">
        <v>3</v>
      </c>
      <c r="AB354">
        <v>0</v>
      </c>
      <c r="AC354">
        <f>VLOOKUP(A:A,[1]android_repos_all_metrics!B:K,4,FALSE)</f>
        <v>356</v>
      </c>
      <c r="AD354">
        <f>VLOOKUP(A:A,[1]android_repos_all_metrics!B:K,5,FALSE)</f>
        <v>226</v>
      </c>
      <c r="AE354">
        <f>VLOOKUP(A:A,[1]android_repos_all_metrics!B:K,6,FALSE)</f>
        <v>7</v>
      </c>
      <c r="AF354">
        <f>VLOOKUP(A:A,[1]android_repos_all_metrics!B:K,7,FALSE)</f>
        <v>7854</v>
      </c>
      <c r="AG354">
        <f>VLOOKUP(A:A,[1]android_repos_all_metrics!B:K,8,FALSE)</f>
        <v>13</v>
      </c>
      <c r="AH354">
        <f>VLOOKUP(A:A,[1]android_repos_all_metrics!B:K,9,FALSE)</f>
        <v>130</v>
      </c>
      <c r="AI354">
        <f>VLOOKUP(A:A,[1]android_repos_all_metrics!B:K,10,FALSE)</f>
        <v>37</v>
      </c>
    </row>
    <row r="355" spans="1:35">
      <c r="A355" t="s">
        <v>409</v>
      </c>
      <c r="B355" t="b">
        <v>1</v>
      </c>
      <c r="C355" t="b">
        <v>0</v>
      </c>
      <c r="D355" t="b">
        <v>0</v>
      </c>
      <c r="F355" t="b">
        <v>0</v>
      </c>
      <c r="H355" t="s">
        <v>41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>
        <v>1</v>
      </c>
      <c r="AB355">
        <v>0</v>
      </c>
      <c r="AC355">
        <f>VLOOKUP(A:A,[1]android_repos_all_metrics!B:K,4,FALSE)</f>
        <v>55</v>
      </c>
      <c r="AD355">
        <f>VLOOKUP(A:A,[1]android_repos_all_metrics!B:K,5,FALSE)</f>
        <v>4</v>
      </c>
      <c r="AE355">
        <f>VLOOKUP(A:A,[1]android_repos_all_metrics!B:K,6,FALSE)</f>
        <v>1</v>
      </c>
      <c r="AF355">
        <f>VLOOKUP(A:A,[1]android_repos_all_metrics!B:K,7,FALSE)</f>
        <v>995</v>
      </c>
      <c r="AG355">
        <f>VLOOKUP(A:A,[1]android_repos_all_metrics!B:K,8,FALSE)</f>
        <v>1</v>
      </c>
      <c r="AH355">
        <f>VLOOKUP(A:A,[1]android_repos_all_metrics!B:K,9,FALSE)</f>
        <v>16</v>
      </c>
      <c r="AI355">
        <f>VLOOKUP(A:A,[1]android_repos_all_metrics!B:K,10,FALSE)</f>
        <v>2</v>
      </c>
    </row>
    <row r="356" spans="1:35">
      <c r="A356" t="s">
        <v>410</v>
      </c>
      <c r="B356" t="b">
        <v>0</v>
      </c>
      <c r="C356" t="b">
        <v>0</v>
      </c>
      <c r="D356" t="b">
        <v>0</v>
      </c>
      <c r="F356" t="b">
        <v>0</v>
      </c>
      <c r="H356" t="s">
        <v>41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>
        <v>1</v>
      </c>
      <c r="AB356">
        <v>0</v>
      </c>
      <c r="AC356">
        <f>VLOOKUP(A:A,[1]android_repos_all_metrics!B:K,4,FALSE)</f>
        <v>71</v>
      </c>
      <c r="AD356">
        <f>VLOOKUP(A:A,[1]android_repos_all_metrics!B:K,5,FALSE)</f>
        <v>0</v>
      </c>
      <c r="AE356">
        <f>VLOOKUP(A:A,[1]android_repos_all_metrics!B:K,6,FALSE)</f>
        <v>1</v>
      </c>
      <c r="AF356">
        <f>VLOOKUP(A:A,[1]android_repos_all_metrics!B:K,7,FALSE)</f>
        <v>2831</v>
      </c>
      <c r="AG356">
        <f>VLOOKUP(A:A,[1]android_repos_all_metrics!B:K,8,FALSE)</f>
        <v>4</v>
      </c>
      <c r="AH356">
        <f>VLOOKUP(A:A,[1]android_repos_all_metrics!B:K,9,FALSE)</f>
        <v>8</v>
      </c>
      <c r="AI356">
        <f>VLOOKUP(A:A,[1]android_repos_all_metrics!B:K,10,FALSE)</f>
        <v>0</v>
      </c>
    </row>
    <row r="357" spans="1:35">
      <c r="A357" t="s">
        <v>411</v>
      </c>
      <c r="B357" t="b">
        <v>0</v>
      </c>
      <c r="C357" t="b">
        <v>0</v>
      </c>
      <c r="D357" t="b">
        <v>0</v>
      </c>
      <c r="F357" t="b">
        <v>0</v>
      </c>
      <c r="H357" t="s">
        <v>41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>
        <v>1</v>
      </c>
      <c r="AB357">
        <v>0</v>
      </c>
      <c r="AC357">
        <f>VLOOKUP(A:A,[1]android_repos_all_metrics!B:K,4,FALSE)</f>
        <v>63</v>
      </c>
      <c r="AD357">
        <f>VLOOKUP(A:A,[1]android_repos_all_metrics!B:K,5,FALSE)</f>
        <v>0</v>
      </c>
      <c r="AE357">
        <f>VLOOKUP(A:A,[1]android_repos_all_metrics!B:K,6,FALSE)</f>
        <v>1</v>
      </c>
      <c r="AF357">
        <f>VLOOKUP(A:A,[1]android_repos_all_metrics!B:K,7,FALSE)</f>
        <v>39621</v>
      </c>
      <c r="AG357">
        <f>VLOOKUP(A:A,[1]android_repos_all_metrics!B:K,8,FALSE)</f>
        <v>9</v>
      </c>
      <c r="AH357">
        <f>VLOOKUP(A:A,[1]android_repos_all_metrics!B:K,9,FALSE)</f>
        <v>27</v>
      </c>
      <c r="AI357">
        <f>VLOOKUP(A:A,[1]android_repos_all_metrics!B:K,10,FALSE)</f>
        <v>2</v>
      </c>
    </row>
    <row r="358" spans="1:35">
      <c r="A358" t="s">
        <v>412</v>
      </c>
      <c r="B358" t="b">
        <v>1</v>
      </c>
      <c r="C358" t="b">
        <v>0</v>
      </c>
      <c r="D358" t="b">
        <v>0</v>
      </c>
      <c r="F358" t="b">
        <v>0</v>
      </c>
      <c r="H358" t="s">
        <v>37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>
        <v>2</v>
      </c>
      <c r="AB358">
        <v>0</v>
      </c>
      <c r="AC358">
        <f>VLOOKUP(A:A,[1]android_repos_all_metrics!B:K,4,FALSE)</f>
        <v>16</v>
      </c>
      <c r="AD358">
        <f>VLOOKUP(A:A,[1]android_repos_all_metrics!B:K,5,FALSE)</f>
        <v>0</v>
      </c>
      <c r="AE358">
        <f>VLOOKUP(A:A,[1]android_repos_all_metrics!B:K,6,FALSE)</f>
        <v>2</v>
      </c>
      <c r="AF358">
        <f>VLOOKUP(A:A,[1]android_repos_all_metrics!B:K,7,FALSE)</f>
        <v>295</v>
      </c>
      <c r="AG358">
        <f>VLOOKUP(A:A,[1]android_repos_all_metrics!B:K,8,FALSE)</f>
        <v>6</v>
      </c>
      <c r="AH358">
        <f>VLOOKUP(A:A,[1]android_repos_all_metrics!B:K,9,FALSE)</f>
        <v>24</v>
      </c>
      <c r="AI358">
        <f>VLOOKUP(A:A,[1]android_repos_all_metrics!B:K,10,FALSE)</f>
        <v>3</v>
      </c>
    </row>
    <row r="359" spans="1:35">
      <c r="A359" t="s">
        <v>413</v>
      </c>
      <c r="B359" t="b">
        <v>1</v>
      </c>
      <c r="C359" t="b">
        <v>0</v>
      </c>
      <c r="D359" t="b">
        <v>0</v>
      </c>
      <c r="F359" t="b">
        <v>0</v>
      </c>
      <c r="H359" t="s">
        <v>86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>
        <v>2</v>
      </c>
      <c r="AB359">
        <v>0</v>
      </c>
      <c r="AC359">
        <f>VLOOKUP(A:A,[1]android_repos_all_metrics!B:K,4,FALSE)</f>
        <v>1106</v>
      </c>
      <c r="AD359">
        <f>VLOOKUP(A:A,[1]android_repos_all_metrics!B:K,5,FALSE)</f>
        <v>91</v>
      </c>
      <c r="AE359">
        <f>VLOOKUP(A:A,[1]android_repos_all_metrics!B:K,6,FALSE)</f>
        <v>15</v>
      </c>
      <c r="AF359">
        <f>VLOOKUP(A:A,[1]android_repos_all_metrics!B:K,7,FALSE)</f>
        <v>4114</v>
      </c>
      <c r="AG359">
        <f>VLOOKUP(A:A,[1]android_repos_all_metrics!B:K,8,FALSE)</f>
        <v>32</v>
      </c>
      <c r="AH359">
        <f>VLOOKUP(A:A,[1]android_repos_all_metrics!B:K,9,FALSE)</f>
        <v>93</v>
      </c>
      <c r="AI359">
        <f>VLOOKUP(A:A,[1]android_repos_all_metrics!B:K,10,FALSE)</f>
        <v>24</v>
      </c>
    </row>
    <row r="360" spans="1:35">
      <c r="A360" t="s">
        <v>414</v>
      </c>
      <c r="B360" t="b">
        <v>1</v>
      </c>
      <c r="C360" t="b">
        <v>0</v>
      </c>
      <c r="D360" t="b">
        <v>0</v>
      </c>
      <c r="F360" t="b">
        <v>0</v>
      </c>
      <c r="H360" t="s">
        <v>37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>
        <v>1</v>
      </c>
      <c r="AB360">
        <v>0</v>
      </c>
      <c r="AC360">
        <f>VLOOKUP(A:A,[1]android_repos_all_metrics!B:K,4,FALSE)</f>
        <v>6349</v>
      </c>
      <c r="AD360">
        <f>VLOOKUP(A:A,[1]android_repos_all_metrics!B:K,5,FALSE)</f>
        <v>36</v>
      </c>
      <c r="AE360">
        <f>VLOOKUP(A:A,[1]android_repos_all_metrics!B:K,6,FALSE)</f>
        <v>12</v>
      </c>
      <c r="AF360">
        <f>VLOOKUP(A:A,[1]android_repos_all_metrics!B:K,7,FALSE)</f>
        <v>34355</v>
      </c>
      <c r="AG360">
        <f>VLOOKUP(A:A,[1]android_repos_all_metrics!B:K,8,FALSE)</f>
        <v>46</v>
      </c>
      <c r="AH360">
        <f>VLOOKUP(A:A,[1]android_repos_all_metrics!B:K,9,FALSE)</f>
        <v>221</v>
      </c>
      <c r="AI360">
        <f>VLOOKUP(A:A,[1]android_repos_all_metrics!B:K,10,FALSE)</f>
        <v>46</v>
      </c>
    </row>
    <row r="361" spans="1:35">
      <c r="A361" t="s">
        <v>415</v>
      </c>
      <c r="B361" t="b">
        <v>1</v>
      </c>
      <c r="C361" t="b">
        <v>0</v>
      </c>
      <c r="D361" t="b">
        <v>0</v>
      </c>
      <c r="F361" t="b">
        <v>0</v>
      </c>
      <c r="H361" t="s">
        <v>37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>
        <v>1</v>
      </c>
      <c r="AB361">
        <v>0</v>
      </c>
      <c r="AC361">
        <f>VLOOKUP(A:A,[1]android_repos_all_metrics!B:K,4,FALSE)</f>
        <v>146</v>
      </c>
      <c r="AD361">
        <f>VLOOKUP(A:A,[1]android_repos_all_metrics!B:K,5,FALSE)</f>
        <v>0</v>
      </c>
      <c r="AE361">
        <f>VLOOKUP(A:A,[1]android_repos_all_metrics!B:K,6,FALSE)</f>
        <v>2</v>
      </c>
      <c r="AF361">
        <f>VLOOKUP(A:A,[1]android_repos_all_metrics!B:K,7,FALSE)</f>
        <v>778</v>
      </c>
      <c r="AG361">
        <f>VLOOKUP(A:A,[1]android_repos_all_metrics!B:K,8,FALSE)</f>
        <v>0</v>
      </c>
      <c r="AH361">
        <f>VLOOKUP(A:A,[1]android_repos_all_metrics!B:K,9,FALSE)</f>
        <v>7</v>
      </c>
      <c r="AI361">
        <f>VLOOKUP(A:A,[1]android_repos_all_metrics!B:K,10,FALSE)</f>
        <v>3</v>
      </c>
    </row>
    <row r="362" spans="1:35">
      <c r="A362" t="s">
        <v>416</v>
      </c>
      <c r="B362" t="b">
        <v>0</v>
      </c>
      <c r="C362" t="b">
        <v>0</v>
      </c>
      <c r="D362" t="b">
        <v>0</v>
      </c>
      <c r="F362" t="b">
        <v>0</v>
      </c>
      <c r="H362" t="s">
        <v>41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>
        <v>1</v>
      </c>
      <c r="AB362">
        <v>0</v>
      </c>
      <c r="AC362">
        <f>VLOOKUP(A:A,[1]android_repos_all_metrics!B:K,4,FALSE)</f>
        <v>17</v>
      </c>
      <c r="AD362">
        <f>VLOOKUP(A:A,[1]android_repos_all_metrics!B:K,5,FALSE)</f>
        <v>2</v>
      </c>
      <c r="AE362">
        <f>VLOOKUP(A:A,[1]android_repos_all_metrics!B:K,6,FALSE)</f>
        <v>1</v>
      </c>
      <c r="AF362">
        <f>VLOOKUP(A:A,[1]android_repos_all_metrics!B:K,7,FALSE)</f>
        <v>177</v>
      </c>
      <c r="AG362">
        <f>VLOOKUP(A:A,[1]android_repos_all_metrics!B:K,8,FALSE)</f>
        <v>0</v>
      </c>
      <c r="AH362">
        <f>VLOOKUP(A:A,[1]android_repos_all_metrics!B:K,9,FALSE)</f>
        <v>2</v>
      </c>
      <c r="AI362">
        <f>VLOOKUP(A:A,[1]android_repos_all_metrics!B:K,10,FALSE)</f>
        <v>0</v>
      </c>
    </row>
    <row r="363" spans="1:35">
      <c r="A363" t="s">
        <v>417</v>
      </c>
      <c r="B363" t="b">
        <v>1</v>
      </c>
      <c r="C363" t="b">
        <v>0</v>
      </c>
      <c r="D363" t="b">
        <v>0</v>
      </c>
      <c r="F363" t="b">
        <v>0</v>
      </c>
      <c r="H363" t="s">
        <v>37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>
        <v>1</v>
      </c>
      <c r="AB363">
        <v>0</v>
      </c>
      <c r="AC363">
        <f>VLOOKUP(A:A,[1]android_repos_all_metrics!B:K,4,FALSE)</f>
        <v>26</v>
      </c>
      <c r="AD363">
        <f>VLOOKUP(A:A,[1]android_repos_all_metrics!B:K,5,FALSE)</f>
        <v>0</v>
      </c>
      <c r="AE363">
        <f>VLOOKUP(A:A,[1]android_repos_all_metrics!B:K,6,FALSE)</f>
        <v>1</v>
      </c>
      <c r="AF363">
        <f>VLOOKUP(A:A,[1]android_repos_all_metrics!B:K,7,FALSE)</f>
        <v>214</v>
      </c>
      <c r="AG363">
        <f>VLOOKUP(A:A,[1]android_repos_all_metrics!B:K,8,FALSE)</f>
        <v>0</v>
      </c>
      <c r="AH363">
        <f>VLOOKUP(A:A,[1]android_repos_all_metrics!B:K,9,FALSE)</f>
        <v>2</v>
      </c>
      <c r="AI363">
        <f>VLOOKUP(A:A,[1]android_repos_all_metrics!B:K,10,FALSE)</f>
        <v>0</v>
      </c>
    </row>
    <row r="364" spans="1:35">
      <c r="A364" t="s">
        <v>418</v>
      </c>
      <c r="B364" t="b">
        <v>1</v>
      </c>
      <c r="C364" t="b">
        <v>0</v>
      </c>
      <c r="D364" t="b">
        <v>0</v>
      </c>
      <c r="F364" t="b">
        <v>0</v>
      </c>
      <c r="H364" t="s">
        <v>37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>
        <v>16</v>
      </c>
      <c r="AB364">
        <v>0</v>
      </c>
      <c r="AC364">
        <f>VLOOKUP(A:A,[1]android_repos_all_metrics!B:K,4,FALSE)</f>
        <v>24536</v>
      </c>
      <c r="AD364">
        <f>VLOOKUP(A:A,[1]android_repos_all_metrics!B:K,5,FALSE)</f>
        <v>2378</v>
      </c>
      <c r="AE364">
        <f>VLOOKUP(A:A,[1]android_repos_all_metrics!B:K,6,FALSE)</f>
        <v>137</v>
      </c>
      <c r="AF364">
        <f>VLOOKUP(A:A,[1]android_repos_all_metrics!B:K,7,FALSE)</f>
        <v>272723</v>
      </c>
      <c r="AG364">
        <f>VLOOKUP(A:A,[1]android_repos_all_metrics!B:K,8,FALSE)</f>
        <v>414</v>
      </c>
      <c r="AH364">
        <f>VLOOKUP(A:A,[1]android_repos_all_metrics!B:K,9,FALSE)</f>
        <v>1697</v>
      </c>
      <c r="AI364">
        <f>VLOOKUP(A:A,[1]android_repos_all_metrics!B:K,10,FALSE)</f>
        <v>533</v>
      </c>
    </row>
    <row r="365" spans="1:35">
      <c r="A365" t="s">
        <v>419</v>
      </c>
      <c r="B365" t="b">
        <v>1</v>
      </c>
      <c r="C365" t="b">
        <v>0</v>
      </c>
      <c r="D365" t="b">
        <v>0</v>
      </c>
      <c r="F365" t="b">
        <v>0</v>
      </c>
      <c r="H365" t="s">
        <v>37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>
        <v>2</v>
      </c>
      <c r="AB365">
        <v>0</v>
      </c>
      <c r="AC365">
        <f>VLOOKUP(A:A,[1]android_repos_all_metrics!B:K,4,FALSE)</f>
        <v>1584</v>
      </c>
      <c r="AD365">
        <f>VLOOKUP(A:A,[1]android_repos_all_metrics!B:K,5,FALSE)</f>
        <v>166</v>
      </c>
      <c r="AE365">
        <f>VLOOKUP(A:A,[1]android_repos_all_metrics!B:K,6,FALSE)</f>
        <v>10</v>
      </c>
      <c r="AF365">
        <f>VLOOKUP(A:A,[1]android_repos_all_metrics!B:K,7,FALSE)</f>
        <v>18956</v>
      </c>
      <c r="AG365">
        <f>VLOOKUP(A:A,[1]android_repos_all_metrics!B:K,8,FALSE)</f>
        <v>16</v>
      </c>
      <c r="AH365">
        <f>VLOOKUP(A:A,[1]android_repos_all_metrics!B:K,9,FALSE)</f>
        <v>23</v>
      </c>
      <c r="AI365">
        <f>VLOOKUP(A:A,[1]android_repos_all_metrics!B:K,10,FALSE)</f>
        <v>0</v>
      </c>
    </row>
    <row r="366" spans="1:35">
      <c r="A366" t="s">
        <v>420</v>
      </c>
      <c r="B366" t="b">
        <v>1</v>
      </c>
      <c r="C366" t="b">
        <v>0</v>
      </c>
      <c r="D366" t="b">
        <v>0</v>
      </c>
      <c r="F366" t="b">
        <v>0</v>
      </c>
      <c r="H366" t="s">
        <v>43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>
        <v>1</v>
      </c>
      <c r="AB366">
        <v>0</v>
      </c>
      <c r="AC366">
        <f>VLOOKUP(A:A,[1]android_repos_all_metrics!B:K,4,FALSE)</f>
        <v>356</v>
      </c>
      <c r="AD366">
        <f>VLOOKUP(A:A,[1]android_repos_all_metrics!B:K,5,FALSE)</f>
        <v>26</v>
      </c>
      <c r="AE366">
        <f>VLOOKUP(A:A,[1]android_repos_all_metrics!B:K,6,FALSE)</f>
        <v>13</v>
      </c>
      <c r="AF366">
        <f>VLOOKUP(A:A,[1]android_repos_all_metrics!B:K,7,FALSE)</f>
        <v>46521</v>
      </c>
      <c r="AG366">
        <f>VLOOKUP(A:A,[1]android_repos_all_metrics!B:K,8,FALSE)</f>
        <v>261</v>
      </c>
      <c r="AH366">
        <f>VLOOKUP(A:A,[1]android_repos_all_metrics!B:K,9,FALSE)</f>
        <v>687</v>
      </c>
      <c r="AI366">
        <f>VLOOKUP(A:A,[1]android_repos_all_metrics!B:K,10,FALSE)</f>
        <v>11</v>
      </c>
    </row>
    <row r="367" spans="1:35">
      <c r="A367" t="s">
        <v>421</v>
      </c>
      <c r="B367" t="b">
        <v>1</v>
      </c>
      <c r="C367" t="b">
        <v>0</v>
      </c>
      <c r="D367" t="b">
        <v>0</v>
      </c>
      <c r="F367" t="b">
        <v>0</v>
      </c>
      <c r="H367" t="s">
        <v>37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>
        <v>1</v>
      </c>
      <c r="AB367">
        <v>0</v>
      </c>
      <c r="AC367">
        <f>VLOOKUP(A:A,[1]android_repos_all_metrics!B:K,4,FALSE)</f>
        <v>111</v>
      </c>
      <c r="AD367">
        <f>VLOOKUP(A:A,[1]android_repos_all_metrics!B:K,5,FALSE)</f>
        <v>9</v>
      </c>
      <c r="AE367">
        <f>VLOOKUP(A:A,[1]android_repos_all_metrics!B:K,6,FALSE)</f>
        <v>2</v>
      </c>
      <c r="AF367">
        <f>VLOOKUP(A:A,[1]android_repos_all_metrics!B:K,7,FALSE)</f>
        <v>2135</v>
      </c>
      <c r="AG367">
        <f>VLOOKUP(A:A,[1]android_repos_all_metrics!B:K,8,FALSE)</f>
        <v>0</v>
      </c>
      <c r="AH367">
        <f>VLOOKUP(A:A,[1]android_repos_all_metrics!B:K,9,FALSE)</f>
        <v>2</v>
      </c>
      <c r="AI367">
        <f>VLOOKUP(A:A,[1]android_repos_all_metrics!B:K,10,FALSE)</f>
        <v>0</v>
      </c>
    </row>
    <row r="368" spans="1:35">
      <c r="A368" t="s">
        <v>422</v>
      </c>
      <c r="B368" t="b">
        <v>1</v>
      </c>
      <c r="C368" t="b">
        <v>0</v>
      </c>
      <c r="D368" t="b">
        <v>0</v>
      </c>
      <c r="F368" t="b">
        <v>0</v>
      </c>
      <c r="H368" t="s">
        <v>37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>
        <v>1</v>
      </c>
      <c r="AB368">
        <v>0</v>
      </c>
      <c r="AC368">
        <f>VLOOKUP(A:A,[1]android_repos_all_metrics!B:K,4,FALSE)</f>
        <v>20</v>
      </c>
      <c r="AD368">
        <f>VLOOKUP(A:A,[1]android_repos_all_metrics!B:K,5,FALSE)</f>
        <v>1</v>
      </c>
      <c r="AE368">
        <f>VLOOKUP(A:A,[1]android_repos_all_metrics!B:K,6,FALSE)</f>
        <v>1</v>
      </c>
      <c r="AF368">
        <f>VLOOKUP(A:A,[1]android_repos_all_metrics!B:K,7,FALSE)</f>
        <v>461</v>
      </c>
      <c r="AG368">
        <f>VLOOKUP(A:A,[1]android_repos_all_metrics!B:K,8,FALSE)</f>
        <v>0</v>
      </c>
      <c r="AH368">
        <f>VLOOKUP(A:A,[1]android_repos_all_metrics!B:K,9,FALSE)</f>
        <v>1</v>
      </c>
      <c r="AI368">
        <f>VLOOKUP(A:A,[1]android_repos_all_metrics!B:K,10,FALSE)</f>
        <v>1</v>
      </c>
    </row>
    <row r="369" spans="1:35">
      <c r="A369" t="s">
        <v>423</v>
      </c>
      <c r="B369" t="b">
        <v>1</v>
      </c>
      <c r="C369" t="b">
        <v>0</v>
      </c>
      <c r="D369" t="b">
        <v>0</v>
      </c>
      <c r="F369" t="b">
        <v>0</v>
      </c>
      <c r="H369" t="s">
        <v>37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>
        <v>1</v>
      </c>
      <c r="AB369">
        <v>0</v>
      </c>
      <c r="AC369">
        <f>VLOOKUP(A:A,[1]android_repos_all_metrics!B:K,4,FALSE)</f>
        <v>54</v>
      </c>
      <c r="AD369">
        <f>VLOOKUP(A:A,[1]android_repos_all_metrics!B:K,5,FALSE)</f>
        <v>1</v>
      </c>
      <c r="AE369">
        <f>VLOOKUP(A:A,[1]android_repos_all_metrics!B:K,6,FALSE)</f>
        <v>1</v>
      </c>
      <c r="AF369">
        <f>VLOOKUP(A:A,[1]android_repos_all_metrics!B:K,7,FALSE)</f>
        <v>4897</v>
      </c>
      <c r="AG369">
        <f>VLOOKUP(A:A,[1]android_repos_all_metrics!B:K,8,FALSE)</f>
        <v>5</v>
      </c>
      <c r="AH369">
        <f>VLOOKUP(A:A,[1]android_repos_all_metrics!B:K,9,FALSE)</f>
        <v>56</v>
      </c>
      <c r="AI369">
        <f>VLOOKUP(A:A,[1]android_repos_all_metrics!B:K,10,FALSE)</f>
        <v>0</v>
      </c>
    </row>
    <row r="370" spans="1:35">
      <c r="A370" t="s">
        <v>424</v>
      </c>
      <c r="B370" t="b">
        <v>1</v>
      </c>
      <c r="C370" t="b">
        <v>1</v>
      </c>
      <c r="D370" t="b">
        <v>1</v>
      </c>
      <c r="E370" t="s">
        <v>36</v>
      </c>
      <c r="F370" t="b">
        <v>0</v>
      </c>
      <c r="H370" t="s">
        <v>37</v>
      </c>
      <c r="I370" t="s">
        <v>37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>
        <v>1</v>
      </c>
      <c r="AA370">
        <v>2</v>
      </c>
      <c r="AB370">
        <v>0</v>
      </c>
      <c r="AC370">
        <f>VLOOKUP(A:A,[1]android_repos_all_metrics!B:K,4,FALSE)</f>
        <v>501</v>
      </c>
      <c r="AD370">
        <f>VLOOKUP(A:A,[1]android_repos_all_metrics!B:K,5,FALSE)</f>
        <v>184</v>
      </c>
      <c r="AE370">
        <f>VLOOKUP(A:A,[1]android_repos_all_metrics!B:K,6,FALSE)</f>
        <v>3</v>
      </c>
      <c r="AF370">
        <f>VLOOKUP(A:A,[1]android_repos_all_metrics!B:K,7,FALSE)</f>
        <v>1656</v>
      </c>
      <c r="AG370">
        <f>VLOOKUP(A:A,[1]android_repos_all_metrics!B:K,8,FALSE)</f>
        <v>0</v>
      </c>
      <c r="AH370">
        <f>VLOOKUP(A:A,[1]android_repos_all_metrics!B:K,9,FALSE)</f>
        <v>2</v>
      </c>
      <c r="AI370">
        <f>VLOOKUP(A:A,[1]android_repos_all_metrics!B:K,10,FALSE)</f>
        <v>33</v>
      </c>
    </row>
    <row r="371" spans="1:35">
      <c r="A371" t="s">
        <v>425</v>
      </c>
      <c r="B371" t="b">
        <v>1</v>
      </c>
      <c r="C371" t="b">
        <v>0</v>
      </c>
      <c r="D371" t="b">
        <v>0</v>
      </c>
      <c r="F371" t="b">
        <v>0</v>
      </c>
      <c r="H371" t="s">
        <v>37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>
        <v>2</v>
      </c>
      <c r="AB371">
        <v>0</v>
      </c>
      <c r="AC371">
        <f>VLOOKUP(A:A,[1]android_repos_all_metrics!B:K,4,FALSE)</f>
        <v>1147</v>
      </c>
      <c r="AD371">
        <f>VLOOKUP(A:A,[1]android_repos_all_metrics!B:K,5,FALSE)</f>
        <v>18</v>
      </c>
      <c r="AE371">
        <f>VLOOKUP(A:A,[1]android_repos_all_metrics!B:K,6,FALSE)</f>
        <v>11</v>
      </c>
      <c r="AF371">
        <f>VLOOKUP(A:A,[1]android_repos_all_metrics!B:K,7,FALSE)</f>
        <v>10728</v>
      </c>
      <c r="AG371">
        <f>VLOOKUP(A:A,[1]android_repos_all_metrics!B:K,8,FALSE)</f>
        <v>13</v>
      </c>
      <c r="AH371">
        <f>VLOOKUP(A:A,[1]android_repos_all_metrics!B:K,9,FALSE)</f>
        <v>152</v>
      </c>
      <c r="AI371">
        <f>VLOOKUP(A:A,[1]android_repos_all_metrics!B:K,10,FALSE)</f>
        <v>6</v>
      </c>
    </row>
    <row r="372" spans="1:35">
      <c r="A372" t="s">
        <v>426</v>
      </c>
      <c r="B372" t="b">
        <v>1</v>
      </c>
      <c r="C372" t="b">
        <v>0</v>
      </c>
      <c r="D372" t="b">
        <v>0</v>
      </c>
      <c r="F372" t="b">
        <v>0</v>
      </c>
      <c r="H372" t="s">
        <v>37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>
        <v>1</v>
      </c>
      <c r="AB372">
        <v>0</v>
      </c>
      <c r="AC372">
        <f>VLOOKUP(A:A,[1]android_repos_all_metrics!B:K,4,FALSE)</f>
        <v>153</v>
      </c>
      <c r="AD372">
        <f>VLOOKUP(A:A,[1]android_repos_all_metrics!B:K,5,FALSE)</f>
        <v>89</v>
      </c>
      <c r="AE372">
        <f>VLOOKUP(A:A,[1]android_repos_all_metrics!B:K,6,FALSE)</f>
        <v>5</v>
      </c>
      <c r="AF372">
        <f>VLOOKUP(A:A,[1]android_repos_all_metrics!B:K,7,FALSE)</f>
        <v>855</v>
      </c>
      <c r="AG372">
        <f>VLOOKUP(A:A,[1]android_repos_all_metrics!B:K,8,FALSE)</f>
        <v>4</v>
      </c>
      <c r="AH372">
        <f>VLOOKUP(A:A,[1]android_repos_all_metrics!B:K,9,FALSE)</f>
        <v>4</v>
      </c>
      <c r="AI372">
        <f>VLOOKUP(A:A,[1]android_repos_all_metrics!B:K,10,FALSE)</f>
        <v>0</v>
      </c>
    </row>
    <row r="373" spans="1:35">
      <c r="A373" t="s">
        <v>427</v>
      </c>
      <c r="B373" t="b">
        <v>1</v>
      </c>
      <c r="C373" t="b">
        <v>0</v>
      </c>
      <c r="D373" t="b">
        <v>0</v>
      </c>
      <c r="F373" t="b">
        <v>0</v>
      </c>
      <c r="H373" t="s">
        <v>37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>
        <v>1</v>
      </c>
      <c r="AB373">
        <v>0</v>
      </c>
      <c r="AC373">
        <f>VLOOKUP(A:A,[1]android_repos_all_metrics!B:K,4,FALSE)</f>
        <v>18</v>
      </c>
      <c r="AD373">
        <f>VLOOKUP(A:A,[1]android_repos_all_metrics!B:K,5,FALSE)</f>
        <v>6</v>
      </c>
      <c r="AE373">
        <f>VLOOKUP(A:A,[1]android_repos_all_metrics!B:K,6,FALSE)</f>
        <v>2</v>
      </c>
      <c r="AF373">
        <f>VLOOKUP(A:A,[1]android_repos_all_metrics!B:K,7,FALSE)</f>
        <v>440</v>
      </c>
      <c r="AG373">
        <f>VLOOKUP(A:A,[1]android_repos_all_metrics!B:K,8,FALSE)</f>
        <v>4</v>
      </c>
      <c r="AH373">
        <f>VLOOKUP(A:A,[1]android_repos_all_metrics!B:K,9,FALSE)</f>
        <v>14</v>
      </c>
      <c r="AI373">
        <f>VLOOKUP(A:A,[1]android_repos_all_metrics!B:K,10,FALSE)</f>
        <v>1</v>
      </c>
    </row>
    <row r="374" spans="1:35">
      <c r="A374" t="s">
        <v>428</v>
      </c>
      <c r="B374" t="b">
        <v>1</v>
      </c>
      <c r="C374" t="b">
        <v>0</v>
      </c>
      <c r="D374" t="b">
        <v>0</v>
      </c>
      <c r="F374" t="b">
        <v>0</v>
      </c>
      <c r="H374" t="s">
        <v>43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>
        <v>1</v>
      </c>
      <c r="AB374">
        <v>0</v>
      </c>
      <c r="AC374">
        <f>VLOOKUP(A:A,[1]android_repos_all_metrics!B:K,4,FALSE)</f>
        <v>71</v>
      </c>
      <c r="AD374">
        <f>VLOOKUP(A:A,[1]android_repos_all_metrics!B:K,5,FALSE)</f>
        <v>2</v>
      </c>
      <c r="AE374">
        <f>VLOOKUP(A:A,[1]android_repos_all_metrics!B:K,6,FALSE)</f>
        <v>1</v>
      </c>
      <c r="AF374">
        <f>VLOOKUP(A:A,[1]android_repos_all_metrics!B:K,7,FALSE)</f>
        <v>402</v>
      </c>
      <c r="AG374">
        <f>VLOOKUP(A:A,[1]android_repos_all_metrics!B:K,8,FALSE)</f>
        <v>7</v>
      </c>
      <c r="AH374">
        <f>VLOOKUP(A:A,[1]android_repos_all_metrics!B:K,9,FALSE)</f>
        <v>50</v>
      </c>
      <c r="AI374">
        <f>VLOOKUP(A:A,[1]android_repos_all_metrics!B:K,10,FALSE)</f>
        <v>7</v>
      </c>
    </row>
    <row r="375" spans="1:35">
      <c r="A375" t="s">
        <v>429</v>
      </c>
      <c r="B375" t="b">
        <v>1</v>
      </c>
      <c r="C375" t="b">
        <v>0</v>
      </c>
      <c r="D375" t="b">
        <v>0</v>
      </c>
      <c r="F375" t="b">
        <v>0</v>
      </c>
      <c r="H375" t="s">
        <v>37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>
        <v>4</v>
      </c>
      <c r="AB375">
        <v>0</v>
      </c>
      <c r="AC375">
        <f>VLOOKUP(A:A,[1]android_repos_all_metrics!B:K,4,FALSE)</f>
        <v>91</v>
      </c>
      <c r="AD375">
        <f>VLOOKUP(A:A,[1]android_repos_all_metrics!B:K,5,FALSE)</f>
        <v>30</v>
      </c>
      <c r="AE375">
        <f>VLOOKUP(A:A,[1]android_repos_all_metrics!B:K,6,FALSE)</f>
        <v>1</v>
      </c>
      <c r="AF375">
        <f>VLOOKUP(A:A,[1]android_repos_all_metrics!B:K,7,FALSE)</f>
        <v>5645</v>
      </c>
      <c r="AG375">
        <f>VLOOKUP(A:A,[1]android_repos_all_metrics!B:K,8,FALSE)</f>
        <v>0</v>
      </c>
      <c r="AH375">
        <f>VLOOKUP(A:A,[1]android_repos_all_metrics!B:K,9,FALSE)</f>
        <v>60</v>
      </c>
      <c r="AI375">
        <f>VLOOKUP(A:A,[1]android_repos_all_metrics!B:K,10,FALSE)</f>
        <v>39</v>
      </c>
    </row>
    <row r="376" spans="1:35">
      <c r="A376" t="s">
        <v>430</v>
      </c>
      <c r="B376" t="b">
        <v>1</v>
      </c>
      <c r="C376" t="b">
        <v>0</v>
      </c>
      <c r="D376" t="b">
        <v>0</v>
      </c>
      <c r="F376" t="b">
        <v>0</v>
      </c>
      <c r="H376" t="s">
        <v>37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>
        <v>1</v>
      </c>
      <c r="AB376">
        <v>0</v>
      </c>
      <c r="AC376">
        <f>VLOOKUP(A:A,[1]android_repos_all_metrics!B:K,4,FALSE)</f>
        <v>570</v>
      </c>
      <c r="AD376">
        <f>VLOOKUP(A:A,[1]android_repos_all_metrics!B:K,5,FALSE)</f>
        <v>32</v>
      </c>
      <c r="AE376">
        <f>VLOOKUP(A:A,[1]android_repos_all_metrics!B:K,6,FALSE)</f>
        <v>31</v>
      </c>
      <c r="AF376">
        <f>VLOOKUP(A:A,[1]android_repos_all_metrics!B:K,7,FALSE)</f>
        <v>14035</v>
      </c>
      <c r="AG376">
        <f>VLOOKUP(A:A,[1]android_repos_all_metrics!B:K,8,FALSE)</f>
        <v>5</v>
      </c>
      <c r="AH376">
        <f>VLOOKUP(A:A,[1]android_repos_all_metrics!B:K,9,FALSE)</f>
        <v>44</v>
      </c>
      <c r="AI376">
        <f>VLOOKUP(A:A,[1]android_repos_all_metrics!B:K,10,FALSE)</f>
        <v>7</v>
      </c>
    </row>
    <row r="377" spans="1:35">
      <c r="A377" t="s">
        <v>431</v>
      </c>
      <c r="B377" t="b">
        <v>1</v>
      </c>
      <c r="C377" t="b">
        <v>0</v>
      </c>
      <c r="D377" t="b">
        <v>0</v>
      </c>
      <c r="F377" t="b">
        <v>0</v>
      </c>
      <c r="H377" t="s">
        <v>41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>
        <v>1</v>
      </c>
      <c r="AB377">
        <v>0</v>
      </c>
      <c r="AC377">
        <f>VLOOKUP(A:A,[1]android_repos_all_metrics!B:K,4,FALSE)</f>
        <v>23</v>
      </c>
      <c r="AD377">
        <f>VLOOKUP(A:A,[1]android_repos_all_metrics!B:K,5,FALSE)</f>
        <v>0</v>
      </c>
      <c r="AE377">
        <f>VLOOKUP(A:A,[1]android_repos_all_metrics!B:K,6,FALSE)</f>
        <v>1</v>
      </c>
      <c r="AF377">
        <f>VLOOKUP(A:A,[1]android_repos_all_metrics!B:K,7,FALSE)</f>
        <v>3557</v>
      </c>
      <c r="AG377">
        <f>VLOOKUP(A:A,[1]android_repos_all_metrics!B:K,8,FALSE)</f>
        <v>7</v>
      </c>
      <c r="AH377">
        <f>VLOOKUP(A:A,[1]android_repos_all_metrics!B:K,9,FALSE)</f>
        <v>25</v>
      </c>
      <c r="AI377">
        <f>VLOOKUP(A:A,[1]android_repos_all_metrics!B:K,10,FALSE)</f>
        <v>1</v>
      </c>
    </row>
    <row r="378" spans="1:35">
      <c r="A378" t="s">
        <v>432</v>
      </c>
      <c r="B378" t="b">
        <v>1</v>
      </c>
      <c r="C378" t="b">
        <v>0</v>
      </c>
      <c r="D378" t="b">
        <v>0</v>
      </c>
      <c r="F378" t="b">
        <v>0</v>
      </c>
      <c r="H378" t="s">
        <v>37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>
        <v>1</v>
      </c>
      <c r="AB378">
        <v>0</v>
      </c>
      <c r="AC378">
        <f>VLOOKUP(A:A,[1]android_repos_all_metrics!B:K,4,FALSE)</f>
        <v>58</v>
      </c>
      <c r="AD378">
        <f>VLOOKUP(A:A,[1]android_repos_all_metrics!B:K,5,FALSE)</f>
        <v>1</v>
      </c>
      <c r="AE378">
        <f>VLOOKUP(A:A,[1]android_repos_all_metrics!B:K,6,FALSE)</f>
        <v>2</v>
      </c>
      <c r="AF378">
        <f>VLOOKUP(A:A,[1]android_repos_all_metrics!B:K,7,FALSE)</f>
        <v>1099</v>
      </c>
      <c r="AG378">
        <f>VLOOKUP(A:A,[1]android_repos_all_metrics!B:K,8,FALSE)</f>
        <v>0</v>
      </c>
      <c r="AH378">
        <f>VLOOKUP(A:A,[1]android_repos_all_metrics!B:K,9,FALSE)</f>
        <v>6</v>
      </c>
      <c r="AI378">
        <f>VLOOKUP(A:A,[1]android_repos_all_metrics!B:K,10,FALSE)</f>
        <v>0</v>
      </c>
    </row>
    <row r="379" spans="1:35">
      <c r="A379" t="s">
        <v>433</v>
      </c>
      <c r="B379" t="b">
        <v>1</v>
      </c>
      <c r="C379" t="b">
        <v>0</v>
      </c>
      <c r="D379" t="b">
        <v>0</v>
      </c>
      <c r="F379" t="b">
        <v>0</v>
      </c>
      <c r="H379" t="s">
        <v>37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>
        <v>2</v>
      </c>
      <c r="AB379">
        <v>0</v>
      </c>
      <c r="AC379">
        <f>VLOOKUP(A:A,[1]android_repos_all_metrics!B:K,4,FALSE)</f>
        <v>23</v>
      </c>
      <c r="AD379">
        <f>VLOOKUP(A:A,[1]android_repos_all_metrics!B:K,5,FALSE)</f>
        <v>0</v>
      </c>
      <c r="AE379">
        <f>VLOOKUP(A:A,[1]android_repos_all_metrics!B:K,6,FALSE)</f>
        <v>2</v>
      </c>
      <c r="AF379">
        <f>VLOOKUP(A:A,[1]android_repos_all_metrics!B:K,7,FALSE)</f>
        <v>3690</v>
      </c>
      <c r="AG379">
        <f>VLOOKUP(A:A,[1]android_repos_all_metrics!B:K,8,FALSE)</f>
        <v>8</v>
      </c>
      <c r="AH379">
        <f>VLOOKUP(A:A,[1]android_repos_all_metrics!B:K,9,FALSE)</f>
        <v>11</v>
      </c>
      <c r="AI379">
        <f>VLOOKUP(A:A,[1]android_repos_all_metrics!B:K,10,FALSE)</f>
        <v>0</v>
      </c>
    </row>
    <row r="380" spans="1:35">
      <c r="A380" t="s">
        <v>434</v>
      </c>
      <c r="B380" t="b">
        <v>1</v>
      </c>
      <c r="C380" t="b">
        <v>0</v>
      </c>
      <c r="D380" t="b">
        <v>0</v>
      </c>
      <c r="F380" t="b">
        <v>0</v>
      </c>
      <c r="H380" t="s">
        <v>37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>
        <v>1</v>
      </c>
      <c r="AB380">
        <v>0</v>
      </c>
      <c r="AC380">
        <f>VLOOKUP(A:A,[1]android_repos_all_metrics!B:K,4,FALSE)</f>
        <v>285</v>
      </c>
      <c r="AD380">
        <f>VLOOKUP(A:A,[1]android_repos_all_metrics!B:K,5,FALSE)</f>
        <v>20</v>
      </c>
      <c r="AE380">
        <f>VLOOKUP(A:A,[1]android_repos_all_metrics!B:K,6,FALSE)</f>
        <v>2</v>
      </c>
      <c r="AF380">
        <f>VLOOKUP(A:A,[1]android_repos_all_metrics!B:K,7,FALSE)</f>
        <v>458095</v>
      </c>
      <c r="AG380">
        <f>VLOOKUP(A:A,[1]android_repos_all_metrics!B:K,8,FALSE)</f>
        <v>0</v>
      </c>
      <c r="AH380">
        <f>VLOOKUP(A:A,[1]android_repos_all_metrics!B:K,9,FALSE)</f>
        <v>4</v>
      </c>
      <c r="AI380">
        <f>VLOOKUP(A:A,[1]android_repos_all_metrics!B:K,10,FALSE)</f>
        <v>7</v>
      </c>
    </row>
    <row r="381" spans="1:35">
      <c r="A381" t="s">
        <v>435</v>
      </c>
      <c r="B381" t="b">
        <v>1</v>
      </c>
      <c r="C381" t="b">
        <v>0</v>
      </c>
      <c r="D381" t="b">
        <v>0</v>
      </c>
      <c r="F381" t="b">
        <v>0</v>
      </c>
      <c r="H381" t="s">
        <v>37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>
        <v>2</v>
      </c>
      <c r="AB381">
        <v>0</v>
      </c>
      <c r="AC381">
        <f>VLOOKUP(A:A,[1]android_repos_all_metrics!B:K,4,FALSE)</f>
        <v>296</v>
      </c>
      <c r="AD381">
        <f>VLOOKUP(A:A,[1]android_repos_all_metrics!B:K,5,FALSE)</f>
        <v>16</v>
      </c>
      <c r="AE381">
        <f>VLOOKUP(A:A,[1]android_repos_all_metrics!B:K,6,FALSE)</f>
        <v>7</v>
      </c>
      <c r="AF381">
        <f>VLOOKUP(A:A,[1]android_repos_all_metrics!B:K,7,FALSE)</f>
        <v>215945</v>
      </c>
      <c r="AG381">
        <f>VLOOKUP(A:A,[1]android_repos_all_metrics!B:K,8,FALSE)</f>
        <v>9</v>
      </c>
      <c r="AH381">
        <f>VLOOKUP(A:A,[1]android_repos_all_metrics!B:K,9,FALSE)</f>
        <v>40</v>
      </c>
      <c r="AI381">
        <f>VLOOKUP(A:A,[1]android_repos_all_metrics!B:K,10,FALSE)</f>
        <v>0</v>
      </c>
    </row>
    <row r="382" spans="1:35">
      <c r="A382" t="s">
        <v>436</v>
      </c>
      <c r="B382" t="b">
        <v>1</v>
      </c>
      <c r="C382" t="b">
        <v>0</v>
      </c>
      <c r="D382" t="b">
        <v>0</v>
      </c>
      <c r="F382" t="b">
        <v>0</v>
      </c>
      <c r="H382" t="s">
        <v>76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>
        <v>1</v>
      </c>
      <c r="AB382">
        <v>0</v>
      </c>
      <c r="AC382">
        <f>VLOOKUP(A:A,[1]android_repos_all_metrics!B:K,4,FALSE)</f>
        <v>7419</v>
      </c>
      <c r="AD382">
        <f>VLOOKUP(A:A,[1]android_repos_all_metrics!B:K,5,FALSE)</f>
        <v>2</v>
      </c>
      <c r="AE382">
        <f>VLOOKUP(A:A,[1]android_repos_all_metrics!B:K,6,FALSE)</f>
        <v>22</v>
      </c>
      <c r="AF382">
        <f>VLOOKUP(A:A,[1]android_repos_all_metrics!B:K,7,FALSE)</f>
        <v>168195</v>
      </c>
      <c r="AG382">
        <f>VLOOKUP(A:A,[1]android_repos_all_metrics!B:K,8,FALSE)</f>
        <v>30</v>
      </c>
      <c r="AH382">
        <f>VLOOKUP(A:A,[1]android_repos_all_metrics!B:K,9,FALSE)</f>
        <v>224</v>
      </c>
      <c r="AI382">
        <f>VLOOKUP(A:A,[1]android_repos_all_metrics!B:K,10,FALSE)</f>
        <v>0</v>
      </c>
    </row>
    <row r="383" spans="1:35">
      <c r="A383" t="s">
        <v>437</v>
      </c>
      <c r="B383" t="b">
        <v>1</v>
      </c>
      <c r="C383" t="b">
        <v>0</v>
      </c>
      <c r="D383" t="b">
        <v>0</v>
      </c>
      <c r="F383" t="b">
        <v>0</v>
      </c>
      <c r="H383" t="s">
        <v>37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>
        <v>2</v>
      </c>
      <c r="AB383">
        <v>0</v>
      </c>
      <c r="AC383">
        <f>VLOOKUP(A:A,[1]android_repos_all_metrics!B:K,4,FALSE)</f>
        <v>1087</v>
      </c>
      <c r="AD383">
        <f>VLOOKUP(A:A,[1]android_repos_all_metrics!B:K,5,FALSE)</f>
        <v>228</v>
      </c>
      <c r="AE383">
        <f>VLOOKUP(A:A,[1]android_repos_all_metrics!B:K,6,FALSE)</f>
        <v>40</v>
      </c>
      <c r="AF383">
        <f>VLOOKUP(A:A,[1]android_repos_all_metrics!B:K,7,FALSE)</f>
        <v>5730</v>
      </c>
      <c r="AG383">
        <f>VLOOKUP(A:A,[1]android_repos_all_metrics!B:K,8,FALSE)</f>
        <v>93</v>
      </c>
      <c r="AH383">
        <f>VLOOKUP(A:A,[1]android_repos_all_metrics!B:K,9,FALSE)</f>
        <v>381</v>
      </c>
      <c r="AI383">
        <f>VLOOKUP(A:A,[1]android_repos_all_metrics!B:K,10,FALSE)</f>
        <v>166</v>
      </c>
    </row>
    <row r="384" spans="1:35">
      <c r="A384" t="s">
        <v>438</v>
      </c>
      <c r="B384" t="b">
        <v>1</v>
      </c>
      <c r="C384" t="b">
        <v>0</v>
      </c>
      <c r="D384" t="b">
        <v>0</v>
      </c>
      <c r="F384" t="b">
        <v>0</v>
      </c>
      <c r="H384" t="s">
        <v>41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>
        <v>1</v>
      </c>
      <c r="AB384">
        <v>0</v>
      </c>
      <c r="AC384">
        <f>VLOOKUP(A:A,[1]android_repos_all_metrics!B:K,4,FALSE)</f>
        <v>83</v>
      </c>
      <c r="AD384">
        <f>VLOOKUP(A:A,[1]android_repos_all_metrics!B:K,5,FALSE)</f>
        <v>0</v>
      </c>
      <c r="AE384">
        <f>VLOOKUP(A:A,[1]android_repos_all_metrics!B:K,6,FALSE)</f>
        <v>1</v>
      </c>
      <c r="AF384">
        <f>VLOOKUP(A:A,[1]android_repos_all_metrics!B:K,7,FALSE)</f>
        <v>291</v>
      </c>
      <c r="AG384">
        <f>VLOOKUP(A:A,[1]android_repos_all_metrics!B:K,8,FALSE)</f>
        <v>4</v>
      </c>
      <c r="AH384">
        <f>VLOOKUP(A:A,[1]android_repos_all_metrics!B:K,9,FALSE)</f>
        <v>12</v>
      </c>
      <c r="AI384">
        <f>VLOOKUP(A:A,[1]android_repos_all_metrics!B:K,10,FALSE)</f>
        <v>2</v>
      </c>
    </row>
    <row r="385" spans="1:35">
      <c r="A385" t="s">
        <v>439</v>
      </c>
      <c r="B385" t="b">
        <v>1</v>
      </c>
      <c r="C385" t="b">
        <v>0</v>
      </c>
      <c r="D385" t="b">
        <v>0</v>
      </c>
      <c r="F385" t="b">
        <v>0</v>
      </c>
      <c r="H385" t="s">
        <v>37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>
        <v>1</v>
      </c>
      <c r="AB385">
        <v>0</v>
      </c>
      <c r="AC385">
        <f>VLOOKUP(A:A,[1]android_repos_all_metrics!B:K,4,FALSE)</f>
        <v>432</v>
      </c>
      <c r="AD385">
        <f>VLOOKUP(A:A,[1]android_repos_all_metrics!B:K,5,FALSE)</f>
        <v>9</v>
      </c>
      <c r="AE385">
        <f>VLOOKUP(A:A,[1]android_repos_all_metrics!B:K,6,FALSE)</f>
        <v>16</v>
      </c>
      <c r="AF385">
        <f>VLOOKUP(A:A,[1]android_repos_all_metrics!B:K,7,FALSE)</f>
        <v>25231</v>
      </c>
      <c r="AG385">
        <f>VLOOKUP(A:A,[1]android_repos_all_metrics!B:K,8,FALSE)</f>
        <v>22</v>
      </c>
      <c r="AH385">
        <f>VLOOKUP(A:A,[1]android_repos_all_metrics!B:K,9,FALSE)</f>
        <v>44</v>
      </c>
      <c r="AI385">
        <f>VLOOKUP(A:A,[1]android_repos_all_metrics!B:K,10,FALSE)</f>
        <v>0</v>
      </c>
    </row>
    <row r="386" spans="1:35">
      <c r="A386" t="s">
        <v>440</v>
      </c>
      <c r="B386" t="b">
        <v>0</v>
      </c>
      <c r="C386" t="b">
        <v>0</v>
      </c>
      <c r="D386" t="b">
        <v>0</v>
      </c>
      <c r="F386" t="b">
        <v>0</v>
      </c>
      <c r="H386" t="s">
        <v>41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>
        <v>1</v>
      </c>
      <c r="AB386">
        <v>0</v>
      </c>
      <c r="AC386">
        <f>VLOOKUP(A:A,[1]android_repos_all_metrics!B:K,4,FALSE)</f>
        <v>34</v>
      </c>
      <c r="AD386">
        <f>VLOOKUP(A:A,[1]android_repos_all_metrics!B:K,5,FALSE)</f>
        <v>12</v>
      </c>
      <c r="AE386">
        <f>VLOOKUP(A:A,[1]android_repos_all_metrics!B:K,6,FALSE)</f>
        <v>1</v>
      </c>
      <c r="AF386">
        <f>VLOOKUP(A:A,[1]android_repos_all_metrics!B:K,7,FALSE)</f>
        <v>171</v>
      </c>
      <c r="AG386">
        <f>VLOOKUP(A:A,[1]android_repos_all_metrics!B:K,8,FALSE)</f>
        <v>3</v>
      </c>
      <c r="AH386">
        <f>VLOOKUP(A:A,[1]android_repos_all_metrics!B:K,9,FALSE)</f>
        <v>2</v>
      </c>
      <c r="AI386">
        <f>VLOOKUP(A:A,[1]android_repos_all_metrics!B:K,10,FALSE)</f>
        <v>1</v>
      </c>
    </row>
    <row r="387" spans="1:35">
      <c r="A387" t="s">
        <v>441</v>
      </c>
      <c r="B387" t="b">
        <v>1</v>
      </c>
      <c r="C387" t="b">
        <v>0</v>
      </c>
      <c r="D387" t="b">
        <v>0</v>
      </c>
      <c r="F387" t="b">
        <v>0</v>
      </c>
      <c r="H387" t="s">
        <v>37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>
        <v>1</v>
      </c>
      <c r="AB387">
        <v>0</v>
      </c>
      <c r="AC387">
        <f>VLOOKUP(A:A,[1]android_repos_all_metrics!B:K,4,FALSE)</f>
        <v>47</v>
      </c>
      <c r="AD387">
        <f>VLOOKUP(A:A,[1]android_repos_all_metrics!B:K,5,FALSE)</f>
        <v>31</v>
      </c>
      <c r="AE387">
        <f>VLOOKUP(A:A,[1]android_repos_all_metrics!B:K,6,FALSE)</f>
        <v>6</v>
      </c>
      <c r="AF387">
        <f>VLOOKUP(A:A,[1]android_repos_all_metrics!B:K,7,FALSE)</f>
        <v>411</v>
      </c>
      <c r="AG387">
        <f>VLOOKUP(A:A,[1]android_repos_all_metrics!B:K,8,FALSE)</f>
        <v>4</v>
      </c>
      <c r="AH387">
        <f>VLOOKUP(A:A,[1]android_repos_all_metrics!B:K,9,FALSE)</f>
        <v>12</v>
      </c>
      <c r="AI387">
        <f>VLOOKUP(A:A,[1]android_repos_all_metrics!B:K,10,FALSE)</f>
        <v>4</v>
      </c>
    </row>
    <row r="388" spans="1:35">
      <c r="A388" t="s">
        <v>442</v>
      </c>
      <c r="B388" t="b">
        <v>1</v>
      </c>
      <c r="C388" t="b">
        <v>0</v>
      </c>
      <c r="D388" t="b">
        <v>0</v>
      </c>
      <c r="F388" t="b">
        <v>0</v>
      </c>
      <c r="H388" t="s">
        <v>37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>
        <v>1</v>
      </c>
      <c r="AB388">
        <v>0</v>
      </c>
      <c r="AC388">
        <f>VLOOKUP(A:A,[1]android_repos_all_metrics!B:K,4,FALSE)</f>
        <v>40</v>
      </c>
      <c r="AD388">
        <f>VLOOKUP(A:A,[1]android_repos_all_metrics!B:K,5,FALSE)</f>
        <v>134</v>
      </c>
      <c r="AE388">
        <f>VLOOKUP(A:A,[1]android_repos_all_metrics!B:K,6,FALSE)</f>
        <v>3</v>
      </c>
      <c r="AF388">
        <f>VLOOKUP(A:A,[1]android_repos_all_metrics!B:K,7,FALSE)</f>
        <v>97457</v>
      </c>
      <c r="AG388">
        <f>VLOOKUP(A:A,[1]android_repos_all_metrics!B:K,8,FALSE)</f>
        <v>16</v>
      </c>
      <c r="AH388">
        <f>VLOOKUP(A:A,[1]android_repos_all_metrics!B:K,9,FALSE)</f>
        <v>23</v>
      </c>
      <c r="AI388">
        <f>VLOOKUP(A:A,[1]android_repos_all_metrics!B:K,10,FALSE)</f>
        <v>10</v>
      </c>
    </row>
    <row r="389" spans="1:35">
      <c r="A389" t="s">
        <v>443</v>
      </c>
      <c r="B389" t="b">
        <v>1</v>
      </c>
      <c r="C389" t="b">
        <v>0</v>
      </c>
      <c r="D389" t="b">
        <v>0</v>
      </c>
      <c r="F389" t="b">
        <v>0</v>
      </c>
      <c r="H389" t="s">
        <v>37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>
        <v>1</v>
      </c>
      <c r="AB389">
        <v>0</v>
      </c>
      <c r="AC389">
        <f>VLOOKUP(A:A,[1]android_repos_all_metrics!B:K,4,FALSE)</f>
        <v>488</v>
      </c>
      <c r="AD389">
        <f>VLOOKUP(A:A,[1]android_repos_all_metrics!B:K,5,FALSE)</f>
        <v>152</v>
      </c>
      <c r="AE389">
        <f>VLOOKUP(A:A,[1]android_repos_all_metrics!B:K,6,FALSE)</f>
        <v>7</v>
      </c>
      <c r="AF389">
        <f>VLOOKUP(A:A,[1]android_repos_all_metrics!B:K,7,FALSE)</f>
        <v>2126</v>
      </c>
      <c r="AG389">
        <f>VLOOKUP(A:A,[1]android_repos_all_metrics!B:K,8,FALSE)</f>
        <v>44</v>
      </c>
      <c r="AH389">
        <f>VLOOKUP(A:A,[1]android_repos_all_metrics!B:K,9,FALSE)</f>
        <v>74</v>
      </c>
      <c r="AI389">
        <f>VLOOKUP(A:A,[1]android_repos_all_metrics!B:K,10,FALSE)</f>
        <v>39</v>
      </c>
    </row>
    <row r="390" spans="1:35">
      <c r="A390" t="s">
        <v>444</v>
      </c>
      <c r="B390" t="b">
        <v>1</v>
      </c>
      <c r="C390" t="b">
        <v>0</v>
      </c>
      <c r="D390" t="b">
        <v>0</v>
      </c>
      <c r="F390" t="b">
        <v>0</v>
      </c>
      <c r="H390" t="s">
        <v>37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>
        <v>3</v>
      </c>
      <c r="AB390">
        <v>0</v>
      </c>
      <c r="AC390" t="e">
        <f>VLOOKUP(A:A,[1]android_repos_all_metrics!B:K,4,FALSE)</f>
        <v>#N/A</v>
      </c>
      <c r="AD390" t="e">
        <f>VLOOKUP(A:A,[1]android_repos_all_metrics!B:K,5,FALSE)</f>
        <v>#N/A</v>
      </c>
      <c r="AE390" t="e">
        <f>VLOOKUP(A:A,[1]android_repos_all_metrics!B:K,6,FALSE)</f>
        <v>#N/A</v>
      </c>
      <c r="AF390" t="e">
        <f>VLOOKUP(A:A,[1]android_repos_all_metrics!B:K,7,FALSE)</f>
        <v>#N/A</v>
      </c>
      <c r="AG390" t="e">
        <f>VLOOKUP(A:A,[1]android_repos_all_metrics!B:K,8,FALSE)</f>
        <v>#N/A</v>
      </c>
      <c r="AH390" t="e">
        <f>VLOOKUP(A:A,[1]android_repos_all_metrics!B:K,9,FALSE)</f>
        <v>#N/A</v>
      </c>
      <c r="AI390" t="e">
        <f>VLOOKUP(A:A,[1]android_repos_all_metrics!B:K,10,FALSE)</f>
        <v>#N/A</v>
      </c>
    </row>
    <row r="391" spans="1:35">
      <c r="A391" t="s">
        <v>445</v>
      </c>
      <c r="B391" t="b">
        <v>1</v>
      </c>
      <c r="C391" t="b">
        <v>0</v>
      </c>
      <c r="D391" t="b">
        <v>0</v>
      </c>
      <c r="F391" t="b">
        <v>0</v>
      </c>
      <c r="H391" t="s">
        <v>37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>
        <v>2</v>
      </c>
      <c r="AB391">
        <v>0</v>
      </c>
      <c r="AC391">
        <f>VLOOKUP(A:A,[1]android_repos_all_metrics!B:K,4,FALSE)</f>
        <v>397</v>
      </c>
      <c r="AD391">
        <f>VLOOKUP(A:A,[1]android_repos_all_metrics!B:K,5,FALSE)</f>
        <v>22</v>
      </c>
      <c r="AE391">
        <f>VLOOKUP(A:A,[1]android_repos_all_metrics!B:K,6,FALSE)</f>
        <v>11</v>
      </c>
      <c r="AF391">
        <f>VLOOKUP(A:A,[1]android_repos_all_metrics!B:K,7,FALSE)</f>
        <v>1467</v>
      </c>
      <c r="AG391">
        <f>VLOOKUP(A:A,[1]android_repos_all_metrics!B:K,8,FALSE)</f>
        <v>21</v>
      </c>
      <c r="AH391">
        <f>VLOOKUP(A:A,[1]android_repos_all_metrics!B:K,9,FALSE)</f>
        <v>246</v>
      </c>
      <c r="AI391">
        <f>VLOOKUP(A:A,[1]android_repos_all_metrics!B:K,10,FALSE)</f>
        <v>4</v>
      </c>
    </row>
    <row r="392" spans="1:35">
      <c r="A392" t="s">
        <v>446</v>
      </c>
      <c r="B392" t="b">
        <v>1</v>
      </c>
      <c r="C392" t="b">
        <v>0</v>
      </c>
      <c r="D392" t="b">
        <v>0</v>
      </c>
      <c r="F392" t="b">
        <v>0</v>
      </c>
      <c r="H392" t="s">
        <v>37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>
        <v>2</v>
      </c>
      <c r="AB392">
        <v>0</v>
      </c>
      <c r="AC392">
        <f>VLOOKUP(A:A,[1]android_repos_all_metrics!B:K,4,FALSE)</f>
        <v>293</v>
      </c>
      <c r="AD392">
        <f>VLOOKUP(A:A,[1]android_repos_all_metrics!B:K,5,FALSE)</f>
        <v>2</v>
      </c>
      <c r="AE392">
        <f>VLOOKUP(A:A,[1]android_repos_all_metrics!B:K,6,FALSE)</f>
        <v>2</v>
      </c>
      <c r="AF392">
        <f>VLOOKUP(A:A,[1]android_repos_all_metrics!B:K,7,FALSE)</f>
        <v>78953</v>
      </c>
      <c r="AG392">
        <f>VLOOKUP(A:A,[1]android_repos_all_metrics!B:K,8,FALSE)</f>
        <v>5</v>
      </c>
      <c r="AH392">
        <f>VLOOKUP(A:A,[1]android_repos_all_metrics!B:K,9,FALSE)</f>
        <v>56</v>
      </c>
      <c r="AI392">
        <f>VLOOKUP(A:A,[1]android_repos_all_metrics!B:K,10,FALSE)</f>
        <v>1</v>
      </c>
    </row>
    <row r="393" spans="1:35">
      <c r="A393" t="s">
        <v>447</v>
      </c>
      <c r="B393" t="b">
        <v>1</v>
      </c>
      <c r="C393" t="b">
        <v>1</v>
      </c>
      <c r="D393" t="b">
        <v>0</v>
      </c>
      <c r="F393" t="b">
        <v>1</v>
      </c>
      <c r="G393" t="s">
        <v>39</v>
      </c>
      <c r="H393" t="s">
        <v>41</v>
      </c>
      <c r="I393" t="s">
        <v>41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>
        <v>1</v>
      </c>
      <c r="AB393">
        <v>0</v>
      </c>
      <c r="AC393">
        <f>VLOOKUP(A:A,[1]android_repos_all_metrics!B:K,4,FALSE)</f>
        <v>390</v>
      </c>
      <c r="AD393">
        <f>VLOOKUP(A:A,[1]android_repos_all_metrics!B:K,5,FALSE)</f>
        <v>1</v>
      </c>
      <c r="AE393">
        <f>VLOOKUP(A:A,[1]android_repos_all_metrics!B:K,6,FALSE)</f>
        <v>2</v>
      </c>
      <c r="AF393">
        <f>VLOOKUP(A:A,[1]android_repos_all_metrics!B:K,7,FALSE)</f>
        <v>7895</v>
      </c>
      <c r="AG393">
        <f>VLOOKUP(A:A,[1]android_repos_all_metrics!B:K,8,FALSE)</f>
        <v>0</v>
      </c>
      <c r="AH393">
        <f>VLOOKUP(A:A,[1]android_repos_all_metrics!B:K,9,FALSE)</f>
        <v>2</v>
      </c>
      <c r="AI393">
        <f>VLOOKUP(A:A,[1]android_repos_all_metrics!B:K,10,FALSE)</f>
        <v>3</v>
      </c>
    </row>
    <row r="394" spans="1:35">
      <c r="A394" t="s">
        <v>448</v>
      </c>
      <c r="B394" t="b">
        <v>1</v>
      </c>
      <c r="C394" t="b">
        <v>0</v>
      </c>
      <c r="D394" t="b">
        <v>0</v>
      </c>
      <c r="F394" t="b">
        <v>0</v>
      </c>
      <c r="H394" t="s">
        <v>37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>
        <v>6</v>
      </c>
      <c r="AB394">
        <v>0</v>
      </c>
      <c r="AC394">
        <f>VLOOKUP(A:A,[1]android_repos_all_metrics!B:K,4,FALSE)</f>
        <v>2668</v>
      </c>
      <c r="AD394">
        <f>VLOOKUP(A:A,[1]android_repos_all_metrics!B:K,5,FALSE)</f>
        <v>237</v>
      </c>
      <c r="AE394">
        <f>VLOOKUP(A:A,[1]android_repos_all_metrics!B:K,6,FALSE)</f>
        <v>16</v>
      </c>
      <c r="AF394">
        <f>VLOOKUP(A:A,[1]android_repos_all_metrics!B:K,7,FALSE)</f>
        <v>52269</v>
      </c>
      <c r="AG394">
        <f>VLOOKUP(A:A,[1]android_repos_all_metrics!B:K,8,FALSE)</f>
        <v>32</v>
      </c>
      <c r="AH394">
        <f>VLOOKUP(A:A,[1]android_repos_all_metrics!B:K,9,FALSE)</f>
        <v>458</v>
      </c>
      <c r="AI394">
        <f>VLOOKUP(A:A,[1]android_repos_all_metrics!B:K,10,FALSE)</f>
        <v>24</v>
      </c>
    </row>
    <row r="395" spans="1:35">
      <c r="A395" t="s">
        <v>449</v>
      </c>
      <c r="B395" t="b">
        <v>1</v>
      </c>
      <c r="C395" t="b">
        <v>0</v>
      </c>
      <c r="D395" t="b">
        <v>0</v>
      </c>
      <c r="F395" t="b">
        <v>0</v>
      </c>
      <c r="H395" t="s">
        <v>37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>
        <v>2</v>
      </c>
      <c r="AB395">
        <v>0</v>
      </c>
      <c r="AC395">
        <f>VLOOKUP(A:A,[1]android_repos_all_metrics!B:K,4,FALSE)</f>
        <v>159</v>
      </c>
      <c r="AD395">
        <f>VLOOKUP(A:A,[1]android_repos_all_metrics!B:K,5,FALSE)</f>
        <v>51</v>
      </c>
      <c r="AE395">
        <f>VLOOKUP(A:A,[1]android_repos_all_metrics!B:K,6,FALSE)</f>
        <v>6</v>
      </c>
      <c r="AF395">
        <f>VLOOKUP(A:A,[1]android_repos_all_metrics!B:K,7,FALSE)</f>
        <v>4469</v>
      </c>
      <c r="AG395">
        <f>VLOOKUP(A:A,[1]android_repos_all_metrics!B:K,8,FALSE)</f>
        <v>2</v>
      </c>
      <c r="AH395">
        <f>VLOOKUP(A:A,[1]android_repos_all_metrics!B:K,9,FALSE)</f>
        <v>7</v>
      </c>
      <c r="AI395">
        <f>VLOOKUP(A:A,[1]android_repos_all_metrics!B:K,10,FALSE)</f>
        <v>0</v>
      </c>
    </row>
    <row r="396" spans="1:35">
      <c r="A396" t="s">
        <v>450</v>
      </c>
      <c r="B396" t="b">
        <v>0</v>
      </c>
      <c r="C396" t="b">
        <v>0</v>
      </c>
      <c r="D396" t="b">
        <v>0</v>
      </c>
      <c r="F396" t="b">
        <v>0</v>
      </c>
      <c r="H396" t="s">
        <v>41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>
        <v>1</v>
      </c>
      <c r="AB396">
        <v>0</v>
      </c>
      <c r="AC396">
        <f>VLOOKUP(A:A,[1]android_repos_all_metrics!B:K,4,FALSE)</f>
        <v>228</v>
      </c>
      <c r="AD396">
        <f>VLOOKUP(A:A,[1]android_repos_all_metrics!B:K,5,FALSE)</f>
        <v>4</v>
      </c>
      <c r="AE396">
        <f>VLOOKUP(A:A,[1]android_repos_all_metrics!B:K,6,FALSE)</f>
        <v>8</v>
      </c>
      <c r="AF396">
        <f>VLOOKUP(A:A,[1]android_repos_all_metrics!B:K,7,FALSE)</f>
        <v>25379</v>
      </c>
      <c r="AG396">
        <f>VLOOKUP(A:A,[1]android_repos_all_metrics!B:K,8,FALSE)</f>
        <v>7</v>
      </c>
      <c r="AH396">
        <f>VLOOKUP(A:A,[1]android_repos_all_metrics!B:K,9,FALSE)</f>
        <v>22</v>
      </c>
      <c r="AI396">
        <f>VLOOKUP(A:A,[1]android_repos_all_metrics!B:K,10,FALSE)</f>
        <v>1</v>
      </c>
    </row>
    <row r="397" spans="1:35">
      <c r="A397" t="s">
        <v>451</v>
      </c>
      <c r="B397" t="b">
        <v>1</v>
      </c>
      <c r="C397" t="b">
        <v>0</v>
      </c>
      <c r="D397" t="b">
        <v>0</v>
      </c>
      <c r="F397" t="b">
        <v>0</v>
      </c>
      <c r="H397" t="s">
        <v>43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>
        <v>1</v>
      </c>
      <c r="AB397">
        <v>0</v>
      </c>
      <c r="AC397">
        <f>VLOOKUP(A:A,[1]android_repos_all_metrics!B:K,4,FALSE)</f>
        <v>532</v>
      </c>
      <c r="AD397">
        <f>VLOOKUP(A:A,[1]android_repos_all_metrics!B:K,5,FALSE)</f>
        <v>82</v>
      </c>
      <c r="AE397">
        <f>VLOOKUP(A:A,[1]android_repos_all_metrics!B:K,6,FALSE)</f>
        <v>6</v>
      </c>
      <c r="AF397">
        <f>VLOOKUP(A:A,[1]android_repos_all_metrics!B:K,7,FALSE)</f>
        <v>1628</v>
      </c>
      <c r="AG397">
        <f>VLOOKUP(A:A,[1]android_repos_all_metrics!B:K,8,FALSE)</f>
        <v>3</v>
      </c>
      <c r="AH397">
        <f>VLOOKUP(A:A,[1]android_repos_all_metrics!B:K,9,FALSE)</f>
        <v>2</v>
      </c>
      <c r="AI397">
        <f>VLOOKUP(A:A,[1]android_repos_all_metrics!B:K,10,FALSE)</f>
        <v>19</v>
      </c>
    </row>
    <row r="398" spans="1:35">
      <c r="A398" t="s">
        <v>452</v>
      </c>
      <c r="B398" t="b">
        <v>0</v>
      </c>
      <c r="C398" t="b">
        <v>0</v>
      </c>
      <c r="D398" t="b">
        <v>0</v>
      </c>
      <c r="F398" t="b">
        <v>0</v>
      </c>
      <c r="H398" t="s">
        <v>41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>
        <v>1</v>
      </c>
      <c r="AB398">
        <v>1</v>
      </c>
      <c r="AC398">
        <f>VLOOKUP(A:A,[1]android_repos_all_metrics!B:K,4,FALSE)</f>
        <v>185</v>
      </c>
      <c r="AD398">
        <f>VLOOKUP(A:A,[1]android_repos_all_metrics!B:K,5,FALSE)</f>
        <v>1</v>
      </c>
      <c r="AE398">
        <f>VLOOKUP(A:A,[1]android_repos_all_metrics!B:K,6,FALSE)</f>
        <v>2</v>
      </c>
      <c r="AF398">
        <f>VLOOKUP(A:A,[1]android_repos_all_metrics!B:K,7,FALSE)</f>
        <v>411</v>
      </c>
      <c r="AG398">
        <f>VLOOKUP(A:A,[1]android_repos_all_metrics!B:K,8,FALSE)</f>
        <v>17</v>
      </c>
      <c r="AH398">
        <f>VLOOKUP(A:A,[1]android_repos_all_metrics!B:K,9,FALSE)</f>
        <v>84</v>
      </c>
      <c r="AI398">
        <f>VLOOKUP(A:A,[1]android_repos_all_metrics!B:K,10,FALSE)</f>
        <v>0</v>
      </c>
    </row>
    <row r="399" spans="1:35">
      <c r="A399" t="s">
        <v>453</v>
      </c>
      <c r="B399" t="b">
        <v>0</v>
      </c>
      <c r="C399" t="b">
        <v>0</v>
      </c>
      <c r="D399" t="b">
        <v>0</v>
      </c>
      <c r="F399" t="b">
        <v>0</v>
      </c>
      <c r="H399" t="s">
        <v>41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>
        <v>1</v>
      </c>
      <c r="AB399">
        <v>0</v>
      </c>
      <c r="AC399">
        <f>VLOOKUP(A:A,[1]android_repos_all_metrics!B:K,4,FALSE)</f>
        <v>61</v>
      </c>
      <c r="AD399">
        <f>VLOOKUP(A:A,[1]android_repos_all_metrics!B:K,5,FALSE)</f>
        <v>0</v>
      </c>
      <c r="AE399">
        <f>VLOOKUP(A:A,[1]android_repos_all_metrics!B:K,6,FALSE)</f>
        <v>1</v>
      </c>
      <c r="AF399">
        <f>VLOOKUP(A:A,[1]android_repos_all_metrics!B:K,7,FALSE)</f>
        <v>7687</v>
      </c>
      <c r="AG399">
        <f>VLOOKUP(A:A,[1]android_repos_all_metrics!B:K,8,FALSE)</f>
        <v>47</v>
      </c>
      <c r="AH399">
        <f>VLOOKUP(A:A,[1]android_repos_all_metrics!B:K,9,FALSE)</f>
        <v>362</v>
      </c>
      <c r="AI399">
        <f>VLOOKUP(A:A,[1]android_repos_all_metrics!B:K,10,FALSE)</f>
        <v>6</v>
      </c>
    </row>
    <row r="400" spans="1:35">
      <c r="A400" t="s">
        <v>454</v>
      </c>
      <c r="B400" t="b">
        <v>1</v>
      </c>
      <c r="C400" t="b">
        <v>0</v>
      </c>
      <c r="D400" t="b">
        <v>0</v>
      </c>
      <c r="F400" t="b">
        <v>0</v>
      </c>
      <c r="H400" t="s">
        <v>41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>
        <v>1</v>
      </c>
      <c r="AB400">
        <v>0</v>
      </c>
      <c r="AC400">
        <f>VLOOKUP(A:A,[1]android_repos_all_metrics!B:K,4,FALSE)</f>
        <v>229</v>
      </c>
      <c r="AD400">
        <f>VLOOKUP(A:A,[1]android_repos_all_metrics!B:K,5,FALSE)</f>
        <v>0</v>
      </c>
      <c r="AE400">
        <f>VLOOKUP(A:A,[1]android_repos_all_metrics!B:K,6,FALSE)</f>
        <v>2</v>
      </c>
      <c r="AF400">
        <f>VLOOKUP(A:A,[1]android_repos_all_metrics!B:K,7,FALSE)</f>
        <v>6913</v>
      </c>
      <c r="AG400">
        <f>VLOOKUP(A:A,[1]android_repos_all_metrics!B:K,8,FALSE)</f>
        <v>19</v>
      </c>
      <c r="AH400">
        <f>VLOOKUP(A:A,[1]android_repos_all_metrics!B:K,9,FALSE)</f>
        <v>15</v>
      </c>
      <c r="AI400">
        <f>VLOOKUP(A:A,[1]android_repos_all_metrics!B:K,10,FALSE)</f>
        <v>0</v>
      </c>
    </row>
    <row r="401" spans="1:35">
      <c r="A401" t="s">
        <v>455</v>
      </c>
      <c r="B401" t="b">
        <v>0</v>
      </c>
      <c r="C401" t="b">
        <v>0</v>
      </c>
      <c r="D401" t="b">
        <v>0</v>
      </c>
      <c r="F401" t="b">
        <v>0</v>
      </c>
      <c r="H401" t="s">
        <v>41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>
        <v>1</v>
      </c>
      <c r="AB401">
        <v>0</v>
      </c>
      <c r="AC401">
        <f>VLOOKUP(A:A,[1]android_repos_all_metrics!B:K,4,FALSE)</f>
        <v>18</v>
      </c>
      <c r="AD401">
        <f>VLOOKUP(A:A,[1]android_repos_all_metrics!B:K,5,FALSE)</f>
        <v>0</v>
      </c>
      <c r="AE401">
        <f>VLOOKUP(A:A,[1]android_repos_all_metrics!B:K,6,FALSE)</f>
        <v>1</v>
      </c>
      <c r="AF401">
        <f>VLOOKUP(A:A,[1]android_repos_all_metrics!B:K,7,FALSE)</f>
        <v>70</v>
      </c>
      <c r="AG401">
        <f>VLOOKUP(A:A,[1]android_repos_all_metrics!B:K,8,FALSE)</f>
        <v>2</v>
      </c>
      <c r="AH401">
        <f>VLOOKUP(A:A,[1]android_repos_all_metrics!B:K,9,FALSE)</f>
        <v>20</v>
      </c>
      <c r="AI401">
        <f>VLOOKUP(A:A,[1]android_repos_all_metrics!B:K,10,FALSE)</f>
        <v>4</v>
      </c>
    </row>
    <row r="402" spans="1:35">
      <c r="A402" t="s">
        <v>456</v>
      </c>
      <c r="B402" t="b">
        <v>1</v>
      </c>
      <c r="C402" t="b">
        <v>0</v>
      </c>
      <c r="D402" t="b">
        <v>0</v>
      </c>
      <c r="F402" t="b">
        <v>0</v>
      </c>
      <c r="H402" t="s">
        <v>37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>
        <v>1</v>
      </c>
      <c r="AB402">
        <v>0</v>
      </c>
      <c r="AC402">
        <f>VLOOKUP(A:A,[1]android_repos_all_metrics!B:K,4,FALSE)</f>
        <v>107</v>
      </c>
      <c r="AD402">
        <f>VLOOKUP(A:A,[1]android_repos_all_metrics!B:K,5,FALSE)</f>
        <v>0</v>
      </c>
      <c r="AE402">
        <f>VLOOKUP(A:A,[1]android_repos_all_metrics!B:K,6,FALSE)</f>
        <v>2</v>
      </c>
      <c r="AF402">
        <f>VLOOKUP(A:A,[1]android_repos_all_metrics!B:K,7,FALSE)</f>
        <v>45995</v>
      </c>
      <c r="AG402">
        <f>VLOOKUP(A:A,[1]android_repos_all_metrics!B:K,8,FALSE)</f>
        <v>2</v>
      </c>
      <c r="AH402">
        <f>VLOOKUP(A:A,[1]android_repos_all_metrics!B:K,9,FALSE)</f>
        <v>3</v>
      </c>
      <c r="AI402">
        <f>VLOOKUP(A:A,[1]android_repos_all_metrics!B:K,10,FALSE)</f>
        <v>2</v>
      </c>
    </row>
    <row r="403" spans="1:35">
      <c r="A403" t="s">
        <v>457</v>
      </c>
      <c r="B403" t="b">
        <v>1</v>
      </c>
      <c r="C403" t="b">
        <v>0</v>
      </c>
      <c r="D403" t="b">
        <v>0</v>
      </c>
      <c r="F403" t="b">
        <v>0</v>
      </c>
      <c r="H403" t="s">
        <v>37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>
        <v>5</v>
      </c>
      <c r="AB403">
        <v>0</v>
      </c>
      <c r="AC403">
        <f>VLOOKUP(A:A,[1]android_repos_all_metrics!B:K,4,FALSE)</f>
        <v>50</v>
      </c>
      <c r="AD403">
        <f>VLOOKUP(A:A,[1]android_repos_all_metrics!B:K,5,FALSE)</f>
        <v>1</v>
      </c>
      <c r="AE403">
        <f>VLOOKUP(A:A,[1]android_repos_all_metrics!B:K,6,FALSE)</f>
        <v>2</v>
      </c>
      <c r="AF403">
        <f>VLOOKUP(A:A,[1]android_repos_all_metrics!B:K,7,FALSE)</f>
        <v>714</v>
      </c>
      <c r="AG403">
        <f>VLOOKUP(A:A,[1]android_repos_all_metrics!B:K,8,FALSE)</f>
        <v>2</v>
      </c>
      <c r="AH403">
        <f>VLOOKUP(A:A,[1]android_repos_all_metrics!B:K,9,FALSE)</f>
        <v>1</v>
      </c>
      <c r="AI403">
        <f>VLOOKUP(A:A,[1]android_repos_all_metrics!B:K,10,FALSE)</f>
        <v>4</v>
      </c>
    </row>
    <row r="404" spans="1:35">
      <c r="A404" t="s">
        <v>458</v>
      </c>
      <c r="B404" t="b">
        <v>1</v>
      </c>
      <c r="C404" t="b">
        <v>0</v>
      </c>
      <c r="D404" t="b">
        <v>0</v>
      </c>
      <c r="F404" t="b">
        <v>0</v>
      </c>
      <c r="H404" t="s">
        <v>37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>
        <v>1</v>
      </c>
      <c r="AB404">
        <v>0</v>
      </c>
      <c r="AC404">
        <f>VLOOKUP(A:A,[1]android_repos_all_metrics!B:K,4,FALSE)</f>
        <v>157</v>
      </c>
      <c r="AD404">
        <f>VLOOKUP(A:A,[1]android_repos_all_metrics!B:K,5,FALSE)</f>
        <v>33</v>
      </c>
      <c r="AE404">
        <f>VLOOKUP(A:A,[1]android_repos_all_metrics!B:K,6,FALSE)</f>
        <v>10</v>
      </c>
      <c r="AF404">
        <f>VLOOKUP(A:A,[1]android_repos_all_metrics!B:K,7,FALSE)</f>
        <v>8875</v>
      </c>
      <c r="AG404">
        <f>VLOOKUP(A:A,[1]android_repos_all_metrics!B:K,8,FALSE)</f>
        <v>7</v>
      </c>
      <c r="AH404">
        <f>VLOOKUP(A:A,[1]android_repos_all_metrics!B:K,9,FALSE)</f>
        <v>98</v>
      </c>
      <c r="AI404">
        <f>VLOOKUP(A:A,[1]android_repos_all_metrics!B:K,10,FALSE)</f>
        <v>19</v>
      </c>
    </row>
    <row r="405" spans="1:35">
      <c r="A405" t="s">
        <v>459</v>
      </c>
      <c r="B405" t="b">
        <v>1</v>
      </c>
      <c r="C405" t="b">
        <v>0</v>
      </c>
      <c r="D405" t="b">
        <v>0</v>
      </c>
      <c r="F405" t="b">
        <v>0</v>
      </c>
      <c r="H405" t="s">
        <v>37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>
        <v>1</v>
      </c>
      <c r="AB405">
        <v>0</v>
      </c>
      <c r="AC405">
        <f>VLOOKUP(A:A,[1]android_repos_all_metrics!B:K,4,FALSE)</f>
        <v>163</v>
      </c>
      <c r="AD405">
        <f>VLOOKUP(A:A,[1]android_repos_all_metrics!B:K,5,FALSE)</f>
        <v>12</v>
      </c>
      <c r="AE405">
        <f>VLOOKUP(A:A,[1]android_repos_all_metrics!B:K,6,FALSE)</f>
        <v>4</v>
      </c>
      <c r="AF405">
        <f>VLOOKUP(A:A,[1]android_repos_all_metrics!B:K,7,FALSE)</f>
        <v>9775</v>
      </c>
      <c r="AG405">
        <f>VLOOKUP(A:A,[1]android_repos_all_metrics!B:K,8,FALSE)</f>
        <v>4</v>
      </c>
      <c r="AH405">
        <f>VLOOKUP(A:A,[1]android_repos_all_metrics!B:K,9,FALSE)</f>
        <v>8</v>
      </c>
      <c r="AI405">
        <f>VLOOKUP(A:A,[1]android_repos_all_metrics!B:K,10,FALSE)</f>
        <v>12</v>
      </c>
    </row>
    <row r="406" spans="1:35">
      <c r="A406" t="s">
        <v>460</v>
      </c>
      <c r="B406" t="b">
        <v>1</v>
      </c>
      <c r="C406" t="b">
        <v>0</v>
      </c>
      <c r="D406" t="b">
        <v>0</v>
      </c>
      <c r="F406" t="b">
        <v>0</v>
      </c>
      <c r="H406" t="s">
        <v>37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>
        <v>1</v>
      </c>
      <c r="AB406">
        <v>0</v>
      </c>
      <c r="AC406">
        <f>VLOOKUP(A:A,[1]android_repos_all_metrics!B:K,4,FALSE)</f>
        <v>47</v>
      </c>
      <c r="AD406">
        <f>VLOOKUP(A:A,[1]android_repos_all_metrics!B:K,5,FALSE)</f>
        <v>0</v>
      </c>
      <c r="AE406">
        <f>VLOOKUP(A:A,[1]android_repos_all_metrics!B:K,6,FALSE)</f>
        <v>1</v>
      </c>
      <c r="AF406">
        <f>VLOOKUP(A:A,[1]android_repos_all_metrics!B:K,7,FALSE)</f>
        <v>405</v>
      </c>
      <c r="AG406">
        <f>VLOOKUP(A:A,[1]android_repos_all_metrics!B:K,8,FALSE)</f>
        <v>0</v>
      </c>
      <c r="AH406">
        <f>VLOOKUP(A:A,[1]android_repos_all_metrics!B:K,9,FALSE)</f>
        <v>6</v>
      </c>
      <c r="AI406">
        <f>VLOOKUP(A:A,[1]android_repos_all_metrics!B:K,10,FALSE)</f>
        <v>2</v>
      </c>
    </row>
    <row r="407" spans="1:35">
      <c r="A407" t="s">
        <v>461</v>
      </c>
      <c r="B407" t="b">
        <v>1</v>
      </c>
      <c r="C407" t="b">
        <v>0</v>
      </c>
      <c r="D407" t="b">
        <v>0</v>
      </c>
      <c r="F407" t="b">
        <v>0</v>
      </c>
      <c r="H407" t="s">
        <v>41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>
        <v>1</v>
      </c>
      <c r="AB407">
        <v>0</v>
      </c>
      <c r="AC407">
        <f>VLOOKUP(A:A,[1]android_repos_all_metrics!B:K,4,FALSE)</f>
        <v>86</v>
      </c>
      <c r="AD407">
        <f>VLOOKUP(A:A,[1]android_repos_all_metrics!B:K,5,FALSE)</f>
        <v>6</v>
      </c>
      <c r="AE407">
        <f>VLOOKUP(A:A,[1]android_repos_all_metrics!B:K,6,FALSE)</f>
        <v>1</v>
      </c>
      <c r="AF407">
        <f>VLOOKUP(A:A,[1]android_repos_all_metrics!B:K,7,FALSE)</f>
        <v>664</v>
      </c>
      <c r="AG407">
        <f>VLOOKUP(A:A,[1]android_repos_all_metrics!B:K,8,FALSE)</f>
        <v>67</v>
      </c>
      <c r="AH407">
        <f>VLOOKUP(A:A,[1]android_repos_all_metrics!B:K,9,FALSE)</f>
        <v>137</v>
      </c>
      <c r="AI407">
        <f>VLOOKUP(A:A,[1]android_repos_all_metrics!B:K,10,FALSE)</f>
        <v>13</v>
      </c>
    </row>
    <row r="408" spans="1:35">
      <c r="A408" t="s">
        <v>462</v>
      </c>
      <c r="B408" t="b">
        <v>1</v>
      </c>
      <c r="C408" t="b">
        <v>0</v>
      </c>
      <c r="D408" t="b">
        <v>0</v>
      </c>
      <c r="F408" t="b">
        <v>0</v>
      </c>
      <c r="H408" t="s">
        <v>37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>
        <v>2</v>
      </c>
      <c r="AB408">
        <v>0</v>
      </c>
      <c r="AC408">
        <f>VLOOKUP(A:A,[1]android_repos_all_metrics!B:K,4,FALSE)</f>
        <v>335</v>
      </c>
      <c r="AD408">
        <f>VLOOKUP(A:A,[1]android_repos_all_metrics!B:K,5,FALSE)</f>
        <v>14</v>
      </c>
      <c r="AE408">
        <f>VLOOKUP(A:A,[1]android_repos_all_metrics!B:K,6,FALSE)</f>
        <v>7</v>
      </c>
      <c r="AF408">
        <f>VLOOKUP(A:A,[1]android_repos_all_metrics!B:K,7,FALSE)</f>
        <v>16858</v>
      </c>
      <c r="AG408">
        <f>VLOOKUP(A:A,[1]android_repos_all_metrics!B:K,8,FALSE)</f>
        <v>25</v>
      </c>
      <c r="AH408">
        <f>VLOOKUP(A:A,[1]android_repos_all_metrics!B:K,9,FALSE)</f>
        <v>70</v>
      </c>
      <c r="AI408">
        <f>VLOOKUP(A:A,[1]android_repos_all_metrics!B:K,10,FALSE)</f>
        <v>43</v>
      </c>
    </row>
    <row r="409" spans="1:35">
      <c r="A409" t="s">
        <v>463</v>
      </c>
      <c r="B409" t="b">
        <v>1</v>
      </c>
      <c r="C409" t="b">
        <v>0</v>
      </c>
      <c r="D409" t="b">
        <v>0</v>
      </c>
      <c r="F409" t="b">
        <v>0</v>
      </c>
      <c r="H409" t="s">
        <v>76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>
        <v>1</v>
      </c>
      <c r="AB409">
        <v>0</v>
      </c>
      <c r="AC409">
        <f>VLOOKUP(A:A,[1]android_repos_all_metrics!B:K,4,FALSE)</f>
        <v>1397</v>
      </c>
      <c r="AD409">
        <f>VLOOKUP(A:A,[1]android_repos_all_metrics!B:K,5,FALSE)</f>
        <v>31</v>
      </c>
      <c r="AE409">
        <f>VLOOKUP(A:A,[1]android_repos_all_metrics!B:K,6,FALSE)</f>
        <v>12</v>
      </c>
      <c r="AF409">
        <f>VLOOKUP(A:A,[1]android_repos_all_metrics!B:K,7,FALSE)</f>
        <v>43288</v>
      </c>
      <c r="AG409">
        <f>VLOOKUP(A:A,[1]android_repos_all_metrics!B:K,8,FALSE)</f>
        <v>107</v>
      </c>
      <c r="AH409">
        <f>VLOOKUP(A:A,[1]android_repos_all_metrics!B:K,9,FALSE)</f>
        <v>192</v>
      </c>
      <c r="AI409">
        <f>VLOOKUP(A:A,[1]android_repos_all_metrics!B:K,10,FALSE)</f>
        <v>47</v>
      </c>
    </row>
    <row r="410" spans="1:35">
      <c r="A410" t="s">
        <v>464</v>
      </c>
      <c r="B410" t="b">
        <v>1</v>
      </c>
      <c r="C410" t="b">
        <v>1</v>
      </c>
      <c r="D410" t="b">
        <v>0</v>
      </c>
      <c r="F410" t="b">
        <v>1</v>
      </c>
      <c r="G410" t="s">
        <v>39</v>
      </c>
      <c r="H410" t="s">
        <v>41</v>
      </c>
      <c r="I410" t="s">
        <v>41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>
        <v>1</v>
      </c>
      <c r="AB410">
        <v>0</v>
      </c>
      <c r="AC410">
        <f>VLOOKUP(A:A,[1]android_repos_all_metrics!B:K,4,FALSE)</f>
        <v>20</v>
      </c>
      <c r="AD410">
        <f>VLOOKUP(A:A,[1]android_repos_all_metrics!B:K,5,FALSE)</f>
        <v>6</v>
      </c>
      <c r="AE410">
        <f>VLOOKUP(A:A,[1]android_repos_all_metrics!B:K,6,FALSE)</f>
        <v>1</v>
      </c>
      <c r="AF410">
        <f>VLOOKUP(A:A,[1]android_repos_all_metrics!B:K,7,FALSE)</f>
        <v>2533</v>
      </c>
      <c r="AG410">
        <f>VLOOKUP(A:A,[1]android_repos_all_metrics!B:K,8,FALSE)</f>
        <v>3</v>
      </c>
      <c r="AH410">
        <f>VLOOKUP(A:A,[1]android_repos_all_metrics!B:K,9,FALSE)</f>
        <v>4</v>
      </c>
      <c r="AI410">
        <f>VLOOKUP(A:A,[1]android_repos_all_metrics!B:K,10,FALSE)</f>
        <v>3</v>
      </c>
    </row>
    <row r="411" spans="1:35">
      <c r="A411" t="s">
        <v>465</v>
      </c>
      <c r="B411" t="b">
        <v>1</v>
      </c>
      <c r="C411" t="b">
        <v>0</v>
      </c>
      <c r="D411" t="b">
        <v>0</v>
      </c>
      <c r="F411" t="b">
        <v>0</v>
      </c>
      <c r="H411" t="s">
        <v>43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>
        <v>1</v>
      </c>
      <c r="AB411">
        <v>0</v>
      </c>
      <c r="AC411">
        <f>VLOOKUP(A:A,[1]android_repos_all_metrics!B:K,4,FALSE)</f>
        <v>79</v>
      </c>
      <c r="AD411">
        <f>VLOOKUP(A:A,[1]android_repos_all_metrics!B:K,5,FALSE)</f>
        <v>6</v>
      </c>
      <c r="AE411">
        <f>VLOOKUP(A:A,[1]android_repos_all_metrics!B:K,6,FALSE)</f>
        <v>4</v>
      </c>
      <c r="AF411">
        <f>VLOOKUP(A:A,[1]android_repos_all_metrics!B:K,7,FALSE)</f>
        <v>239</v>
      </c>
      <c r="AG411">
        <f>VLOOKUP(A:A,[1]android_repos_all_metrics!B:K,8,FALSE)</f>
        <v>233</v>
      </c>
      <c r="AH411">
        <f>VLOOKUP(A:A,[1]android_repos_all_metrics!B:K,9,FALSE)</f>
        <v>712</v>
      </c>
      <c r="AI411">
        <f>VLOOKUP(A:A,[1]android_repos_all_metrics!B:K,10,FALSE)</f>
        <v>37</v>
      </c>
    </row>
    <row r="412" spans="1:35">
      <c r="A412" t="s">
        <v>466</v>
      </c>
      <c r="B412" t="b">
        <v>1</v>
      </c>
      <c r="C412" t="b">
        <v>0</v>
      </c>
      <c r="D412" t="b">
        <v>0</v>
      </c>
      <c r="F412" t="b">
        <v>0</v>
      </c>
      <c r="H412" t="s">
        <v>37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>
        <v>1</v>
      </c>
      <c r="AB412">
        <v>0</v>
      </c>
      <c r="AC412">
        <f>VLOOKUP(A:A,[1]android_repos_all_metrics!B:K,4,FALSE)</f>
        <v>2785</v>
      </c>
      <c r="AD412">
        <f>VLOOKUP(A:A,[1]android_repos_all_metrics!B:K,5,FALSE)</f>
        <v>767</v>
      </c>
      <c r="AE412">
        <f>VLOOKUP(A:A,[1]android_repos_all_metrics!B:K,6,FALSE)</f>
        <v>66</v>
      </c>
      <c r="AF412">
        <f>VLOOKUP(A:A,[1]android_repos_all_metrics!B:K,7,FALSE)</f>
        <v>142050</v>
      </c>
      <c r="AG412">
        <f>VLOOKUP(A:A,[1]android_repos_all_metrics!B:K,8,FALSE)</f>
        <v>86</v>
      </c>
      <c r="AH412">
        <f>VLOOKUP(A:A,[1]android_repos_all_metrics!B:K,9,FALSE)</f>
        <v>207</v>
      </c>
      <c r="AI412">
        <f>VLOOKUP(A:A,[1]android_repos_all_metrics!B:K,10,FALSE)</f>
        <v>44</v>
      </c>
    </row>
    <row r="413" spans="1:35">
      <c r="A413" t="s">
        <v>467</v>
      </c>
      <c r="B413" t="b">
        <v>1</v>
      </c>
      <c r="C413" t="b">
        <v>0</v>
      </c>
      <c r="D413" t="b">
        <v>0</v>
      </c>
      <c r="F413" t="b">
        <v>0</v>
      </c>
      <c r="H413" t="s">
        <v>43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>
        <v>1</v>
      </c>
      <c r="AB413">
        <v>0</v>
      </c>
      <c r="AC413">
        <f>VLOOKUP(A:A,[1]android_repos_all_metrics!B:K,4,FALSE)</f>
        <v>42</v>
      </c>
      <c r="AD413">
        <f>VLOOKUP(A:A,[1]android_repos_all_metrics!B:K,5,FALSE)</f>
        <v>0</v>
      </c>
      <c r="AE413">
        <f>VLOOKUP(A:A,[1]android_repos_all_metrics!B:K,6,FALSE)</f>
        <v>1</v>
      </c>
      <c r="AF413">
        <f>VLOOKUP(A:A,[1]android_repos_all_metrics!B:K,7,FALSE)</f>
        <v>4013</v>
      </c>
      <c r="AG413">
        <f>VLOOKUP(A:A,[1]android_repos_all_metrics!B:K,8,FALSE)</f>
        <v>3</v>
      </c>
      <c r="AH413">
        <f>VLOOKUP(A:A,[1]android_repos_all_metrics!B:K,9,FALSE)</f>
        <v>18</v>
      </c>
      <c r="AI413">
        <f>VLOOKUP(A:A,[1]android_repos_all_metrics!B:K,10,FALSE)</f>
        <v>0</v>
      </c>
    </row>
    <row r="414" spans="1:35">
      <c r="A414" t="s">
        <v>468</v>
      </c>
      <c r="B414" t="b">
        <v>1</v>
      </c>
      <c r="C414" t="b">
        <v>0</v>
      </c>
      <c r="D414" t="b">
        <v>0</v>
      </c>
      <c r="F414" t="b">
        <v>0</v>
      </c>
      <c r="H414" t="s">
        <v>37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>
        <v>2</v>
      </c>
      <c r="AB414">
        <v>0</v>
      </c>
      <c r="AC414">
        <f>VLOOKUP(A:A,[1]android_repos_all_metrics!B:K,4,FALSE)</f>
        <v>70</v>
      </c>
      <c r="AD414">
        <f>VLOOKUP(A:A,[1]android_repos_all_metrics!B:K,5,FALSE)</f>
        <v>32</v>
      </c>
      <c r="AE414">
        <f>VLOOKUP(A:A,[1]android_repos_all_metrics!B:K,6,FALSE)</f>
        <v>5</v>
      </c>
      <c r="AF414">
        <f>VLOOKUP(A:A,[1]android_repos_all_metrics!B:K,7,FALSE)</f>
        <v>1929</v>
      </c>
      <c r="AG414">
        <f>VLOOKUP(A:A,[1]android_repos_all_metrics!B:K,8,FALSE)</f>
        <v>3</v>
      </c>
      <c r="AH414">
        <f>VLOOKUP(A:A,[1]android_repos_all_metrics!B:K,9,FALSE)</f>
        <v>6</v>
      </c>
      <c r="AI414">
        <f>VLOOKUP(A:A,[1]android_repos_all_metrics!B:K,10,FALSE)</f>
        <v>44</v>
      </c>
    </row>
    <row r="415" spans="1:35">
      <c r="A415" t="s">
        <v>469</v>
      </c>
      <c r="B415" t="b">
        <v>1</v>
      </c>
      <c r="C415" t="b">
        <v>0</v>
      </c>
      <c r="D415" t="b">
        <v>0</v>
      </c>
      <c r="F415" t="b">
        <v>0</v>
      </c>
      <c r="H415" t="s">
        <v>37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>
        <v>1</v>
      </c>
      <c r="AB415">
        <v>0</v>
      </c>
      <c r="AC415">
        <f>VLOOKUP(A:A,[1]android_repos_all_metrics!B:K,4,FALSE)</f>
        <v>264</v>
      </c>
      <c r="AD415">
        <f>VLOOKUP(A:A,[1]android_repos_all_metrics!B:K,5,FALSE)</f>
        <v>15</v>
      </c>
      <c r="AE415">
        <f>VLOOKUP(A:A,[1]android_repos_all_metrics!B:K,6,FALSE)</f>
        <v>2</v>
      </c>
      <c r="AF415">
        <f>VLOOKUP(A:A,[1]android_repos_all_metrics!B:K,7,FALSE)</f>
        <v>7097</v>
      </c>
      <c r="AG415">
        <f>VLOOKUP(A:A,[1]android_repos_all_metrics!B:K,8,FALSE)</f>
        <v>4</v>
      </c>
      <c r="AH415">
        <f>VLOOKUP(A:A,[1]android_repos_all_metrics!B:K,9,FALSE)</f>
        <v>18</v>
      </c>
      <c r="AI415">
        <f>VLOOKUP(A:A,[1]android_repos_all_metrics!B:K,10,FALSE)</f>
        <v>3</v>
      </c>
    </row>
    <row r="416" spans="1:35">
      <c r="A416" t="s">
        <v>470</v>
      </c>
      <c r="B416" t="b">
        <v>1</v>
      </c>
      <c r="C416" t="b">
        <v>0</v>
      </c>
      <c r="D416" t="b">
        <v>0</v>
      </c>
      <c r="F416" t="b">
        <v>0</v>
      </c>
      <c r="H416" t="s">
        <v>37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>
        <v>2</v>
      </c>
      <c r="AB416">
        <v>0</v>
      </c>
      <c r="AC416">
        <f>VLOOKUP(A:A,[1]android_repos_all_metrics!B:K,4,FALSE)</f>
        <v>23</v>
      </c>
      <c r="AD416">
        <f>VLOOKUP(A:A,[1]android_repos_all_metrics!B:K,5,FALSE)</f>
        <v>7</v>
      </c>
      <c r="AE416">
        <f>VLOOKUP(A:A,[1]android_repos_all_metrics!B:K,6,FALSE)</f>
        <v>3</v>
      </c>
      <c r="AF416">
        <f>VLOOKUP(A:A,[1]android_repos_all_metrics!B:K,7,FALSE)</f>
        <v>5510</v>
      </c>
      <c r="AG416">
        <f>VLOOKUP(A:A,[1]android_repos_all_metrics!B:K,8,FALSE)</f>
        <v>0</v>
      </c>
      <c r="AH416">
        <f>VLOOKUP(A:A,[1]android_repos_all_metrics!B:K,9,FALSE)</f>
        <v>5</v>
      </c>
      <c r="AI416">
        <f>VLOOKUP(A:A,[1]android_repos_all_metrics!B:K,10,FALSE)</f>
        <v>1</v>
      </c>
    </row>
    <row r="417" spans="1:35">
      <c r="A417" t="s">
        <v>471</v>
      </c>
      <c r="B417" t="b">
        <v>1</v>
      </c>
      <c r="C417" t="b">
        <v>0</v>
      </c>
      <c r="D417" t="b">
        <v>0</v>
      </c>
      <c r="F417" t="b">
        <v>0</v>
      </c>
      <c r="H417" t="s">
        <v>41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>
        <v>1</v>
      </c>
      <c r="AB417">
        <v>0</v>
      </c>
      <c r="AC417">
        <f>VLOOKUP(A:A,[1]android_repos_all_metrics!B:K,4,FALSE)</f>
        <v>47</v>
      </c>
      <c r="AD417">
        <f>VLOOKUP(A:A,[1]android_repos_all_metrics!B:K,5,FALSE)</f>
        <v>1</v>
      </c>
      <c r="AE417">
        <f>VLOOKUP(A:A,[1]android_repos_all_metrics!B:K,6,FALSE)</f>
        <v>1</v>
      </c>
      <c r="AF417">
        <f>VLOOKUP(A:A,[1]android_repos_all_metrics!B:K,7,FALSE)</f>
        <v>240</v>
      </c>
      <c r="AG417">
        <f>VLOOKUP(A:A,[1]android_repos_all_metrics!B:K,8,FALSE)</f>
        <v>1</v>
      </c>
      <c r="AH417">
        <f>VLOOKUP(A:A,[1]android_repos_all_metrics!B:K,9,FALSE)</f>
        <v>2</v>
      </c>
      <c r="AI417">
        <f>VLOOKUP(A:A,[1]android_repos_all_metrics!B:K,10,FALSE)</f>
        <v>0</v>
      </c>
    </row>
    <row r="418" spans="1:35">
      <c r="A418" t="s">
        <v>472</v>
      </c>
      <c r="B418" t="b">
        <v>1</v>
      </c>
      <c r="C418" t="b">
        <v>0</v>
      </c>
      <c r="D418" t="b">
        <v>0</v>
      </c>
      <c r="F418" t="b">
        <v>0</v>
      </c>
      <c r="H418" t="s">
        <v>37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>
        <v>5</v>
      </c>
      <c r="AB418">
        <v>0</v>
      </c>
      <c r="AC418">
        <f>VLOOKUP(A:A,[1]android_repos_all_metrics!B:K,4,FALSE)</f>
        <v>3917</v>
      </c>
      <c r="AD418">
        <f>VLOOKUP(A:A,[1]android_repos_all_metrics!B:K,5,FALSE)</f>
        <v>167</v>
      </c>
      <c r="AE418">
        <f>VLOOKUP(A:A,[1]android_repos_all_metrics!B:K,6,FALSE)</f>
        <v>24</v>
      </c>
      <c r="AF418">
        <f>VLOOKUP(A:A,[1]android_repos_all_metrics!B:K,7,FALSE)</f>
        <v>23003</v>
      </c>
      <c r="AG418">
        <f>VLOOKUP(A:A,[1]android_repos_all_metrics!B:K,8,FALSE)</f>
        <v>4</v>
      </c>
      <c r="AH418">
        <f>VLOOKUP(A:A,[1]android_repos_all_metrics!B:K,9,FALSE)</f>
        <v>28</v>
      </c>
      <c r="AI418">
        <f>VLOOKUP(A:A,[1]android_repos_all_metrics!B:K,10,FALSE)</f>
        <v>29</v>
      </c>
    </row>
    <row r="419" spans="1:35">
      <c r="A419" t="s">
        <v>473</v>
      </c>
      <c r="B419" t="b">
        <v>1</v>
      </c>
      <c r="C419" t="b">
        <v>0</v>
      </c>
      <c r="D419" t="b">
        <v>0</v>
      </c>
      <c r="F419" t="b">
        <v>0</v>
      </c>
      <c r="H419" t="s">
        <v>37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>
        <v>3</v>
      </c>
      <c r="AB419">
        <v>0</v>
      </c>
      <c r="AC419">
        <f>VLOOKUP(A:A,[1]android_repos_all_metrics!B:K,4,FALSE)</f>
        <v>460</v>
      </c>
      <c r="AD419">
        <f>VLOOKUP(A:A,[1]android_repos_all_metrics!B:K,5,FALSE)</f>
        <v>69</v>
      </c>
      <c r="AE419">
        <f>VLOOKUP(A:A,[1]android_repos_all_metrics!B:K,6,FALSE)</f>
        <v>8</v>
      </c>
      <c r="AF419">
        <f>VLOOKUP(A:A,[1]android_repos_all_metrics!B:K,7,FALSE)</f>
        <v>19146</v>
      </c>
      <c r="AG419">
        <f>VLOOKUP(A:A,[1]android_repos_all_metrics!B:K,8,FALSE)</f>
        <v>9</v>
      </c>
      <c r="AH419">
        <f>VLOOKUP(A:A,[1]android_repos_all_metrics!B:K,9,FALSE)</f>
        <v>220</v>
      </c>
      <c r="AI419">
        <f>VLOOKUP(A:A,[1]android_repos_all_metrics!B:K,10,FALSE)</f>
        <v>27</v>
      </c>
    </row>
    <row r="420" spans="1:35">
      <c r="A420" t="s">
        <v>474</v>
      </c>
      <c r="B420" t="b">
        <v>0</v>
      </c>
      <c r="C420" t="b">
        <v>0</v>
      </c>
      <c r="D420" t="b">
        <v>0</v>
      </c>
      <c r="F420" t="b">
        <v>0</v>
      </c>
      <c r="H420" t="s">
        <v>41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>
        <v>1</v>
      </c>
      <c r="AB420">
        <v>0</v>
      </c>
      <c r="AC420">
        <f>VLOOKUP(A:A,[1]android_repos_all_metrics!B:K,4,FALSE)</f>
        <v>28</v>
      </c>
      <c r="AD420">
        <f>VLOOKUP(A:A,[1]android_repos_all_metrics!B:K,5,FALSE)</f>
        <v>4</v>
      </c>
      <c r="AE420">
        <f>VLOOKUP(A:A,[1]android_repos_all_metrics!B:K,6,FALSE)</f>
        <v>2</v>
      </c>
      <c r="AF420">
        <f>VLOOKUP(A:A,[1]android_repos_all_metrics!B:K,7,FALSE)</f>
        <v>660</v>
      </c>
      <c r="AG420">
        <f>VLOOKUP(A:A,[1]android_repos_all_metrics!B:K,8,FALSE)</f>
        <v>9</v>
      </c>
      <c r="AH420">
        <f>VLOOKUP(A:A,[1]android_repos_all_metrics!B:K,9,FALSE)</f>
        <v>11</v>
      </c>
      <c r="AI420">
        <f>VLOOKUP(A:A,[1]android_repos_all_metrics!B:K,10,FALSE)</f>
        <v>1</v>
      </c>
    </row>
    <row r="421" spans="1:35">
      <c r="A421" t="s">
        <v>475</v>
      </c>
      <c r="B421" t="b">
        <v>1</v>
      </c>
      <c r="C421" t="b">
        <v>0</v>
      </c>
      <c r="D421" t="b">
        <v>0</v>
      </c>
      <c r="F421" t="b">
        <v>0</v>
      </c>
      <c r="H421" t="s">
        <v>37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>
        <v>1</v>
      </c>
      <c r="AB421">
        <v>0</v>
      </c>
      <c r="AC421">
        <f>VLOOKUP(A:A,[1]android_repos_all_metrics!B:K,4,FALSE)</f>
        <v>52</v>
      </c>
      <c r="AD421">
        <f>VLOOKUP(A:A,[1]android_repos_all_metrics!B:K,5,FALSE)</f>
        <v>4</v>
      </c>
      <c r="AE421">
        <f>VLOOKUP(A:A,[1]android_repos_all_metrics!B:K,6,FALSE)</f>
        <v>2</v>
      </c>
      <c r="AF421">
        <f>VLOOKUP(A:A,[1]android_repos_all_metrics!B:K,7,FALSE)</f>
        <v>1107</v>
      </c>
      <c r="AG421">
        <f>VLOOKUP(A:A,[1]android_repos_all_metrics!B:K,8,FALSE)</f>
        <v>1</v>
      </c>
      <c r="AH421">
        <f>VLOOKUP(A:A,[1]android_repos_all_metrics!B:K,9,FALSE)</f>
        <v>4</v>
      </c>
      <c r="AI421">
        <f>VLOOKUP(A:A,[1]android_repos_all_metrics!B:K,10,FALSE)</f>
        <v>0</v>
      </c>
    </row>
    <row r="422" spans="1:35">
      <c r="A422" t="s">
        <v>476</v>
      </c>
      <c r="B422" t="b">
        <v>1</v>
      </c>
      <c r="C422" t="b">
        <v>0</v>
      </c>
      <c r="D422" t="b">
        <v>0</v>
      </c>
      <c r="F422" t="b">
        <v>0</v>
      </c>
      <c r="H422" t="s">
        <v>37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>
        <v>2</v>
      </c>
      <c r="AB422">
        <v>0</v>
      </c>
      <c r="AC422">
        <f>VLOOKUP(A:A,[1]android_repos_all_metrics!B:K,4,FALSE)</f>
        <v>218</v>
      </c>
      <c r="AD422">
        <f>VLOOKUP(A:A,[1]android_repos_all_metrics!B:K,5,FALSE)</f>
        <v>60</v>
      </c>
      <c r="AE422">
        <f>VLOOKUP(A:A,[1]android_repos_all_metrics!B:K,6,FALSE)</f>
        <v>2</v>
      </c>
      <c r="AF422">
        <f>VLOOKUP(A:A,[1]android_repos_all_metrics!B:K,7,FALSE)</f>
        <v>12014</v>
      </c>
      <c r="AG422">
        <f>VLOOKUP(A:A,[1]android_repos_all_metrics!B:K,8,FALSE)</f>
        <v>0</v>
      </c>
      <c r="AH422">
        <f>VLOOKUP(A:A,[1]android_repos_all_metrics!B:K,9,FALSE)</f>
        <v>2</v>
      </c>
      <c r="AI422">
        <f>VLOOKUP(A:A,[1]android_repos_all_metrics!B:K,10,FALSE)</f>
        <v>3</v>
      </c>
    </row>
    <row r="423" spans="1:35">
      <c r="A423" t="s">
        <v>477</v>
      </c>
      <c r="B423" t="b">
        <v>1</v>
      </c>
      <c r="C423" t="b">
        <v>0</v>
      </c>
      <c r="D423" t="b">
        <v>0</v>
      </c>
      <c r="F423" t="b">
        <v>0</v>
      </c>
      <c r="H423" t="s">
        <v>37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>
        <v>1</v>
      </c>
      <c r="AB423">
        <v>0</v>
      </c>
      <c r="AC423">
        <f>VLOOKUP(A:A,[1]android_repos_all_metrics!B:K,4,FALSE)</f>
        <v>73</v>
      </c>
      <c r="AD423">
        <f>VLOOKUP(A:A,[1]android_repos_all_metrics!B:K,5,FALSE)</f>
        <v>25</v>
      </c>
      <c r="AE423">
        <f>VLOOKUP(A:A,[1]android_repos_all_metrics!B:K,6,FALSE)</f>
        <v>12</v>
      </c>
      <c r="AF423">
        <f>VLOOKUP(A:A,[1]android_repos_all_metrics!B:K,7,FALSE)</f>
        <v>38287</v>
      </c>
      <c r="AG423">
        <f>VLOOKUP(A:A,[1]android_repos_all_metrics!B:K,8,FALSE)</f>
        <v>20</v>
      </c>
      <c r="AH423">
        <f>VLOOKUP(A:A,[1]android_repos_all_metrics!B:K,9,FALSE)</f>
        <v>59</v>
      </c>
      <c r="AI423">
        <f>VLOOKUP(A:A,[1]android_repos_all_metrics!B:K,10,FALSE)</f>
        <v>14</v>
      </c>
    </row>
    <row r="424" spans="1:35">
      <c r="A424" t="s">
        <v>478</v>
      </c>
      <c r="B424" t="b">
        <v>1</v>
      </c>
      <c r="C424" t="b">
        <v>0</v>
      </c>
      <c r="D424" t="b">
        <v>0</v>
      </c>
      <c r="F424" t="b">
        <v>0</v>
      </c>
      <c r="H424" t="s">
        <v>41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>
        <v>1</v>
      </c>
      <c r="AB424">
        <v>0</v>
      </c>
      <c r="AC424">
        <f>VLOOKUP(A:A,[1]android_repos_all_metrics!B:K,4,FALSE)</f>
        <v>216</v>
      </c>
      <c r="AD424">
        <f>VLOOKUP(A:A,[1]android_repos_all_metrics!B:K,5,FALSE)</f>
        <v>2</v>
      </c>
      <c r="AE424">
        <f>VLOOKUP(A:A,[1]android_repos_all_metrics!B:K,6,FALSE)</f>
        <v>4</v>
      </c>
      <c r="AF424">
        <f>VLOOKUP(A:A,[1]android_repos_all_metrics!B:K,7,FALSE)</f>
        <v>1104</v>
      </c>
      <c r="AG424">
        <f>VLOOKUP(A:A,[1]android_repos_all_metrics!B:K,8,FALSE)</f>
        <v>1</v>
      </c>
      <c r="AH424">
        <f>VLOOKUP(A:A,[1]android_repos_all_metrics!B:K,9,FALSE)</f>
        <v>4</v>
      </c>
      <c r="AI424">
        <f>VLOOKUP(A:A,[1]android_repos_all_metrics!B:K,10,FALSE)</f>
        <v>8</v>
      </c>
    </row>
    <row r="425" spans="1:35">
      <c r="A425" t="s">
        <v>479</v>
      </c>
      <c r="B425" t="b">
        <v>1</v>
      </c>
      <c r="C425" t="b">
        <v>1</v>
      </c>
      <c r="D425" t="b">
        <v>1</v>
      </c>
      <c r="E425" t="s">
        <v>36</v>
      </c>
      <c r="F425" t="b">
        <v>0</v>
      </c>
      <c r="H425" t="s">
        <v>37</v>
      </c>
      <c r="I425" t="s">
        <v>37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>
        <v>3</v>
      </c>
      <c r="AA425">
        <v>1</v>
      </c>
      <c r="AB425">
        <v>0</v>
      </c>
      <c r="AC425">
        <f>VLOOKUP(A:A,[1]android_repos_all_metrics!B:K,4,FALSE)</f>
        <v>14</v>
      </c>
      <c r="AD425">
        <f>VLOOKUP(A:A,[1]android_repos_all_metrics!B:K,5,FALSE)</f>
        <v>0</v>
      </c>
      <c r="AE425">
        <f>VLOOKUP(A:A,[1]android_repos_all_metrics!B:K,6,FALSE)</f>
        <v>1</v>
      </c>
      <c r="AF425">
        <f>VLOOKUP(A:A,[1]android_repos_all_metrics!B:K,7,FALSE)</f>
        <v>30166</v>
      </c>
      <c r="AG425">
        <f>VLOOKUP(A:A,[1]android_repos_all_metrics!B:K,8,FALSE)</f>
        <v>0</v>
      </c>
      <c r="AH425">
        <f>VLOOKUP(A:A,[1]android_repos_all_metrics!B:K,9,FALSE)</f>
        <v>2</v>
      </c>
      <c r="AI425">
        <f>VLOOKUP(A:A,[1]android_repos_all_metrics!B:K,10,FALSE)</f>
        <v>0</v>
      </c>
    </row>
    <row r="426" spans="1:35">
      <c r="A426" t="s">
        <v>480</v>
      </c>
      <c r="B426" t="b">
        <v>1</v>
      </c>
      <c r="C426" t="b">
        <v>0</v>
      </c>
      <c r="D426" t="b">
        <v>0</v>
      </c>
      <c r="F426" t="b">
        <v>0</v>
      </c>
      <c r="H426" t="s">
        <v>41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>
        <v>1</v>
      </c>
      <c r="AB426">
        <v>1</v>
      </c>
      <c r="AC426">
        <f>VLOOKUP(A:A,[1]android_repos_all_metrics!B:K,4,FALSE)</f>
        <v>49994</v>
      </c>
      <c r="AD426">
        <f>VLOOKUP(A:A,[1]android_repos_all_metrics!B:K,5,FALSE)</f>
        <v>27</v>
      </c>
      <c r="AE426">
        <f>VLOOKUP(A:A,[1]android_repos_all_metrics!B:K,6,FALSE)</f>
        <v>348</v>
      </c>
      <c r="AF426">
        <f>VLOOKUP(A:A,[1]android_repos_all_metrics!B:K,7,FALSE)</f>
        <v>884881</v>
      </c>
      <c r="AG426">
        <f>VLOOKUP(A:A,[1]android_repos_all_metrics!B:K,8,FALSE)</f>
        <v>11</v>
      </c>
      <c r="AH426">
        <f>VLOOKUP(A:A,[1]android_repos_all_metrics!B:K,9,FALSE)</f>
        <v>58</v>
      </c>
      <c r="AI426">
        <f>VLOOKUP(A:A,[1]android_repos_all_metrics!B:K,10,FALSE)</f>
        <v>1</v>
      </c>
    </row>
    <row r="427" spans="1:35">
      <c r="A427" t="s">
        <v>481</v>
      </c>
      <c r="B427" t="b">
        <v>1</v>
      </c>
      <c r="C427" t="b">
        <v>1</v>
      </c>
      <c r="D427" t="b">
        <v>0</v>
      </c>
      <c r="F427" t="b">
        <v>1</v>
      </c>
      <c r="G427" t="s">
        <v>109</v>
      </c>
      <c r="H427" t="s">
        <v>43</v>
      </c>
      <c r="I427" t="s">
        <v>43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>
        <v>1</v>
      </c>
      <c r="AB427">
        <v>0</v>
      </c>
      <c r="AC427">
        <f>VLOOKUP(A:A,[1]android_repos_all_metrics!B:K,4,FALSE)</f>
        <v>300</v>
      </c>
      <c r="AD427">
        <f>VLOOKUP(A:A,[1]android_repos_all_metrics!B:K,5,FALSE)</f>
        <v>65</v>
      </c>
      <c r="AE427">
        <f>VLOOKUP(A:A,[1]android_repos_all_metrics!B:K,6,FALSE)</f>
        <v>1</v>
      </c>
      <c r="AF427">
        <f>VLOOKUP(A:A,[1]android_repos_all_metrics!B:K,7,FALSE)</f>
        <v>17583</v>
      </c>
      <c r="AG427">
        <f>VLOOKUP(A:A,[1]android_repos_all_metrics!B:K,8,FALSE)</f>
        <v>1</v>
      </c>
      <c r="AH427">
        <f>VLOOKUP(A:A,[1]android_repos_all_metrics!B:K,9,FALSE)</f>
        <v>6</v>
      </c>
      <c r="AI427">
        <f>VLOOKUP(A:A,[1]android_repos_all_metrics!B:K,10,FALSE)</f>
        <v>3</v>
      </c>
    </row>
    <row r="428" spans="1:35">
      <c r="A428" t="s">
        <v>482</v>
      </c>
      <c r="B428" t="b">
        <v>0</v>
      </c>
      <c r="C428" t="b">
        <v>0</v>
      </c>
      <c r="D428" t="b">
        <v>0</v>
      </c>
      <c r="F428" t="b">
        <v>0</v>
      </c>
      <c r="H428" t="s">
        <v>37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>
        <v>1</v>
      </c>
      <c r="AB428">
        <v>0</v>
      </c>
      <c r="AC428">
        <f>VLOOKUP(A:A,[1]android_repos_all_metrics!B:K,4,FALSE)</f>
        <v>125</v>
      </c>
      <c r="AD428">
        <f>VLOOKUP(A:A,[1]android_repos_all_metrics!B:K,5,FALSE)</f>
        <v>1</v>
      </c>
      <c r="AE428">
        <f>VLOOKUP(A:A,[1]android_repos_all_metrics!B:K,6,FALSE)</f>
        <v>1</v>
      </c>
      <c r="AF428">
        <f>VLOOKUP(A:A,[1]android_repos_all_metrics!B:K,7,FALSE)</f>
        <v>4283</v>
      </c>
      <c r="AG428">
        <f>VLOOKUP(A:A,[1]android_repos_all_metrics!B:K,8,FALSE)</f>
        <v>0</v>
      </c>
      <c r="AH428">
        <f>VLOOKUP(A:A,[1]android_repos_all_metrics!B:K,9,FALSE)</f>
        <v>1</v>
      </c>
      <c r="AI428">
        <f>VLOOKUP(A:A,[1]android_repos_all_metrics!B:K,10,FALSE)</f>
        <v>1</v>
      </c>
    </row>
    <row r="429" spans="1:35">
      <c r="A429" t="s">
        <v>483</v>
      </c>
      <c r="B429" t="b">
        <v>0</v>
      </c>
      <c r="C429" t="b">
        <v>0</v>
      </c>
      <c r="D429" t="b">
        <v>0</v>
      </c>
      <c r="F429" t="b">
        <v>0</v>
      </c>
      <c r="H429" t="s">
        <v>41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>
        <v>1</v>
      </c>
      <c r="AB429">
        <v>0</v>
      </c>
      <c r="AC429">
        <f>VLOOKUP(A:A,[1]android_repos_all_metrics!B:K,4,FALSE)</f>
        <v>182</v>
      </c>
      <c r="AD429">
        <f>VLOOKUP(A:A,[1]android_repos_all_metrics!B:K,5,FALSE)</f>
        <v>9</v>
      </c>
      <c r="AE429">
        <f>VLOOKUP(A:A,[1]android_repos_all_metrics!B:K,6,FALSE)</f>
        <v>1</v>
      </c>
      <c r="AF429">
        <f>VLOOKUP(A:A,[1]android_repos_all_metrics!B:K,7,FALSE)</f>
        <v>889</v>
      </c>
      <c r="AG429">
        <f>VLOOKUP(A:A,[1]android_repos_all_metrics!B:K,8,FALSE)</f>
        <v>1</v>
      </c>
      <c r="AH429">
        <f>VLOOKUP(A:A,[1]android_repos_all_metrics!B:K,9,FALSE)</f>
        <v>4</v>
      </c>
      <c r="AI429">
        <f>VLOOKUP(A:A,[1]android_repos_all_metrics!B:K,10,FALSE)</f>
        <v>12</v>
      </c>
    </row>
    <row r="430" spans="1:35">
      <c r="A430" t="s">
        <v>484</v>
      </c>
      <c r="B430" t="b">
        <v>1</v>
      </c>
      <c r="C430" t="b">
        <v>0</v>
      </c>
      <c r="D430" t="b">
        <v>0</v>
      </c>
      <c r="F430" t="b">
        <v>0</v>
      </c>
      <c r="H430" t="s">
        <v>37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>
        <v>1</v>
      </c>
      <c r="AB430">
        <v>0</v>
      </c>
      <c r="AC430">
        <f>VLOOKUP(A:A,[1]android_repos_all_metrics!B:K,4,FALSE)</f>
        <v>3366</v>
      </c>
      <c r="AD430">
        <f>VLOOKUP(A:A,[1]android_repos_all_metrics!B:K,5,FALSE)</f>
        <v>8</v>
      </c>
      <c r="AE430">
        <f>VLOOKUP(A:A,[1]android_repos_all_metrics!B:K,6,FALSE)</f>
        <v>5</v>
      </c>
      <c r="AF430">
        <f>VLOOKUP(A:A,[1]android_repos_all_metrics!B:K,7,FALSE)</f>
        <v>728023</v>
      </c>
      <c r="AG430">
        <f>VLOOKUP(A:A,[1]android_repos_all_metrics!B:K,8,FALSE)</f>
        <v>23</v>
      </c>
      <c r="AH430">
        <f>VLOOKUP(A:A,[1]android_repos_all_metrics!B:K,9,FALSE)</f>
        <v>133</v>
      </c>
      <c r="AI430">
        <f>VLOOKUP(A:A,[1]android_repos_all_metrics!B:K,10,FALSE)</f>
        <v>26</v>
      </c>
    </row>
    <row r="431" spans="1:35">
      <c r="A431" t="s">
        <v>485</v>
      </c>
      <c r="B431" t="b">
        <v>1</v>
      </c>
      <c r="C431" t="b">
        <v>0</v>
      </c>
      <c r="D431" t="b">
        <v>0</v>
      </c>
      <c r="F431" t="b">
        <v>0</v>
      </c>
      <c r="H431" t="s">
        <v>37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>
        <v>2</v>
      </c>
      <c r="AB431">
        <v>0</v>
      </c>
      <c r="AC431">
        <f>VLOOKUP(A:A,[1]android_repos_all_metrics!B:K,4,FALSE)</f>
        <v>152</v>
      </c>
      <c r="AD431">
        <f>VLOOKUP(A:A,[1]android_repos_all_metrics!B:K,5,FALSE)</f>
        <v>86</v>
      </c>
      <c r="AE431">
        <f>VLOOKUP(A:A,[1]android_repos_all_metrics!B:K,6,FALSE)</f>
        <v>13</v>
      </c>
      <c r="AF431">
        <f>VLOOKUP(A:A,[1]android_repos_all_metrics!B:K,7,FALSE)</f>
        <v>6960</v>
      </c>
      <c r="AG431">
        <f>VLOOKUP(A:A,[1]android_repos_all_metrics!B:K,8,FALSE)</f>
        <v>13</v>
      </c>
      <c r="AH431">
        <f>VLOOKUP(A:A,[1]android_repos_all_metrics!B:K,9,FALSE)</f>
        <v>38</v>
      </c>
      <c r="AI431">
        <f>VLOOKUP(A:A,[1]android_repos_all_metrics!B:K,10,FALSE)</f>
        <v>43</v>
      </c>
    </row>
    <row r="432" spans="1:35">
      <c r="A432" t="s">
        <v>486</v>
      </c>
      <c r="B432" t="b">
        <v>1</v>
      </c>
      <c r="C432" t="b">
        <v>0</v>
      </c>
      <c r="D432" t="b">
        <v>0</v>
      </c>
      <c r="F432" t="b">
        <v>0</v>
      </c>
      <c r="H432" t="s">
        <v>37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>
        <v>4</v>
      </c>
      <c r="AB432">
        <v>0</v>
      </c>
      <c r="AC432">
        <f>VLOOKUP(A:A,[1]android_repos_all_metrics!B:K,4,FALSE)</f>
        <v>62</v>
      </c>
      <c r="AD432">
        <f>VLOOKUP(A:A,[1]android_repos_all_metrics!B:K,5,FALSE)</f>
        <v>0</v>
      </c>
      <c r="AE432">
        <f>VLOOKUP(A:A,[1]android_repos_all_metrics!B:K,6,FALSE)</f>
        <v>1</v>
      </c>
      <c r="AF432">
        <f>VLOOKUP(A:A,[1]android_repos_all_metrics!B:K,7,FALSE)</f>
        <v>263</v>
      </c>
      <c r="AG432">
        <f>VLOOKUP(A:A,[1]android_repos_all_metrics!B:K,8,FALSE)</f>
        <v>0</v>
      </c>
      <c r="AH432">
        <f>VLOOKUP(A:A,[1]android_repos_all_metrics!B:K,9,FALSE)</f>
        <v>1</v>
      </c>
      <c r="AI432">
        <f>VLOOKUP(A:A,[1]android_repos_all_metrics!B:K,10,FALSE)</f>
        <v>0</v>
      </c>
    </row>
    <row r="433" spans="1:35">
      <c r="A433" t="s">
        <v>487</v>
      </c>
      <c r="B433" t="b">
        <v>1</v>
      </c>
      <c r="C433" t="b">
        <v>0</v>
      </c>
      <c r="D433" t="b">
        <v>0</v>
      </c>
      <c r="F433" t="b">
        <v>0</v>
      </c>
      <c r="H433" t="s">
        <v>37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>
        <v>2</v>
      </c>
      <c r="AB433">
        <v>0</v>
      </c>
      <c r="AC433">
        <f>VLOOKUP(A:A,[1]android_repos_all_metrics!B:K,4,FALSE)</f>
        <v>138</v>
      </c>
      <c r="AD433">
        <f>VLOOKUP(A:A,[1]android_repos_all_metrics!B:K,5,FALSE)</f>
        <v>0</v>
      </c>
      <c r="AE433">
        <f>VLOOKUP(A:A,[1]android_repos_all_metrics!B:K,6,FALSE)</f>
        <v>1</v>
      </c>
      <c r="AF433">
        <f>VLOOKUP(A:A,[1]android_repos_all_metrics!B:K,7,FALSE)</f>
        <v>726</v>
      </c>
      <c r="AG433">
        <f>VLOOKUP(A:A,[1]android_repos_all_metrics!B:K,8,FALSE)</f>
        <v>0</v>
      </c>
      <c r="AH433">
        <f>VLOOKUP(A:A,[1]android_repos_all_metrics!B:K,9,FALSE)</f>
        <v>10</v>
      </c>
      <c r="AI433">
        <f>VLOOKUP(A:A,[1]android_repos_all_metrics!B:K,10,FALSE)</f>
        <v>2</v>
      </c>
    </row>
    <row r="434" spans="1:35">
      <c r="A434" t="s">
        <v>488</v>
      </c>
      <c r="B434" t="b">
        <v>1</v>
      </c>
      <c r="C434" t="b">
        <v>0</v>
      </c>
      <c r="D434" t="b">
        <v>0</v>
      </c>
      <c r="F434" t="b">
        <v>0</v>
      </c>
      <c r="H434" t="s">
        <v>325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>
        <v>2</v>
      </c>
      <c r="AB434">
        <v>0</v>
      </c>
      <c r="AC434">
        <f>VLOOKUP(A:A,[1]android_repos_all_metrics!B:K,4,FALSE)</f>
        <v>523</v>
      </c>
      <c r="AD434">
        <f>VLOOKUP(A:A,[1]android_repos_all_metrics!B:K,5,FALSE)</f>
        <v>8</v>
      </c>
      <c r="AE434">
        <f>VLOOKUP(A:A,[1]android_repos_all_metrics!B:K,6,FALSE)</f>
        <v>5</v>
      </c>
      <c r="AF434">
        <f>VLOOKUP(A:A,[1]android_repos_all_metrics!B:K,7,FALSE)</f>
        <v>2865</v>
      </c>
      <c r="AG434">
        <f>VLOOKUP(A:A,[1]android_repos_all_metrics!B:K,8,FALSE)</f>
        <v>10</v>
      </c>
      <c r="AH434">
        <f>VLOOKUP(A:A,[1]android_repos_all_metrics!B:K,9,FALSE)</f>
        <v>26</v>
      </c>
      <c r="AI434">
        <f>VLOOKUP(A:A,[1]android_repos_all_metrics!B:K,10,FALSE)</f>
        <v>10</v>
      </c>
    </row>
    <row r="435" spans="1:35">
      <c r="A435" t="s">
        <v>489</v>
      </c>
      <c r="B435" t="b">
        <v>1</v>
      </c>
      <c r="C435" t="b">
        <v>0</v>
      </c>
      <c r="D435" t="b">
        <v>0</v>
      </c>
      <c r="F435" t="b">
        <v>0</v>
      </c>
      <c r="H435" t="s">
        <v>37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>
        <v>1</v>
      </c>
      <c r="AB435">
        <v>0</v>
      </c>
      <c r="AC435">
        <f>VLOOKUP(A:A,[1]android_repos_all_metrics!B:K,4,FALSE)</f>
        <v>159</v>
      </c>
      <c r="AD435">
        <f>VLOOKUP(A:A,[1]android_repos_all_metrics!B:K,5,FALSE)</f>
        <v>3</v>
      </c>
      <c r="AE435">
        <f>VLOOKUP(A:A,[1]android_repos_all_metrics!B:K,6,FALSE)</f>
        <v>2</v>
      </c>
      <c r="AF435">
        <f>VLOOKUP(A:A,[1]android_repos_all_metrics!B:K,7,FALSE)</f>
        <v>3088</v>
      </c>
      <c r="AG435">
        <f>VLOOKUP(A:A,[1]android_repos_all_metrics!B:K,8,FALSE)</f>
        <v>5</v>
      </c>
      <c r="AH435">
        <f>VLOOKUP(A:A,[1]android_repos_all_metrics!B:K,9,FALSE)</f>
        <v>23</v>
      </c>
      <c r="AI435">
        <f>VLOOKUP(A:A,[1]android_repos_all_metrics!B:K,10,FALSE)</f>
        <v>3</v>
      </c>
    </row>
    <row r="436" spans="1:35">
      <c r="A436" t="s">
        <v>490</v>
      </c>
      <c r="B436" t="b">
        <v>1</v>
      </c>
      <c r="C436" t="b">
        <v>0</v>
      </c>
      <c r="D436" t="b">
        <v>0</v>
      </c>
      <c r="F436" t="b">
        <v>0</v>
      </c>
      <c r="H436" t="s">
        <v>37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>
        <v>2</v>
      </c>
      <c r="AB436">
        <v>0</v>
      </c>
      <c r="AC436">
        <f>VLOOKUP(A:A,[1]android_repos_all_metrics!B:K,4,FALSE)</f>
        <v>505</v>
      </c>
      <c r="AD436">
        <f>VLOOKUP(A:A,[1]android_repos_all_metrics!B:K,5,FALSE)</f>
        <v>126</v>
      </c>
      <c r="AE436">
        <f>VLOOKUP(A:A,[1]android_repos_all_metrics!B:K,6,FALSE)</f>
        <v>4</v>
      </c>
      <c r="AF436">
        <f>VLOOKUP(A:A,[1]android_repos_all_metrics!B:K,7,FALSE)</f>
        <v>63645</v>
      </c>
      <c r="AG436">
        <f>VLOOKUP(A:A,[1]android_repos_all_metrics!B:K,8,FALSE)</f>
        <v>0</v>
      </c>
      <c r="AH436">
        <f>VLOOKUP(A:A,[1]android_repos_all_metrics!B:K,9,FALSE)</f>
        <v>6</v>
      </c>
      <c r="AI436">
        <f>VLOOKUP(A:A,[1]android_repos_all_metrics!B:K,10,FALSE)</f>
        <v>0</v>
      </c>
    </row>
    <row r="437" spans="1:35">
      <c r="A437" t="s">
        <v>491</v>
      </c>
      <c r="B437" t="b">
        <v>1</v>
      </c>
      <c r="C437" t="b">
        <v>0</v>
      </c>
      <c r="D437" t="b">
        <v>0</v>
      </c>
      <c r="F437" t="b">
        <v>0</v>
      </c>
      <c r="H437" t="s">
        <v>37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>
        <v>1</v>
      </c>
      <c r="AB437">
        <v>0</v>
      </c>
      <c r="AC437">
        <f>VLOOKUP(A:A,[1]android_repos_all_metrics!B:K,4,FALSE)</f>
        <v>212</v>
      </c>
      <c r="AD437">
        <f>VLOOKUP(A:A,[1]android_repos_all_metrics!B:K,5,FALSE)</f>
        <v>12</v>
      </c>
      <c r="AE437">
        <f>VLOOKUP(A:A,[1]android_repos_all_metrics!B:K,6,FALSE)</f>
        <v>1</v>
      </c>
      <c r="AF437">
        <f>VLOOKUP(A:A,[1]android_repos_all_metrics!B:K,7,FALSE)</f>
        <v>715326</v>
      </c>
      <c r="AG437">
        <f>VLOOKUP(A:A,[1]android_repos_all_metrics!B:K,8,FALSE)</f>
        <v>3</v>
      </c>
      <c r="AH437">
        <f>VLOOKUP(A:A,[1]android_repos_all_metrics!B:K,9,FALSE)</f>
        <v>10</v>
      </c>
      <c r="AI437">
        <f>VLOOKUP(A:A,[1]android_repos_all_metrics!B:K,10,FALSE)</f>
        <v>0</v>
      </c>
    </row>
    <row r="438" spans="1:35">
      <c r="A438" t="s">
        <v>492</v>
      </c>
      <c r="B438" t="b">
        <v>1</v>
      </c>
      <c r="C438" t="b">
        <v>0</v>
      </c>
      <c r="D438" t="b">
        <v>0</v>
      </c>
      <c r="F438" t="b">
        <v>0</v>
      </c>
      <c r="H438" t="s">
        <v>37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>
        <v>1</v>
      </c>
      <c r="AB438">
        <v>0</v>
      </c>
      <c r="AC438">
        <f>VLOOKUP(A:A,[1]android_repos_all_metrics!B:K,4,FALSE)</f>
        <v>16</v>
      </c>
      <c r="AD438">
        <f>VLOOKUP(A:A,[1]android_repos_all_metrics!B:K,5,FALSE)</f>
        <v>9</v>
      </c>
      <c r="AE438">
        <f>VLOOKUP(A:A,[1]android_repos_all_metrics!B:K,6,FALSE)</f>
        <v>4</v>
      </c>
      <c r="AF438">
        <f>VLOOKUP(A:A,[1]android_repos_all_metrics!B:K,7,FALSE)</f>
        <v>329</v>
      </c>
      <c r="AG438">
        <f>VLOOKUP(A:A,[1]android_repos_all_metrics!B:K,8,FALSE)</f>
        <v>6</v>
      </c>
      <c r="AH438">
        <f>VLOOKUP(A:A,[1]android_repos_all_metrics!B:K,9,FALSE)</f>
        <v>2</v>
      </c>
      <c r="AI438">
        <f>VLOOKUP(A:A,[1]android_repos_all_metrics!B:K,10,FALSE)</f>
        <v>3</v>
      </c>
    </row>
    <row r="439" spans="1:35">
      <c r="A439" t="s">
        <v>493</v>
      </c>
      <c r="B439" t="b">
        <v>1</v>
      </c>
      <c r="C439" t="b">
        <v>0</v>
      </c>
      <c r="D439" t="b">
        <v>0</v>
      </c>
      <c r="F439" t="b">
        <v>0</v>
      </c>
      <c r="H439" t="s">
        <v>494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>
        <v>2</v>
      </c>
      <c r="AB439">
        <v>0</v>
      </c>
      <c r="AC439">
        <f>VLOOKUP(A:A,[1]android_repos_all_metrics!B:K,4,FALSE)</f>
        <v>213</v>
      </c>
      <c r="AD439">
        <f>VLOOKUP(A:A,[1]android_repos_all_metrics!B:K,5,FALSE)</f>
        <v>14</v>
      </c>
      <c r="AE439">
        <f>VLOOKUP(A:A,[1]android_repos_all_metrics!B:K,6,FALSE)</f>
        <v>6</v>
      </c>
      <c r="AF439">
        <f>VLOOKUP(A:A,[1]android_repos_all_metrics!B:K,7,FALSE)</f>
        <v>14744</v>
      </c>
      <c r="AG439">
        <f>VLOOKUP(A:A,[1]android_repos_all_metrics!B:K,8,FALSE)</f>
        <v>88</v>
      </c>
      <c r="AH439">
        <f>VLOOKUP(A:A,[1]android_repos_all_metrics!B:K,9,FALSE)</f>
        <v>654</v>
      </c>
      <c r="AI439">
        <f>VLOOKUP(A:A,[1]android_repos_all_metrics!B:K,10,FALSE)</f>
        <v>19</v>
      </c>
    </row>
    <row r="440" spans="1:35">
      <c r="A440" t="s">
        <v>495</v>
      </c>
      <c r="B440" t="b">
        <v>1</v>
      </c>
      <c r="C440" t="b">
        <v>1</v>
      </c>
      <c r="D440" t="b">
        <v>0</v>
      </c>
      <c r="F440" t="b">
        <v>1</v>
      </c>
      <c r="G440" t="s">
        <v>496</v>
      </c>
      <c r="H440" t="s">
        <v>497</v>
      </c>
      <c r="I440" t="s">
        <v>40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>
        <v>3</v>
      </c>
      <c r="AB440">
        <v>0</v>
      </c>
      <c r="AC440">
        <f>VLOOKUP(A:A,[1]android_repos_all_metrics!B:K,4,FALSE)</f>
        <v>1121</v>
      </c>
      <c r="AD440">
        <f>VLOOKUP(A:A,[1]android_repos_all_metrics!B:K,5,FALSE)</f>
        <v>2</v>
      </c>
      <c r="AE440">
        <f>VLOOKUP(A:A,[1]android_repos_all_metrics!B:K,6,FALSE)</f>
        <v>2</v>
      </c>
      <c r="AF440">
        <f>VLOOKUP(A:A,[1]android_repos_all_metrics!B:K,7,FALSE)</f>
        <v>14151</v>
      </c>
      <c r="AG440">
        <f>VLOOKUP(A:A,[1]android_repos_all_metrics!B:K,8,FALSE)</f>
        <v>6</v>
      </c>
      <c r="AH440">
        <f>VLOOKUP(A:A,[1]android_repos_all_metrics!B:K,9,FALSE)</f>
        <v>86</v>
      </c>
      <c r="AI440">
        <f>VLOOKUP(A:A,[1]android_repos_all_metrics!B:K,10,FALSE)</f>
        <v>41</v>
      </c>
    </row>
    <row r="441" spans="1:35">
      <c r="A441" t="s">
        <v>498</v>
      </c>
      <c r="B441" t="b">
        <v>0</v>
      </c>
      <c r="C441" t="b">
        <v>0</v>
      </c>
      <c r="D441" t="b">
        <v>0</v>
      </c>
      <c r="F441" t="b">
        <v>0</v>
      </c>
      <c r="H441" t="s">
        <v>41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>
        <v>1</v>
      </c>
      <c r="AB441">
        <v>0</v>
      </c>
      <c r="AC441">
        <f>VLOOKUP(A:A,[1]android_repos_all_metrics!B:K,4,FALSE)</f>
        <v>22</v>
      </c>
      <c r="AD441">
        <f>VLOOKUP(A:A,[1]android_repos_all_metrics!B:K,5,FALSE)</f>
        <v>0</v>
      </c>
      <c r="AE441">
        <f>VLOOKUP(A:A,[1]android_repos_all_metrics!B:K,6,FALSE)</f>
        <v>1</v>
      </c>
      <c r="AF441">
        <f>VLOOKUP(A:A,[1]android_repos_all_metrics!B:K,7,FALSE)</f>
        <v>109</v>
      </c>
      <c r="AG441">
        <f>VLOOKUP(A:A,[1]android_repos_all_metrics!B:K,8,FALSE)</f>
        <v>1</v>
      </c>
      <c r="AH441">
        <f>VLOOKUP(A:A,[1]android_repos_all_metrics!B:K,9,FALSE)</f>
        <v>4</v>
      </c>
      <c r="AI441">
        <f>VLOOKUP(A:A,[1]android_repos_all_metrics!B:K,10,FALSE)</f>
        <v>0</v>
      </c>
    </row>
    <row r="442" spans="1:35">
      <c r="A442" t="s">
        <v>499</v>
      </c>
      <c r="B442" t="b">
        <v>1</v>
      </c>
      <c r="C442" t="b">
        <v>0</v>
      </c>
      <c r="D442" t="b">
        <v>0</v>
      </c>
      <c r="F442" t="b">
        <v>0</v>
      </c>
      <c r="H442" t="s">
        <v>37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>
        <v>1</v>
      </c>
      <c r="AB442">
        <v>0</v>
      </c>
      <c r="AC442">
        <f>VLOOKUP(A:A,[1]android_repos_all_metrics!B:K,4,FALSE)</f>
        <v>54</v>
      </c>
      <c r="AD442">
        <f>VLOOKUP(A:A,[1]android_repos_all_metrics!B:K,5,FALSE)</f>
        <v>1</v>
      </c>
      <c r="AE442">
        <f>VLOOKUP(A:A,[1]android_repos_all_metrics!B:K,6,FALSE)</f>
        <v>1</v>
      </c>
      <c r="AF442">
        <f>VLOOKUP(A:A,[1]android_repos_all_metrics!B:K,7,FALSE)</f>
        <v>485</v>
      </c>
      <c r="AG442">
        <f>VLOOKUP(A:A,[1]android_repos_all_metrics!B:K,8,FALSE)</f>
        <v>14</v>
      </c>
      <c r="AH442">
        <f>VLOOKUP(A:A,[1]android_repos_all_metrics!B:K,9,FALSE)</f>
        <v>43</v>
      </c>
      <c r="AI442">
        <f>VLOOKUP(A:A,[1]android_repos_all_metrics!B:K,10,FALSE)</f>
        <v>0</v>
      </c>
    </row>
    <row r="443" spans="1:35">
      <c r="A443" t="s">
        <v>500</v>
      </c>
      <c r="B443" t="b">
        <v>1</v>
      </c>
      <c r="C443" t="b">
        <v>0</v>
      </c>
      <c r="D443" t="b">
        <v>0</v>
      </c>
      <c r="F443" t="b">
        <v>0</v>
      </c>
      <c r="H443" t="s">
        <v>37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>
        <v>1</v>
      </c>
      <c r="AB443">
        <v>0</v>
      </c>
      <c r="AC443">
        <f>VLOOKUP(A:A,[1]android_repos_all_metrics!B:K,4,FALSE)</f>
        <v>314</v>
      </c>
      <c r="AD443">
        <f>VLOOKUP(A:A,[1]android_repos_all_metrics!B:K,5,FALSE)</f>
        <v>43</v>
      </c>
      <c r="AE443">
        <f>VLOOKUP(A:A,[1]android_repos_all_metrics!B:K,6,FALSE)</f>
        <v>2</v>
      </c>
      <c r="AF443">
        <f>VLOOKUP(A:A,[1]android_repos_all_metrics!B:K,7,FALSE)</f>
        <v>3551</v>
      </c>
      <c r="AG443">
        <f>VLOOKUP(A:A,[1]android_repos_all_metrics!B:K,8,FALSE)</f>
        <v>4</v>
      </c>
      <c r="AH443">
        <f>VLOOKUP(A:A,[1]android_repos_all_metrics!B:K,9,FALSE)</f>
        <v>7</v>
      </c>
      <c r="AI443">
        <f>VLOOKUP(A:A,[1]android_repos_all_metrics!B:K,10,FALSE)</f>
        <v>1</v>
      </c>
    </row>
    <row r="444" spans="1:35">
      <c r="A444" t="s">
        <v>501</v>
      </c>
      <c r="B444" t="b">
        <v>1</v>
      </c>
      <c r="C444" t="b">
        <v>0</v>
      </c>
      <c r="D444" t="b">
        <v>0</v>
      </c>
      <c r="F444" t="b">
        <v>0</v>
      </c>
      <c r="H444" t="s">
        <v>43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>
        <v>1</v>
      </c>
      <c r="AB444">
        <v>0</v>
      </c>
      <c r="AC444">
        <f>VLOOKUP(A:A,[1]android_repos_all_metrics!B:K,4,FALSE)</f>
        <v>426</v>
      </c>
      <c r="AD444">
        <f>VLOOKUP(A:A,[1]android_repos_all_metrics!B:K,5,FALSE)</f>
        <v>35</v>
      </c>
      <c r="AE444">
        <f>VLOOKUP(A:A,[1]android_repos_all_metrics!B:K,6,FALSE)</f>
        <v>8</v>
      </c>
      <c r="AF444">
        <f>VLOOKUP(A:A,[1]android_repos_all_metrics!B:K,7,FALSE)</f>
        <v>11650</v>
      </c>
      <c r="AG444">
        <f>VLOOKUP(A:A,[1]android_repos_all_metrics!B:K,8,FALSE)</f>
        <v>18</v>
      </c>
      <c r="AH444">
        <f>VLOOKUP(A:A,[1]android_repos_all_metrics!B:K,9,FALSE)</f>
        <v>22</v>
      </c>
      <c r="AI444">
        <f>VLOOKUP(A:A,[1]android_repos_all_metrics!B:K,10,FALSE)</f>
        <v>18</v>
      </c>
    </row>
    <row r="445" spans="1:35">
      <c r="A445" t="s">
        <v>502</v>
      </c>
      <c r="B445" t="b">
        <v>1</v>
      </c>
      <c r="C445" t="b">
        <v>0</v>
      </c>
      <c r="D445" t="b">
        <v>0</v>
      </c>
      <c r="F445" t="b">
        <v>0</v>
      </c>
      <c r="H445" t="s">
        <v>43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>
        <v>1</v>
      </c>
      <c r="AB445">
        <v>0</v>
      </c>
      <c r="AC445">
        <f>VLOOKUP(A:A,[1]android_repos_all_metrics!B:K,4,FALSE)</f>
        <v>412</v>
      </c>
      <c r="AD445">
        <f>VLOOKUP(A:A,[1]android_repos_all_metrics!B:K,5,FALSE)</f>
        <v>385</v>
      </c>
      <c r="AE445">
        <f>VLOOKUP(A:A,[1]android_repos_all_metrics!B:K,6,FALSE)</f>
        <v>18</v>
      </c>
      <c r="AF445">
        <f>VLOOKUP(A:A,[1]android_repos_all_metrics!B:K,7,FALSE)</f>
        <v>22357</v>
      </c>
      <c r="AG445">
        <f>VLOOKUP(A:A,[1]android_repos_all_metrics!B:K,8,FALSE)</f>
        <v>171</v>
      </c>
      <c r="AH445">
        <f>VLOOKUP(A:A,[1]android_repos_all_metrics!B:K,9,FALSE)</f>
        <v>411</v>
      </c>
      <c r="AI445">
        <f>VLOOKUP(A:A,[1]android_repos_all_metrics!B:K,10,FALSE)</f>
        <v>48</v>
      </c>
    </row>
    <row r="446" spans="1:35">
      <c r="A446" t="s">
        <v>503</v>
      </c>
      <c r="B446" t="b">
        <v>0</v>
      </c>
      <c r="C446" t="b">
        <v>0</v>
      </c>
      <c r="D446" t="b">
        <v>0</v>
      </c>
      <c r="F446" t="b">
        <v>0</v>
      </c>
      <c r="H446" t="s">
        <v>41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>
        <v>1</v>
      </c>
      <c r="AB446">
        <v>0</v>
      </c>
      <c r="AC446">
        <f>VLOOKUP(A:A,[1]android_repos_all_metrics!B:K,4,FALSE)</f>
        <v>11</v>
      </c>
      <c r="AD446">
        <f>VLOOKUP(A:A,[1]android_repos_all_metrics!B:K,5,FALSE)</f>
        <v>0</v>
      </c>
      <c r="AE446">
        <f>VLOOKUP(A:A,[1]android_repos_all_metrics!B:K,6,FALSE)</f>
        <v>1</v>
      </c>
      <c r="AF446">
        <f>VLOOKUP(A:A,[1]android_repos_all_metrics!B:K,7,FALSE)</f>
        <v>113</v>
      </c>
      <c r="AG446">
        <f>VLOOKUP(A:A,[1]android_repos_all_metrics!B:K,8,FALSE)</f>
        <v>3</v>
      </c>
      <c r="AH446">
        <f>VLOOKUP(A:A,[1]android_repos_all_metrics!B:K,9,FALSE)</f>
        <v>6</v>
      </c>
      <c r="AI446">
        <f>VLOOKUP(A:A,[1]android_repos_all_metrics!B:K,10,FALSE)</f>
        <v>0</v>
      </c>
    </row>
    <row r="447" spans="1:35">
      <c r="A447" t="s">
        <v>504</v>
      </c>
      <c r="B447" t="b">
        <v>1</v>
      </c>
      <c r="C447" t="b">
        <v>0</v>
      </c>
      <c r="D447" t="b">
        <v>0</v>
      </c>
      <c r="F447" t="b">
        <v>0</v>
      </c>
      <c r="H447" t="s">
        <v>37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>
        <v>2</v>
      </c>
      <c r="AB447">
        <v>0</v>
      </c>
      <c r="AC447">
        <f>VLOOKUP(A:A,[1]android_repos_all_metrics!B:K,4,FALSE)</f>
        <v>217</v>
      </c>
      <c r="AD447">
        <f>VLOOKUP(A:A,[1]android_repos_all_metrics!B:K,5,FALSE)</f>
        <v>13</v>
      </c>
      <c r="AE447">
        <f>VLOOKUP(A:A,[1]android_repos_all_metrics!B:K,6,FALSE)</f>
        <v>2</v>
      </c>
      <c r="AF447">
        <f>VLOOKUP(A:A,[1]android_repos_all_metrics!B:K,7,FALSE)</f>
        <v>71908</v>
      </c>
      <c r="AG447">
        <f>VLOOKUP(A:A,[1]android_repos_all_metrics!B:K,8,FALSE)</f>
        <v>13</v>
      </c>
      <c r="AH447">
        <f>VLOOKUP(A:A,[1]android_repos_all_metrics!B:K,9,FALSE)</f>
        <v>94</v>
      </c>
      <c r="AI447">
        <f>VLOOKUP(A:A,[1]android_repos_all_metrics!B:K,10,FALSE)</f>
        <v>3</v>
      </c>
    </row>
    <row r="448" spans="1:35">
      <c r="A448" t="s">
        <v>505</v>
      </c>
      <c r="B448" t="b">
        <v>1</v>
      </c>
      <c r="C448" t="b">
        <v>0</v>
      </c>
      <c r="D448" t="b">
        <v>0</v>
      </c>
      <c r="F448" t="b">
        <v>0</v>
      </c>
      <c r="H448" t="s">
        <v>37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>
        <v>2</v>
      </c>
      <c r="AB448">
        <v>0</v>
      </c>
      <c r="AC448">
        <f>VLOOKUP(A:A,[1]android_repos_all_metrics!B:K,4,FALSE)</f>
        <v>314</v>
      </c>
      <c r="AD448">
        <f>VLOOKUP(A:A,[1]android_repos_all_metrics!B:K,5,FALSE)</f>
        <v>61</v>
      </c>
      <c r="AE448">
        <f>VLOOKUP(A:A,[1]android_repos_all_metrics!B:K,6,FALSE)</f>
        <v>4</v>
      </c>
      <c r="AF448">
        <f>VLOOKUP(A:A,[1]android_repos_all_metrics!B:K,7,FALSE)</f>
        <v>14807</v>
      </c>
      <c r="AG448">
        <f>VLOOKUP(A:A,[1]android_repos_all_metrics!B:K,8,FALSE)</f>
        <v>3</v>
      </c>
      <c r="AH448">
        <f>VLOOKUP(A:A,[1]android_repos_all_metrics!B:K,9,FALSE)</f>
        <v>14</v>
      </c>
      <c r="AI448">
        <f>VLOOKUP(A:A,[1]android_repos_all_metrics!B:K,10,FALSE)</f>
        <v>9</v>
      </c>
    </row>
    <row r="449" spans="1:35">
      <c r="A449" t="s">
        <v>506</v>
      </c>
      <c r="B449" t="b">
        <v>1</v>
      </c>
      <c r="C449" t="b">
        <v>0</v>
      </c>
      <c r="D449" t="b">
        <v>0</v>
      </c>
      <c r="F449" t="b">
        <v>0</v>
      </c>
      <c r="H449" t="s">
        <v>41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>
        <v>1</v>
      </c>
      <c r="AB449">
        <v>0</v>
      </c>
      <c r="AC449">
        <f>VLOOKUP(A:A,[1]android_repos_all_metrics!B:K,4,FALSE)</f>
        <v>91</v>
      </c>
      <c r="AD449">
        <f>VLOOKUP(A:A,[1]android_repos_all_metrics!B:K,5,FALSE)</f>
        <v>0</v>
      </c>
      <c r="AE449">
        <f>VLOOKUP(A:A,[1]android_repos_all_metrics!B:K,6,FALSE)</f>
        <v>1</v>
      </c>
      <c r="AF449">
        <f>VLOOKUP(A:A,[1]android_repos_all_metrics!B:K,7,FALSE)</f>
        <v>332</v>
      </c>
      <c r="AG449">
        <f>VLOOKUP(A:A,[1]android_repos_all_metrics!B:K,8,FALSE)</f>
        <v>2</v>
      </c>
      <c r="AH449">
        <f>VLOOKUP(A:A,[1]android_repos_all_metrics!B:K,9,FALSE)</f>
        <v>7</v>
      </c>
      <c r="AI449">
        <f>VLOOKUP(A:A,[1]android_repos_all_metrics!B:K,10,FALSE)</f>
        <v>0</v>
      </c>
    </row>
    <row r="450" spans="1:35">
      <c r="A450" t="s">
        <v>507</v>
      </c>
      <c r="B450" t="b">
        <v>1</v>
      </c>
      <c r="C450" t="b">
        <v>0</v>
      </c>
      <c r="D450" t="b">
        <v>0</v>
      </c>
      <c r="F450" t="b">
        <v>0</v>
      </c>
      <c r="H450" t="s">
        <v>37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>
        <v>1</v>
      </c>
      <c r="AB450">
        <v>0</v>
      </c>
      <c r="AC450">
        <f>VLOOKUP(A:A,[1]android_repos_all_metrics!B:K,4,FALSE)</f>
        <v>67</v>
      </c>
      <c r="AD450">
        <f>VLOOKUP(A:A,[1]android_repos_all_metrics!B:K,5,FALSE)</f>
        <v>0</v>
      </c>
      <c r="AE450">
        <f>VLOOKUP(A:A,[1]android_repos_all_metrics!B:K,6,FALSE)</f>
        <v>2</v>
      </c>
      <c r="AF450">
        <f>VLOOKUP(A:A,[1]android_repos_all_metrics!B:K,7,FALSE)</f>
        <v>316</v>
      </c>
      <c r="AG450">
        <f>VLOOKUP(A:A,[1]android_repos_all_metrics!B:K,8,FALSE)</f>
        <v>22</v>
      </c>
      <c r="AH450">
        <f>VLOOKUP(A:A,[1]android_repos_all_metrics!B:K,9,FALSE)</f>
        <v>141</v>
      </c>
      <c r="AI450">
        <f>VLOOKUP(A:A,[1]android_repos_all_metrics!B:K,10,FALSE)</f>
        <v>0</v>
      </c>
    </row>
    <row r="451" spans="1:35">
      <c r="A451" t="s">
        <v>508</v>
      </c>
      <c r="B451" t="b">
        <v>1</v>
      </c>
      <c r="C451" t="b">
        <v>0</v>
      </c>
      <c r="D451" t="b">
        <v>0</v>
      </c>
      <c r="F451" t="b">
        <v>0</v>
      </c>
      <c r="H451" t="s">
        <v>37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>
        <v>1</v>
      </c>
      <c r="AB451">
        <v>0</v>
      </c>
      <c r="AC451">
        <f>VLOOKUP(A:A,[1]android_repos_all_metrics!B:K,4,FALSE)</f>
        <v>119</v>
      </c>
      <c r="AD451">
        <f>VLOOKUP(A:A,[1]android_repos_all_metrics!B:K,5,FALSE)</f>
        <v>21</v>
      </c>
      <c r="AE451">
        <f>VLOOKUP(A:A,[1]android_repos_all_metrics!B:K,6,FALSE)</f>
        <v>10</v>
      </c>
      <c r="AF451">
        <f>VLOOKUP(A:A,[1]android_repos_all_metrics!B:K,7,FALSE)</f>
        <v>336</v>
      </c>
      <c r="AG451">
        <f>VLOOKUP(A:A,[1]android_repos_all_metrics!B:K,8,FALSE)</f>
        <v>26</v>
      </c>
      <c r="AH451">
        <f>VLOOKUP(A:A,[1]android_repos_all_metrics!B:K,9,FALSE)</f>
        <v>123</v>
      </c>
      <c r="AI451">
        <f>VLOOKUP(A:A,[1]android_repos_all_metrics!B:K,10,FALSE)</f>
        <v>5</v>
      </c>
    </row>
    <row r="452" spans="1:35">
      <c r="A452" t="s">
        <v>509</v>
      </c>
      <c r="B452" t="b">
        <v>1</v>
      </c>
      <c r="C452" t="b">
        <v>1</v>
      </c>
      <c r="D452" t="b">
        <v>1</v>
      </c>
      <c r="E452" t="s">
        <v>104</v>
      </c>
      <c r="F452" t="b">
        <v>0</v>
      </c>
      <c r="H452" t="s">
        <v>37</v>
      </c>
      <c r="I452" t="s">
        <v>37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>
        <v>1</v>
      </c>
      <c r="AA452">
        <v>2</v>
      </c>
      <c r="AB452">
        <v>0</v>
      </c>
      <c r="AC452">
        <f>VLOOKUP(A:A,[1]android_repos_all_metrics!B:K,4,FALSE)</f>
        <v>451</v>
      </c>
      <c r="AD452">
        <f>VLOOKUP(A:A,[1]android_repos_all_metrics!B:K,5,FALSE)</f>
        <v>171</v>
      </c>
      <c r="AE452">
        <f>VLOOKUP(A:A,[1]android_repos_all_metrics!B:K,6,FALSE)</f>
        <v>31</v>
      </c>
      <c r="AF452">
        <f>VLOOKUP(A:A,[1]android_repos_all_metrics!B:K,7,FALSE)</f>
        <v>78055</v>
      </c>
      <c r="AG452">
        <f>VLOOKUP(A:A,[1]android_repos_all_metrics!B:K,8,FALSE)</f>
        <v>45</v>
      </c>
      <c r="AH452">
        <f>VLOOKUP(A:A,[1]android_repos_all_metrics!B:K,9,FALSE)</f>
        <v>22</v>
      </c>
      <c r="AI452">
        <f>VLOOKUP(A:A,[1]android_repos_all_metrics!B:K,10,FALSE)</f>
        <v>32</v>
      </c>
    </row>
    <row r="453" spans="1:35">
      <c r="A453" t="s">
        <v>510</v>
      </c>
      <c r="B453" t="b">
        <v>0</v>
      </c>
      <c r="C453" t="b">
        <v>0</v>
      </c>
      <c r="D453" t="b">
        <v>0</v>
      </c>
      <c r="F453" t="b">
        <v>0</v>
      </c>
      <c r="H453" t="s">
        <v>41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>
        <v>1</v>
      </c>
      <c r="AB453">
        <v>0</v>
      </c>
      <c r="AC453">
        <f>VLOOKUP(A:A,[1]android_repos_all_metrics!B:K,4,FALSE)</f>
        <v>32</v>
      </c>
      <c r="AD453">
        <f>VLOOKUP(A:A,[1]android_repos_all_metrics!B:K,5,FALSE)</f>
        <v>12</v>
      </c>
      <c r="AE453">
        <f>VLOOKUP(A:A,[1]android_repos_all_metrics!B:K,6,FALSE)</f>
        <v>5</v>
      </c>
      <c r="AF453">
        <f>VLOOKUP(A:A,[1]android_repos_all_metrics!B:K,7,FALSE)</f>
        <v>205</v>
      </c>
      <c r="AG453">
        <f>VLOOKUP(A:A,[1]android_repos_all_metrics!B:K,8,FALSE)</f>
        <v>5</v>
      </c>
      <c r="AH453">
        <f>VLOOKUP(A:A,[1]android_repos_all_metrics!B:K,9,FALSE)</f>
        <v>4</v>
      </c>
      <c r="AI453">
        <f>VLOOKUP(A:A,[1]android_repos_all_metrics!B:K,10,FALSE)</f>
        <v>2</v>
      </c>
    </row>
    <row r="454" spans="1:35">
      <c r="A454" t="s">
        <v>511</v>
      </c>
      <c r="B454" t="b">
        <v>1</v>
      </c>
      <c r="C454" t="b">
        <v>1</v>
      </c>
      <c r="D454" t="b">
        <v>1</v>
      </c>
      <c r="E454" t="s">
        <v>36</v>
      </c>
      <c r="F454" t="b">
        <v>1</v>
      </c>
      <c r="G454" t="s">
        <v>512</v>
      </c>
      <c r="H454" t="s">
        <v>126</v>
      </c>
      <c r="I454" t="s">
        <v>126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>
        <v>1</v>
      </c>
      <c r="AA454">
        <v>3</v>
      </c>
      <c r="AB454">
        <v>0</v>
      </c>
      <c r="AC454">
        <f>VLOOKUP(A:A,[1]android_repos_all_metrics!B:K,4,FALSE)</f>
        <v>80</v>
      </c>
      <c r="AD454">
        <f>VLOOKUP(A:A,[1]android_repos_all_metrics!B:K,5,FALSE)</f>
        <v>20</v>
      </c>
      <c r="AE454">
        <f>VLOOKUP(A:A,[1]android_repos_all_metrics!B:K,6,FALSE)</f>
        <v>2</v>
      </c>
      <c r="AF454">
        <f>VLOOKUP(A:A,[1]android_repos_all_metrics!B:K,7,FALSE)</f>
        <v>12760</v>
      </c>
      <c r="AG454">
        <f>VLOOKUP(A:A,[1]android_repos_all_metrics!B:K,8,FALSE)</f>
        <v>30</v>
      </c>
      <c r="AH454">
        <f>VLOOKUP(A:A,[1]android_repos_all_metrics!B:K,9,FALSE)</f>
        <v>127</v>
      </c>
      <c r="AI454">
        <f>VLOOKUP(A:A,[1]android_repos_all_metrics!B:K,10,FALSE)</f>
        <v>11</v>
      </c>
    </row>
    <row r="455" spans="1:35">
      <c r="A455" t="s">
        <v>513</v>
      </c>
      <c r="B455" t="b">
        <v>0</v>
      </c>
      <c r="C455" t="b">
        <v>0</v>
      </c>
      <c r="D455" t="b">
        <v>0</v>
      </c>
      <c r="F455" t="b">
        <v>0</v>
      </c>
      <c r="H455" t="s">
        <v>41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>
        <v>1</v>
      </c>
      <c r="AB455">
        <v>0</v>
      </c>
      <c r="AC455">
        <f>VLOOKUP(A:A,[1]android_repos_all_metrics!B:K,4,FALSE)</f>
        <v>840</v>
      </c>
      <c r="AD455">
        <f>VLOOKUP(A:A,[1]android_repos_all_metrics!B:K,5,FALSE)</f>
        <v>16</v>
      </c>
      <c r="AE455">
        <f>VLOOKUP(A:A,[1]android_repos_all_metrics!B:K,6,FALSE)</f>
        <v>18</v>
      </c>
      <c r="AF455">
        <f>VLOOKUP(A:A,[1]android_repos_all_metrics!B:K,7,FALSE)</f>
        <v>15827</v>
      </c>
      <c r="AG455">
        <f>VLOOKUP(A:A,[1]android_repos_all_metrics!B:K,8,FALSE)</f>
        <v>207</v>
      </c>
      <c r="AH455">
        <f>VLOOKUP(A:A,[1]android_repos_all_metrics!B:K,9,FALSE)</f>
        <v>2079</v>
      </c>
      <c r="AI455">
        <f>VLOOKUP(A:A,[1]android_repos_all_metrics!B:K,10,FALSE)</f>
        <v>72</v>
      </c>
    </row>
    <row r="456" spans="1:35">
      <c r="A456" t="s">
        <v>514</v>
      </c>
      <c r="B456" t="b">
        <v>1</v>
      </c>
      <c r="C456" t="b">
        <v>0</v>
      </c>
      <c r="D456" t="b">
        <v>0</v>
      </c>
      <c r="F456" t="b">
        <v>0</v>
      </c>
      <c r="H456" t="s">
        <v>37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>
        <v>1</v>
      </c>
      <c r="AB456">
        <v>0</v>
      </c>
      <c r="AC456">
        <f>VLOOKUP(A:A,[1]android_repos_all_metrics!B:K,4,FALSE)</f>
        <v>363</v>
      </c>
      <c r="AD456">
        <f>VLOOKUP(A:A,[1]android_repos_all_metrics!B:K,5,FALSE)</f>
        <v>16</v>
      </c>
      <c r="AE456">
        <f>VLOOKUP(A:A,[1]android_repos_all_metrics!B:K,6,FALSE)</f>
        <v>3</v>
      </c>
      <c r="AF456">
        <f>VLOOKUP(A:A,[1]android_repos_all_metrics!B:K,7,FALSE)</f>
        <v>2553</v>
      </c>
      <c r="AG456">
        <f>VLOOKUP(A:A,[1]android_repos_all_metrics!B:K,8,FALSE)</f>
        <v>2</v>
      </c>
      <c r="AH456">
        <f>VLOOKUP(A:A,[1]android_repos_all_metrics!B:K,9,FALSE)</f>
        <v>9</v>
      </c>
      <c r="AI456">
        <f>VLOOKUP(A:A,[1]android_repos_all_metrics!B:K,10,FALSE)</f>
        <v>4</v>
      </c>
    </row>
    <row r="457" spans="1:35">
      <c r="A457" t="s">
        <v>515</v>
      </c>
      <c r="B457" t="b">
        <v>0</v>
      </c>
      <c r="C457" t="b">
        <v>0</v>
      </c>
      <c r="D457" t="b">
        <v>0</v>
      </c>
      <c r="F457" t="b">
        <v>0</v>
      </c>
      <c r="H457" t="s">
        <v>43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>
        <v>1</v>
      </c>
      <c r="AB457">
        <v>0</v>
      </c>
      <c r="AC457">
        <f>VLOOKUP(A:A,[1]android_repos_all_metrics!B:K,4,FALSE)</f>
        <v>17</v>
      </c>
      <c r="AD457">
        <f>VLOOKUP(A:A,[1]android_repos_all_metrics!B:K,5,FALSE)</f>
        <v>1</v>
      </c>
      <c r="AE457">
        <f>VLOOKUP(A:A,[1]android_repos_all_metrics!B:K,6,FALSE)</f>
        <v>1</v>
      </c>
      <c r="AF457">
        <f>VLOOKUP(A:A,[1]android_repos_all_metrics!B:K,7,FALSE)</f>
        <v>2406</v>
      </c>
      <c r="AG457">
        <f>VLOOKUP(A:A,[1]android_repos_all_metrics!B:K,8,FALSE)</f>
        <v>3</v>
      </c>
      <c r="AH457">
        <f>VLOOKUP(A:A,[1]android_repos_all_metrics!B:K,9,FALSE)</f>
        <v>41</v>
      </c>
      <c r="AI457">
        <f>VLOOKUP(A:A,[1]android_repos_all_metrics!B:K,10,FALSE)</f>
        <v>0</v>
      </c>
    </row>
    <row r="458" spans="1:35">
      <c r="A458" t="s">
        <v>516</v>
      </c>
      <c r="B458" t="b">
        <v>1</v>
      </c>
      <c r="C458" t="b">
        <v>0</v>
      </c>
      <c r="D458" t="b">
        <v>0</v>
      </c>
      <c r="F458" t="b">
        <v>0</v>
      </c>
      <c r="H458" t="s">
        <v>37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>
        <v>1</v>
      </c>
      <c r="AB458">
        <v>0</v>
      </c>
      <c r="AC458">
        <f>VLOOKUP(A:A,[1]android_repos_all_metrics!B:K,4,FALSE)</f>
        <v>43</v>
      </c>
      <c r="AD458">
        <f>VLOOKUP(A:A,[1]android_repos_all_metrics!B:K,5,FALSE)</f>
        <v>4</v>
      </c>
      <c r="AE458">
        <f>VLOOKUP(A:A,[1]android_repos_all_metrics!B:K,6,FALSE)</f>
        <v>4</v>
      </c>
      <c r="AF458">
        <f>VLOOKUP(A:A,[1]android_repos_all_metrics!B:K,7,FALSE)</f>
        <v>4023</v>
      </c>
      <c r="AG458">
        <f>VLOOKUP(A:A,[1]android_repos_all_metrics!B:K,8,FALSE)</f>
        <v>7</v>
      </c>
      <c r="AH458">
        <f>VLOOKUP(A:A,[1]android_repos_all_metrics!B:K,9,FALSE)</f>
        <v>7</v>
      </c>
      <c r="AI458">
        <f>VLOOKUP(A:A,[1]android_repos_all_metrics!B:K,10,FALSE)</f>
        <v>0</v>
      </c>
    </row>
    <row r="459" spans="1:35">
      <c r="A459" t="s">
        <v>517</v>
      </c>
      <c r="B459" t="b">
        <v>1</v>
      </c>
      <c r="C459" t="b">
        <v>1</v>
      </c>
      <c r="D459" t="b">
        <v>1</v>
      </c>
      <c r="E459" t="s">
        <v>36</v>
      </c>
      <c r="F459" t="b">
        <v>0</v>
      </c>
      <c r="H459" t="s">
        <v>37</v>
      </c>
      <c r="I459" t="s">
        <v>37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0</v>
      </c>
      <c r="Z459">
        <v>1</v>
      </c>
      <c r="AA459">
        <v>4</v>
      </c>
      <c r="AB459">
        <v>0</v>
      </c>
      <c r="AC459">
        <f>VLOOKUP(A:A,[1]android_repos_all_metrics!B:K,4,FALSE)</f>
        <v>0</v>
      </c>
      <c r="AD459">
        <f>VLOOKUP(A:A,[1]android_repos_all_metrics!B:K,5,FALSE)</f>
        <v>0</v>
      </c>
      <c r="AE459">
        <f>VLOOKUP(A:A,[1]android_repos_all_metrics!B:K,6,FALSE)</f>
        <v>0</v>
      </c>
      <c r="AF459">
        <f>VLOOKUP(A:A,[1]android_repos_all_metrics!B:K,7,FALSE)</f>
        <v>4358</v>
      </c>
      <c r="AG459">
        <f>VLOOKUP(A:A,[1]android_repos_all_metrics!B:K,8,FALSE)</f>
        <v>14</v>
      </c>
      <c r="AH459">
        <f>VLOOKUP(A:A,[1]android_repos_all_metrics!B:K,9,FALSE)</f>
        <v>33</v>
      </c>
      <c r="AI459">
        <f>VLOOKUP(A:A,[1]android_repos_all_metrics!B:K,10,FALSE)</f>
        <v>3</v>
      </c>
    </row>
    <row r="460" spans="1:35">
      <c r="A460" t="s">
        <v>518</v>
      </c>
      <c r="B460" t="b">
        <v>1</v>
      </c>
      <c r="C460" t="b">
        <v>1</v>
      </c>
      <c r="D460" t="b">
        <v>0</v>
      </c>
      <c r="F460" t="b">
        <v>1</v>
      </c>
      <c r="G460" t="s">
        <v>39</v>
      </c>
      <c r="H460" t="s">
        <v>41</v>
      </c>
      <c r="I460" t="s">
        <v>41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>
        <v>1</v>
      </c>
      <c r="AB460">
        <v>0</v>
      </c>
      <c r="AC460">
        <f>VLOOKUP(A:A,[1]android_repos_all_metrics!B:K,4,FALSE)</f>
        <v>30</v>
      </c>
      <c r="AD460">
        <f>VLOOKUP(A:A,[1]android_repos_all_metrics!B:K,5,FALSE)</f>
        <v>8</v>
      </c>
      <c r="AE460">
        <f>VLOOKUP(A:A,[1]android_repos_all_metrics!B:K,6,FALSE)</f>
        <v>6</v>
      </c>
      <c r="AF460">
        <f>VLOOKUP(A:A,[1]android_repos_all_metrics!B:K,7,FALSE)</f>
        <v>153</v>
      </c>
      <c r="AG460">
        <f>VLOOKUP(A:A,[1]android_repos_all_metrics!B:K,8,FALSE)</f>
        <v>33</v>
      </c>
      <c r="AH460">
        <f>VLOOKUP(A:A,[1]android_repos_all_metrics!B:K,9,FALSE)</f>
        <v>37</v>
      </c>
      <c r="AI460">
        <f>VLOOKUP(A:A,[1]android_repos_all_metrics!B:K,10,FALSE)</f>
        <v>1</v>
      </c>
    </row>
    <row r="461" spans="1:35">
      <c r="A461" t="s">
        <v>519</v>
      </c>
      <c r="B461" t="b">
        <v>0</v>
      </c>
      <c r="C461" t="b">
        <v>0</v>
      </c>
      <c r="D461" t="b">
        <v>0</v>
      </c>
      <c r="F461" t="b">
        <v>0</v>
      </c>
      <c r="H461" t="s">
        <v>41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>
        <v>1</v>
      </c>
      <c r="AB461">
        <v>0</v>
      </c>
      <c r="AC461">
        <f>VLOOKUP(A:A,[1]android_repos_all_metrics!B:K,4,FALSE)</f>
        <v>141</v>
      </c>
      <c r="AD461">
        <f>VLOOKUP(A:A,[1]android_repos_all_metrics!B:K,5,FALSE)</f>
        <v>3</v>
      </c>
      <c r="AE461">
        <f>VLOOKUP(A:A,[1]android_repos_all_metrics!B:K,6,FALSE)</f>
        <v>1</v>
      </c>
      <c r="AF461">
        <f>VLOOKUP(A:A,[1]android_repos_all_metrics!B:K,7,FALSE)</f>
        <v>2472</v>
      </c>
      <c r="AG461">
        <f>VLOOKUP(A:A,[1]android_repos_all_metrics!B:K,8,FALSE)</f>
        <v>1</v>
      </c>
      <c r="AH461">
        <f>VLOOKUP(A:A,[1]android_repos_all_metrics!B:K,9,FALSE)</f>
        <v>13</v>
      </c>
      <c r="AI461">
        <f>VLOOKUP(A:A,[1]android_repos_all_metrics!B:K,10,FALSE)</f>
        <v>0</v>
      </c>
    </row>
    <row r="462" spans="1:35">
      <c r="A462" t="s">
        <v>520</v>
      </c>
      <c r="B462" t="b">
        <v>1</v>
      </c>
      <c r="C462" t="b">
        <v>0</v>
      </c>
      <c r="D462" t="b">
        <v>0</v>
      </c>
      <c r="F462" t="b">
        <v>0</v>
      </c>
      <c r="H462" t="s">
        <v>37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>
        <v>1</v>
      </c>
      <c r="AB462">
        <v>0</v>
      </c>
      <c r="AC462">
        <f>VLOOKUP(A:A,[1]android_repos_all_metrics!B:K,4,FALSE)</f>
        <v>48</v>
      </c>
      <c r="AD462">
        <f>VLOOKUP(A:A,[1]android_repos_all_metrics!B:K,5,FALSE)</f>
        <v>2</v>
      </c>
      <c r="AE462">
        <f>VLOOKUP(A:A,[1]android_repos_all_metrics!B:K,6,FALSE)</f>
        <v>4</v>
      </c>
      <c r="AF462">
        <f>VLOOKUP(A:A,[1]android_repos_all_metrics!B:K,7,FALSE)</f>
        <v>2128</v>
      </c>
      <c r="AG462">
        <f>VLOOKUP(A:A,[1]android_repos_all_metrics!B:K,8,FALSE)</f>
        <v>19</v>
      </c>
      <c r="AH462">
        <f>VLOOKUP(A:A,[1]android_repos_all_metrics!B:K,9,FALSE)</f>
        <v>88</v>
      </c>
      <c r="AI462">
        <f>VLOOKUP(A:A,[1]android_repos_all_metrics!B:K,10,FALSE)</f>
        <v>1</v>
      </c>
    </row>
    <row r="463" spans="1:35">
      <c r="A463" t="s">
        <v>521</v>
      </c>
      <c r="B463" t="b">
        <v>1</v>
      </c>
      <c r="C463" t="b">
        <v>0</v>
      </c>
      <c r="D463" t="b">
        <v>0</v>
      </c>
      <c r="F463" t="b">
        <v>0</v>
      </c>
      <c r="H463" t="s">
        <v>37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>
        <v>1</v>
      </c>
      <c r="AB463">
        <v>0</v>
      </c>
      <c r="AC463">
        <f>VLOOKUP(A:A,[1]android_repos_all_metrics!B:K,4,FALSE)</f>
        <v>139</v>
      </c>
      <c r="AD463">
        <f>VLOOKUP(A:A,[1]android_repos_all_metrics!B:K,5,FALSE)</f>
        <v>0</v>
      </c>
      <c r="AE463">
        <f>VLOOKUP(A:A,[1]android_repos_all_metrics!B:K,6,FALSE)</f>
        <v>1</v>
      </c>
      <c r="AF463">
        <f>VLOOKUP(A:A,[1]android_repos_all_metrics!B:K,7,FALSE)</f>
        <v>3162</v>
      </c>
      <c r="AG463">
        <f>VLOOKUP(A:A,[1]android_repos_all_metrics!B:K,8,FALSE)</f>
        <v>3</v>
      </c>
      <c r="AH463">
        <f>VLOOKUP(A:A,[1]android_repos_all_metrics!B:K,9,FALSE)</f>
        <v>10</v>
      </c>
      <c r="AI463">
        <f>VLOOKUP(A:A,[1]android_repos_all_metrics!B:K,10,FALSE)</f>
        <v>1</v>
      </c>
    </row>
    <row r="464" spans="1:35">
      <c r="A464" t="s">
        <v>522</v>
      </c>
      <c r="B464" t="b">
        <v>0</v>
      </c>
      <c r="C464" t="b">
        <v>0</v>
      </c>
      <c r="D464" t="b">
        <v>0</v>
      </c>
      <c r="F464" t="b">
        <v>0</v>
      </c>
      <c r="H464" t="s">
        <v>43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>
        <v>1</v>
      </c>
      <c r="AB464">
        <v>0</v>
      </c>
      <c r="AC464">
        <f>VLOOKUP(A:A,[1]android_repos_all_metrics!B:K,4,FALSE)</f>
        <v>205</v>
      </c>
      <c r="AD464">
        <f>VLOOKUP(A:A,[1]android_repos_all_metrics!B:K,5,FALSE)</f>
        <v>1</v>
      </c>
      <c r="AE464">
        <f>VLOOKUP(A:A,[1]android_repos_all_metrics!B:K,6,FALSE)</f>
        <v>1</v>
      </c>
      <c r="AF464">
        <f>VLOOKUP(A:A,[1]android_repos_all_metrics!B:K,7,FALSE)</f>
        <v>22444</v>
      </c>
      <c r="AG464">
        <f>VLOOKUP(A:A,[1]android_repos_all_metrics!B:K,8,FALSE)</f>
        <v>7</v>
      </c>
      <c r="AH464">
        <f>VLOOKUP(A:A,[1]android_repos_all_metrics!B:K,9,FALSE)</f>
        <v>21</v>
      </c>
      <c r="AI464">
        <f>VLOOKUP(A:A,[1]android_repos_all_metrics!B:K,10,FALSE)</f>
        <v>4</v>
      </c>
    </row>
    <row r="465" spans="1:35">
      <c r="A465" t="s">
        <v>523</v>
      </c>
      <c r="B465" t="b">
        <v>0</v>
      </c>
      <c r="C465" t="b">
        <v>0</v>
      </c>
      <c r="D465" t="b">
        <v>0</v>
      </c>
      <c r="F465" t="b">
        <v>0</v>
      </c>
      <c r="H465" t="s">
        <v>41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>
        <v>1</v>
      </c>
      <c r="AB465">
        <v>0</v>
      </c>
      <c r="AC465">
        <f>VLOOKUP(A:A,[1]android_repos_all_metrics!B:K,4,FALSE)</f>
        <v>120</v>
      </c>
      <c r="AD465">
        <f>VLOOKUP(A:A,[1]android_repos_all_metrics!B:K,5,FALSE)</f>
        <v>8</v>
      </c>
      <c r="AE465">
        <f>VLOOKUP(A:A,[1]android_repos_all_metrics!B:K,6,FALSE)</f>
        <v>4</v>
      </c>
      <c r="AF465">
        <f>VLOOKUP(A:A,[1]android_repos_all_metrics!B:K,7,FALSE)</f>
        <v>15966</v>
      </c>
      <c r="AG465">
        <f>VLOOKUP(A:A,[1]android_repos_all_metrics!B:K,8,FALSE)</f>
        <v>18</v>
      </c>
      <c r="AH465">
        <f>VLOOKUP(A:A,[1]android_repos_all_metrics!B:K,9,FALSE)</f>
        <v>59</v>
      </c>
      <c r="AI465">
        <f>VLOOKUP(A:A,[1]android_repos_all_metrics!B:K,10,FALSE)</f>
        <v>28</v>
      </c>
    </row>
    <row r="466" spans="1:35">
      <c r="A466" t="s">
        <v>524</v>
      </c>
      <c r="B466" t="b">
        <v>0</v>
      </c>
      <c r="C466" t="b">
        <v>0</v>
      </c>
      <c r="D466" t="b">
        <v>0</v>
      </c>
      <c r="F466" t="b">
        <v>0</v>
      </c>
      <c r="H466" t="s">
        <v>41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>
        <v>1</v>
      </c>
      <c r="AB466">
        <v>0</v>
      </c>
      <c r="AC466">
        <f>VLOOKUP(A:A,[1]android_repos_all_metrics!B:K,4,FALSE)</f>
        <v>76</v>
      </c>
      <c r="AD466">
        <f>VLOOKUP(A:A,[1]android_repos_all_metrics!B:K,5,FALSE)</f>
        <v>25</v>
      </c>
      <c r="AE466">
        <f>VLOOKUP(A:A,[1]android_repos_all_metrics!B:K,6,FALSE)</f>
        <v>4</v>
      </c>
      <c r="AF466">
        <f>VLOOKUP(A:A,[1]android_repos_all_metrics!B:K,7,FALSE)</f>
        <v>114137</v>
      </c>
      <c r="AG466">
        <f>VLOOKUP(A:A,[1]android_repos_all_metrics!B:K,8,FALSE)</f>
        <v>2</v>
      </c>
      <c r="AH466">
        <f>VLOOKUP(A:A,[1]android_repos_all_metrics!B:K,9,FALSE)</f>
        <v>1</v>
      </c>
      <c r="AI466">
        <f>VLOOKUP(A:A,[1]android_repos_all_metrics!B:K,10,FALSE)</f>
        <v>1</v>
      </c>
    </row>
    <row r="467" spans="1:35">
      <c r="A467" t="s">
        <v>525</v>
      </c>
      <c r="B467" t="b">
        <v>1</v>
      </c>
      <c r="C467" t="b">
        <v>0</v>
      </c>
      <c r="D467" t="b">
        <v>0</v>
      </c>
      <c r="F467" t="b">
        <v>0</v>
      </c>
      <c r="H467" t="s">
        <v>86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>
        <v>2</v>
      </c>
      <c r="AB467">
        <v>2</v>
      </c>
      <c r="AC467">
        <f>VLOOKUP(A:A,[1]android_repos_all_metrics!B:K,4,FALSE)</f>
        <v>188</v>
      </c>
      <c r="AD467">
        <f>VLOOKUP(A:A,[1]android_repos_all_metrics!B:K,5,FALSE)</f>
        <v>3</v>
      </c>
      <c r="AE467">
        <f>VLOOKUP(A:A,[1]android_repos_all_metrics!B:K,6,FALSE)</f>
        <v>3</v>
      </c>
      <c r="AF467">
        <f>VLOOKUP(A:A,[1]android_repos_all_metrics!B:K,7,FALSE)</f>
        <v>13825</v>
      </c>
      <c r="AG467">
        <f>VLOOKUP(A:A,[1]android_repos_all_metrics!B:K,8,FALSE)</f>
        <v>10</v>
      </c>
      <c r="AH467">
        <f>VLOOKUP(A:A,[1]android_repos_all_metrics!B:K,9,FALSE)</f>
        <v>48</v>
      </c>
      <c r="AI467">
        <f>VLOOKUP(A:A,[1]android_repos_all_metrics!B:K,10,FALSE)</f>
        <v>0</v>
      </c>
    </row>
    <row r="468" spans="1:35">
      <c r="A468" t="s">
        <v>526</v>
      </c>
      <c r="B468" t="b">
        <v>1</v>
      </c>
      <c r="C468" t="b">
        <v>0</v>
      </c>
      <c r="D468" t="b">
        <v>0</v>
      </c>
      <c r="F468" t="b">
        <v>0</v>
      </c>
      <c r="H468" t="s">
        <v>86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>
        <v>5</v>
      </c>
      <c r="AB468">
        <v>0</v>
      </c>
      <c r="AC468">
        <f>VLOOKUP(A:A,[1]android_repos_all_metrics!B:K,4,FALSE)</f>
        <v>179</v>
      </c>
      <c r="AD468">
        <f>VLOOKUP(A:A,[1]android_repos_all_metrics!B:K,5,FALSE)</f>
        <v>130</v>
      </c>
      <c r="AE468">
        <f>VLOOKUP(A:A,[1]android_repos_all_metrics!B:K,6,FALSE)</f>
        <v>2</v>
      </c>
      <c r="AF468">
        <f>VLOOKUP(A:A,[1]android_repos_all_metrics!B:K,7,FALSE)</f>
        <v>5417</v>
      </c>
      <c r="AG468">
        <f>VLOOKUP(A:A,[1]android_repos_all_metrics!B:K,8,FALSE)</f>
        <v>11</v>
      </c>
      <c r="AH468">
        <f>VLOOKUP(A:A,[1]android_repos_all_metrics!B:K,9,FALSE)</f>
        <v>92</v>
      </c>
      <c r="AI468">
        <f>VLOOKUP(A:A,[1]android_repos_all_metrics!B:K,10,FALSE)</f>
        <v>45</v>
      </c>
    </row>
    <row r="469" spans="1:35">
      <c r="A469" t="s">
        <v>527</v>
      </c>
      <c r="B469" t="b">
        <v>1</v>
      </c>
      <c r="C469" t="b">
        <v>1</v>
      </c>
      <c r="D469" t="b">
        <v>0</v>
      </c>
      <c r="F469" t="b">
        <v>1</v>
      </c>
      <c r="G469" t="s">
        <v>39</v>
      </c>
      <c r="H469" t="s">
        <v>41</v>
      </c>
      <c r="I469" t="s">
        <v>41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>
        <v>1</v>
      </c>
      <c r="AB469">
        <v>0</v>
      </c>
      <c r="AC469">
        <f>VLOOKUP(A:A,[1]android_repos_all_metrics!B:K,4,FALSE)</f>
        <v>238</v>
      </c>
      <c r="AD469">
        <f>VLOOKUP(A:A,[1]android_repos_all_metrics!B:K,5,FALSE)</f>
        <v>54</v>
      </c>
      <c r="AE469">
        <f>VLOOKUP(A:A,[1]android_repos_all_metrics!B:K,6,FALSE)</f>
        <v>8</v>
      </c>
      <c r="AF469">
        <f>VLOOKUP(A:A,[1]android_repos_all_metrics!B:K,7,FALSE)</f>
        <v>453</v>
      </c>
      <c r="AG469">
        <f>VLOOKUP(A:A,[1]android_repos_all_metrics!B:K,8,FALSE)</f>
        <v>15</v>
      </c>
      <c r="AH469">
        <f>VLOOKUP(A:A,[1]android_repos_all_metrics!B:K,9,FALSE)</f>
        <v>46</v>
      </c>
      <c r="AI469">
        <f>VLOOKUP(A:A,[1]android_repos_all_metrics!B:K,10,FALSE)</f>
        <v>21</v>
      </c>
    </row>
    <row r="470" spans="1:35">
      <c r="A470" t="s">
        <v>528</v>
      </c>
      <c r="B470" t="b">
        <v>1</v>
      </c>
      <c r="C470" t="b">
        <v>0</v>
      </c>
      <c r="D470" t="b">
        <v>0</v>
      </c>
      <c r="F470" t="b">
        <v>0</v>
      </c>
      <c r="H470" t="s">
        <v>37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>
        <v>1</v>
      </c>
      <c r="AB470">
        <v>0</v>
      </c>
      <c r="AC470">
        <f>VLOOKUP(A:A,[1]android_repos_all_metrics!B:K,4,FALSE)</f>
        <v>51</v>
      </c>
      <c r="AD470">
        <f>VLOOKUP(A:A,[1]android_repos_all_metrics!B:K,5,FALSE)</f>
        <v>17</v>
      </c>
      <c r="AE470">
        <f>VLOOKUP(A:A,[1]android_repos_all_metrics!B:K,6,FALSE)</f>
        <v>11</v>
      </c>
      <c r="AF470">
        <f>VLOOKUP(A:A,[1]android_repos_all_metrics!B:K,7,FALSE)</f>
        <v>829</v>
      </c>
      <c r="AG470">
        <f>VLOOKUP(A:A,[1]android_repos_all_metrics!B:K,8,FALSE)</f>
        <v>40</v>
      </c>
      <c r="AH470">
        <f>VLOOKUP(A:A,[1]android_repos_all_metrics!B:K,9,FALSE)</f>
        <v>361</v>
      </c>
      <c r="AI470">
        <f>VLOOKUP(A:A,[1]android_repos_all_metrics!B:K,10,FALSE)</f>
        <v>7</v>
      </c>
    </row>
    <row r="471" spans="1:35">
      <c r="A471" t="s">
        <v>529</v>
      </c>
      <c r="B471" t="b">
        <v>1</v>
      </c>
      <c r="C471" t="b">
        <v>0</v>
      </c>
      <c r="D471" t="b">
        <v>0</v>
      </c>
      <c r="F471" t="b">
        <v>0</v>
      </c>
      <c r="H471" t="s">
        <v>37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>
        <v>1</v>
      </c>
      <c r="AB471">
        <v>0</v>
      </c>
      <c r="AC471">
        <f>VLOOKUP(A:A,[1]android_repos_all_metrics!B:K,4,FALSE)</f>
        <v>160</v>
      </c>
      <c r="AD471">
        <f>VLOOKUP(A:A,[1]android_repos_all_metrics!B:K,5,FALSE)</f>
        <v>4</v>
      </c>
      <c r="AE471">
        <f>VLOOKUP(A:A,[1]android_repos_all_metrics!B:K,6,FALSE)</f>
        <v>3</v>
      </c>
      <c r="AF471">
        <f>VLOOKUP(A:A,[1]android_repos_all_metrics!B:K,7,FALSE)</f>
        <v>2835</v>
      </c>
      <c r="AG471">
        <f>VLOOKUP(A:A,[1]android_repos_all_metrics!B:K,8,FALSE)</f>
        <v>17</v>
      </c>
      <c r="AH471">
        <f>VLOOKUP(A:A,[1]android_repos_all_metrics!B:K,9,FALSE)</f>
        <v>120</v>
      </c>
      <c r="AI471">
        <f>VLOOKUP(A:A,[1]android_repos_all_metrics!B:K,10,FALSE)</f>
        <v>3</v>
      </c>
    </row>
    <row r="472" spans="1:35">
      <c r="A472" t="s">
        <v>530</v>
      </c>
      <c r="B472" t="b">
        <v>1</v>
      </c>
      <c r="C472" t="b">
        <v>0</v>
      </c>
      <c r="D472" t="b">
        <v>0</v>
      </c>
      <c r="F472" t="b">
        <v>0</v>
      </c>
      <c r="H472" t="s">
        <v>37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>
        <v>1</v>
      </c>
      <c r="AB472">
        <v>0</v>
      </c>
      <c r="AC472">
        <f>VLOOKUP(A:A,[1]android_repos_all_metrics!B:K,4,FALSE)</f>
        <v>44</v>
      </c>
      <c r="AD472">
        <f>VLOOKUP(A:A,[1]android_repos_all_metrics!B:K,5,FALSE)</f>
        <v>42</v>
      </c>
      <c r="AE472">
        <f>VLOOKUP(A:A,[1]android_repos_all_metrics!B:K,6,FALSE)</f>
        <v>4</v>
      </c>
      <c r="AF472">
        <f>VLOOKUP(A:A,[1]android_repos_all_metrics!B:K,7,FALSE)</f>
        <v>919</v>
      </c>
      <c r="AG472">
        <f>VLOOKUP(A:A,[1]android_repos_all_metrics!B:K,8,FALSE)</f>
        <v>18</v>
      </c>
      <c r="AH472">
        <f>VLOOKUP(A:A,[1]android_repos_all_metrics!B:K,9,FALSE)</f>
        <v>108</v>
      </c>
      <c r="AI472">
        <f>VLOOKUP(A:A,[1]android_repos_all_metrics!B:K,10,FALSE)</f>
        <v>14</v>
      </c>
    </row>
    <row r="473" spans="1:35">
      <c r="A473" t="s">
        <v>531</v>
      </c>
      <c r="B473" t="b">
        <v>1</v>
      </c>
      <c r="C473" t="b">
        <v>0</v>
      </c>
      <c r="D473" t="b">
        <v>0</v>
      </c>
      <c r="F473" t="b">
        <v>0</v>
      </c>
      <c r="H473" t="s">
        <v>37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>
        <v>2</v>
      </c>
      <c r="AB473">
        <v>0</v>
      </c>
      <c r="AC473">
        <f>VLOOKUP(A:A,[1]android_repos_all_metrics!B:K,4,FALSE)</f>
        <v>13</v>
      </c>
      <c r="AD473">
        <f>VLOOKUP(A:A,[1]android_repos_all_metrics!B:K,5,FALSE)</f>
        <v>0</v>
      </c>
      <c r="AE473">
        <f>VLOOKUP(A:A,[1]android_repos_all_metrics!B:K,6,FALSE)</f>
        <v>3</v>
      </c>
      <c r="AF473">
        <f>VLOOKUP(A:A,[1]android_repos_all_metrics!B:K,7,FALSE)</f>
        <v>652</v>
      </c>
      <c r="AG473">
        <f>VLOOKUP(A:A,[1]android_repos_all_metrics!B:K,8,FALSE)</f>
        <v>3</v>
      </c>
      <c r="AH473">
        <f>VLOOKUP(A:A,[1]android_repos_all_metrics!B:K,9,FALSE)</f>
        <v>31</v>
      </c>
      <c r="AI473">
        <f>VLOOKUP(A:A,[1]android_repos_all_metrics!B:K,10,FALSE)</f>
        <v>2</v>
      </c>
    </row>
    <row r="474" spans="1:35">
      <c r="A474" t="s">
        <v>532</v>
      </c>
      <c r="B474" t="b">
        <v>1</v>
      </c>
      <c r="C474" t="b">
        <v>0</v>
      </c>
      <c r="D474" t="b">
        <v>0</v>
      </c>
      <c r="F474" t="b">
        <v>0</v>
      </c>
      <c r="H474" t="s">
        <v>37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>
        <v>1</v>
      </c>
      <c r="AB474">
        <v>0</v>
      </c>
      <c r="AC474">
        <f>VLOOKUP(A:A,[1]android_repos_all_metrics!B:K,4,FALSE)</f>
        <v>21</v>
      </c>
      <c r="AD474">
        <f>VLOOKUP(A:A,[1]android_repos_all_metrics!B:K,5,FALSE)</f>
        <v>0</v>
      </c>
      <c r="AE474">
        <f>VLOOKUP(A:A,[1]android_repos_all_metrics!B:K,6,FALSE)</f>
        <v>1</v>
      </c>
      <c r="AF474">
        <f>VLOOKUP(A:A,[1]android_repos_all_metrics!B:K,7,FALSE)</f>
        <v>853</v>
      </c>
      <c r="AG474">
        <f>VLOOKUP(A:A,[1]android_repos_all_metrics!B:K,8,FALSE)</f>
        <v>4</v>
      </c>
      <c r="AH474">
        <f>VLOOKUP(A:A,[1]android_repos_all_metrics!B:K,9,FALSE)</f>
        <v>6</v>
      </c>
      <c r="AI474">
        <f>VLOOKUP(A:A,[1]android_repos_all_metrics!B:K,10,FALSE)</f>
        <v>1</v>
      </c>
    </row>
    <row r="475" spans="1:35">
      <c r="A475" t="s">
        <v>533</v>
      </c>
      <c r="B475" t="b">
        <v>1</v>
      </c>
      <c r="C475" t="b">
        <v>1</v>
      </c>
      <c r="D475" t="b">
        <v>0</v>
      </c>
      <c r="F475" t="b">
        <v>1</v>
      </c>
      <c r="G475" t="s">
        <v>39</v>
      </c>
      <c r="H475" t="s">
        <v>41</v>
      </c>
      <c r="I475" t="s">
        <v>41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>
        <v>1</v>
      </c>
      <c r="AB475">
        <v>0</v>
      </c>
      <c r="AC475">
        <f>VLOOKUP(A:A,[1]android_repos_all_metrics!B:K,4,FALSE)</f>
        <v>160</v>
      </c>
      <c r="AD475">
        <f>VLOOKUP(A:A,[1]android_repos_all_metrics!B:K,5,FALSE)</f>
        <v>75</v>
      </c>
      <c r="AE475">
        <f>VLOOKUP(A:A,[1]android_repos_all_metrics!B:K,6,FALSE)</f>
        <v>16</v>
      </c>
      <c r="AF475">
        <f>VLOOKUP(A:A,[1]android_repos_all_metrics!B:K,7,FALSE)</f>
        <v>1246</v>
      </c>
      <c r="AG475">
        <f>VLOOKUP(A:A,[1]android_repos_all_metrics!B:K,8,FALSE)</f>
        <v>59</v>
      </c>
      <c r="AH475">
        <f>VLOOKUP(A:A,[1]android_repos_all_metrics!B:K,9,FALSE)</f>
        <v>62</v>
      </c>
      <c r="AI475">
        <f>VLOOKUP(A:A,[1]android_repos_all_metrics!B:K,10,FALSE)</f>
        <v>9</v>
      </c>
    </row>
    <row r="476" spans="1:35">
      <c r="A476" t="s">
        <v>534</v>
      </c>
      <c r="B476" t="b">
        <v>1</v>
      </c>
      <c r="C476" t="b">
        <v>0</v>
      </c>
      <c r="D476" t="b">
        <v>0</v>
      </c>
      <c r="F476" t="b">
        <v>0</v>
      </c>
      <c r="H476" t="s">
        <v>37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>
        <v>1</v>
      </c>
      <c r="AB476">
        <v>0</v>
      </c>
      <c r="AC476">
        <f>VLOOKUP(A:A,[1]android_repos_all_metrics!B:K,4,FALSE)</f>
        <v>44</v>
      </c>
      <c r="AD476">
        <f>VLOOKUP(A:A,[1]android_repos_all_metrics!B:K,5,FALSE)</f>
        <v>1</v>
      </c>
      <c r="AE476">
        <f>VLOOKUP(A:A,[1]android_repos_all_metrics!B:K,6,FALSE)</f>
        <v>1</v>
      </c>
      <c r="AF476">
        <f>VLOOKUP(A:A,[1]android_repos_all_metrics!B:K,7,FALSE)</f>
        <v>81120</v>
      </c>
      <c r="AG476">
        <f>VLOOKUP(A:A,[1]android_repos_all_metrics!B:K,8,FALSE)</f>
        <v>0</v>
      </c>
      <c r="AH476">
        <f>VLOOKUP(A:A,[1]android_repos_all_metrics!B:K,9,FALSE)</f>
        <v>12</v>
      </c>
      <c r="AI476">
        <f>VLOOKUP(A:A,[1]android_repos_all_metrics!B:K,10,FALSE)</f>
        <v>0</v>
      </c>
    </row>
    <row r="477" spans="1:35">
      <c r="A477" t="s">
        <v>535</v>
      </c>
      <c r="B477" t="b">
        <v>1</v>
      </c>
      <c r="C477" t="b">
        <v>0</v>
      </c>
      <c r="D477" t="b">
        <v>0</v>
      </c>
      <c r="F477" t="b">
        <v>0</v>
      </c>
      <c r="H477" t="s">
        <v>37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>
        <v>1</v>
      </c>
      <c r="AB477">
        <v>0</v>
      </c>
      <c r="AC477">
        <f>VLOOKUP(A:A,[1]android_repos_all_metrics!B:K,4,FALSE)</f>
        <v>37</v>
      </c>
      <c r="AD477">
        <f>VLOOKUP(A:A,[1]android_repos_all_metrics!B:K,5,FALSE)</f>
        <v>12</v>
      </c>
      <c r="AE477">
        <f>VLOOKUP(A:A,[1]android_repos_all_metrics!B:K,6,FALSE)</f>
        <v>2</v>
      </c>
      <c r="AF477">
        <f>VLOOKUP(A:A,[1]android_repos_all_metrics!B:K,7,FALSE)</f>
        <v>1627</v>
      </c>
      <c r="AG477">
        <f>VLOOKUP(A:A,[1]android_repos_all_metrics!B:K,8,FALSE)</f>
        <v>0</v>
      </c>
      <c r="AH477">
        <f>VLOOKUP(A:A,[1]android_repos_all_metrics!B:K,9,FALSE)</f>
        <v>2</v>
      </c>
      <c r="AI477">
        <f>VLOOKUP(A:A,[1]android_repos_all_metrics!B:K,10,FALSE)</f>
        <v>1</v>
      </c>
    </row>
    <row r="478" spans="1:35">
      <c r="A478" t="s">
        <v>536</v>
      </c>
      <c r="B478" t="b">
        <v>1</v>
      </c>
      <c r="C478" t="b">
        <v>0</v>
      </c>
      <c r="D478" t="b">
        <v>0</v>
      </c>
      <c r="F478" t="b">
        <v>0</v>
      </c>
      <c r="H478" t="s">
        <v>37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>
        <v>1</v>
      </c>
      <c r="AB478">
        <v>0</v>
      </c>
      <c r="AC478">
        <f>VLOOKUP(A:A,[1]android_repos_all_metrics!B:K,4,FALSE)</f>
        <v>116</v>
      </c>
      <c r="AD478">
        <f>VLOOKUP(A:A,[1]android_repos_all_metrics!B:K,5,FALSE)</f>
        <v>27</v>
      </c>
      <c r="AE478">
        <f>VLOOKUP(A:A,[1]android_repos_all_metrics!B:K,6,FALSE)</f>
        <v>8</v>
      </c>
      <c r="AF478">
        <f>VLOOKUP(A:A,[1]android_repos_all_metrics!B:K,7,FALSE)</f>
        <v>29226</v>
      </c>
      <c r="AG478">
        <f>VLOOKUP(A:A,[1]android_repos_all_metrics!B:K,8,FALSE)</f>
        <v>2</v>
      </c>
      <c r="AH478">
        <f>VLOOKUP(A:A,[1]android_repos_all_metrics!B:K,9,FALSE)</f>
        <v>6</v>
      </c>
      <c r="AI478">
        <f>VLOOKUP(A:A,[1]android_repos_all_metrics!B:K,10,FALSE)</f>
        <v>9</v>
      </c>
    </row>
    <row r="479" spans="1:35">
      <c r="A479" t="s">
        <v>537</v>
      </c>
      <c r="B479" t="b">
        <v>1</v>
      </c>
      <c r="C479" t="b">
        <v>0</v>
      </c>
      <c r="D479" t="b">
        <v>0</v>
      </c>
      <c r="F479" t="b">
        <v>0</v>
      </c>
      <c r="H479" t="s">
        <v>37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>
        <v>1</v>
      </c>
      <c r="AB479">
        <v>0</v>
      </c>
      <c r="AC479">
        <f>VLOOKUP(A:A,[1]android_repos_all_metrics!B:K,4,FALSE)</f>
        <v>783</v>
      </c>
      <c r="AD479">
        <f>VLOOKUP(A:A,[1]android_repos_all_metrics!B:K,5,FALSE)</f>
        <v>126</v>
      </c>
      <c r="AE479">
        <f>VLOOKUP(A:A,[1]android_repos_all_metrics!B:K,6,FALSE)</f>
        <v>6</v>
      </c>
      <c r="AF479">
        <f>VLOOKUP(A:A,[1]android_repos_all_metrics!B:K,7,FALSE)</f>
        <v>1364</v>
      </c>
      <c r="AG479">
        <f>VLOOKUP(A:A,[1]android_repos_all_metrics!B:K,8,FALSE)</f>
        <v>0</v>
      </c>
      <c r="AH479">
        <f>VLOOKUP(A:A,[1]android_repos_all_metrics!B:K,9,FALSE)</f>
        <v>1</v>
      </c>
      <c r="AI479">
        <f>VLOOKUP(A:A,[1]android_repos_all_metrics!B:K,10,FALSE)</f>
        <v>1</v>
      </c>
    </row>
    <row r="480" spans="1:35">
      <c r="A480" t="s">
        <v>538</v>
      </c>
      <c r="B480" t="b">
        <v>1</v>
      </c>
      <c r="C480" t="b">
        <v>0</v>
      </c>
      <c r="D480" t="b">
        <v>0</v>
      </c>
      <c r="F480" t="b">
        <v>0</v>
      </c>
      <c r="H480" t="s">
        <v>37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>
        <v>1</v>
      </c>
      <c r="AB480">
        <v>0</v>
      </c>
      <c r="AC480">
        <f>VLOOKUP(A:A,[1]android_repos_all_metrics!B:K,4,FALSE)</f>
        <v>498</v>
      </c>
      <c r="AD480">
        <f>VLOOKUP(A:A,[1]android_repos_all_metrics!B:K,5,FALSE)</f>
        <v>210</v>
      </c>
      <c r="AE480">
        <f>VLOOKUP(A:A,[1]android_repos_all_metrics!B:K,6,FALSE)</f>
        <v>18</v>
      </c>
      <c r="AF480">
        <f>VLOOKUP(A:A,[1]android_repos_all_metrics!B:K,7,FALSE)</f>
        <v>12710</v>
      </c>
      <c r="AG480">
        <f>VLOOKUP(A:A,[1]android_repos_all_metrics!B:K,8,FALSE)</f>
        <v>39</v>
      </c>
      <c r="AH480">
        <f>VLOOKUP(A:A,[1]android_repos_all_metrics!B:K,9,FALSE)</f>
        <v>25</v>
      </c>
      <c r="AI480">
        <f>VLOOKUP(A:A,[1]android_repos_all_metrics!B:K,10,FALSE)</f>
        <v>31</v>
      </c>
    </row>
    <row r="481" spans="1:35">
      <c r="A481" t="s">
        <v>539</v>
      </c>
      <c r="B481" t="b">
        <v>0</v>
      </c>
      <c r="C481" t="b">
        <v>0</v>
      </c>
      <c r="D481" t="b">
        <v>0</v>
      </c>
      <c r="F481" t="b">
        <v>0</v>
      </c>
      <c r="H481" t="s">
        <v>76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>
        <v>1</v>
      </c>
      <c r="AB481">
        <v>0</v>
      </c>
      <c r="AC481">
        <f>VLOOKUP(A:A,[1]android_repos_all_metrics!B:K,4,FALSE)</f>
        <v>70</v>
      </c>
      <c r="AD481">
        <f>VLOOKUP(A:A,[1]android_repos_all_metrics!B:K,5,FALSE)</f>
        <v>4</v>
      </c>
      <c r="AE481">
        <f>VLOOKUP(A:A,[1]android_repos_all_metrics!B:K,6,FALSE)</f>
        <v>10</v>
      </c>
      <c r="AF481">
        <f>VLOOKUP(A:A,[1]android_repos_all_metrics!B:K,7,FALSE)</f>
        <v>677</v>
      </c>
      <c r="AG481">
        <f>VLOOKUP(A:A,[1]android_repos_all_metrics!B:K,8,FALSE)</f>
        <v>8</v>
      </c>
      <c r="AH481">
        <f>VLOOKUP(A:A,[1]android_repos_all_metrics!B:K,9,FALSE)</f>
        <v>497</v>
      </c>
      <c r="AI481">
        <f>VLOOKUP(A:A,[1]android_repos_all_metrics!B:K,10,FALSE)</f>
        <v>0</v>
      </c>
    </row>
    <row r="482" spans="1:35">
      <c r="A482" t="s">
        <v>540</v>
      </c>
      <c r="B482" t="b">
        <v>0</v>
      </c>
      <c r="C482" t="b">
        <v>0</v>
      </c>
      <c r="D482" t="b">
        <v>0</v>
      </c>
      <c r="F482" t="b">
        <v>0</v>
      </c>
      <c r="H482" t="s">
        <v>41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>
        <v>1</v>
      </c>
      <c r="AB482">
        <v>0</v>
      </c>
      <c r="AC482">
        <f>VLOOKUP(A:A,[1]android_repos_all_metrics!B:K,4,FALSE)</f>
        <v>1799</v>
      </c>
      <c r="AD482">
        <f>VLOOKUP(A:A,[1]android_repos_all_metrics!B:K,5,FALSE)</f>
        <v>0</v>
      </c>
      <c r="AE482">
        <f>VLOOKUP(A:A,[1]android_repos_all_metrics!B:K,6,FALSE)</f>
        <v>1</v>
      </c>
      <c r="AF482">
        <f>VLOOKUP(A:A,[1]android_repos_all_metrics!B:K,7,FALSE)</f>
        <v>19467</v>
      </c>
      <c r="AG482">
        <f>VLOOKUP(A:A,[1]android_repos_all_metrics!B:K,8,FALSE)</f>
        <v>359</v>
      </c>
      <c r="AH482">
        <f>VLOOKUP(A:A,[1]android_repos_all_metrics!B:K,9,FALSE)</f>
        <v>1348</v>
      </c>
      <c r="AI482">
        <f>VLOOKUP(A:A,[1]android_repos_all_metrics!B:K,10,FALSE)</f>
        <v>5</v>
      </c>
    </row>
    <row r="483" spans="1:35">
      <c r="A483" t="s">
        <v>541</v>
      </c>
      <c r="B483" t="b">
        <v>1</v>
      </c>
      <c r="C483" t="b">
        <v>0</v>
      </c>
      <c r="D483" t="b">
        <v>0</v>
      </c>
      <c r="F483" t="b">
        <v>0</v>
      </c>
      <c r="H483" t="s">
        <v>37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>
        <v>2</v>
      </c>
      <c r="AB483">
        <v>0</v>
      </c>
      <c r="AC483">
        <f>VLOOKUP(A:A,[1]android_repos_all_metrics!B:K,4,FALSE)</f>
        <v>127</v>
      </c>
      <c r="AD483">
        <f>VLOOKUP(A:A,[1]android_repos_all_metrics!B:K,5,FALSE)</f>
        <v>0</v>
      </c>
      <c r="AE483">
        <f>VLOOKUP(A:A,[1]android_repos_all_metrics!B:K,6,FALSE)</f>
        <v>3</v>
      </c>
      <c r="AF483">
        <f>VLOOKUP(A:A,[1]android_repos_all_metrics!B:K,7,FALSE)</f>
        <v>1932</v>
      </c>
      <c r="AG483">
        <f>VLOOKUP(A:A,[1]android_repos_all_metrics!B:K,8,FALSE)</f>
        <v>2</v>
      </c>
      <c r="AH483">
        <f>VLOOKUP(A:A,[1]android_repos_all_metrics!B:K,9,FALSE)</f>
        <v>5</v>
      </c>
      <c r="AI483">
        <f>VLOOKUP(A:A,[1]android_repos_all_metrics!B:K,10,FALSE)</f>
        <v>0</v>
      </c>
    </row>
    <row r="484" spans="1:35">
      <c r="A484" t="s">
        <v>542</v>
      </c>
      <c r="B484" t="b">
        <v>1</v>
      </c>
      <c r="C484" t="b">
        <v>0</v>
      </c>
      <c r="D484" t="b">
        <v>0</v>
      </c>
      <c r="F484" t="b">
        <v>0</v>
      </c>
      <c r="H484" t="s">
        <v>37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>
        <v>1</v>
      </c>
      <c r="AB484">
        <v>0</v>
      </c>
      <c r="AC484">
        <f>VLOOKUP(A:A,[1]android_repos_all_metrics!B:K,4,FALSE)</f>
        <v>18</v>
      </c>
      <c r="AD484">
        <f>VLOOKUP(A:A,[1]android_repos_all_metrics!B:K,5,FALSE)</f>
        <v>0</v>
      </c>
      <c r="AE484">
        <f>VLOOKUP(A:A,[1]android_repos_all_metrics!B:K,6,FALSE)</f>
        <v>1</v>
      </c>
      <c r="AF484">
        <f>VLOOKUP(A:A,[1]android_repos_all_metrics!B:K,7,FALSE)</f>
        <v>166</v>
      </c>
      <c r="AG484">
        <f>VLOOKUP(A:A,[1]android_repos_all_metrics!B:K,8,FALSE)</f>
        <v>1</v>
      </c>
      <c r="AH484">
        <f>VLOOKUP(A:A,[1]android_repos_all_metrics!B:K,9,FALSE)</f>
        <v>5</v>
      </c>
      <c r="AI484">
        <f>VLOOKUP(A:A,[1]android_repos_all_metrics!B:K,10,FALSE)</f>
        <v>0</v>
      </c>
    </row>
    <row r="485" spans="1:35">
      <c r="A485" t="s">
        <v>543</v>
      </c>
      <c r="B485" t="b">
        <v>1</v>
      </c>
      <c r="C485" t="b">
        <v>1</v>
      </c>
      <c r="D485" t="b">
        <v>1</v>
      </c>
      <c r="E485" t="s">
        <v>36</v>
      </c>
      <c r="F485" t="b">
        <v>0</v>
      </c>
      <c r="H485" t="s">
        <v>37</v>
      </c>
      <c r="I485" t="s">
        <v>37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>
        <v>1</v>
      </c>
      <c r="AB485">
        <v>0</v>
      </c>
      <c r="AC485">
        <f>VLOOKUP(A:A,[1]android_repos_all_metrics!B:K,4,FALSE)</f>
        <v>214</v>
      </c>
      <c r="AD485">
        <f>VLOOKUP(A:A,[1]android_repos_all_metrics!B:K,5,FALSE)</f>
        <v>24</v>
      </c>
      <c r="AE485">
        <f>VLOOKUP(A:A,[1]android_repos_all_metrics!B:K,6,FALSE)</f>
        <v>1</v>
      </c>
      <c r="AF485">
        <f>VLOOKUP(A:A,[1]android_repos_all_metrics!B:K,7,FALSE)</f>
        <v>1179</v>
      </c>
      <c r="AG485">
        <f>VLOOKUP(A:A,[1]android_repos_all_metrics!B:K,8,FALSE)</f>
        <v>0</v>
      </c>
      <c r="AH485">
        <f>VLOOKUP(A:A,[1]android_repos_all_metrics!B:K,9,FALSE)</f>
        <v>5</v>
      </c>
      <c r="AI485">
        <f>VLOOKUP(A:A,[1]android_repos_all_metrics!B:K,10,FALSE)</f>
        <v>1</v>
      </c>
    </row>
    <row r="486" spans="1:35">
      <c r="A486" t="s">
        <v>544</v>
      </c>
      <c r="B486" t="b">
        <v>1</v>
      </c>
      <c r="C486" t="b">
        <v>0</v>
      </c>
      <c r="D486" t="b">
        <v>0</v>
      </c>
      <c r="F486" t="b">
        <v>0</v>
      </c>
      <c r="H486" t="s">
        <v>37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>
        <v>1</v>
      </c>
      <c r="AB486">
        <v>0</v>
      </c>
      <c r="AC486">
        <f>VLOOKUP(A:A,[1]android_repos_all_metrics!B:K,4,FALSE)</f>
        <v>41</v>
      </c>
      <c r="AD486">
        <f>VLOOKUP(A:A,[1]android_repos_all_metrics!B:K,5,FALSE)</f>
        <v>4</v>
      </c>
      <c r="AE486">
        <f>VLOOKUP(A:A,[1]android_repos_all_metrics!B:K,6,FALSE)</f>
        <v>2</v>
      </c>
      <c r="AF486">
        <f>VLOOKUP(A:A,[1]android_repos_all_metrics!B:K,7,FALSE)</f>
        <v>51109</v>
      </c>
      <c r="AG486">
        <f>VLOOKUP(A:A,[1]android_repos_all_metrics!B:K,8,FALSE)</f>
        <v>7</v>
      </c>
      <c r="AH486">
        <f>VLOOKUP(A:A,[1]android_repos_all_metrics!B:K,9,FALSE)</f>
        <v>5</v>
      </c>
      <c r="AI486">
        <f>VLOOKUP(A:A,[1]android_repos_all_metrics!B:K,10,FALSE)</f>
        <v>3</v>
      </c>
    </row>
    <row r="487" spans="1:35">
      <c r="A487" t="s">
        <v>545</v>
      </c>
      <c r="B487" t="b">
        <v>1</v>
      </c>
      <c r="C487" t="b">
        <v>0</v>
      </c>
      <c r="D487" t="b">
        <v>0</v>
      </c>
      <c r="F487" t="b">
        <v>0</v>
      </c>
      <c r="H487" t="s">
        <v>37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>
        <v>3</v>
      </c>
      <c r="AB487">
        <v>0</v>
      </c>
      <c r="AC487">
        <f>VLOOKUP(A:A,[1]android_repos_all_metrics!B:K,4,FALSE)</f>
        <v>383</v>
      </c>
      <c r="AD487">
        <f>VLOOKUP(A:A,[1]android_repos_all_metrics!B:K,5,FALSE)</f>
        <v>17</v>
      </c>
      <c r="AE487">
        <f>VLOOKUP(A:A,[1]android_repos_all_metrics!B:K,6,FALSE)</f>
        <v>20</v>
      </c>
      <c r="AF487">
        <f>VLOOKUP(A:A,[1]android_repos_all_metrics!B:K,7,FALSE)</f>
        <v>12584</v>
      </c>
      <c r="AG487">
        <f>VLOOKUP(A:A,[1]android_repos_all_metrics!B:K,8,FALSE)</f>
        <v>16</v>
      </c>
      <c r="AH487">
        <f>VLOOKUP(A:A,[1]android_repos_all_metrics!B:K,9,FALSE)</f>
        <v>22</v>
      </c>
      <c r="AI487">
        <f>VLOOKUP(A:A,[1]android_repos_all_metrics!B:K,10,FALSE)</f>
        <v>11</v>
      </c>
    </row>
    <row r="488" spans="1:35">
      <c r="A488" t="s">
        <v>546</v>
      </c>
      <c r="B488" t="b">
        <v>0</v>
      </c>
      <c r="C488" t="b">
        <v>0</v>
      </c>
      <c r="D488" t="b">
        <v>0</v>
      </c>
      <c r="F488" t="b">
        <v>0</v>
      </c>
      <c r="H488" t="s">
        <v>41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>
        <v>1</v>
      </c>
      <c r="AB488">
        <v>0</v>
      </c>
      <c r="AC488">
        <f>VLOOKUP(A:A,[1]android_repos_all_metrics!B:K,4,FALSE)</f>
        <v>114</v>
      </c>
      <c r="AD488">
        <f>VLOOKUP(A:A,[1]android_repos_all_metrics!B:K,5,FALSE)</f>
        <v>0</v>
      </c>
      <c r="AE488">
        <f>VLOOKUP(A:A,[1]android_repos_all_metrics!B:K,6,FALSE)</f>
        <v>1</v>
      </c>
      <c r="AF488">
        <f>VLOOKUP(A:A,[1]android_repos_all_metrics!B:K,7,FALSE)</f>
        <v>183</v>
      </c>
      <c r="AG488">
        <f>VLOOKUP(A:A,[1]android_repos_all_metrics!B:K,8,FALSE)</f>
        <v>1</v>
      </c>
      <c r="AH488">
        <f>VLOOKUP(A:A,[1]android_repos_all_metrics!B:K,9,FALSE)</f>
        <v>49</v>
      </c>
      <c r="AI488">
        <f>VLOOKUP(A:A,[1]android_repos_all_metrics!B:K,10,FALSE)</f>
        <v>1</v>
      </c>
    </row>
    <row r="489" spans="1:35">
      <c r="A489" t="s">
        <v>547</v>
      </c>
      <c r="B489" t="b">
        <v>1</v>
      </c>
      <c r="C489" t="b">
        <v>0</v>
      </c>
      <c r="D489" t="b">
        <v>0</v>
      </c>
      <c r="F489" t="b">
        <v>0</v>
      </c>
      <c r="H489" t="s">
        <v>37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>
        <v>1</v>
      </c>
      <c r="AB489">
        <v>0</v>
      </c>
      <c r="AC489">
        <f>VLOOKUP(A:A,[1]android_repos_all_metrics!B:K,4,FALSE)</f>
        <v>36</v>
      </c>
      <c r="AD489">
        <f>VLOOKUP(A:A,[1]android_repos_all_metrics!B:K,5,FALSE)</f>
        <v>1</v>
      </c>
      <c r="AE489">
        <f>VLOOKUP(A:A,[1]android_repos_all_metrics!B:K,6,FALSE)</f>
        <v>1</v>
      </c>
      <c r="AF489">
        <f>VLOOKUP(A:A,[1]android_repos_all_metrics!B:K,7,FALSE)</f>
        <v>702</v>
      </c>
      <c r="AG489">
        <f>VLOOKUP(A:A,[1]android_repos_all_metrics!B:K,8,FALSE)</f>
        <v>0</v>
      </c>
      <c r="AH489">
        <f>VLOOKUP(A:A,[1]android_repos_all_metrics!B:K,9,FALSE)</f>
        <v>2</v>
      </c>
      <c r="AI489">
        <f>VLOOKUP(A:A,[1]android_repos_all_metrics!B:K,10,FALSE)</f>
        <v>0</v>
      </c>
    </row>
    <row r="490" spans="1:35">
      <c r="A490" t="s">
        <v>548</v>
      </c>
      <c r="B490" t="b">
        <v>1</v>
      </c>
      <c r="C490" t="b">
        <v>0</v>
      </c>
      <c r="D490" t="b">
        <v>0</v>
      </c>
      <c r="F490" t="b">
        <v>0</v>
      </c>
      <c r="H490" t="s">
        <v>37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>
        <v>1</v>
      </c>
      <c r="AB490">
        <v>0</v>
      </c>
      <c r="AC490">
        <f>VLOOKUP(A:A,[1]android_repos_all_metrics!B:K,4,FALSE)</f>
        <v>41</v>
      </c>
      <c r="AD490">
        <f>VLOOKUP(A:A,[1]android_repos_all_metrics!B:K,5,FALSE)</f>
        <v>0</v>
      </c>
      <c r="AE490">
        <f>VLOOKUP(A:A,[1]android_repos_all_metrics!B:K,6,FALSE)</f>
        <v>1</v>
      </c>
      <c r="AF490">
        <f>VLOOKUP(A:A,[1]android_repos_all_metrics!B:K,7,FALSE)</f>
        <v>188</v>
      </c>
      <c r="AG490">
        <f>VLOOKUP(A:A,[1]android_repos_all_metrics!B:K,8,FALSE)</f>
        <v>2</v>
      </c>
      <c r="AH490">
        <f>VLOOKUP(A:A,[1]android_repos_all_metrics!B:K,9,FALSE)</f>
        <v>25</v>
      </c>
      <c r="AI490">
        <f>VLOOKUP(A:A,[1]android_repos_all_metrics!B:K,10,FALSE)</f>
        <v>3</v>
      </c>
    </row>
    <row r="491" spans="1:35">
      <c r="A491" t="s">
        <v>549</v>
      </c>
      <c r="B491" t="b">
        <v>1</v>
      </c>
      <c r="C491" t="b">
        <v>0</v>
      </c>
      <c r="D491" t="b">
        <v>0</v>
      </c>
      <c r="F491" t="b">
        <v>0</v>
      </c>
      <c r="H491" t="s">
        <v>37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>
        <v>3</v>
      </c>
      <c r="AB491">
        <v>0</v>
      </c>
      <c r="AC491">
        <f>VLOOKUP(A:A,[1]android_repos_all_metrics!B:K,4,FALSE)</f>
        <v>303</v>
      </c>
      <c r="AD491">
        <f>VLOOKUP(A:A,[1]android_repos_all_metrics!B:K,5,FALSE)</f>
        <v>186</v>
      </c>
      <c r="AE491">
        <f>VLOOKUP(A:A,[1]android_repos_all_metrics!B:K,6,FALSE)</f>
        <v>20</v>
      </c>
      <c r="AF491">
        <f>VLOOKUP(A:A,[1]android_repos_all_metrics!B:K,7,FALSE)</f>
        <v>1602</v>
      </c>
      <c r="AG491">
        <f>VLOOKUP(A:A,[1]android_repos_all_metrics!B:K,8,FALSE)</f>
        <v>21</v>
      </c>
      <c r="AH491">
        <f>VLOOKUP(A:A,[1]android_repos_all_metrics!B:K,9,FALSE)</f>
        <v>176</v>
      </c>
      <c r="AI491">
        <f>VLOOKUP(A:A,[1]android_repos_all_metrics!B:K,10,FALSE)</f>
        <v>7</v>
      </c>
    </row>
    <row r="492" spans="1:35">
      <c r="A492" t="s">
        <v>550</v>
      </c>
      <c r="B492" t="b">
        <v>1</v>
      </c>
      <c r="C492" t="b">
        <v>0</v>
      </c>
      <c r="D492" t="b">
        <v>0</v>
      </c>
      <c r="F492" t="b">
        <v>0</v>
      </c>
      <c r="H492" t="s">
        <v>37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>
        <v>2</v>
      </c>
      <c r="AB492">
        <v>0</v>
      </c>
      <c r="AC492">
        <f>VLOOKUP(A:A,[1]android_repos_all_metrics!B:K,4,FALSE)</f>
        <v>608</v>
      </c>
      <c r="AD492">
        <f>VLOOKUP(A:A,[1]android_repos_all_metrics!B:K,5,FALSE)</f>
        <v>38</v>
      </c>
      <c r="AE492">
        <f>VLOOKUP(A:A,[1]android_repos_all_metrics!B:K,6,FALSE)</f>
        <v>8</v>
      </c>
      <c r="AF492">
        <f>VLOOKUP(A:A,[1]android_repos_all_metrics!B:K,7,FALSE)</f>
        <v>13463</v>
      </c>
      <c r="AG492">
        <f>VLOOKUP(A:A,[1]android_repos_all_metrics!B:K,8,FALSE)</f>
        <v>2</v>
      </c>
      <c r="AH492">
        <f>VLOOKUP(A:A,[1]android_repos_all_metrics!B:K,9,FALSE)</f>
        <v>8</v>
      </c>
      <c r="AI492">
        <f>VLOOKUP(A:A,[1]android_repos_all_metrics!B:K,10,FALSE)</f>
        <v>14</v>
      </c>
    </row>
    <row r="493" spans="1:35">
      <c r="A493" t="s">
        <v>551</v>
      </c>
      <c r="B493" t="b">
        <v>1</v>
      </c>
      <c r="C493" t="b">
        <v>0</v>
      </c>
      <c r="D493" t="b">
        <v>0</v>
      </c>
      <c r="F493" t="b">
        <v>0</v>
      </c>
      <c r="H493" t="s">
        <v>552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>
        <v>5</v>
      </c>
      <c r="AB493">
        <v>1</v>
      </c>
      <c r="AC493">
        <f>VLOOKUP(A:A,[1]android_repos_all_metrics!B:K,4,FALSE)</f>
        <v>3510</v>
      </c>
      <c r="AD493">
        <f>VLOOKUP(A:A,[1]android_repos_all_metrics!B:K,5,FALSE)</f>
        <v>24</v>
      </c>
      <c r="AE493">
        <f>VLOOKUP(A:A,[1]android_repos_all_metrics!B:K,6,FALSE)</f>
        <v>1</v>
      </c>
      <c r="AF493">
        <f>VLOOKUP(A:A,[1]android_repos_all_metrics!B:K,7,FALSE)</f>
        <v>99241</v>
      </c>
      <c r="AG493">
        <f>VLOOKUP(A:A,[1]android_repos_all_metrics!B:K,8,FALSE)</f>
        <v>0</v>
      </c>
      <c r="AH493">
        <f>VLOOKUP(A:A,[1]android_repos_all_metrics!B:K,9,FALSE)</f>
        <v>6</v>
      </c>
      <c r="AI493">
        <f>VLOOKUP(A:A,[1]android_repos_all_metrics!B:K,10,FALSE)</f>
        <v>0</v>
      </c>
    </row>
    <row r="494" spans="1:35">
      <c r="A494" t="s">
        <v>553</v>
      </c>
      <c r="B494" t="b">
        <v>1</v>
      </c>
      <c r="C494" t="b">
        <v>1</v>
      </c>
      <c r="D494" t="b">
        <v>1</v>
      </c>
      <c r="E494" t="s">
        <v>36</v>
      </c>
      <c r="F494" t="b">
        <v>0</v>
      </c>
      <c r="H494" t="s">
        <v>37</v>
      </c>
      <c r="I494" t="s">
        <v>37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  <c r="Z494">
        <v>1</v>
      </c>
      <c r="AA494">
        <v>2</v>
      </c>
      <c r="AB494">
        <v>0</v>
      </c>
      <c r="AC494">
        <f>VLOOKUP(A:A,[1]android_repos_all_metrics!B:K,4,FALSE)</f>
        <v>161</v>
      </c>
      <c r="AD494">
        <f>VLOOKUP(A:A,[1]android_repos_all_metrics!B:K,5,FALSE)</f>
        <v>42</v>
      </c>
      <c r="AE494">
        <f>VLOOKUP(A:A,[1]android_repos_all_metrics!B:K,6,FALSE)</f>
        <v>1</v>
      </c>
      <c r="AF494">
        <f>VLOOKUP(A:A,[1]android_repos_all_metrics!B:K,7,FALSE)</f>
        <v>3501</v>
      </c>
      <c r="AG494">
        <f>VLOOKUP(A:A,[1]android_repos_all_metrics!B:K,8,FALSE)</f>
        <v>17</v>
      </c>
      <c r="AH494">
        <f>VLOOKUP(A:A,[1]android_repos_all_metrics!B:K,9,FALSE)</f>
        <v>139</v>
      </c>
      <c r="AI494">
        <f>VLOOKUP(A:A,[1]android_repos_all_metrics!B:K,10,FALSE)</f>
        <v>0</v>
      </c>
    </row>
    <row r="495" spans="1:35">
      <c r="A495" t="s">
        <v>554</v>
      </c>
      <c r="B495" t="b">
        <v>1</v>
      </c>
      <c r="C495" t="b">
        <v>1</v>
      </c>
      <c r="D495" t="b">
        <v>1</v>
      </c>
      <c r="E495" t="s">
        <v>36</v>
      </c>
      <c r="F495" t="b">
        <v>0</v>
      </c>
      <c r="H495" t="s">
        <v>37</v>
      </c>
      <c r="I495" t="s">
        <v>37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>
        <v>1</v>
      </c>
      <c r="AA495">
        <v>4</v>
      </c>
      <c r="AB495">
        <v>0</v>
      </c>
      <c r="AC495">
        <f>VLOOKUP(A:A,[1]android_repos_all_metrics!B:K,4,FALSE)</f>
        <v>1185</v>
      </c>
      <c r="AD495">
        <f>VLOOKUP(A:A,[1]android_repos_all_metrics!B:K,5,FALSE)</f>
        <v>82</v>
      </c>
      <c r="AE495">
        <f>VLOOKUP(A:A,[1]android_repos_all_metrics!B:K,6,FALSE)</f>
        <v>64</v>
      </c>
      <c r="AF495">
        <f>VLOOKUP(A:A,[1]android_repos_all_metrics!B:K,7,FALSE)</f>
        <v>34019</v>
      </c>
      <c r="AG495">
        <f>VLOOKUP(A:A,[1]android_repos_all_metrics!B:K,8,FALSE)</f>
        <v>25</v>
      </c>
      <c r="AH495">
        <f>VLOOKUP(A:A,[1]android_repos_all_metrics!B:K,9,FALSE)</f>
        <v>215</v>
      </c>
      <c r="AI495">
        <f>VLOOKUP(A:A,[1]android_repos_all_metrics!B:K,10,FALSE)</f>
        <v>14</v>
      </c>
    </row>
    <row r="496" spans="1:35">
      <c r="A496" t="s">
        <v>555</v>
      </c>
      <c r="B496" t="b">
        <v>1</v>
      </c>
      <c r="C496" t="b">
        <v>0</v>
      </c>
      <c r="D496" t="b">
        <v>0</v>
      </c>
      <c r="F496" t="b">
        <v>0</v>
      </c>
      <c r="H496" t="s">
        <v>37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>
        <v>1</v>
      </c>
      <c r="AB496">
        <v>0</v>
      </c>
      <c r="AC496">
        <f>VLOOKUP(A:A,[1]android_repos_all_metrics!B:K,4,FALSE)</f>
        <v>15</v>
      </c>
      <c r="AD496">
        <f>VLOOKUP(A:A,[1]android_repos_all_metrics!B:K,5,FALSE)</f>
        <v>1</v>
      </c>
      <c r="AE496">
        <f>VLOOKUP(A:A,[1]android_repos_all_metrics!B:K,6,FALSE)</f>
        <v>1</v>
      </c>
      <c r="AF496">
        <f>VLOOKUP(A:A,[1]android_repos_all_metrics!B:K,7,FALSE)</f>
        <v>217</v>
      </c>
      <c r="AG496">
        <f>VLOOKUP(A:A,[1]android_repos_all_metrics!B:K,8,FALSE)</f>
        <v>1</v>
      </c>
      <c r="AH496">
        <f>VLOOKUP(A:A,[1]android_repos_all_metrics!B:K,9,FALSE)</f>
        <v>24</v>
      </c>
      <c r="AI496">
        <f>VLOOKUP(A:A,[1]android_repos_all_metrics!B:K,10,FALSE)</f>
        <v>1</v>
      </c>
    </row>
    <row r="497" spans="1:35">
      <c r="A497" t="s">
        <v>556</v>
      </c>
      <c r="B497" t="b">
        <v>1</v>
      </c>
      <c r="C497" t="b">
        <v>1</v>
      </c>
      <c r="D497" t="b">
        <v>1</v>
      </c>
      <c r="E497" t="s">
        <v>557</v>
      </c>
      <c r="F497" t="b">
        <v>0</v>
      </c>
      <c r="H497" t="s">
        <v>37</v>
      </c>
      <c r="I497" t="s">
        <v>37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>
        <v>1</v>
      </c>
      <c r="AB497">
        <v>0</v>
      </c>
      <c r="AC497">
        <f>VLOOKUP(A:A,[1]android_repos_all_metrics!B:K,4,FALSE)</f>
        <v>227</v>
      </c>
      <c r="AD497">
        <f>VLOOKUP(A:A,[1]android_repos_all_metrics!B:K,5,FALSE)</f>
        <v>124</v>
      </c>
      <c r="AE497">
        <f>VLOOKUP(A:A,[1]android_repos_all_metrics!B:K,6,FALSE)</f>
        <v>3</v>
      </c>
      <c r="AF497">
        <f>VLOOKUP(A:A,[1]android_repos_all_metrics!B:K,7,FALSE)</f>
        <v>488</v>
      </c>
      <c r="AG497">
        <f>VLOOKUP(A:A,[1]android_repos_all_metrics!B:K,8,FALSE)</f>
        <v>1</v>
      </c>
      <c r="AH497">
        <f>VLOOKUP(A:A,[1]android_repos_all_metrics!B:K,9,FALSE)</f>
        <v>19</v>
      </c>
      <c r="AI497">
        <f>VLOOKUP(A:A,[1]android_repos_all_metrics!B:K,10,FALSE)</f>
        <v>4</v>
      </c>
    </row>
    <row r="498" spans="1:35">
      <c r="A498" t="s">
        <v>558</v>
      </c>
      <c r="B498" t="b">
        <v>1</v>
      </c>
      <c r="C498" t="b">
        <v>0</v>
      </c>
      <c r="D498" t="b">
        <v>0</v>
      </c>
      <c r="F498" t="b">
        <v>0</v>
      </c>
      <c r="H498" t="s">
        <v>37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>
        <v>1</v>
      </c>
      <c r="AB498">
        <v>0</v>
      </c>
      <c r="AC498">
        <f>VLOOKUP(A:A,[1]android_repos_all_metrics!B:K,4,FALSE)</f>
        <v>50</v>
      </c>
      <c r="AD498">
        <f>VLOOKUP(A:A,[1]android_repos_all_metrics!B:K,5,FALSE)</f>
        <v>21</v>
      </c>
      <c r="AE498">
        <f>VLOOKUP(A:A,[1]android_repos_all_metrics!B:K,6,FALSE)</f>
        <v>4</v>
      </c>
      <c r="AF498">
        <f>VLOOKUP(A:A,[1]android_repos_all_metrics!B:K,7,FALSE)</f>
        <v>2347</v>
      </c>
      <c r="AG498">
        <f>VLOOKUP(A:A,[1]android_repos_all_metrics!B:K,8,FALSE)</f>
        <v>114</v>
      </c>
      <c r="AH498">
        <f>VLOOKUP(A:A,[1]android_repos_all_metrics!B:K,9,FALSE)</f>
        <v>406</v>
      </c>
      <c r="AI498">
        <f>VLOOKUP(A:A,[1]android_repos_all_metrics!B:K,10,FALSE)</f>
        <v>31</v>
      </c>
    </row>
    <row r="499" spans="1:35">
      <c r="A499" t="s">
        <v>559</v>
      </c>
      <c r="B499" t="b">
        <v>1</v>
      </c>
      <c r="C499" t="b">
        <v>0</v>
      </c>
      <c r="D499" t="b">
        <v>0</v>
      </c>
      <c r="F499" t="b">
        <v>0</v>
      </c>
      <c r="H499" t="s">
        <v>37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>
        <v>1</v>
      </c>
      <c r="AB499">
        <v>0</v>
      </c>
      <c r="AC499">
        <f>VLOOKUP(A:A,[1]android_repos_all_metrics!B:K,4,FALSE)</f>
        <v>116</v>
      </c>
      <c r="AD499">
        <f>VLOOKUP(A:A,[1]android_repos_all_metrics!B:K,5,FALSE)</f>
        <v>12</v>
      </c>
      <c r="AE499">
        <f>VLOOKUP(A:A,[1]android_repos_all_metrics!B:K,6,FALSE)</f>
        <v>5</v>
      </c>
      <c r="AF499">
        <f>VLOOKUP(A:A,[1]android_repos_all_metrics!B:K,7,FALSE)</f>
        <v>6265</v>
      </c>
      <c r="AG499">
        <f>VLOOKUP(A:A,[1]android_repos_all_metrics!B:K,8,FALSE)</f>
        <v>7</v>
      </c>
      <c r="AH499">
        <f>VLOOKUP(A:A,[1]android_repos_all_metrics!B:K,9,FALSE)</f>
        <v>74</v>
      </c>
      <c r="AI499">
        <f>VLOOKUP(A:A,[1]android_repos_all_metrics!B:K,10,FALSE)</f>
        <v>2</v>
      </c>
    </row>
    <row r="500" spans="1:35">
      <c r="A500" t="s">
        <v>560</v>
      </c>
      <c r="B500" t="b">
        <v>0</v>
      </c>
      <c r="C500" t="b">
        <v>0</v>
      </c>
      <c r="D500" t="b">
        <v>0</v>
      </c>
      <c r="F500" t="b">
        <v>0</v>
      </c>
      <c r="H500" t="s">
        <v>37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>
        <v>1</v>
      </c>
      <c r="AB500">
        <v>0</v>
      </c>
      <c r="AC500">
        <f>VLOOKUP(A:A,[1]android_repos_all_metrics!B:K,4,FALSE)</f>
        <v>63</v>
      </c>
      <c r="AD500">
        <f>VLOOKUP(A:A,[1]android_repos_all_metrics!B:K,5,FALSE)</f>
        <v>0</v>
      </c>
      <c r="AE500">
        <f>VLOOKUP(A:A,[1]android_repos_all_metrics!B:K,6,FALSE)</f>
        <v>1</v>
      </c>
      <c r="AF500">
        <f>VLOOKUP(A:A,[1]android_repos_all_metrics!B:K,7,FALSE)</f>
        <v>785</v>
      </c>
      <c r="AG500">
        <f>VLOOKUP(A:A,[1]android_repos_all_metrics!B:K,8,FALSE)</f>
        <v>1</v>
      </c>
      <c r="AH500">
        <f>VLOOKUP(A:A,[1]android_repos_all_metrics!B:K,9,FALSE)</f>
        <v>2</v>
      </c>
      <c r="AI500">
        <f>VLOOKUP(A:A,[1]android_repos_all_metrics!B:K,10,FALSE)</f>
        <v>0</v>
      </c>
    </row>
    <row r="501" spans="1:35">
      <c r="A501" t="s">
        <v>561</v>
      </c>
      <c r="B501" t="b">
        <v>1</v>
      </c>
      <c r="C501" t="b">
        <v>0</v>
      </c>
      <c r="D501" t="b">
        <v>0</v>
      </c>
      <c r="F501" t="b">
        <v>0</v>
      </c>
      <c r="H501" t="s">
        <v>37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>
        <v>2</v>
      </c>
      <c r="AB501">
        <v>0</v>
      </c>
      <c r="AC501">
        <f>VLOOKUP(A:A,[1]android_repos_all_metrics!B:K,4,FALSE)</f>
        <v>299</v>
      </c>
      <c r="AD501">
        <f>VLOOKUP(A:A,[1]android_repos_all_metrics!B:K,5,FALSE)</f>
        <v>2</v>
      </c>
      <c r="AE501">
        <f>VLOOKUP(A:A,[1]android_repos_all_metrics!B:K,6,FALSE)</f>
        <v>4</v>
      </c>
      <c r="AF501">
        <f>VLOOKUP(A:A,[1]android_repos_all_metrics!B:K,7,FALSE)</f>
        <v>918</v>
      </c>
      <c r="AG501">
        <f>VLOOKUP(A:A,[1]android_repos_all_metrics!B:K,8,FALSE)</f>
        <v>1</v>
      </c>
      <c r="AH501">
        <f>VLOOKUP(A:A,[1]android_repos_all_metrics!B:K,9,FALSE)</f>
        <v>40</v>
      </c>
      <c r="AI501">
        <f>VLOOKUP(A:A,[1]android_repos_all_metrics!B:K,10,FALSE)</f>
        <v>0</v>
      </c>
    </row>
    <row r="502" spans="1:35">
      <c r="A502" t="s">
        <v>562</v>
      </c>
      <c r="B502" t="b">
        <v>0</v>
      </c>
      <c r="C502" t="b">
        <v>0</v>
      </c>
      <c r="D502" t="b">
        <v>0</v>
      </c>
      <c r="F502" t="b">
        <v>0</v>
      </c>
      <c r="H502" t="s">
        <v>41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>
        <v>1</v>
      </c>
      <c r="AB502">
        <v>0</v>
      </c>
      <c r="AC502">
        <f>VLOOKUP(A:A,[1]android_repos_all_metrics!B:K,4,FALSE)</f>
        <v>72</v>
      </c>
      <c r="AD502">
        <f>VLOOKUP(A:A,[1]android_repos_all_metrics!B:K,5,FALSE)</f>
        <v>1</v>
      </c>
      <c r="AE502">
        <f>VLOOKUP(A:A,[1]android_repos_all_metrics!B:K,6,FALSE)</f>
        <v>1</v>
      </c>
      <c r="AF502">
        <f>VLOOKUP(A:A,[1]android_repos_all_metrics!B:K,7,FALSE)</f>
        <v>3791</v>
      </c>
      <c r="AG502">
        <f>VLOOKUP(A:A,[1]android_repos_all_metrics!B:K,8,FALSE)</f>
        <v>4</v>
      </c>
      <c r="AH502">
        <f>VLOOKUP(A:A,[1]android_repos_all_metrics!B:K,9,FALSE)</f>
        <v>37</v>
      </c>
      <c r="AI502">
        <f>VLOOKUP(A:A,[1]android_repos_all_metrics!B:K,10,FALSE)</f>
        <v>1</v>
      </c>
    </row>
    <row r="503" spans="1:35">
      <c r="A503" t="s">
        <v>563</v>
      </c>
      <c r="B503" t="b">
        <v>1</v>
      </c>
      <c r="C503" t="b">
        <v>1</v>
      </c>
      <c r="D503" t="b">
        <v>1</v>
      </c>
      <c r="E503" t="s">
        <v>36</v>
      </c>
      <c r="F503" t="b">
        <v>0</v>
      </c>
      <c r="H503" t="s">
        <v>37</v>
      </c>
      <c r="I503" t="s">
        <v>37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>
        <v>8</v>
      </c>
      <c r="AB503">
        <v>0</v>
      </c>
      <c r="AC503">
        <f>VLOOKUP(A:A,[1]android_repos_all_metrics!B:K,4,FALSE)</f>
        <v>491</v>
      </c>
      <c r="AD503">
        <f>VLOOKUP(A:A,[1]android_repos_all_metrics!B:K,5,FALSE)</f>
        <v>204</v>
      </c>
      <c r="AE503">
        <f>VLOOKUP(A:A,[1]android_repos_all_metrics!B:K,6,FALSE)</f>
        <v>2</v>
      </c>
      <c r="AF503">
        <f>VLOOKUP(A:A,[1]android_repos_all_metrics!B:K,7,FALSE)</f>
        <v>5025</v>
      </c>
      <c r="AG503">
        <f>VLOOKUP(A:A,[1]android_repos_all_metrics!B:K,8,FALSE)</f>
        <v>6</v>
      </c>
      <c r="AH503">
        <f>VLOOKUP(A:A,[1]android_repos_all_metrics!B:K,9,FALSE)</f>
        <v>56</v>
      </c>
      <c r="AI503">
        <f>VLOOKUP(A:A,[1]android_repos_all_metrics!B:K,10,FALSE)</f>
        <v>1</v>
      </c>
    </row>
    <row r="504" spans="1:35">
      <c r="A504" t="s">
        <v>564</v>
      </c>
      <c r="B504" t="b">
        <v>1</v>
      </c>
      <c r="C504" t="b">
        <v>0</v>
      </c>
      <c r="D504" t="b">
        <v>0</v>
      </c>
      <c r="F504" t="b">
        <v>0</v>
      </c>
      <c r="H504" t="s">
        <v>37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>
        <v>5</v>
      </c>
      <c r="AB504">
        <v>0</v>
      </c>
      <c r="AC504">
        <f>VLOOKUP(A:A,[1]android_repos_all_metrics!B:K,4,FALSE)</f>
        <v>93</v>
      </c>
      <c r="AD504">
        <f>VLOOKUP(A:A,[1]android_repos_all_metrics!B:K,5,FALSE)</f>
        <v>11</v>
      </c>
      <c r="AE504">
        <f>VLOOKUP(A:A,[1]android_repos_all_metrics!B:K,6,FALSE)</f>
        <v>4</v>
      </c>
      <c r="AF504">
        <f>VLOOKUP(A:A,[1]android_repos_all_metrics!B:K,7,FALSE)</f>
        <v>24833</v>
      </c>
      <c r="AG504">
        <f>VLOOKUP(A:A,[1]android_repos_all_metrics!B:K,8,FALSE)</f>
        <v>59</v>
      </c>
      <c r="AH504">
        <f>VLOOKUP(A:A,[1]android_repos_all_metrics!B:K,9,FALSE)</f>
        <v>512</v>
      </c>
      <c r="AI504">
        <f>VLOOKUP(A:A,[1]android_repos_all_metrics!B:K,10,FALSE)</f>
        <v>6</v>
      </c>
    </row>
    <row r="505" spans="1:35">
      <c r="A505" t="s">
        <v>565</v>
      </c>
      <c r="B505" t="b">
        <v>1</v>
      </c>
      <c r="C505" t="b">
        <v>0</v>
      </c>
      <c r="D505" t="b">
        <v>0</v>
      </c>
      <c r="F505" t="b">
        <v>0</v>
      </c>
      <c r="H505" t="s">
        <v>41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>
        <v>1</v>
      </c>
      <c r="AB505">
        <v>0</v>
      </c>
      <c r="AC505">
        <f>VLOOKUP(A:A,[1]android_repos_all_metrics!B:K,4,FALSE)</f>
        <v>23</v>
      </c>
      <c r="AD505">
        <f>VLOOKUP(A:A,[1]android_repos_all_metrics!B:K,5,FALSE)</f>
        <v>0</v>
      </c>
      <c r="AE505">
        <f>VLOOKUP(A:A,[1]android_repos_all_metrics!B:K,6,FALSE)</f>
        <v>1</v>
      </c>
      <c r="AF505">
        <f>VLOOKUP(A:A,[1]android_repos_all_metrics!B:K,7,FALSE)</f>
        <v>8181</v>
      </c>
      <c r="AG505">
        <f>VLOOKUP(A:A,[1]android_repos_all_metrics!B:K,8,FALSE)</f>
        <v>0</v>
      </c>
      <c r="AH505">
        <f>VLOOKUP(A:A,[1]android_repos_all_metrics!B:K,9,FALSE)</f>
        <v>3</v>
      </c>
      <c r="AI505">
        <f>VLOOKUP(A:A,[1]android_repos_all_metrics!B:K,10,FALSE)</f>
        <v>0</v>
      </c>
    </row>
    <row r="506" spans="1:35">
      <c r="A506" t="s">
        <v>566</v>
      </c>
      <c r="B506" t="b">
        <v>1</v>
      </c>
      <c r="C506" t="b">
        <v>0</v>
      </c>
      <c r="D506" t="b">
        <v>0</v>
      </c>
      <c r="F506" t="b">
        <v>0</v>
      </c>
      <c r="H506" t="s">
        <v>37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>
        <v>2</v>
      </c>
      <c r="AB506">
        <v>0</v>
      </c>
      <c r="AC506">
        <f>VLOOKUP(A:A,[1]android_repos_all_metrics!B:K,4,FALSE)</f>
        <v>13817</v>
      </c>
      <c r="AD506">
        <f>VLOOKUP(A:A,[1]android_repos_all_metrics!B:K,5,FALSE)</f>
        <v>2662</v>
      </c>
      <c r="AE506">
        <f>VLOOKUP(A:A,[1]android_repos_all_metrics!B:K,6,FALSE)</f>
        <v>29</v>
      </c>
      <c r="AF506">
        <f>VLOOKUP(A:A,[1]android_repos_all_metrics!B:K,7,FALSE)</f>
        <v>259939</v>
      </c>
      <c r="AG506">
        <f>VLOOKUP(A:A,[1]android_repos_all_metrics!B:K,8,FALSE)</f>
        <v>22</v>
      </c>
      <c r="AH506">
        <f>VLOOKUP(A:A,[1]android_repos_all_metrics!B:K,9,FALSE)</f>
        <v>29</v>
      </c>
      <c r="AI506">
        <f>VLOOKUP(A:A,[1]android_repos_all_metrics!B:K,10,FALSE)</f>
        <v>23</v>
      </c>
    </row>
    <row r="507" spans="1:35">
      <c r="A507" t="s">
        <v>567</v>
      </c>
      <c r="B507" t="b">
        <v>1</v>
      </c>
      <c r="C507" t="b">
        <v>0</v>
      </c>
      <c r="D507" t="b">
        <v>0</v>
      </c>
      <c r="F507" t="b">
        <v>0</v>
      </c>
      <c r="H507" t="s">
        <v>37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>
        <v>3</v>
      </c>
      <c r="AB507">
        <v>0</v>
      </c>
      <c r="AC507">
        <f>VLOOKUP(A:A,[1]android_repos_all_metrics!B:K,4,FALSE)</f>
        <v>365</v>
      </c>
      <c r="AD507">
        <f>VLOOKUP(A:A,[1]android_repos_all_metrics!B:K,5,FALSE)</f>
        <v>8</v>
      </c>
      <c r="AE507">
        <f>VLOOKUP(A:A,[1]android_repos_all_metrics!B:K,6,FALSE)</f>
        <v>3</v>
      </c>
      <c r="AF507">
        <f>VLOOKUP(A:A,[1]android_repos_all_metrics!B:K,7,FALSE)</f>
        <v>234711</v>
      </c>
      <c r="AG507">
        <f>VLOOKUP(A:A,[1]android_repos_all_metrics!B:K,8,FALSE)</f>
        <v>1</v>
      </c>
      <c r="AH507">
        <f>VLOOKUP(A:A,[1]android_repos_all_metrics!B:K,9,FALSE)</f>
        <v>2</v>
      </c>
      <c r="AI507">
        <f>VLOOKUP(A:A,[1]android_repos_all_metrics!B:K,10,FALSE)</f>
        <v>0</v>
      </c>
    </row>
    <row r="508" spans="1:35">
      <c r="A508" t="s">
        <v>568</v>
      </c>
      <c r="B508" t="b">
        <v>1</v>
      </c>
      <c r="C508" t="b">
        <v>0</v>
      </c>
      <c r="D508" t="b">
        <v>0</v>
      </c>
      <c r="F508" t="b">
        <v>0</v>
      </c>
      <c r="H508" t="s">
        <v>37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>
        <v>1</v>
      </c>
      <c r="AB508">
        <v>0</v>
      </c>
      <c r="AC508">
        <f>VLOOKUP(A:A,[1]android_repos_all_metrics!B:K,4,FALSE)</f>
        <v>345</v>
      </c>
      <c r="AD508">
        <f>VLOOKUP(A:A,[1]android_repos_all_metrics!B:K,5,FALSE)</f>
        <v>111</v>
      </c>
      <c r="AE508">
        <f>VLOOKUP(A:A,[1]android_repos_all_metrics!B:K,6,FALSE)</f>
        <v>2</v>
      </c>
      <c r="AF508">
        <f>VLOOKUP(A:A,[1]android_repos_all_metrics!B:K,7,FALSE)</f>
        <v>6278</v>
      </c>
      <c r="AG508">
        <f>VLOOKUP(A:A,[1]android_repos_all_metrics!B:K,8,FALSE)</f>
        <v>0</v>
      </c>
      <c r="AH508">
        <f>VLOOKUP(A:A,[1]android_repos_all_metrics!B:K,9,FALSE)</f>
        <v>2</v>
      </c>
      <c r="AI508">
        <f>VLOOKUP(A:A,[1]android_repos_all_metrics!B:K,10,FALSE)</f>
        <v>0</v>
      </c>
    </row>
    <row r="509" spans="1:35">
      <c r="A509" t="s">
        <v>569</v>
      </c>
      <c r="B509" t="b">
        <v>1</v>
      </c>
      <c r="C509" t="b">
        <v>0</v>
      </c>
      <c r="D509" t="b">
        <v>0</v>
      </c>
      <c r="F509" t="b">
        <v>0</v>
      </c>
      <c r="H509" t="s">
        <v>41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>
        <v>1</v>
      </c>
      <c r="AB509">
        <v>0</v>
      </c>
      <c r="AC509">
        <f>VLOOKUP(A:A,[1]android_repos_all_metrics!B:K,4,FALSE)</f>
        <v>74</v>
      </c>
      <c r="AD509">
        <f>VLOOKUP(A:A,[1]android_repos_all_metrics!B:K,5,FALSE)</f>
        <v>3</v>
      </c>
      <c r="AE509">
        <f>VLOOKUP(A:A,[1]android_repos_all_metrics!B:K,6,FALSE)</f>
        <v>1</v>
      </c>
      <c r="AF509">
        <f>VLOOKUP(A:A,[1]android_repos_all_metrics!B:K,7,FALSE)</f>
        <v>28235</v>
      </c>
      <c r="AG509">
        <f>VLOOKUP(A:A,[1]android_repos_all_metrics!B:K,8,FALSE)</f>
        <v>7</v>
      </c>
      <c r="AH509">
        <f>VLOOKUP(A:A,[1]android_repos_all_metrics!B:K,9,FALSE)</f>
        <v>17</v>
      </c>
      <c r="AI509">
        <f>VLOOKUP(A:A,[1]android_repos_all_metrics!B:K,10,FALSE)</f>
        <v>8</v>
      </c>
    </row>
    <row r="510" spans="1:35">
      <c r="A510" t="s">
        <v>570</v>
      </c>
      <c r="B510" t="b">
        <v>1</v>
      </c>
      <c r="C510" t="b">
        <v>0</v>
      </c>
      <c r="D510" t="b">
        <v>0</v>
      </c>
      <c r="F510" t="b">
        <v>0</v>
      </c>
      <c r="H510" t="s">
        <v>37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>
        <v>1</v>
      </c>
      <c r="AB510">
        <v>0</v>
      </c>
      <c r="AC510">
        <f>VLOOKUP(A:A,[1]android_repos_all_metrics!B:K,4,FALSE)</f>
        <v>57</v>
      </c>
      <c r="AD510">
        <f>VLOOKUP(A:A,[1]android_repos_all_metrics!B:K,5,FALSE)</f>
        <v>9</v>
      </c>
      <c r="AE510">
        <f>VLOOKUP(A:A,[1]android_repos_all_metrics!B:K,6,FALSE)</f>
        <v>1</v>
      </c>
      <c r="AF510">
        <f>VLOOKUP(A:A,[1]android_repos_all_metrics!B:K,7,FALSE)</f>
        <v>30932</v>
      </c>
      <c r="AG510">
        <f>VLOOKUP(A:A,[1]android_repos_all_metrics!B:K,8,FALSE)</f>
        <v>9</v>
      </c>
      <c r="AH510">
        <f>VLOOKUP(A:A,[1]android_repos_all_metrics!B:K,9,FALSE)</f>
        <v>38</v>
      </c>
      <c r="AI510">
        <f>VLOOKUP(A:A,[1]android_repos_all_metrics!B:K,10,FALSE)</f>
        <v>0</v>
      </c>
    </row>
    <row r="511" spans="1:35">
      <c r="A511" t="s">
        <v>571</v>
      </c>
      <c r="B511" t="b">
        <v>1</v>
      </c>
      <c r="C511" t="b">
        <v>1</v>
      </c>
      <c r="D511" t="b">
        <v>1</v>
      </c>
      <c r="E511" t="s">
        <v>36</v>
      </c>
      <c r="F511" t="b">
        <v>0</v>
      </c>
      <c r="H511" t="s">
        <v>37</v>
      </c>
      <c r="I511" t="s">
        <v>37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>
        <v>3</v>
      </c>
      <c r="AA511">
        <v>1</v>
      </c>
      <c r="AB511">
        <v>0</v>
      </c>
      <c r="AC511">
        <f>VLOOKUP(A:A,[1]android_repos_all_metrics!B:K,4,FALSE)</f>
        <v>7</v>
      </c>
      <c r="AD511">
        <f>VLOOKUP(A:A,[1]android_repos_all_metrics!B:K,5,FALSE)</f>
        <v>0</v>
      </c>
      <c r="AE511">
        <f>VLOOKUP(A:A,[1]android_repos_all_metrics!B:K,6,FALSE)</f>
        <v>1</v>
      </c>
      <c r="AF511">
        <f>VLOOKUP(A:A,[1]android_repos_all_metrics!B:K,7,FALSE)</f>
        <v>27329</v>
      </c>
      <c r="AG511">
        <f>VLOOKUP(A:A,[1]android_repos_all_metrics!B:K,8,FALSE)</f>
        <v>0</v>
      </c>
      <c r="AH511">
        <f>VLOOKUP(A:A,[1]android_repos_all_metrics!B:K,9,FALSE)</f>
        <v>2</v>
      </c>
      <c r="AI511">
        <f>VLOOKUP(A:A,[1]android_repos_all_metrics!B:K,10,FALSE)</f>
        <v>0</v>
      </c>
    </row>
    <row r="512" spans="1:35">
      <c r="A512" t="s">
        <v>572</v>
      </c>
      <c r="B512" t="b">
        <v>1</v>
      </c>
      <c r="C512" t="b">
        <v>0</v>
      </c>
      <c r="D512" t="b">
        <v>0</v>
      </c>
      <c r="F512" t="b">
        <v>0</v>
      </c>
      <c r="H512" t="s">
        <v>37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>
        <v>2</v>
      </c>
      <c r="AB512">
        <v>0</v>
      </c>
      <c r="AC512">
        <f>VLOOKUP(A:A,[1]android_repos_all_metrics!B:K,4,FALSE)</f>
        <v>103</v>
      </c>
      <c r="AD512">
        <f>VLOOKUP(A:A,[1]android_repos_all_metrics!B:K,5,FALSE)</f>
        <v>49</v>
      </c>
      <c r="AE512">
        <f>VLOOKUP(A:A,[1]android_repos_all_metrics!B:K,6,FALSE)</f>
        <v>9</v>
      </c>
      <c r="AF512">
        <f>VLOOKUP(A:A,[1]android_repos_all_metrics!B:K,7,FALSE)</f>
        <v>52735</v>
      </c>
      <c r="AG512">
        <f>VLOOKUP(A:A,[1]android_repos_all_metrics!B:K,8,FALSE)</f>
        <v>20</v>
      </c>
      <c r="AH512">
        <f>VLOOKUP(A:A,[1]android_repos_all_metrics!B:K,9,FALSE)</f>
        <v>286</v>
      </c>
      <c r="AI512">
        <f>VLOOKUP(A:A,[1]android_repos_all_metrics!B:K,10,FALSE)</f>
        <v>14</v>
      </c>
    </row>
    <row r="513" spans="1:35">
      <c r="A513" t="s">
        <v>573</v>
      </c>
      <c r="B513" t="b">
        <v>1</v>
      </c>
      <c r="C513" t="b">
        <v>1</v>
      </c>
      <c r="D513" t="b">
        <v>1</v>
      </c>
      <c r="E513" t="s">
        <v>104</v>
      </c>
      <c r="F513" t="b">
        <v>0</v>
      </c>
      <c r="H513" t="s">
        <v>37</v>
      </c>
      <c r="I513" t="s">
        <v>37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>
        <v>1</v>
      </c>
      <c r="AA513">
        <v>1</v>
      </c>
      <c r="AB513">
        <v>0</v>
      </c>
      <c r="AC513">
        <f>VLOOKUP(A:A,[1]android_repos_all_metrics!B:K,4,FALSE)</f>
        <v>22</v>
      </c>
      <c r="AD513">
        <f>VLOOKUP(A:A,[1]android_repos_all_metrics!B:K,5,FALSE)</f>
        <v>0</v>
      </c>
      <c r="AE513">
        <f>VLOOKUP(A:A,[1]android_repos_all_metrics!B:K,6,FALSE)</f>
        <v>1</v>
      </c>
      <c r="AF513">
        <f>VLOOKUP(A:A,[1]android_repos_all_metrics!B:K,7,FALSE)</f>
        <v>1694</v>
      </c>
      <c r="AG513">
        <f>VLOOKUP(A:A,[1]android_repos_all_metrics!B:K,8,FALSE)</f>
        <v>5</v>
      </c>
      <c r="AH513">
        <f>VLOOKUP(A:A,[1]android_repos_all_metrics!B:K,9,FALSE)</f>
        <v>20</v>
      </c>
      <c r="AI513">
        <f>VLOOKUP(A:A,[1]android_repos_all_metrics!B:K,10,FALSE)</f>
        <v>0</v>
      </c>
    </row>
    <row r="514" spans="1:35">
      <c r="A514" t="s">
        <v>574</v>
      </c>
      <c r="B514" t="b">
        <v>1</v>
      </c>
      <c r="C514" t="b">
        <v>0</v>
      </c>
      <c r="D514" t="b">
        <v>0</v>
      </c>
      <c r="F514" t="b">
        <v>0</v>
      </c>
      <c r="H514" t="s">
        <v>37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>
        <v>3</v>
      </c>
      <c r="AB514">
        <v>0</v>
      </c>
      <c r="AC514">
        <f>VLOOKUP(A:A,[1]android_repos_all_metrics!B:K,4,FALSE)</f>
        <v>1674</v>
      </c>
      <c r="AD514">
        <f>VLOOKUP(A:A,[1]android_repos_all_metrics!B:K,5,FALSE)</f>
        <v>334</v>
      </c>
      <c r="AE514">
        <f>VLOOKUP(A:A,[1]android_repos_all_metrics!B:K,6,FALSE)</f>
        <v>12</v>
      </c>
      <c r="AF514">
        <f>VLOOKUP(A:A,[1]android_repos_all_metrics!B:K,7,FALSE)</f>
        <v>12644</v>
      </c>
      <c r="AG514">
        <f>VLOOKUP(A:A,[1]android_repos_all_metrics!B:K,8,FALSE)</f>
        <v>6</v>
      </c>
      <c r="AH514">
        <f>VLOOKUP(A:A,[1]android_repos_all_metrics!B:K,9,FALSE)</f>
        <v>45</v>
      </c>
      <c r="AI514">
        <f>VLOOKUP(A:A,[1]android_repos_all_metrics!B:K,10,FALSE)</f>
        <v>3</v>
      </c>
    </row>
    <row r="515" spans="1:35">
      <c r="A515" t="s">
        <v>575</v>
      </c>
      <c r="B515" t="b">
        <v>1</v>
      </c>
      <c r="C515" t="b">
        <v>1</v>
      </c>
      <c r="D515" t="b">
        <v>1</v>
      </c>
      <c r="E515" t="s">
        <v>36</v>
      </c>
      <c r="F515" t="b">
        <v>0</v>
      </c>
      <c r="H515" t="s">
        <v>37</v>
      </c>
      <c r="I515" t="s">
        <v>37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>
        <v>1</v>
      </c>
      <c r="AA515">
        <v>2</v>
      </c>
      <c r="AB515">
        <v>0</v>
      </c>
      <c r="AC515">
        <f>VLOOKUP(A:A,[1]android_repos_all_metrics!B:K,4,FALSE)</f>
        <v>397</v>
      </c>
      <c r="AD515">
        <f>VLOOKUP(A:A,[1]android_repos_all_metrics!B:K,5,FALSE)</f>
        <v>77</v>
      </c>
      <c r="AE515">
        <f>VLOOKUP(A:A,[1]android_repos_all_metrics!B:K,6,FALSE)</f>
        <v>20</v>
      </c>
      <c r="AF515">
        <f>VLOOKUP(A:A,[1]android_repos_all_metrics!B:K,7,FALSE)</f>
        <v>115925</v>
      </c>
      <c r="AG515">
        <f>VLOOKUP(A:A,[1]android_repos_all_metrics!B:K,8,FALSE)</f>
        <v>68</v>
      </c>
      <c r="AH515">
        <f>VLOOKUP(A:A,[1]android_repos_all_metrics!B:K,9,FALSE)</f>
        <v>466</v>
      </c>
      <c r="AI515">
        <f>VLOOKUP(A:A,[1]android_repos_all_metrics!B:K,10,FALSE)</f>
        <v>18</v>
      </c>
    </row>
    <row r="516" spans="1:35">
      <c r="A516" t="s">
        <v>576</v>
      </c>
      <c r="B516" t="b">
        <v>1</v>
      </c>
      <c r="C516" t="b">
        <v>1</v>
      </c>
      <c r="D516" t="b">
        <v>1</v>
      </c>
      <c r="E516" t="s">
        <v>36</v>
      </c>
      <c r="F516" t="b">
        <v>0</v>
      </c>
      <c r="H516" t="s">
        <v>37</v>
      </c>
      <c r="I516" t="s">
        <v>37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>
        <v>1</v>
      </c>
      <c r="AA516">
        <v>2</v>
      </c>
      <c r="AB516">
        <v>0</v>
      </c>
      <c r="AC516">
        <f>VLOOKUP(A:A,[1]android_repos_all_metrics!B:K,4,FALSE)</f>
        <v>642</v>
      </c>
      <c r="AD516">
        <f>VLOOKUP(A:A,[1]android_repos_all_metrics!B:K,5,FALSE)</f>
        <v>58</v>
      </c>
      <c r="AE516">
        <f>VLOOKUP(A:A,[1]android_repos_all_metrics!B:K,6,FALSE)</f>
        <v>1</v>
      </c>
      <c r="AF516">
        <f>VLOOKUP(A:A,[1]android_repos_all_metrics!B:K,7,FALSE)</f>
        <v>10403</v>
      </c>
      <c r="AG516">
        <f>VLOOKUP(A:A,[1]android_repos_all_metrics!B:K,8,FALSE)</f>
        <v>4</v>
      </c>
      <c r="AH516">
        <f>VLOOKUP(A:A,[1]android_repos_all_metrics!B:K,9,FALSE)</f>
        <v>55</v>
      </c>
      <c r="AI516">
        <f>VLOOKUP(A:A,[1]android_repos_all_metrics!B:K,10,FALSE)</f>
        <v>10</v>
      </c>
    </row>
    <row r="517" spans="1:35">
      <c r="A517" t="s">
        <v>577</v>
      </c>
      <c r="B517" t="b">
        <v>1</v>
      </c>
      <c r="C517" t="b">
        <v>1</v>
      </c>
      <c r="D517" t="b">
        <v>1</v>
      </c>
      <c r="E517" t="s">
        <v>36</v>
      </c>
      <c r="F517" t="b">
        <v>0</v>
      </c>
      <c r="H517" t="s">
        <v>37</v>
      </c>
      <c r="I517" t="s">
        <v>37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  <c r="Q517" t="b">
        <v>1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>
        <v>3</v>
      </c>
      <c r="AA517">
        <v>1</v>
      </c>
      <c r="AB517">
        <v>0</v>
      </c>
      <c r="AC517">
        <f>VLOOKUP(A:A,[1]android_repos_all_metrics!B:K,4,FALSE)</f>
        <v>5</v>
      </c>
      <c r="AD517">
        <f>VLOOKUP(A:A,[1]android_repos_all_metrics!B:K,5,FALSE)</f>
        <v>0</v>
      </c>
      <c r="AE517">
        <f>VLOOKUP(A:A,[1]android_repos_all_metrics!B:K,6,FALSE)</f>
        <v>1</v>
      </c>
      <c r="AF517">
        <f>VLOOKUP(A:A,[1]android_repos_all_metrics!B:K,7,FALSE)</f>
        <v>3089</v>
      </c>
      <c r="AG517">
        <f>VLOOKUP(A:A,[1]android_repos_all_metrics!B:K,8,FALSE)</f>
        <v>0</v>
      </c>
      <c r="AH517">
        <f>VLOOKUP(A:A,[1]android_repos_all_metrics!B:K,9,FALSE)</f>
        <v>8</v>
      </c>
      <c r="AI517">
        <f>VLOOKUP(A:A,[1]android_repos_all_metrics!B:K,10,FALSE)</f>
        <v>0</v>
      </c>
    </row>
    <row r="518" spans="1:35">
      <c r="A518" t="s">
        <v>578</v>
      </c>
      <c r="B518" t="b">
        <v>1</v>
      </c>
      <c r="C518" t="b">
        <v>0</v>
      </c>
      <c r="D518" t="b">
        <v>0</v>
      </c>
      <c r="F518" t="b">
        <v>0</v>
      </c>
      <c r="H518" t="s">
        <v>37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>
        <v>3</v>
      </c>
      <c r="AB518">
        <v>0</v>
      </c>
      <c r="AC518">
        <f>VLOOKUP(A:A,[1]android_repos_all_metrics!B:K,4,FALSE)</f>
        <v>49</v>
      </c>
      <c r="AD518">
        <f>VLOOKUP(A:A,[1]android_repos_all_metrics!B:K,5,FALSE)</f>
        <v>19</v>
      </c>
      <c r="AE518">
        <f>VLOOKUP(A:A,[1]android_repos_all_metrics!B:K,6,FALSE)</f>
        <v>1</v>
      </c>
      <c r="AF518">
        <f>VLOOKUP(A:A,[1]android_repos_all_metrics!B:K,7,FALSE)</f>
        <v>1484</v>
      </c>
      <c r="AG518">
        <f>VLOOKUP(A:A,[1]android_repos_all_metrics!B:K,8,FALSE)</f>
        <v>0</v>
      </c>
      <c r="AH518">
        <f>VLOOKUP(A:A,[1]android_repos_all_metrics!B:K,9,FALSE)</f>
        <v>67</v>
      </c>
      <c r="AI518">
        <f>VLOOKUP(A:A,[1]android_repos_all_metrics!B:K,10,FALSE)</f>
        <v>6</v>
      </c>
    </row>
    <row r="519" spans="1:35">
      <c r="A519" t="s">
        <v>579</v>
      </c>
      <c r="B519" t="b">
        <v>1</v>
      </c>
      <c r="C519" t="b">
        <v>0</v>
      </c>
      <c r="D519" t="b">
        <v>0</v>
      </c>
      <c r="F519" t="b">
        <v>0</v>
      </c>
      <c r="H519" t="s">
        <v>37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>
        <v>1</v>
      </c>
      <c r="AB519">
        <v>0</v>
      </c>
      <c r="AC519">
        <f>VLOOKUP(A:A,[1]android_repos_all_metrics!B:K,4,FALSE)</f>
        <v>26</v>
      </c>
      <c r="AD519">
        <f>VLOOKUP(A:A,[1]android_repos_all_metrics!B:K,5,FALSE)</f>
        <v>0</v>
      </c>
      <c r="AE519">
        <f>VLOOKUP(A:A,[1]android_repos_all_metrics!B:K,6,FALSE)</f>
        <v>1</v>
      </c>
      <c r="AF519">
        <f>VLOOKUP(A:A,[1]android_repos_all_metrics!B:K,7,FALSE)</f>
        <v>372</v>
      </c>
      <c r="AG519">
        <f>VLOOKUP(A:A,[1]android_repos_all_metrics!B:K,8,FALSE)</f>
        <v>0</v>
      </c>
      <c r="AH519">
        <f>VLOOKUP(A:A,[1]android_repos_all_metrics!B:K,9,FALSE)</f>
        <v>6</v>
      </c>
      <c r="AI519">
        <f>VLOOKUP(A:A,[1]android_repos_all_metrics!B:K,10,FALSE)</f>
        <v>0</v>
      </c>
    </row>
    <row r="520" spans="1:35">
      <c r="A520" t="s">
        <v>580</v>
      </c>
      <c r="B520" t="b">
        <v>1</v>
      </c>
      <c r="C520" t="b">
        <v>0</v>
      </c>
      <c r="D520" t="b">
        <v>0</v>
      </c>
      <c r="F520" t="b">
        <v>0</v>
      </c>
      <c r="H520" t="s">
        <v>41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>
        <v>1</v>
      </c>
      <c r="AB520">
        <v>0</v>
      </c>
      <c r="AC520">
        <f>VLOOKUP(A:A,[1]android_repos_all_metrics!B:K,4,FALSE)</f>
        <v>89</v>
      </c>
      <c r="AD520">
        <f>VLOOKUP(A:A,[1]android_repos_all_metrics!B:K,5,FALSE)</f>
        <v>31</v>
      </c>
      <c r="AE520">
        <f>VLOOKUP(A:A,[1]android_repos_all_metrics!B:K,6,FALSE)</f>
        <v>9</v>
      </c>
      <c r="AF520">
        <f>VLOOKUP(A:A,[1]android_repos_all_metrics!B:K,7,FALSE)</f>
        <v>900</v>
      </c>
      <c r="AG520">
        <f>VLOOKUP(A:A,[1]android_repos_all_metrics!B:K,8,FALSE)</f>
        <v>951</v>
      </c>
      <c r="AH520">
        <f>VLOOKUP(A:A,[1]android_repos_all_metrics!B:K,9,FALSE)</f>
        <v>6740</v>
      </c>
      <c r="AI520">
        <f>VLOOKUP(A:A,[1]android_repos_all_metrics!B:K,10,FALSE)</f>
        <v>126</v>
      </c>
    </row>
    <row r="521" spans="1:35">
      <c r="A521" t="s">
        <v>581</v>
      </c>
      <c r="B521" t="b">
        <v>1</v>
      </c>
      <c r="C521" t="b">
        <v>0</v>
      </c>
      <c r="D521" t="b">
        <v>0</v>
      </c>
      <c r="F521" t="b">
        <v>0</v>
      </c>
      <c r="H521" t="s">
        <v>41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>
        <v>1</v>
      </c>
      <c r="AB521">
        <v>0</v>
      </c>
      <c r="AC521">
        <f>VLOOKUP(A:A,[1]android_repos_all_metrics!B:K,4,FALSE)</f>
        <v>251</v>
      </c>
      <c r="AD521">
        <f>VLOOKUP(A:A,[1]android_repos_all_metrics!B:K,5,FALSE)</f>
        <v>5</v>
      </c>
      <c r="AE521">
        <f>VLOOKUP(A:A,[1]android_repos_all_metrics!B:K,6,FALSE)</f>
        <v>4</v>
      </c>
      <c r="AF521">
        <f>VLOOKUP(A:A,[1]android_repos_all_metrics!B:K,7,FALSE)</f>
        <v>2104</v>
      </c>
      <c r="AG521">
        <f>VLOOKUP(A:A,[1]android_repos_all_metrics!B:K,8,FALSE)</f>
        <v>3</v>
      </c>
      <c r="AH521">
        <f>VLOOKUP(A:A,[1]android_repos_all_metrics!B:K,9,FALSE)</f>
        <v>3</v>
      </c>
      <c r="AI521">
        <f>VLOOKUP(A:A,[1]android_repos_all_metrics!B:K,10,FALSE)</f>
        <v>29</v>
      </c>
    </row>
    <row r="522" spans="1:35">
      <c r="A522" t="s">
        <v>582</v>
      </c>
      <c r="B522" t="b">
        <v>1</v>
      </c>
      <c r="C522" t="b">
        <v>1</v>
      </c>
      <c r="D522" t="b">
        <v>1</v>
      </c>
      <c r="E522" t="s">
        <v>36</v>
      </c>
      <c r="F522" t="b">
        <v>0</v>
      </c>
      <c r="H522" t="s">
        <v>37</v>
      </c>
      <c r="I522" t="s">
        <v>37</v>
      </c>
      <c r="J522" t="b">
        <v>0</v>
      </c>
      <c r="K522" t="b">
        <v>0</v>
      </c>
      <c r="L522" t="b">
        <v>1</v>
      </c>
      <c r="M522" t="b">
        <v>0</v>
      </c>
      <c r="N522" t="b">
        <v>1</v>
      </c>
      <c r="O522" t="b">
        <v>0</v>
      </c>
      <c r="P522" t="b">
        <v>0</v>
      </c>
      <c r="Q522" t="b">
        <v>1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>
        <v>4</v>
      </c>
      <c r="AA522">
        <v>9</v>
      </c>
      <c r="AB522">
        <v>0</v>
      </c>
      <c r="AC522">
        <f>VLOOKUP(A:A,[1]android_repos_all_metrics!B:K,4,FALSE)</f>
        <v>1999</v>
      </c>
      <c r="AD522">
        <f>VLOOKUP(A:A,[1]android_repos_all_metrics!B:K,5,FALSE)</f>
        <v>483</v>
      </c>
      <c r="AE522">
        <f>VLOOKUP(A:A,[1]android_repos_all_metrics!B:K,6,FALSE)</f>
        <v>98</v>
      </c>
      <c r="AF522">
        <f>VLOOKUP(A:A,[1]android_repos_all_metrics!B:K,7,FALSE)</f>
        <v>18972</v>
      </c>
      <c r="AG522">
        <f>VLOOKUP(A:A,[1]android_repos_all_metrics!B:K,8,FALSE)</f>
        <v>189</v>
      </c>
      <c r="AH522">
        <f>VLOOKUP(A:A,[1]android_repos_all_metrics!B:K,9,FALSE)</f>
        <v>634</v>
      </c>
      <c r="AI522">
        <f>VLOOKUP(A:A,[1]android_repos_all_metrics!B:K,10,FALSE)</f>
        <v>45</v>
      </c>
    </row>
    <row r="523" spans="1:35">
      <c r="A523" t="s">
        <v>583</v>
      </c>
      <c r="B523" t="b">
        <v>1</v>
      </c>
      <c r="C523" t="b">
        <v>1</v>
      </c>
      <c r="D523" t="b">
        <v>1</v>
      </c>
      <c r="E523" t="s">
        <v>36</v>
      </c>
      <c r="F523" t="b">
        <v>0</v>
      </c>
      <c r="H523" t="s">
        <v>37</v>
      </c>
      <c r="I523" t="s">
        <v>37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>
        <v>1</v>
      </c>
      <c r="AA523">
        <v>4</v>
      </c>
      <c r="AB523">
        <v>0</v>
      </c>
      <c r="AC523">
        <f>VLOOKUP(A:A,[1]android_repos_all_metrics!B:K,4,FALSE)</f>
        <v>2127</v>
      </c>
      <c r="AD523">
        <f>VLOOKUP(A:A,[1]android_repos_all_metrics!B:K,5,FALSE)</f>
        <v>766</v>
      </c>
      <c r="AE523">
        <f>VLOOKUP(A:A,[1]android_repos_all_metrics!B:K,6,FALSE)</f>
        <v>60</v>
      </c>
      <c r="AF523">
        <f>VLOOKUP(A:A,[1]android_repos_all_metrics!B:K,7,FALSE)</f>
        <v>8522</v>
      </c>
      <c r="AG523">
        <f>VLOOKUP(A:A,[1]android_repos_all_metrics!B:K,8,FALSE)</f>
        <v>600</v>
      </c>
      <c r="AH523">
        <f>VLOOKUP(A:A,[1]android_repos_all_metrics!B:K,9,FALSE)</f>
        <v>2027</v>
      </c>
      <c r="AI523">
        <f>VLOOKUP(A:A,[1]android_repos_all_metrics!B:K,10,FALSE)</f>
        <v>301</v>
      </c>
    </row>
    <row r="524" spans="1:35">
      <c r="A524" t="s">
        <v>584</v>
      </c>
      <c r="B524" t="b">
        <v>1</v>
      </c>
      <c r="C524" t="b">
        <v>0</v>
      </c>
      <c r="D524" t="b">
        <v>0</v>
      </c>
      <c r="F524" t="b">
        <v>0</v>
      </c>
      <c r="H524" t="s">
        <v>37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>
        <v>3</v>
      </c>
      <c r="AB524">
        <v>0</v>
      </c>
      <c r="AC524">
        <f>VLOOKUP(A:A,[1]android_repos_all_metrics!B:K,4,FALSE)</f>
        <v>386</v>
      </c>
      <c r="AD524">
        <f>VLOOKUP(A:A,[1]android_repos_all_metrics!B:K,5,FALSE)</f>
        <v>87</v>
      </c>
      <c r="AE524">
        <f>VLOOKUP(A:A,[1]android_repos_all_metrics!B:K,6,FALSE)</f>
        <v>5</v>
      </c>
      <c r="AF524">
        <f>VLOOKUP(A:A,[1]android_repos_all_metrics!B:K,7,FALSE)</f>
        <v>857</v>
      </c>
      <c r="AG524">
        <f>VLOOKUP(A:A,[1]android_repos_all_metrics!B:K,8,FALSE)</f>
        <v>2</v>
      </c>
      <c r="AH524">
        <f>VLOOKUP(A:A,[1]android_repos_all_metrics!B:K,9,FALSE)</f>
        <v>33</v>
      </c>
      <c r="AI524">
        <f>VLOOKUP(A:A,[1]android_repos_all_metrics!B:K,10,FALSE)</f>
        <v>4</v>
      </c>
    </row>
    <row r="525" spans="1:35">
      <c r="A525" t="s">
        <v>585</v>
      </c>
      <c r="B525" t="b">
        <v>1</v>
      </c>
      <c r="C525" t="b">
        <v>0</v>
      </c>
      <c r="D525" t="b">
        <v>0</v>
      </c>
      <c r="F525" t="b">
        <v>0</v>
      </c>
      <c r="H525" t="s">
        <v>37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>
        <v>1</v>
      </c>
      <c r="AB525">
        <v>0</v>
      </c>
      <c r="AC525">
        <f>VLOOKUP(A:A,[1]android_repos_all_metrics!B:K,4,FALSE)</f>
        <v>97</v>
      </c>
      <c r="AD525">
        <f>VLOOKUP(A:A,[1]android_repos_all_metrics!B:K,5,FALSE)</f>
        <v>25</v>
      </c>
      <c r="AE525">
        <f>VLOOKUP(A:A,[1]android_repos_all_metrics!B:K,6,FALSE)</f>
        <v>2</v>
      </c>
      <c r="AF525">
        <f>VLOOKUP(A:A,[1]android_repos_all_metrics!B:K,7,FALSE)</f>
        <v>3975</v>
      </c>
      <c r="AG525">
        <f>VLOOKUP(A:A,[1]android_repos_all_metrics!B:K,8,FALSE)</f>
        <v>3</v>
      </c>
      <c r="AH525">
        <f>VLOOKUP(A:A,[1]android_repos_all_metrics!B:K,9,FALSE)</f>
        <v>36</v>
      </c>
      <c r="AI525">
        <f>VLOOKUP(A:A,[1]android_repos_all_metrics!B:K,10,FALSE)</f>
        <v>0</v>
      </c>
    </row>
    <row r="526" spans="1:35">
      <c r="A526" t="s">
        <v>586</v>
      </c>
      <c r="B526" t="b">
        <v>1</v>
      </c>
      <c r="C526" t="b">
        <v>0</v>
      </c>
      <c r="D526" t="b">
        <v>0</v>
      </c>
      <c r="F526" t="b">
        <v>0</v>
      </c>
      <c r="H526" t="s">
        <v>37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>
        <v>1</v>
      </c>
      <c r="AB526">
        <v>0</v>
      </c>
      <c r="AC526">
        <f>VLOOKUP(A:A,[1]android_repos_all_metrics!B:K,4,FALSE)</f>
        <v>105</v>
      </c>
      <c r="AD526">
        <f>VLOOKUP(A:A,[1]android_repos_all_metrics!B:K,5,FALSE)</f>
        <v>28</v>
      </c>
      <c r="AE526">
        <f>VLOOKUP(A:A,[1]android_repos_all_metrics!B:K,6,FALSE)</f>
        <v>1</v>
      </c>
      <c r="AF526">
        <f>VLOOKUP(A:A,[1]android_repos_all_metrics!B:K,7,FALSE)</f>
        <v>327</v>
      </c>
      <c r="AG526">
        <f>VLOOKUP(A:A,[1]android_repos_all_metrics!B:K,8,FALSE)</f>
        <v>11</v>
      </c>
      <c r="AH526">
        <f>VLOOKUP(A:A,[1]android_repos_all_metrics!B:K,9,FALSE)</f>
        <v>20</v>
      </c>
      <c r="AI526">
        <f>VLOOKUP(A:A,[1]android_repos_all_metrics!B:K,10,FALSE)</f>
        <v>24</v>
      </c>
    </row>
    <row r="527" spans="1:35">
      <c r="A527" t="s">
        <v>587</v>
      </c>
      <c r="B527" t="b">
        <v>1</v>
      </c>
      <c r="C527" t="b">
        <v>0</v>
      </c>
      <c r="D527" t="b">
        <v>0</v>
      </c>
      <c r="F527" t="b">
        <v>0</v>
      </c>
      <c r="H527" t="s">
        <v>37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>
        <v>3</v>
      </c>
      <c r="AB527">
        <v>0</v>
      </c>
      <c r="AC527">
        <f>VLOOKUP(A:A,[1]android_repos_all_metrics!B:K,4,FALSE)</f>
        <v>607</v>
      </c>
      <c r="AD527">
        <f>VLOOKUP(A:A,[1]android_repos_all_metrics!B:K,5,FALSE)</f>
        <v>90</v>
      </c>
      <c r="AE527">
        <f>VLOOKUP(A:A,[1]android_repos_all_metrics!B:K,6,FALSE)</f>
        <v>30</v>
      </c>
      <c r="AF527">
        <f>VLOOKUP(A:A,[1]android_repos_all_metrics!B:K,7,FALSE)</f>
        <v>45840</v>
      </c>
      <c r="AG527">
        <f>VLOOKUP(A:A,[1]android_repos_all_metrics!B:K,8,FALSE)</f>
        <v>45</v>
      </c>
      <c r="AH527">
        <f>VLOOKUP(A:A,[1]android_repos_all_metrics!B:K,9,FALSE)</f>
        <v>274</v>
      </c>
      <c r="AI527">
        <f>VLOOKUP(A:A,[1]android_repos_all_metrics!B:K,10,FALSE)</f>
        <v>41</v>
      </c>
    </row>
    <row r="528" spans="1:35">
      <c r="A528" t="s">
        <v>588</v>
      </c>
      <c r="B528" t="b">
        <v>1</v>
      </c>
      <c r="C528" t="b">
        <v>0</v>
      </c>
      <c r="D528" t="b">
        <v>0</v>
      </c>
      <c r="F528" t="b">
        <v>0</v>
      </c>
      <c r="H528" t="s">
        <v>37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>
        <v>1</v>
      </c>
      <c r="AB528">
        <v>0</v>
      </c>
      <c r="AC528">
        <f>VLOOKUP(A:A,[1]android_repos_all_metrics!B:K,4,FALSE)</f>
        <v>7</v>
      </c>
      <c r="AD528">
        <f>VLOOKUP(A:A,[1]android_repos_all_metrics!B:K,5,FALSE)</f>
        <v>5</v>
      </c>
      <c r="AE528">
        <f>VLOOKUP(A:A,[1]android_repos_all_metrics!B:K,6,FALSE)</f>
        <v>1</v>
      </c>
      <c r="AF528">
        <f>VLOOKUP(A:A,[1]android_repos_all_metrics!B:K,7,FALSE)</f>
        <v>2285</v>
      </c>
      <c r="AG528">
        <f>VLOOKUP(A:A,[1]android_repos_all_metrics!B:K,8,FALSE)</f>
        <v>1</v>
      </c>
      <c r="AH528">
        <f>VLOOKUP(A:A,[1]android_repos_all_metrics!B:K,9,FALSE)</f>
        <v>3</v>
      </c>
      <c r="AI528">
        <f>VLOOKUP(A:A,[1]android_repos_all_metrics!B:K,10,FALSE)</f>
        <v>1</v>
      </c>
    </row>
    <row r="529" spans="1:35">
      <c r="A529" t="s">
        <v>589</v>
      </c>
      <c r="B529" t="b">
        <v>1</v>
      </c>
      <c r="C529" t="b">
        <v>0</v>
      </c>
      <c r="D529" t="b">
        <v>0</v>
      </c>
      <c r="F529" t="b">
        <v>0</v>
      </c>
      <c r="H529" t="s">
        <v>43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>
        <v>1</v>
      </c>
      <c r="AB529">
        <v>0</v>
      </c>
      <c r="AC529">
        <f>VLOOKUP(A:A,[1]android_repos_all_metrics!B:K,4,FALSE)</f>
        <v>97</v>
      </c>
      <c r="AD529">
        <f>VLOOKUP(A:A,[1]android_repos_all_metrics!B:K,5,FALSE)</f>
        <v>2</v>
      </c>
      <c r="AE529">
        <f>VLOOKUP(A:A,[1]android_repos_all_metrics!B:K,6,FALSE)</f>
        <v>1</v>
      </c>
      <c r="AF529">
        <f>VLOOKUP(A:A,[1]android_repos_all_metrics!B:K,7,FALSE)</f>
        <v>6858</v>
      </c>
      <c r="AG529">
        <f>VLOOKUP(A:A,[1]android_repos_all_metrics!B:K,8,FALSE)</f>
        <v>14</v>
      </c>
      <c r="AH529">
        <f>VLOOKUP(A:A,[1]android_repos_all_metrics!B:K,9,FALSE)</f>
        <v>186</v>
      </c>
      <c r="AI529">
        <f>VLOOKUP(A:A,[1]android_repos_all_metrics!B:K,10,FALSE)</f>
        <v>3</v>
      </c>
    </row>
    <row r="530" spans="1:35">
      <c r="A530" t="s">
        <v>590</v>
      </c>
      <c r="B530" t="b">
        <v>1</v>
      </c>
      <c r="C530" t="b">
        <v>0</v>
      </c>
      <c r="D530" t="b">
        <v>0</v>
      </c>
      <c r="F530" t="b">
        <v>0</v>
      </c>
      <c r="H530" t="s">
        <v>37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>
        <v>2</v>
      </c>
      <c r="AB530">
        <v>0</v>
      </c>
      <c r="AC530">
        <f>VLOOKUP(A:A,[1]android_repos_all_metrics!B:K,4,FALSE)</f>
        <v>243</v>
      </c>
      <c r="AD530">
        <f>VLOOKUP(A:A,[1]android_repos_all_metrics!B:K,5,FALSE)</f>
        <v>3</v>
      </c>
      <c r="AE530">
        <f>VLOOKUP(A:A,[1]android_repos_all_metrics!B:K,6,FALSE)</f>
        <v>5</v>
      </c>
      <c r="AF530">
        <f>VLOOKUP(A:A,[1]android_repos_all_metrics!B:K,7,FALSE)</f>
        <v>9338</v>
      </c>
      <c r="AG530">
        <f>VLOOKUP(A:A,[1]android_repos_all_metrics!B:K,8,FALSE)</f>
        <v>3</v>
      </c>
      <c r="AH530">
        <f>VLOOKUP(A:A,[1]android_repos_all_metrics!B:K,9,FALSE)</f>
        <v>4</v>
      </c>
      <c r="AI530">
        <f>VLOOKUP(A:A,[1]android_repos_all_metrics!B:K,10,FALSE)</f>
        <v>10</v>
      </c>
    </row>
    <row r="531" spans="1:35">
      <c r="A531" t="s">
        <v>591</v>
      </c>
      <c r="B531" t="b">
        <v>1</v>
      </c>
      <c r="C531" t="b">
        <v>0</v>
      </c>
      <c r="D531" t="b">
        <v>0</v>
      </c>
      <c r="F531" t="b">
        <v>0</v>
      </c>
      <c r="H531" t="s">
        <v>37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>
        <v>1</v>
      </c>
      <c r="AB531">
        <v>0</v>
      </c>
      <c r="AC531">
        <f>VLOOKUP(A:A,[1]android_repos_all_metrics!B:K,4,FALSE)</f>
        <v>277</v>
      </c>
      <c r="AD531">
        <f>VLOOKUP(A:A,[1]android_repos_all_metrics!B:K,5,FALSE)</f>
        <v>33</v>
      </c>
      <c r="AE531">
        <f>VLOOKUP(A:A,[1]android_repos_all_metrics!B:K,6,FALSE)</f>
        <v>10</v>
      </c>
      <c r="AF531">
        <f>VLOOKUP(A:A,[1]android_repos_all_metrics!B:K,7,FALSE)</f>
        <v>4161</v>
      </c>
      <c r="AG531">
        <f>VLOOKUP(A:A,[1]android_repos_all_metrics!B:K,8,FALSE)</f>
        <v>21</v>
      </c>
      <c r="AH531">
        <f>VLOOKUP(A:A,[1]android_repos_all_metrics!B:K,9,FALSE)</f>
        <v>132</v>
      </c>
      <c r="AI531">
        <f>VLOOKUP(A:A,[1]android_repos_all_metrics!B:K,10,FALSE)</f>
        <v>28</v>
      </c>
    </row>
    <row r="532" spans="1:35">
      <c r="A532" t="s">
        <v>592</v>
      </c>
      <c r="B532" t="b">
        <v>1</v>
      </c>
      <c r="C532" t="b">
        <v>0</v>
      </c>
      <c r="D532" t="b">
        <v>0</v>
      </c>
      <c r="F532" t="b">
        <v>0</v>
      </c>
      <c r="H532" t="s">
        <v>43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>
        <v>1</v>
      </c>
      <c r="AB532">
        <v>0</v>
      </c>
      <c r="AC532">
        <f>VLOOKUP(A:A,[1]android_repos_all_metrics!B:K,4,FALSE)</f>
        <v>9</v>
      </c>
      <c r="AD532">
        <f>VLOOKUP(A:A,[1]android_repos_all_metrics!B:K,5,FALSE)</f>
        <v>0</v>
      </c>
      <c r="AE532">
        <f>VLOOKUP(A:A,[1]android_repos_all_metrics!B:K,6,FALSE)</f>
        <v>2</v>
      </c>
      <c r="AF532">
        <f>VLOOKUP(A:A,[1]android_repos_all_metrics!B:K,7,FALSE)</f>
        <v>103</v>
      </c>
      <c r="AG532">
        <f>VLOOKUP(A:A,[1]android_repos_all_metrics!B:K,8,FALSE)</f>
        <v>11</v>
      </c>
      <c r="AH532">
        <f>VLOOKUP(A:A,[1]android_repos_all_metrics!B:K,9,FALSE)</f>
        <v>21</v>
      </c>
      <c r="AI532">
        <f>VLOOKUP(A:A,[1]android_repos_all_metrics!B:K,10,FALSE)</f>
        <v>1</v>
      </c>
    </row>
    <row r="533" spans="1:35">
      <c r="A533" t="s">
        <v>593</v>
      </c>
      <c r="B533" t="b">
        <v>1</v>
      </c>
      <c r="C533" t="b">
        <v>0</v>
      </c>
      <c r="D533" t="b">
        <v>0</v>
      </c>
      <c r="F533" t="b">
        <v>0</v>
      </c>
      <c r="H533" t="s">
        <v>41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>
        <v>1</v>
      </c>
      <c r="AB533">
        <v>0</v>
      </c>
      <c r="AC533">
        <f>VLOOKUP(A:A,[1]android_repos_all_metrics!B:K,4,FALSE)</f>
        <v>104</v>
      </c>
      <c r="AD533">
        <f>VLOOKUP(A:A,[1]android_repos_all_metrics!B:K,5,FALSE)</f>
        <v>32</v>
      </c>
      <c r="AE533">
        <f>VLOOKUP(A:A,[1]android_repos_all_metrics!B:K,6,FALSE)</f>
        <v>2</v>
      </c>
      <c r="AF533">
        <f>VLOOKUP(A:A,[1]android_repos_all_metrics!B:K,7,FALSE)</f>
        <v>19117</v>
      </c>
      <c r="AG533">
        <f>VLOOKUP(A:A,[1]android_repos_all_metrics!B:K,8,FALSE)</f>
        <v>1</v>
      </c>
      <c r="AH533">
        <f>VLOOKUP(A:A,[1]android_repos_all_metrics!B:K,9,FALSE)</f>
        <v>1</v>
      </c>
      <c r="AI533">
        <f>VLOOKUP(A:A,[1]android_repos_all_metrics!B:K,10,FALSE)</f>
        <v>8</v>
      </c>
    </row>
    <row r="534" spans="1:35">
      <c r="A534" t="s">
        <v>594</v>
      </c>
      <c r="B534" t="b">
        <v>1</v>
      </c>
      <c r="C534" t="b">
        <v>0</v>
      </c>
      <c r="D534" t="b">
        <v>0</v>
      </c>
      <c r="F534" t="b">
        <v>0</v>
      </c>
      <c r="H534" t="s">
        <v>41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>
        <v>1</v>
      </c>
      <c r="AB534">
        <v>0</v>
      </c>
      <c r="AC534">
        <f>VLOOKUP(A:A,[1]android_repos_all_metrics!B:K,4,FALSE)</f>
        <v>128</v>
      </c>
      <c r="AD534">
        <f>VLOOKUP(A:A,[1]android_repos_all_metrics!B:K,5,FALSE)</f>
        <v>8</v>
      </c>
      <c r="AE534">
        <f>VLOOKUP(A:A,[1]android_repos_all_metrics!B:K,6,FALSE)</f>
        <v>8</v>
      </c>
      <c r="AF534">
        <f>VLOOKUP(A:A,[1]android_repos_all_metrics!B:K,7,FALSE)</f>
        <v>545</v>
      </c>
      <c r="AG534">
        <f>VLOOKUP(A:A,[1]android_repos_all_metrics!B:K,8,FALSE)</f>
        <v>1</v>
      </c>
      <c r="AH534">
        <f>VLOOKUP(A:A,[1]android_repos_all_metrics!B:K,9,FALSE)</f>
        <v>3</v>
      </c>
      <c r="AI534">
        <f>VLOOKUP(A:A,[1]android_repos_all_metrics!B:K,10,FALSE)</f>
        <v>0</v>
      </c>
    </row>
    <row r="535" spans="1:35">
      <c r="A535" t="s">
        <v>595</v>
      </c>
      <c r="B535" t="b">
        <v>1</v>
      </c>
      <c r="C535" t="b">
        <v>0</v>
      </c>
      <c r="D535" t="b">
        <v>0</v>
      </c>
      <c r="F535" t="b">
        <v>0</v>
      </c>
      <c r="H535" t="s">
        <v>37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>
        <v>9</v>
      </c>
      <c r="AB535">
        <v>0</v>
      </c>
      <c r="AC535">
        <f>VLOOKUP(A:A,[1]android_repos_all_metrics!B:K,4,FALSE)</f>
        <v>202</v>
      </c>
      <c r="AD535">
        <f>VLOOKUP(A:A,[1]android_repos_all_metrics!B:K,5,FALSE)</f>
        <v>301</v>
      </c>
      <c r="AE535">
        <f>VLOOKUP(A:A,[1]android_repos_all_metrics!B:K,6,FALSE)</f>
        <v>9</v>
      </c>
      <c r="AF535">
        <f>VLOOKUP(A:A,[1]android_repos_all_metrics!B:K,7,FALSE)</f>
        <v>812288</v>
      </c>
      <c r="AG535">
        <f>VLOOKUP(A:A,[1]android_repos_all_metrics!B:K,8,FALSE)</f>
        <v>37</v>
      </c>
      <c r="AH535">
        <f>VLOOKUP(A:A,[1]android_repos_all_metrics!B:K,9,FALSE)</f>
        <v>168</v>
      </c>
      <c r="AI535">
        <f>VLOOKUP(A:A,[1]android_repos_all_metrics!B:K,10,FALSE)</f>
        <v>7</v>
      </c>
    </row>
    <row r="536" spans="1:35">
      <c r="A536" t="s">
        <v>596</v>
      </c>
      <c r="B536" t="b">
        <v>1</v>
      </c>
      <c r="C536" t="b">
        <v>0</v>
      </c>
      <c r="D536" t="b">
        <v>0</v>
      </c>
      <c r="F536" t="b">
        <v>0</v>
      </c>
      <c r="H536" t="s">
        <v>37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>
        <v>1</v>
      </c>
      <c r="AB536">
        <v>0</v>
      </c>
      <c r="AC536">
        <f>VLOOKUP(A:A,[1]android_repos_all_metrics!B:K,4,FALSE)</f>
        <v>72</v>
      </c>
      <c r="AD536">
        <f>VLOOKUP(A:A,[1]android_repos_all_metrics!B:K,5,FALSE)</f>
        <v>62</v>
      </c>
      <c r="AE536">
        <f>VLOOKUP(A:A,[1]android_repos_all_metrics!B:K,6,FALSE)</f>
        <v>3</v>
      </c>
      <c r="AF536">
        <f>VLOOKUP(A:A,[1]android_repos_all_metrics!B:K,7,FALSE)</f>
        <v>263780</v>
      </c>
      <c r="AG536">
        <f>VLOOKUP(A:A,[1]android_repos_all_metrics!B:K,8,FALSE)</f>
        <v>1</v>
      </c>
      <c r="AH536">
        <f>VLOOKUP(A:A,[1]android_repos_all_metrics!B:K,9,FALSE)</f>
        <v>13</v>
      </c>
      <c r="AI536">
        <f>VLOOKUP(A:A,[1]android_repos_all_metrics!B:K,10,FALSE)</f>
        <v>11</v>
      </c>
    </row>
    <row r="537" spans="1:35">
      <c r="A537" t="s">
        <v>597</v>
      </c>
      <c r="B537" t="b">
        <v>1</v>
      </c>
      <c r="C537" t="b">
        <v>0</v>
      </c>
      <c r="D537" t="b">
        <v>0</v>
      </c>
      <c r="F537" t="b">
        <v>0</v>
      </c>
      <c r="H537" t="s">
        <v>41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>
        <v>1</v>
      </c>
      <c r="AB537">
        <v>0</v>
      </c>
      <c r="AC537">
        <f>VLOOKUP(A:A,[1]android_repos_all_metrics!B:K,4,FALSE)</f>
        <v>24</v>
      </c>
      <c r="AD537">
        <f>VLOOKUP(A:A,[1]android_repos_all_metrics!B:K,5,FALSE)</f>
        <v>5</v>
      </c>
      <c r="AE537">
        <f>VLOOKUP(A:A,[1]android_repos_all_metrics!B:K,6,FALSE)</f>
        <v>1</v>
      </c>
      <c r="AF537">
        <f>VLOOKUP(A:A,[1]android_repos_all_metrics!B:K,7,FALSE)</f>
        <v>555</v>
      </c>
      <c r="AG537">
        <f>VLOOKUP(A:A,[1]android_repos_all_metrics!B:K,8,FALSE)</f>
        <v>0</v>
      </c>
      <c r="AH537">
        <f>VLOOKUP(A:A,[1]android_repos_all_metrics!B:K,9,FALSE)</f>
        <v>2</v>
      </c>
      <c r="AI537">
        <f>VLOOKUP(A:A,[1]android_repos_all_metrics!B:K,10,FALSE)</f>
        <v>4</v>
      </c>
    </row>
    <row r="538" spans="1:35">
      <c r="A538" t="s">
        <v>598</v>
      </c>
      <c r="B538" t="b">
        <v>1</v>
      </c>
      <c r="C538" t="b">
        <v>0</v>
      </c>
      <c r="D538" t="b">
        <v>0</v>
      </c>
      <c r="F538" t="b">
        <v>0</v>
      </c>
      <c r="H538" t="s">
        <v>43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>
        <v>1</v>
      </c>
      <c r="AB538">
        <v>0</v>
      </c>
      <c r="AC538">
        <f>VLOOKUP(A:A,[1]android_repos_all_metrics!B:K,4,FALSE)</f>
        <v>295</v>
      </c>
      <c r="AD538">
        <f>VLOOKUP(A:A,[1]android_repos_all_metrics!B:K,5,FALSE)</f>
        <v>38</v>
      </c>
      <c r="AE538">
        <f>VLOOKUP(A:A,[1]android_repos_all_metrics!B:K,6,FALSE)</f>
        <v>12</v>
      </c>
      <c r="AF538">
        <f>VLOOKUP(A:A,[1]android_repos_all_metrics!B:K,7,FALSE)</f>
        <v>4227</v>
      </c>
      <c r="AG538">
        <f>VLOOKUP(A:A,[1]android_repos_all_metrics!B:K,8,FALSE)</f>
        <v>48</v>
      </c>
      <c r="AH538">
        <f>VLOOKUP(A:A,[1]android_repos_all_metrics!B:K,9,FALSE)</f>
        <v>92</v>
      </c>
      <c r="AI538">
        <f>VLOOKUP(A:A,[1]android_repos_all_metrics!B:K,10,FALSE)</f>
        <v>20</v>
      </c>
    </row>
    <row r="539" spans="1:35">
      <c r="A539" t="s">
        <v>599</v>
      </c>
      <c r="B539" t="b">
        <v>1</v>
      </c>
      <c r="C539" t="b">
        <v>0</v>
      </c>
      <c r="D539" t="b">
        <v>0</v>
      </c>
      <c r="F539" t="b">
        <v>0</v>
      </c>
      <c r="H539" t="s">
        <v>37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>
        <v>1</v>
      </c>
      <c r="AB539">
        <v>0</v>
      </c>
      <c r="AC539">
        <f>VLOOKUP(A:A,[1]android_repos_all_metrics!B:K,4,FALSE)</f>
        <v>101</v>
      </c>
      <c r="AD539">
        <f>VLOOKUP(A:A,[1]android_repos_all_metrics!B:K,5,FALSE)</f>
        <v>25</v>
      </c>
      <c r="AE539">
        <f>VLOOKUP(A:A,[1]android_repos_all_metrics!B:K,6,FALSE)</f>
        <v>1</v>
      </c>
      <c r="AF539">
        <f>VLOOKUP(A:A,[1]android_repos_all_metrics!B:K,7,FALSE)</f>
        <v>522</v>
      </c>
      <c r="AG539">
        <f>VLOOKUP(A:A,[1]android_repos_all_metrics!B:K,8,FALSE)</f>
        <v>4</v>
      </c>
      <c r="AH539">
        <f>VLOOKUP(A:A,[1]android_repos_all_metrics!B:K,9,FALSE)</f>
        <v>23</v>
      </c>
      <c r="AI539">
        <f>VLOOKUP(A:A,[1]android_repos_all_metrics!B:K,10,FALSE)</f>
        <v>0</v>
      </c>
    </row>
    <row r="540" spans="1:35">
      <c r="A540" t="s">
        <v>600</v>
      </c>
      <c r="B540" t="b">
        <v>1</v>
      </c>
      <c r="C540" t="b">
        <v>0</v>
      </c>
      <c r="D540" t="b">
        <v>0</v>
      </c>
      <c r="F540" t="b">
        <v>0</v>
      </c>
      <c r="H540" t="s">
        <v>37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>
        <v>1</v>
      </c>
      <c r="AB540">
        <v>0</v>
      </c>
      <c r="AC540">
        <f>VLOOKUP(A:A,[1]android_repos_all_metrics!B:K,4,FALSE)</f>
        <v>139</v>
      </c>
      <c r="AD540">
        <f>VLOOKUP(A:A,[1]android_repos_all_metrics!B:K,5,FALSE)</f>
        <v>3</v>
      </c>
      <c r="AE540">
        <f>VLOOKUP(A:A,[1]android_repos_all_metrics!B:K,6,FALSE)</f>
        <v>2</v>
      </c>
      <c r="AF540">
        <f>VLOOKUP(A:A,[1]android_repos_all_metrics!B:K,7,FALSE)</f>
        <v>3446</v>
      </c>
      <c r="AG540">
        <f>VLOOKUP(A:A,[1]android_repos_all_metrics!B:K,8,FALSE)</f>
        <v>4</v>
      </c>
      <c r="AH540">
        <f>VLOOKUP(A:A,[1]android_repos_all_metrics!B:K,9,FALSE)</f>
        <v>10</v>
      </c>
      <c r="AI540">
        <f>VLOOKUP(A:A,[1]android_repos_all_metrics!B:K,10,FALSE)</f>
        <v>0</v>
      </c>
    </row>
    <row r="541" spans="1:35">
      <c r="A541" t="s">
        <v>601</v>
      </c>
      <c r="B541" t="b">
        <v>1</v>
      </c>
      <c r="C541" t="b">
        <v>0</v>
      </c>
      <c r="D541" t="b">
        <v>0</v>
      </c>
      <c r="F541" t="b">
        <v>0</v>
      </c>
      <c r="H541" t="s">
        <v>37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>
        <v>1</v>
      </c>
      <c r="AB541">
        <v>0</v>
      </c>
      <c r="AC541">
        <f>VLOOKUP(A:A,[1]android_repos_all_metrics!B:K,4,FALSE)</f>
        <v>62</v>
      </c>
      <c r="AD541">
        <f>VLOOKUP(A:A,[1]android_repos_all_metrics!B:K,5,FALSE)</f>
        <v>8</v>
      </c>
      <c r="AE541">
        <f>VLOOKUP(A:A,[1]android_repos_all_metrics!B:K,6,FALSE)</f>
        <v>1</v>
      </c>
      <c r="AF541">
        <f>VLOOKUP(A:A,[1]android_repos_all_metrics!B:K,7,FALSE)</f>
        <v>2050</v>
      </c>
      <c r="AG541">
        <f>VLOOKUP(A:A,[1]android_repos_all_metrics!B:K,8,FALSE)</f>
        <v>37</v>
      </c>
      <c r="AH541">
        <f>VLOOKUP(A:A,[1]android_repos_all_metrics!B:K,9,FALSE)</f>
        <v>132</v>
      </c>
      <c r="AI541">
        <f>VLOOKUP(A:A,[1]android_repos_all_metrics!B:K,10,FALSE)</f>
        <v>0</v>
      </c>
    </row>
    <row r="542" spans="1:35">
      <c r="A542" t="s">
        <v>602</v>
      </c>
      <c r="B542" t="b">
        <v>1</v>
      </c>
      <c r="C542" t="b">
        <v>0</v>
      </c>
      <c r="D542" t="b">
        <v>0</v>
      </c>
      <c r="F542" t="b">
        <v>0</v>
      </c>
      <c r="H542" t="s">
        <v>37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>
        <v>1</v>
      </c>
      <c r="AB542">
        <v>0</v>
      </c>
      <c r="AC542">
        <f>VLOOKUP(A:A,[1]android_repos_all_metrics!B:K,4,FALSE)</f>
        <v>2242</v>
      </c>
      <c r="AD542">
        <f>VLOOKUP(A:A,[1]android_repos_all_metrics!B:K,5,FALSE)</f>
        <v>0</v>
      </c>
      <c r="AE542">
        <f>VLOOKUP(A:A,[1]android_repos_all_metrics!B:K,6,FALSE)</f>
        <v>52</v>
      </c>
      <c r="AF542">
        <f>VLOOKUP(A:A,[1]android_repos_all_metrics!B:K,7,FALSE)</f>
        <v>16944</v>
      </c>
      <c r="AG542">
        <f>VLOOKUP(A:A,[1]android_repos_all_metrics!B:K,8,FALSE)</f>
        <v>0</v>
      </c>
      <c r="AH542">
        <f>VLOOKUP(A:A,[1]android_repos_all_metrics!B:K,9,FALSE)</f>
        <v>2</v>
      </c>
      <c r="AI542">
        <f>VLOOKUP(A:A,[1]android_repos_all_metrics!B:K,10,FALSE)</f>
        <v>0</v>
      </c>
    </row>
    <row r="543" spans="1:35">
      <c r="A543" t="s">
        <v>603</v>
      </c>
      <c r="B543" t="b">
        <v>1</v>
      </c>
      <c r="C543" t="b">
        <v>0</v>
      </c>
      <c r="D543" t="b">
        <v>0</v>
      </c>
      <c r="F543" t="b">
        <v>0</v>
      </c>
      <c r="H543" t="s">
        <v>37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>
        <v>1</v>
      </c>
      <c r="AB543">
        <v>0</v>
      </c>
      <c r="AC543">
        <f>VLOOKUP(A:A,[1]android_repos_all_metrics!B:K,4,FALSE)</f>
        <v>81</v>
      </c>
      <c r="AD543">
        <f>VLOOKUP(A:A,[1]android_repos_all_metrics!B:K,5,FALSE)</f>
        <v>0</v>
      </c>
      <c r="AE543">
        <f>VLOOKUP(A:A,[1]android_repos_all_metrics!B:K,6,FALSE)</f>
        <v>2</v>
      </c>
      <c r="AF543">
        <f>VLOOKUP(A:A,[1]android_repos_all_metrics!B:K,7,FALSE)</f>
        <v>13696</v>
      </c>
      <c r="AG543">
        <f>VLOOKUP(A:A,[1]android_repos_all_metrics!B:K,8,FALSE)</f>
        <v>5</v>
      </c>
      <c r="AH543">
        <f>VLOOKUP(A:A,[1]android_repos_all_metrics!B:K,9,FALSE)</f>
        <v>6</v>
      </c>
      <c r="AI543">
        <f>VLOOKUP(A:A,[1]android_repos_all_metrics!B:K,10,FALSE)</f>
        <v>0</v>
      </c>
    </row>
    <row r="544" spans="1:35">
      <c r="A544" t="s">
        <v>604</v>
      </c>
      <c r="B544" t="b">
        <v>1</v>
      </c>
      <c r="C544" t="b">
        <v>0</v>
      </c>
      <c r="D544" t="b">
        <v>0</v>
      </c>
      <c r="F544" t="b">
        <v>0</v>
      </c>
      <c r="H544" t="s">
        <v>37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>
        <v>1</v>
      </c>
      <c r="AB544">
        <v>0</v>
      </c>
      <c r="AC544">
        <f>VLOOKUP(A:A,[1]android_repos_all_metrics!B:K,4,FALSE)</f>
        <v>14</v>
      </c>
      <c r="AD544">
        <f>VLOOKUP(A:A,[1]android_repos_all_metrics!B:K,5,FALSE)</f>
        <v>1</v>
      </c>
      <c r="AE544">
        <f>VLOOKUP(A:A,[1]android_repos_all_metrics!B:K,6,FALSE)</f>
        <v>1</v>
      </c>
      <c r="AF544">
        <f>VLOOKUP(A:A,[1]android_repos_all_metrics!B:K,7,FALSE)</f>
        <v>3437</v>
      </c>
      <c r="AG544">
        <f>VLOOKUP(A:A,[1]android_repos_all_metrics!B:K,8,FALSE)</f>
        <v>4</v>
      </c>
      <c r="AH544">
        <f>VLOOKUP(A:A,[1]android_repos_all_metrics!B:K,9,FALSE)</f>
        <v>26</v>
      </c>
      <c r="AI544">
        <f>VLOOKUP(A:A,[1]android_repos_all_metrics!B:K,10,FALSE)</f>
        <v>0</v>
      </c>
    </row>
    <row r="545" spans="1:35">
      <c r="A545" t="s">
        <v>605</v>
      </c>
      <c r="B545" t="b">
        <v>1</v>
      </c>
      <c r="C545" t="b">
        <v>1</v>
      </c>
      <c r="D545" t="b">
        <v>0</v>
      </c>
      <c r="F545" t="b">
        <v>1</v>
      </c>
      <c r="G545" t="s">
        <v>606</v>
      </c>
      <c r="H545" t="s">
        <v>37</v>
      </c>
      <c r="I545" t="s">
        <v>37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>
        <v>11</v>
      </c>
      <c r="AB545">
        <v>0</v>
      </c>
      <c r="AC545">
        <f>VLOOKUP(A:A,[1]android_repos_all_metrics!B:K,4,FALSE)</f>
        <v>1077</v>
      </c>
      <c r="AD545">
        <f>VLOOKUP(A:A,[1]android_repos_all_metrics!B:K,5,FALSE)</f>
        <v>350</v>
      </c>
      <c r="AE545">
        <f>VLOOKUP(A:A,[1]android_repos_all_metrics!B:K,6,FALSE)</f>
        <v>15</v>
      </c>
      <c r="AF545">
        <f>VLOOKUP(A:A,[1]android_repos_all_metrics!B:K,7,FALSE)</f>
        <v>34779</v>
      </c>
      <c r="AG545">
        <f>VLOOKUP(A:A,[1]android_repos_all_metrics!B:K,8,FALSE)</f>
        <v>44</v>
      </c>
      <c r="AH545">
        <f>VLOOKUP(A:A,[1]android_repos_all_metrics!B:K,9,FALSE)</f>
        <v>177</v>
      </c>
      <c r="AI545">
        <f>VLOOKUP(A:A,[1]android_repos_all_metrics!B:K,10,FALSE)</f>
        <v>25</v>
      </c>
    </row>
    <row r="546" spans="1:35">
      <c r="A546" t="s">
        <v>607</v>
      </c>
      <c r="B546" t="b">
        <v>1</v>
      </c>
      <c r="C546" t="b">
        <v>0</v>
      </c>
      <c r="D546" t="b">
        <v>0</v>
      </c>
      <c r="F546" t="b">
        <v>0</v>
      </c>
      <c r="H546" t="s">
        <v>37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>
        <v>1</v>
      </c>
      <c r="AB546">
        <v>0</v>
      </c>
      <c r="AC546">
        <f>VLOOKUP(A:A,[1]android_repos_all_metrics!B:K,4,FALSE)</f>
        <v>85</v>
      </c>
      <c r="AD546">
        <f>VLOOKUP(A:A,[1]android_repos_all_metrics!B:K,5,FALSE)</f>
        <v>1</v>
      </c>
      <c r="AE546">
        <f>VLOOKUP(A:A,[1]android_repos_all_metrics!B:K,6,FALSE)</f>
        <v>2</v>
      </c>
      <c r="AF546">
        <f>VLOOKUP(A:A,[1]android_repos_all_metrics!B:K,7,FALSE)</f>
        <v>788</v>
      </c>
      <c r="AG546">
        <f>VLOOKUP(A:A,[1]android_repos_all_metrics!B:K,8,FALSE)</f>
        <v>8</v>
      </c>
      <c r="AH546">
        <f>VLOOKUP(A:A,[1]android_repos_all_metrics!B:K,9,FALSE)</f>
        <v>20</v>
      </c>
      <c r="AI546">
        <f>VLOOKUP(A:A,[1]android_repos_all_metrics!B:K,10,FALSE)</f>
        <v>0</v>
      </c>
    </row>
    <row r="547" spans="1:35">
      <c r="A547" t="s">
        <v>608</v>
      </c>
      <c r="B547" t="b">
        <v>1</v>
      </c>
      <c r="C547" t="b">
        <v>0</v>
      </c>
      <c r="D547" t="b">
        <v>0</v>
      </c>
      <c r="F547" t="b">
        <v>0</v>
      </c>
      <c r="H547" t="s">
        <v>37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>
        <v>1</v>
      </c>
      <c r="AB547">
        <v>0</v>
      </c>
      <c r="AC547">
        <f>VLOOKUP(A:A,[1]android_repos_all_metrics!B:K,4,FALSE)</f>
        <v>36</v>
      </c>
      <c r="AD547">
        <f>VLOOKUP(A:A,[1]android_repos_all_metrics!B:K,5,FALSE)</f>
        <v>0</v>
      </c>
      <c r="AE547">
        <f>VLOOKUP(A:A,[1]android_repos_all_metrics!B:K,6,FALSE)</f>
        <v>1</v>
      </c>
      <c r="AF547">
        <f>VLOOKUP(A:A,[1]android_repos_all_metrics!B:K,7,FALSE)</f>
        <v>440</v>
      </c>
      <c r="AG547">
        <f>VLOOKUP(A:A,[1]android_repos_all_metrics!B:K,8,FALSE)</f>
        <v>0</v>
      </c>
      <c r="AH547">
        <f>VLOOKUP(A:A,[1]android_repos_all_metrics!B:K,9,FALSE)</f>
        <v>1</v>
      </c>
      <c r="AI547">
        <f>VLOOKUP(A:A,[1]android_repos_all_metrics!B:K,10,FALSE)</f>
        <v>2</v>
      </c>
    </row>
    <row r="548" spans="1:35">
      <c r="A548" t="s">
        <v>609</v>
      </c>
      <c r="B548" t="b">
        <v>1</v>
      </c>
      <c r="C548" t="b">
        <v>0</v>
      </c>
      <c r="D548" t="b">
        <v>0</v>
      </c>
      <c r="F548" t="b">
        <v>0</v>
      </c>
      <c r="H548" t="s">
        <v>37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>
        <v>1</v>
      </c>
      <c r="AB548">
        <v>0</v>
      </c>
      <c r="AC548">
        <f>VLOOKUP(A:A,[1]android_repos_all_metrics!B:K,4,FALSE)</f>
        <v>252</v>
      </c>
      <c r="AD548">
        <f>VLOOKUP(A:A,[1]android_repos_all_metrics!B:K,5,FALSE)</f>
        <v>21</v>
      </c>
      <c r="AE548">
        <f>VLOOKUP(A:A,[1]android_repos_all_metrics!B:K,6,FALSE)</f>
        <v>10</v>
      </c>
      <c r="AF548">
        <f>VLOOKUP(A:A,[1]android_repos_all_metrics!B:K,7,FALSE)</f>
        <v>3206</v>
      </c>
      <c r="AG548">
        <f>VLOOKUP(A:A,[1]android_repos_all_metrics!B:K,8,FALSE)</f>
        <v>77</v>
      </c>
      <c r="AH548">
        <f>VLOOKUP(A:A,[1]android_repos_all_metrics!B:K,9,FALSE)</f>
        <v>381</v>
      </c>
      <c r="AI548">
        <f>VLOOKUP(A:A,[1]android_repos_all_metrics!B:K,10,FALSE)</f>
        <v>22</v>
      </c>
    </row>
    <row r="549" spans="1:35">
      <c r="A549" t="s">
        <v>610</v>
      </c>
      <c r="B549" t="b">
        <v>1</v>
      </c>
      <c r="C549" t="b">
        <v>0</v>
      </c>
      <c r="D549" t="b">
        <v>0</v>
      </c>
      <c r="F549" t="b">
        <v>0</v>
      </c>
      <c r="H549" t="s">
        <v>37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>
        <v>1</v>
      </c>
      <c r="AB549">
        <v>0</v>
      </c>
      <c r="AC549">
        <f>VLOOKUP(A:A,[1]android_repos_all_metrics!B:K,4,FALSE)</f>
        <v>1500</v>
      </c>
      <c r="AD549">
        <f>VLOOKUP(A:A,[1]android_repos_all_metrics!B:K,5,FALSE)</f>
        <v>36</v>
      </c>
      <c r="AE549">
        <f>VLOOKUP(A:A,[1]android_repos_all_metrics!B:K,6,FALSE)</f>
        <v>2</v>
      </c>
      <c r="AF549">
        <f>VLOOKUP(A:A,[1]android_repos_all_metrics!B:K,7,FALSE)</f>
        <v>7048</v>
      </c>
      <c r="AG549">
        <f>VLOOKUP(A:A,[1]android_repos_all_metrics!B:K,8,FALSE)</f>
        <v>8</v>
      </c>
      <c r="AH549">
        <f>VLOOKUP(A:A,[1]android_repos_all_metrics!B:K,9,FALSE)</f>
        <v>96</v>
      </c>
      <c r="AI549">
        <f>VLOOKUP(A:A,[1]android_repos_all_metrics!B:K,10,FALSE)</f>
        <v>2</v>
      </c>
    </row>
    <row r="550" spans="1:35">
      <c r="A550" t="s">
        <v>611</v>
      </c>
      <c r="B550" t="b">
        <v>1</v>
      </c>
      <c r="C550" t="b">
        <v>0</v>
      </c>
      <c r="D550" t="b">
        <v>0</v>
      </c>
      <c r="F550" t="b">
        <v>0</v>
      </c>
      <c r="H550" t="s">
        <v>37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>
        <v>1</v>
      </c>
      <c r="AB550">
        <v>0</v>
      </c>
      <c r="AC550">
        <f>VLOOKUP(A:A,[1]android_repos_all_metrics!B:K,4,FALSE)</f>
        <v>64167</v>
      </c>
      <c r="AD550">
        <f>VLOOKUP(A:A,[1]android_repos_all_metrics!B:K,5,FALSE)</f>
        <v>2157</v>
      </c>
      <c r="AE550">
        <f>VLOOKUP(A:A,[1]android_repos_all_metrics!B:K,6,FALSE)</f>
        <v>317</v>
      </c>
      <c r="AF550">
        <f>VLOOKUP(A:A,[1]android_repos_all_metrics!B:K,7,FALSE)</f>
        <v>276854</v>
      </c>
      <c r="AG550">
        <f>VLOOKUP(A:A,[1]android_repos_all_metrics!B:K,8,FALSE)</f>
        <v>1078</v>
      </c>
      <c r="AH550">
        <f>VLOOKUP(A:A,[1]android_repos_all_metrics!B:K,9,FALSE)</f>
        <v>2020</v>
      </c>
      <c r="AI550">
        <f>VLOOKUP(A:A,[1]android_repos_all_metrics!B:K,10,FALSE)</f>
        <v>286</v>
      </c>
    </row>
    <row r="551" spans="1:35">
      <c r="A551" t="s">
        <v>612</v>
      </c>
      <c r="B551" t="b">
        <v>1</v>
      </c>
      <c r="C551" t="b">
        <v>0</v>
      </c>
      <c r="D551" t="b">
        <v>0</v>
      </c>
      <c r="F551" t="b">
        <v>0</v>
      </c>
      <c r="H551" t="s">
        <v>37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>
        <v>3</v>
      </c>
      <c r="AB551">
        <v>0</v>
      </c>
      <c r="AC551">
        <f>VLOOKUP(A:A,[1]android_repos_all_metrics!B:K,4,FALSE)</f>
        <v>0</v>
      </c>
      <c r="AD551">
        <f>VLOOKUP(A:A,[1]android_repos_all_metrics!B:K,5,FALSE)</f>
        <v>0</v>
      </c>
      <c r="AE551">
        <f>VLOOKUP(A:A,[1]android_repos_all_metrics!B:K,6,FALSE)</f>
        <v>0</v>
      </c>
      <c r="AF551">
        <f>VLOOKUP(A:A,[1]android_repos_all_metrics!B:K,7,FALSE)</f>
        <v>10651</v>
      </c>
      <c r="AG551">
        <f>VLOOKUP(A:A,[1]android_repos_all_metrics!B:K,8,FALSE)</f>
        <v>0</v>
      </c>
      <c r="AH551">
        <f>VLOOKUP(A:A,[1]android_repos_all_metrics!B:K,9,FALSE)</f>
        <v>2</v>
      </c>
      <c r="AI551">
        <f>VLOOKUP(A:A,[1]android_repos_all_metrics!B:K,10,FALSE)</f>
        <v>0</v>
      </c>
    </row>
    <row r="552" spans="1:35">
      <c r="A552" t="s">
        <v>613</v>
      </c>
      <c r="B552" t="b">
        <v>1</v>
      </c>
      <c r="C552" t="b">
        <v>0</v>
      </c>
      <c r="D552" t="b">
        <v>0</v>
      </c>
      <c r="F552" t="b">
        <v>0</v>
      </c>
      <c r="H552" t="s">
        <v>37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>
        <v>2</v>
      </c>
      <c r="AB552">
        <v>0</v>
      </c>
      <c r="AC552">
        <f>VLOOKUP(A:A,[1]android_repos_all_metrics!B:K,4,FALSE)</f>
        <v>123</v>
      </c>
      <c r="AD552">
        <f>VLOOKUP(A:A,[1]android_repos_all_metrics!B:K,5,FALSE)</f>
        <v>9</v>
      </c>
      <c r="AE552">
        <f>VLOOKUP(A:A,[1]android_repos_all_metrics!B:K,6,FALSE)</f>
        <v>3</v>
      </c>
      <c r="AF552">
        <f>VLOOKUP(A:A,[1]android_repos_all_metrics!B:K,7,FALSE)</f>
        <v>542832</v>
      </c>
      <c r="AG552">
        <f>VLOOKUP(A:A,[1]android_repos_all_metrics!B:K,8,FALSE)</f>
        <v>2</v>
      </c>
      <c r="AH552">
        <f>VLOOKUP(A:A,[1]android_repos_all_metrics!B:K,9,FALSE)</f>
        <v>14</v>
      </c>
      <c r="AI552">
        <f>VLOOKUP(A:A,[1]android_repos_all_metrics!B:K,10,FALSE)</f>
        <v>0</v>
      </c>
    </row>
    <row r="553" spans="1:35">
      <c r="A553" t="s">
        <v>614</v>
      </c>
      <c r="B553" t="b">
        <v>1</v>
      </c>
      <c r="C553" t="b">
        <v>0</v>
      </c>
      <c r="D553" t="b">
        <v>0</v>
      </c>
      <c r="F553" t="b">
        <v>0</v>
      </c>
      <c r="H553" t="s">
        <v>37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>
        <v>1</v>
      </c>
      <c r="AB553">
        <v>0</v>
      </c>
      <c r="AC553">
        <f>VLOOKUP(A:A,[1]android_repos_all_metrics!B:K,4,FALSE)</f>
        <v>10</v>
      </c>
      <c r="AD553">
        <f>VLOOKUP(A:A,[1]android_repos_all_metrics!B:K,5,FALSE)</f>
        <v>0</v>
      </c>
      <c r="AE553">
        <f>VLOOKUP(A:A,[1]android_repos_all_metrics!B:K,6,FALSE)</f>
        <v>1</v>
      </c>
      <c r="AF553">
        <f>VLOOKUP(A:A,[1]android_repos_all_metrics!B:K,7,FALSE)</f>
        <v>498</v>
      </c>
      <c r="AG553">
        <f>VLOOKUP(A:A,[1]android_repos_all_metrics!B:K,8,FALSE)</f>
        <v>1</v>
      </c>
      <c r="AH553">
        <f>VLOOKUP(A:A,[1]android_repos_all_metrics!B:K,9,FALSE)</f>
        <v>1</v>
      </c>
      <c r="AI553">
        <f>VLOOKUP(A:A,[1]android_repos_all_metrics!B:K,10,FALSE)</f>
        <v>0</v>
      </c>
    </row>
    <row r="554" spans="1:35">
      <c r="A554" t="s">
        <v>615</v>
      </c>
      <c r="B554" t="b">
        <v>1</v>
      </c>
      <c r="C554" t="b">
        <v>0</v>
      </c>
      <c r="D554" t="b">
        <v>0</v>
      </c>
      <c r="F554" t="b">
        <v>0</v>
      </c>
      <c r="H554" t="s">
        <v>37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>
        <v>1</v>
      </c>
      <c r="AB554">
        <v>0</v>
      </c>
      <c r="AC554">
        <f>VLOOKUP(A:A,[1]android_repos_all_metrics!B:K,4,FALSE)</f>
        <v>1200</v>
      </c>
      <c r="AD554">
        <f>VLOOKUP(A:A,[1]android_repos_all_metrics!B:K,5,FALSE)</f>
        <v>250</v>
      </c>
      <c r="AE554">
        <f>VLOOKUP(A:A,[1]android_repos_all_metrics!B:K,6,FALSE)</f>
        <v>15</v>
      </c>
      <c r="AF554">
        <f>VLOOKUP(A:A,[1]android_repos_all_metrics!B:K,7,FALSE)</f>
        <v>33115</v>
      </c>
      <c r="AG554">
        <f>VLOOKUP(A:A,[1]android_repos_all_metrics!B:K,8,FALSE)</f>
        <v>28</v>
      </c>
      <c r="AH554">
        <f>VLOOKUP(A:A,[1]android_repos_all_metrics!B:K,9,FALSE)</f>
        <v>129</v>
      </c>
      <c r="AI554">
        <f>VLOOKUP(A:A,[1]android_repos_all_metrics!B:K,10,FALSE)</f>
        <v>22</v>
      </c>
    </row>
    <row r="555" spans="1:35">
      <c r="A555" t="s">
        <v>616</v>
      </c>
      <c r="B555" t="b">
        <v>1</v>
      </c>
      <c r="C555" t="b">
        <v>0</v>
      </c>
      <c r="D555" t="b">
        <v>0</v>
      </c>
      <c r="F555" t="b">
        <v>0</v>
      </c>
      <c r="H555" t="s">
        <v>37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>
        <v>2</v>
      </c>
      <c r="AB555">
        <v>0</v>
      </c>
      <c r="AC555">
        <f>VLOOKUP(A:A,[1]android_repos_all_metrics!B:K,4,FALSE)</f>
        <v>379</v>
      </c>
      <c r="AD555">
        <f>VLOOKUP(A:A,[1]android_repos_all_metrics!B:K,5,FALSE)</f>
        <v>139</v>
      </c>
      <c r="AE555">
        <f>VLOOKUP(A:A,[1]android_repos_all_metrics!B:K,6,FALSE)</f>
        <v>9</v>
      </c>
      <c r="AF555">
        <f>VLOOKUP(A:A,[1]android_repos_all_metrics!B:K,7,FALSE)</f>
        <v>135460</v>
      </c>
      <c r="AG555">
        <f>VLOOKUP(A:A,[1]android_repos_all_metrics!B:K,8,FALSE)</f>
        <v>14</v>
      </c>
      <c r="AH555">
        <f>VLOOKUP(A:A,[1]android_repos_all_metrics!B:K,9,FALSE)</f>
        <v>37</v>
      </c>
      <c r="AI555">
        <f>VLOOKUP(A:A,[1]android_repos_all_metrics!B:K,10,FALSE)</f>
        <v>32</v>
      </c>
    </row>
    <row r="556" spans="1:35">
      <c r="A556" t="s">
        <v>617</v>
      </c>
      <c r="B556" t="b">
        <v>1</v>
      </c>
      <c r="C556" t="b">
        <v>0</v>
      </c>
      <c r="D556" t="b">
        <v>0</v>
      </c>
      <c r="F556" t="b">
        <v>0</v>
      </c>
      <c r="H556" t="s">
        <v>37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>
        <v>1</v>
      </c>
      <c r="AB556">
        <v>0</v>
      </c>
      <c r="AC556">
        <f>VLOOKUP(A:A,[1]android_repos_all_metrics!B:K,4,FALSE)</f>
        <v>71</v>
      </c>
      <c r="AD556">
        <f>VLOOKUP(A:A,[1]android_repos_all_metrics!B:K,5,FALSE)</f>
        <v>63</v>
      </c>
      <c r="AE556">
        <f>VLOOKUP(A:A,[1]android_repos_all_metrics!B:K,6,FALSE)</f>
        <v>2</v>
      </c>
      <c r="AF556">
        <f>VLOOKUP(A:A,[1]android_repos_all_metrics!B:K,7,FALSE)</f>
        <v>273</v>
      </c>
      <c r="AG556">
        <f>VLOOKUP(A:A,[1]android_repos_all_metrics!B:K,8,FALSE)</f>
        <v>0</v>
      </c>
      <c r="AH556">
        <f>VLOOKUP(A:A,[1]android_repos_all_metrics!B:K,9,FALSE)</f>
        <v>1</v>
      </c>
      <c r="AI556">
        <f>VLOOKUP(A:A,[1]android_repos_all_metrics!B:K,10,FALSE)</f>
        <v>1</v>
      </c>
    </row>
    <row r="557" spans="1:35">
      <c r="A557" t="s">
        <v>618</v>
      </c>
      <c r="B557" t="b">
        <v>1</v>
      </c>
      <c r="C557" t="b">
        <v>1</v>
      </c>
      <c r="D557" t="b">
        <v>1</v>
      </c>
      <c r="E557" t="s">
        <v>36</v>
      </c>
      <c r="F557" t="b">
        <v>0</v>
      </c>
      <c r="H557" t="s">
        <v>37</v>
      </c>
      <c r="I557" t="s">
        <v>37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>
        <v>1</v>
      </c>
      <c r="AA557">
        <v>1</v>
      </c>
      <c r="AB557">
        <v>0</v>
      </c>
      <c r="AC557">
        <f>VLOOKUP(A:A,[1]android_repos_all_metrics!B:K,4,FALSE)</f>
        <v>109</v>
      </c>
      <c r="AD557">
        <f>VLOOKUP(A:A,[1]android_repos_all_metrics!B:K,5,FALSE)</f>
        <v>40</v>
      </c>
      <c r="AE557">
        <f>VLOOKUP(A:A,[1]android_repos_all_metrics!B:K,6,FALSE)</f>
        <v>1</v>
      </c>
      <c r="AF557">
        <f>VLOOKUP(A:A,[1]android_repos_all_metrics!B:K,7,FALSE)</f>
        <v>1088</v>
      </c>
      <c r="AG557">
        <f>VLOOKUP(A:A,[1]android_repos_all_metrics!B:K,8,FALSE)</f>
        <v>0</v>
      </c>
      <c r="AH557">
        <f>VLOOKUP(A:A,[1]android_repos_all_metrics!B:K,9,FALSE)</f>
        <v>10</v>
      </c>
      <c r="AI557">
        <f>VLOOKUP(A:A,[1]android_repos_all_metrics!B:K,10,FALSE)</f>
        <v>0</v>
      </c>
    </row>
    <row r="558" spans="1:35">
      <c r="A558" t="s">
        <v>619</v>
      </c>
      <c r="B558" t="b">
        <v>1</v>
      </c>
      <c r="C558" t="b">
        <v>0</v>
      </c>
      <c r="D558" t="b">
        <v>0</v>
      </c>
      <c r="F558" t="b">
        <v>0</v>
      </c>
      <c r="H558" t="s">
        <v>37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>
        <v>2</v>
      </c>
      <c r="AB558">
        <v>0</v>
      </c>
      <c r="AC558">
        <f>VLOOKUP(A:A,[1]android_repos_all_metrics!B:K,4,FALSE)</f>
        <v>159</v>
      </c>
      <c r="AD558">
        <f>VLOOKUP(A:A,[1]android_repos_all_metrics!B:K,5,FALSE)</f>
        <v>1</v>
      </c>
      <c r="AE558">
        <f>VLOOKUP(A:A,[1]android_repos_all_metrics!B:K,6,FALSE)</f>
        <v>2</v>
      </c>
      <c r="AF558">
        <f>VLOOKUP(A:A,[1]android_repos_all_metrics!B:K,7,FALSE)</f>
        <v>2742</v>
      </c>
      <c r="AG558">
        <f>VLOOKUP(A:A,[1]android_repos_all_metrics!B:K,8,FALSE)</f>
        <v>4</v>
      </c>
      <c r="AH558">
        <f>VLOOKUP(A:A,[1]android_repos_all_metrics!B:K,9,FALSE)</f>
        <v>32</v>
      </c>
      <c r="AI558">
        <f>VLOOKUP(A:A,[1]android_repos_all_metrics!B:K,10,FALSE)</f>
        <v>0</v>
      </c>
    </row>
    <row r="559" spans="1:35">
      <c r="A559" t="s">
        <v>620</v>
      </c>
      <c r="B559" t="b">
        <v>1</v>
      </c>
      <c r="C559" t="b">
        <v>0</v>
      </c>
      <c r="D559" t="b">
        <v>0</v>
      </c>
      <c r="F559" t="b">
        <v>0</v>
      </c>
      <c r="H559" t="s">
        <v>41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>
        <v>1</v>
      </c>
      <c r="AB559">
        <v>0</v>
      </c>
      <c r="AC559">
        <f>VLOOKUP(A:A,[1]android_repos_all_metrics!B:K,4,FALSE)</f>
        <v>249</v>
      </c>
      <c r="AD559">
        <f>VLOOKUP(A:A,[1]android_repos_all_metrics!B:K,5,FALSE)</f>
        <v>1</v>
      </c>
      <c r="AE559">
        <f>VLOOKUP(A:A,[1]android_repos_all_metrics!B:K,6,FALSE)</f>
        <v>1</v>
      </c>
      <c r="AF559">
        <f>VLOOKUP(A:A,[1]android_repos_all_metrics!B:K,7,FALSE)</f>
        <v>22424</v>
      </c>
      <c r="AG559">
        <f>VLOOKUP(A:A,[1]android_repos_all_metrics!B:K,8,FALSE)</f>
        <v>26</v>
      </c>
      <c r="AH559">
        <f>VLOOKUP(A:A,[1]android_repos_all_metrics!B:K,9,FALSE)</f>
        <v>45</v>
      </c>
      <c r="AI559">
        <f>VLOOKUP(A:A,[1]android_repos_all_metrics!B:K,10,FALSE)</f>
        <v>0</v>
      </c>
    </row>
    <row r="560" spans="1:35">
      <c r="A560" t="s">
        <v>621</v>
      </c>
      <c r="B560" t="b">
        <v>1</v>
      </c>
      <c r="C560" t="b">
        <v>0</v>
      </c>
      <c r="D560" t="b">
        <v>0</v>
      </c>
      <c r="F560" t="b">
        <v>0</v>
      </c>
      <c r="H560" t="s">
        <v>37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>
        <v>1</v>
      </c>
      <c r="AB560">
        <v>0</v>
      </c>
      <c r="AC560">
        <f>VLOOKUP(A:A,[1]android_repos_all_metrics!B:K,4,FALSE)</f>
        <v>994</v>
      </c>
      <c r="AD560">
        <f>VLOOKUP(A:A,[1]android_repos_all_metrics!B:K,5,FALSE)</f>
        <v>3</v>
      </c>
      <c r="AE560">
        <f>VLOOKUP(A:A,[1]android_repos_all_metrics!B:K,6,FALSE)</f>
        <v>41</v>
      </c>
      <c r="AF560">
        <f>VLOOKUP(A:A,[1]android_repos_all_metrics!B:K,7,FALSE)</f>
        <v>3820</v>
      </c>
      <c r="AG560">
        <f>VLOOKUP(A:A,[1]android_repos_all_metrics!B:K,8,FALSE)</f>
        <v>9</v>
      </c>
      <c r="AH560">
        <f>VLOOKUP(A:A,[1]android_repos_all_metrics!B:K,9,FALSE)</f>
        <v>120</v>
      </c>
      <c r="AI560">
        <f>VLOOKUP(A:A,[1]android_repos_all_metrics!B:K,10,FALSE)</f>
        <v>7</v>
      </c>
    </row>
    <row r="561" spans="1:35">
      <c r="A561" t="s">
        <v>622</v>
      </c>
      <c r="B561" t="b">
        <v>1</v>
      </c>
      <c r="C561" t="b">
        <v>0</v>
      </c>
      <c r="D561" t="b">
        <v>0</v>
      </c>
      <c r="F561" t="b">
        <v>0</v>
      </c>
      <c r="H561" t="s">
        <v>37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>
        <v>2</v>
      </c>
      <c r="AB561">
        <v>0</v>
      </c>
      <c r="AC561">
        <f>VLOOKUP(A:A,[1]android_repos_all_metrics!B:K,4,FALSE)</f>
        <v>556</v>
      </c>
      <c r="AD561">
        <f>VLOOKUP(A:A,[1]android_repos_all_metrics!B:K,5,FALSE)</f>
        <v>19</v>
      </c>
      <c r="AE561">
        <f>VLOOKUP(A:A,[1]android_repos_all_metrics!B:K,6,FALSE)</f>
        <v>9</v>
      </c>
      <c r="AF561">
        <f>VLOOKUP(A:A,[1]android_repos_all_metrics!B:K,7,FALSE)</f>
        <v>9165</v>
      </c>
      <c r="AG561">
        <f>VLOOKUP(A:A,[1]android_repos_all_metrics!B:K,8,FALSE)</f>
        <v>1</v>
      </c>
      <c r="AH561">
        <f>VLOOKUP(A:A,[1]android_repos_all_metrics!B:K,9,FALSE)</f>
        <v>2</v>
      </c>
      <c r="AI561">
        <f>VLOOKUP(A:A,[1]android_repos_all_metrics!B:K,10,FALSE)</f>
        <v>0</v>
      </c>
    </row>
    <row r="562" spans="1:35">
      <c r="A562" t="s">
        <v>623</v>
      </c>
      <c r="B562" t="b">
        <v>1</v>
      </c>
      <c r="C562" t="b">
        <v>1</v>
      </c>
      <c r="D562" t="b">
        <v>0</v>
      </c>
      <c r="F562" t="b">
        <v>1</v>
      </c>
      <c r="G562" t="s">
        <v>39</v>
      </c>
      <c r="H562" t="s">
        <v>41</v>
      </c>
      <c r="I562" t="s">
        <v>41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>
        <v>1</v>
      </c>
      <c r="AB562">
        <v>0</v>
      </c>
      <c r="AC562" t="e">
        <f>VLOOKUP(A:A,[1]android_repos_all_metrics!B:K,4,FALSE)</f>
        <v>#N/A</v>
      </c>
      <c r="AD562" t="e">
        <f>VLOOKUP(A:A,[1]android_repos_all_metrics!B:K,5,FALSE)</f>
        <v>#N/A</v>
      </c>
      <c r="AE562" t="e">
        <f>VLOOKUP(A:A,[1]android_repos_all_metrics!B:K,6,FALSE)</f>
        <v>#N/A</v>
      </c>
      <c r="AF562" t="e">
        <f>VLOOKUP(A:A,[1]android_repos_all_metrics!B:K,7,FALSE)</f>
        <v>#N/A</v>
      </c>
      <c r="AG562" t="e">
        <f>VLOOKUP(A:A,[1]android_repos_all_metrics!B:K,8,FALSE)</f>
        <v>#N/A</v>
      </c>
      <c r="AH562" t="e">
        <f>VLOOKUP(A:A,[1]android_repos_all_metrics!B:K,9,FALSE)</f>
        <v>#N/A</v>
      </c>
      <c r="AI562" t="e">
        <f>VLOOKUP(A:A,[1]android_repos_all_metrics!B:K,10,FALSE)</f>
        <v>#N/A</v>
      </c>
    </row>
    <row r="563" spans="1:35">
      <c r="A563" t="s">
        <v>624</v>
      </c>
      <c r="B563" t="b">
        <v>1</v>
      </c>
      <c r="C563" t="b">
        <v>0</v>
      </c>
      <c r="D563" t="b">
        <v>0</v>
      </c>
      <c r="F563" t="b">
        <v>0</v>
      </c>
      <c r="H563" t="s">
        <v>37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>
        <v>2</v>
      </c>
      <c r="AB563">
        <v>0</v>
      </c>
      <c r="AC563">
        <f>VLOOKUP(A:A,[1]android_repos_all_metrics!B:K,4,FALSE)</f>
        <v>152</v>
      </c>
      <c r="AD563">
        <f>VLOOKUP(A:A,[1]android_repos_all_metrics!B:K,5,FALSE)</f>
        <v>15</v>
      </c>
      <c r="AE563">
        <f>VLOOKUP(A:A,[1]android_repos_all_metrics!B:K,6,FALSE)</f>
        <v>5</v>
      </c>
      <c r="AF563">
        <f>VLOOKUP(A:A,[1]android_repos_all_metrics!B:K,7,FALSE)</f>
        <v>1242</v>
      </c>
      <c r="AG563">
        <f>VLOOKUP(A:A,[1]android_repos_all_metrics!B:K,8,FALSE)</f>
        <v>6</v>
      </c>
      <c r="AH563">
        <f>VLOOKUP(A:A,[1]android_repos_all_metrics!B:K,9,FALSE)</f>
        <v>37</v>
      </c>
      <c r="AI563">
        <f>VLOOKUP(A:A,[1]android_repos_all_metrics!B:K,10,FALSE)</f>
        <v>3</v>
      </c>
    </row>
    <row r="564" spans="1:35">
      <c r="A564" t="s">
        <v>625</v>
      </c>
      <c r="B564" t="b">
        <v>1</v>
      </c>
      <c r="C564" t="b">
        <v>1</v>
      </c>
      <c r="D564" t="b">
        <v>1</v>
      </c>
      <c r="E564" t="s">
        <v>104</v>
      </c>
      <c r="F564" t="b">
        <v>0</v>
      </c>
      <c r="H564" t="s">
        <v>37</v>
      </c>
      <c r="I564" t="s">
        <v>37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1</v>
      </c>
      <c r="T564" t="b">
        <v>1</v>
      </c>
      <c r="U564" t="b">
        <v>1</v>
      </c>
      <c r="V564" t="b">
        <v>1</v>
      </c>
      <c r="W564" t="b">
        <v>0</v>
      </c>
      <c r="X564" t="b">
        <v>0</v>
      </c>
      <c r="Y564" t="b">
        <v>0</v>
      </c>
      <c r="Z564">
        <v>5</v>
      </c>
      <c r="AA564">
        <v>3</v>
      </c>
      <c r="AB564">
        <v>0</v>
      </c>
      <c r="AC564">
        <f>VLOOKUP(A:A,[1]android_repos_all_metrics!B:K,4,FALSE)</f>
        <v>398</v>
      </c>
      <c r="AD564">
        <f>VLOOKUP(A:A,[1]android_repos_all_metrics!B:K,5,FALSE)</f>
        <v>10</v>
      </c>
      <c r="AE564">
        <f>VLOOKUP(A:A,[1]android_repos_all_metrics!B:K,6,FALSE)</f>
        <v>2</v>
      </c>
      <c r="AF564">
        <f>VLOOKUP(A:A,[1]android_repos_all_metrics!B:K,7,FALSE)</f>
        <v>10378</v>
      </c>
      <c r="AG564">
        <f>VLOOKUP(A:A,[1]android_repos_all_metrics!B:K,8,FALSE)</f>
        <v>1</v>
      </c>
      <c r="AH564">
        <f>VLOOKUP(A:A,[1]android_repos_all_metrics!B:K,9,FALSE)</f>
        <v>5</v>
      </c>
      <c r="AI564">
        <f>VLOOKUP(A:A,[1]android_repos_all_metrics!B:K,10,FALSE)</f>
        <v>1</v>
      </c>
    </row>
    <row r="565" spans="1:35">
      <c r="A565" t="s">
        <v>626</v>
      </c>
      <c r="B565" t="b">
        <v>1</v>
      </c>
      <c r="C565" t="b">
        <v>1</v>
      </c>
      <c r="D565" t="b">
        <v>0</v>
      </c>
      <c r="F565" t="b">
        <v>1</v>
      </c>
      <c r="G565" t="s">
        <v>39</v>
      </c>
      <c r="H565" t="s">
        <v>41</v>
      </c>
      <c r="I565" t="s">
        <v>41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>
        <v>1</v>
      </c>
      <c r="AB565">
        <v>0</v>
      </c>
      <c r="AC565">
        <f>VLOOKUP(A:A,[1]android_repos_all_metrics!B:K,4,FALSE)</f>
        <v>123</v>
      </c>
      <c r="AD565">
        <f>VLOOKUP(A:A,[1]android_repos_all_metrics!B:K,5,FALSE)</f>
        <v>24</v>
      </c>
      <c r="AE565">
        <f>VLOOKUP(A:A,[1]android_repos_all_metrics!B:K,6,FALSE)</f>
        <v>10</v>
      </c>
      <c r="AF565">
        <f>VLOOKUP(A:A,[1]android_repos_all_metrics!B:K,7,FALSE)</f>
        <v>8264</v>
      </c>
      <c r="AG565">
        <f>VLOOKUP(A:A,[1]android_repos_all_metrics!B:K,8,FALSE)</f>
        <v>186</v>
      </c>
      <c r="AH565">
        <f>VLOOKUP(A:A,[1]android_repos_all_metrics!B:K,9,FALSE)</f>
        <v>902</v>
      </c>
      <c r="AI565">
        <f>VLOOKUP(A:A,[1]android_repos_all_metrics!B:K,10,FALSE)</f>
        <v>36</v>
      </c>
    </row>
    <row r="566" spans="1:35">
      <c r="A566" t="s">
        <v>627</v>
      </c>
      <c r="B566" t="b">
        <v>0</v>
      </c>
      <c r="C566" t="b">
        <v>0</v>
      </c>
      <c r="D566" t="b">
        <v>0</v>
      </c>
      <c r="F566" t="b">
        <v>0</v>
      </c>
      <c r="H566" t="s">
        <v>41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>
        <v>1</v>
      </c>
      <c r="AB566">
        <v>0</v>
      </c>
      <c r="AC566">
        <f>VLOOKUP(A:A,[1]android_repos_all_metrics!B:K,4,FALSE)</f>
        <v>6</v>
      </c>
      <c r="AD566">
        <f>VLOOKUP(A:A,[1]android_repos_all_metrics!B:K,5,FALSE)</f>
        <v>0</v>
      </c>
      <c r="AE566">
        <f>VLOOKUP(A:A,[1]android_repos_all_metrics!B:K,6,FALSE)</f>
        <v>1</v>
      </c>
      <c r="AF566">
        <f>VLOOKUP(A:A,[1]android_repos_all_metrics!B:K,7,FALSE)</f>
        <v>22635</v>
      </c>
      <c r="AG566">
        <f>VLOOKUP(A:A,[1]android_repos_all_metrics!B:K,8,FALSE)</f>
        <v>0</v>
      </c>
      <c r="AH566">
        <f>VLOOKUP(A:A,[1]android_repos_all_metrics!B:K,9,FALSE)</f>
        <v>2</v>
      </c>
      <c r="AI566">
        <f>VLOOKUP(A:A,[1]android_repos_all_metrics!B:K,10,FALSE)</f>
        <v>0</v>
      </c>
    </row>
    <row r="567" spans="1:35">
      <c r="A567" t="s">
        <v>628</v>
      </c>
      <c r="B567" t="b">
        <v>0</v>
      </c>
      <c r="C567" t="b">
        <v>0</v>
      </c>
      <c r="D567" t="b">
        <v>0</v>
      </c>
      <c r="F567" t="b">
        <v>0</v>
      </c>
      <c r="H567" t="s">
        <v>43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>
        <v>1</v>
      </c>
      <c r="AB567">
        <v>0</v>
      </c>
      <c r="AC567">
        <f>VLOOKUP(A:A,[1]android_repos_all_metrics!B:K,4,FALSE)</f>
        <v>64</v>
      </c>
      <c r="AD567">
        <f>VLOOKUP(A:A,[1]android_repos_all_metrics!B:K,5,FALSE)</f>
        <v>2</v>
      </c>
      <c r="AE567">
        <f>VLOOKUP(A:A,[1]android_repos_all_metrics!B:K,6,FALSE)</f>
        <v>1</v>
      </c>
      <c r="AF567">
        <f>VLOOKUP(A:A,[1]android_repos_all_metrics!B:K,7,FALSE)</f>
        <v>2160</v>
      </c>
      <c r="AG567">
        <f>VLOOKUP(A:A,[1]android_repos_all_metrics!B:K,8,FALSE)</f>
        <v>0</v>
      </c>
      <c r="AH567">
        <f>VLOOKUP(A:A,[1]android_repos_all_metrics!B:K,9,FALSE)</f>
        <v>1</v>
      </c>
      <c r="AI567">
        <f>VLOOKUP(A:A,[1]android_repos_all_metrics!B:K,10,FALSE)</f>
        <v>4</v>
      </c>
    </row>
    <row r="568" spans="1:35">
      <c r="A568" t="s">
        <v>629</v>
      </c>
      <c r="B568" t="b">
        <v>1</v>
      </c>
      <c r="C568" t="b">
        <v>0</v>
      </c>
      <c r="D568" t="b">
        <v>0</v>
      </c>
      <c r="F568" t="b">
        <v>0</v>
      </c>
      <c r="H568" t="s">
        <v>37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>
        <v>3</v>
      </c>
      <c r="AB568">
        <v>0</v>
      </c>
      <c r="AC568">
        <f>VLOOKUP(A:A,[1]android_repos_all_metrics!B:K,4,FALSE)</f>
        <v>83</v>
      </c>
      <c r="AD568">
        <f>VLOOKUP(A:A,[1]android_repos_all_metrics!B:K,5,FALSE)</f>
        <v>41</v>
      </c>
      <c r="AE568">
        <f>VLOOKUP(A:A,[1]android_repos_all_metrics!B:K,6,FALSE)</f>
        <v>6</v>
      </c>
      <c r="AF568">
        <f>VLOOKUP(A:A,[1]android_repos_all_metrics!B:K,7,FALSE)</f>
        <v>1887</v>
      </c>
      <c r="AG568">
        <f>VLOOKUP(A:A,[1]android_repos_all_metrics!B:K,8,FALSE)</f>
        <v>1</v>
      </c>
      <c r="AH568">
        <f>VLOOKUP(A:A,[1]android_repos_all_metrics!B:K,9,FALSE)</f>
        <v>7</v>
      </c>
      <c r="AI568">
        <f>VLOOKUP(A:A,[1]android_repos_all_metrics!B:K,10,FALSE)</f>
        <v>9</v>
      </c>
    </row>
    <row r="569" spans="1:35">
      <c r="A569" t="s">
        <v>630</v>
      </c>
      <c r="B569" t="b">
        <v>1</v>
      </c>
      <c r="C569" t="b">
        <v>0</v>
      </c>
      <c r="D569" t="b">
        <v>0</v>
      </c>
      <c r="F569" t="b">
        <v>0</v>
      </c>
      <c r="H569" t="s">
        <v>37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>
        <v>1</v>
      </c>
      <c r="AB569">
        <v>0</v>
      </c>
      <c r="AC569">
        <f>VLOOKUP(A:A,[1]android_repos_all_metrics!B:K,4,FALSE)</f>
        <v>37</v>
      </c>
      <c r="AD569">
        <f>VLOOKUP(A:A,[1]android_repos_all_metrics!B:K,5,FALSE)</f>
        <v>1</v>
      </c>
      <c r="AE569">
        <f>VLOOKUP(A:A,[1]android_repos_all_metrics!B:K,6,FALSE)</f>
        <v>1</v>
      </c>
      <c r="AF569">
        <f>VLOOKUP(A:A,[1]android_repos_all_metrics!B:K,7,FALSE)</f>
        <v>1842</v>
      </c>
      <c r="AG569">
        <f>VLOOKUP(A:A,[1]android_repos_all_metrics!B:K,8,FALSE)</f>
        <v>2</v>
      </c>
      <c r="AH569">
        <f>VLOOKUP(A:A,[1]android_repos_all_metrics!B:K,9,FALSE)</f>
        <v>2</v>
      </c>
      <c r="AI569">
        <f>VLOOKUP(A:A,[1]android_repos_all_metrics!B:K,10,FALSE)</f>
        <v>0</v>
      </c>
    </row>
    <row r="570" spans="1:35">
      <c r="A570" t="s">
        <v>631</v>
      </c>
      <c r="B570" t="b">
        <v>0</v>
      </c>
      <c r="C570" t="b">
        <v>0</v>
      </c>
      <c r="D570" t="b">
        <v>0</v>
      </c>
      <c r="F570" t="b">
        <v>0</v>
      </c>
      <c r="H570" t="s">
        <v>41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>
        <v>1</v>
      </c>
      <c r="AB570">
        <v>1</v>
      </c>
      <c r="AC570">
        <f>VLOOKUP(A:A,[1]android_repos_all_metrics!B:K,4,FALSE)</f>
        <v>348</v>
      </c>
      <c r="AD570">
        <f>VLOOKUP(A:A,[1]android_repos_all_metrics!B:K,5,FALSE)</f>
        <v>21</v>
      </c>
      <c r="AE570">
        <f>VLOOKUP(A:A,[1]android_repos_all_metrics!B:K,6,FALSE)</f>
        <v>11</v>
      </c>
      <c r="AF570">
        <f>VLOOKUP(A:A,[1]android_repos_all_metrics!B:K,7,FALSE)</f>
        <v>2644</v>
      </c>
      <c r="AG570">
        <f>VLOOKUP(A:A,[1]android_repos_all_metrics!B:K,8,FALSE)</f>
        <v>27</v>
      </c>
      <c r="AH570">
        <f>VLOOKUP(A:A,[1]android_repos_all_metrics!B:K,9,FALSE)</f>
        <v>115</v>
      </c>
      <c r="AI570">
        <f>VLOOKUP(A:A,[1]android_repos_all_metrics!B:K,10,FALSE)</f>
        <v>0</v>
      </c>
    </row>
    <row r="571" spans="1:35">
      <c r="A571" t="s">
        <v>632</v>
      </c>
      <c r="B571" t="b">
        <v>1</v>
      </c>
      <c r="C571" t="b">
        <v>0</v>
      </c>
      <c r="D571" t="b">
        <v>0</v>
      </c>
      <c r="F571" t="b">
        <v>0</v>
      </c>
      <c r="H571" t="s">
        <v>37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>
        <v>1</v>
      </c>
      <c r="AB571">
        <v>0</v>
      </c>
      <c r="AC571">
        <f>VLOOKUP(A:A,[1]android_repos_all_metrics!B:K,4,FALSE)</f>
        <v>100</v>
      </c>
      <c r="AD571">
        <f>VLOOKUP(A:A,[1]android_repos_all_metrics!B:K,5,FALSE)</f>
        <v>18</v>
      </c>
      <c r="AE571">
        <f>VLOOKUP(A:A,[1]android_repos_all_metrics!B:K,6,FALSE)</f>
        <v>3</v>
      </c>
      <c r="AF571">
        <f>VLOOKUP(A:A,[1]android_repos_all_metrics!B:K,7,FALSE)</f>
        <v>9332</v>
      </c>
      <c r="AG571">
        <f>VLOOKUP(A:A,[1]android_repos_all_metrics!B:K,8,FALSE)</f>
        <v>2</v>
      </c>
      <c r="AH571">
        <f>VLOOKUP(A:A,[1]android_repos_all_metrics!B:K,9,FALSE)</f>
        <v>1</v>
      </c>
      <c r="AI571">
        <f>VLOOKUP(A:A,[1]android_repos_all_metrics!B:K,10,FALSE)</f>
        <v>0</v>
      </c>
    </row>
    <row r="572" spans="1:35">
      <c r="A572" t="s">
        <v>633</v>
      </c>
      <c r="B572" t="b">
        <v>1</v>
      </c>
      <c r="C572" t="b">
        <v>0</v>
      </c>
      <c r="D572" t="b">
        <v>0</v>
      </c>
      <c r="F572" t="b">
        <v>0</v>
      </c>
      <c r="H572" t="s">
        <v>37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>
        <v>1</v>
      </c>
      <c r="AB572">
        <v>0</v>
      </c>
      <c r="AC572">
        <f>VLOOKUP(A:A,[1]android_repos_all_metrics!B:K,4,FALSE)</f>
        <v>351</v>
      </c>
      <c r="AD572">
        <f>VLOOKUP(A:A,[1]android_repos_all_metrics!B:K,5,FALSE)</f>
        <v>11</v>
      </c>
      <c r="AE572">
        <f>VLOOKUP(A:A,[1]android_repos_all_metrics!B:K,6,FALSE)</f>
        <v>6</v>
      </c>
      <c r="AF572">
        <f>VLOOKUP(A:A,[1]android_repos_all_metrics!B:K,7,FALSE)</f>
        <v>1767</v>
      </c>
      <c r="AG572">
        <f>VLOOKUP(A:A,[1]android_repos_all_metrics!B:K,8,FALSE)</f>
        <v>209</v>
      </c>
      <c r="AH572">
        <f>VLOOKUP(A:A,[1]android_repos_all_metrics!B:K,9,FALSE)</f>
        <v>1338</v>
      </c>
      <c r="AI572">
        <f>VLOOKUP(A:A,[1]android_repos_all_metrics!B:K,10,FALSE)</f>
        <v>10</v>
      </c>
    </row>
    <row r="573" spans="1:35">
      <c r="A573" t="s">
        <v>634</v>
      </c>
      <c r="B573" t="b">
        <v>1</v>
      </c>
      <c r="C573" t="b">
        <v>1</v>
      </c>
      <c r="D573" t="b">
        <v>1</v>
      </c>
      <c r="E573" t="s">
        <v>104</v>
      </c>
      <c r="F573" t="b">
        <v>0</v>
      </c>
      <c r="H573" t="s">
        <v>37</v>
      </c>
      <c r="I573" t="s">
        <v>37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>
        <v>1</v>
      </c>
      <c r="AA573">
        <v>2</v>
      </c>
      <c r="AB573">
        <v>0</v>
      </c>
      <c r="AC573">
        <f>VLOOKUP(A:A,[1]android_repos_all_metrics!B:K,4,FALSE)</f>
        <v>375</v>
      </c>
      <c r="AD573">
        <f>VLOOKUP(A:A,[1]android_repos_all_metrics!B:K,5,FALSE)</f>
        <v>134</v>
      </c>
      <c r="AE573">
        <f>VLOOKUP(A:A,[1]android_repos_all_metrics!B:K,6,FALSE)</f>
        <v>3</v>
      </c>
      <c r="AF573">
        <f>VLOOKUP(A:A,[1]android_repos_all_metrics!B:K,7,FALSE)</f>
        <v>26438</v>
      </c>
      <c r="AG573">
        <f>VLOOKUP(A:A,[1]android_repos_all_metrics!B:K,8,FALSE)</f>
        <v>2</v>
      </c>
      <c r="AH573">
        <f>VLOOKUP(A:A,[1]android_repos_all_metrics!B:K,9,FALSE)</f>
        <v>33</v>
      </c>
      <c r="AI573">
        <f>VLOOKUP(A:A,[1]android_repos_all_metrics!B:K,10,FALSE)</f>
        <v>21</v>
      </c>
    </row>
    <row r="574" spans="1:35">
      <c r="A574" t="s">
        <v>635</v>
      </c>
      <c r="B574" t="b">
        <v>1</v>
      </c>
      <c r="C574" t="b">
        <v>1</v>
      </c>
      <c r="D574" t="b">
        <v>1</v>
      </c>
      <c r="E574" t="s">
        <v>557</v>
      </c>
      <c r="F574" t="b">
        <v>0</v>
      </c>
      <c r="H574" t="s">
        <v>37</v>
      </c>
      <c r="I574" t="s">
        <v>37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>
        <v>2</v>
      </c>
      <c r="AB574">
        <v>0</v>
      </c>
      <c r="AC574">
        <f>VLOOKUP(A:A,[1]android_repos_all_metrics!B:K,4,FALSE)</f>
        <v>121</v>
      </c>
      <c r="AD574">
        <f>VLOOKUP(A:A,[1]android_repos_all_metrics!B:K,5,FALSE)</f>
        <v>14</v>
      </c>
      <c r="AE574">
        <f>VLOOKUP(A:A,[1]android_repos_all_metrics!B:K,6,FALSE)</f>
        <v>2</v>
      </c>
      <c r="AF574">
        <f>VLOOKUP(A:A,[1]android_repos_all_metrics!B:K,7,FALSE)</f>
        <v>513</v>
      </c>
      <c r="AG574">
        <f>VLOOKUP(A:A,[1]android_repos_all_metrics!B:K,8,FALSE)</f>
        <v>2</v>
      </c>
      <c r="AH574">
        <f>VLOOKUP(A:A,[1]android_repos_all_metrics!B:K,9,FALSE)</f>
        <v>8</v>
      </c>
      <c r="AI574">
        <f>VLOOKUP(A:A,[1]android_repos_all_metrics!B:K,10,FALSE)</f>
        <v>2</v>
      </c>
    </row>
    <row r="575" spans="1:35">
      <c r="A575" t="s">
        <v>636</v>
      </c>
      <c r="B575" t="b">
        <v>1</v>
      </c>
      <c r="C575" t="b">
        <v>0</v>
      </c>
      <c r="D575" t="b">
        <v>0</v>
      </c>
      <c r="F575" t="b">
        <v>0</v>
      </c>
      <c r="H575" t="s">
        <v>37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>
        <v>4</v>
      </c>
      <c r="AB575">
        <v>0</v>
      </c>
      <c r="AC575">
        <f>VLOOKUP(A:A,[1]android_repos_all_metrics!B:K,4,FALSE)</f>
        <v>103</v>
      </c>
      <c r="AD575">
        <f>VLOOKUP(A:A,[1]android_repos_all_metrics!B:K,5,FALSE)</f>
        <v>26</v>
      </c>
      <c r="AE575">
        <f>VLOOKUP(A:A,[1]android_repos_all_metrics!B:K,6,FALSE)</f>
        <v>2</v>
      </c>
      <c r="AF575">
        <f>VLOOKUP(A:A,[1]android_repos_all_metrics!B:K,7,FALSE)</f>
        <v>2638</v>
      </c>
      <c r="AG575">
        <f>VLOOKUP(A:A,[1]android_repos_all_metrics!B:K,8,FALSE)</f>
        <v>0</v>
      </c>
      <c r="AH575">
        <f>VLOOKUP(A:A,[1]android_repos_all_metrics!B:K,9,FALSE)</f>
        <v>4</v>
      </c>
      <c r="AI575">
        <f>VLOOKUP(A:A,[1]android_repos_all_metrics!B:K,10,FALSE)</f>
        <v>4</v>
      </c>
    </row>
    <row r="576" spans="1:35">
      <c r="A576" t="s">
        <v>637</v>
      </c>
      <c r="B576" t="b">
        <v>1</v>
      </c>
      <c r="C576" t="b">
        <v>0</v>
      </c>
      <c r="D576" t="b">
        <v>0</v>
      </c>
      <c r="F576" t="b">
        <v>0</v>
      </c>
      <c r="H576" t="s">
        <v>37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>
        <v>1</v>
      </c>
      <c r="AB576">
        <v>0</v>
      </c>
      <c r="AC576">
        <f>VLOOKUP(A:A,[1]android_repos_all_metrics!B:K,4,FALSE)</f>
        <v>558</v>
      </c>
      <c r="AD576">
        <f>VLOOKUP(A:A,[1]android_repos_all_metrics!B:K,5,FALSE)</f>
        <v>5</v>
      </c>
      <c r="AE576">
        <f>VLOOKUP(A:A,[1]android_repos_all_metrics!B:K,6,FALSE)</f>
        <v>2</v>
      </c>
      <c r="AF576">
        <f>VLOOKUP(A:A,[1]android_repos_all_metrics!B:K,7,FALSE)</f>
        <v>13817</v>
      </c>
      <c r="AG576">
        <f>VLOOKUP(A:A,[1]android_repos_all_metrics!B:K,8,FALSE)</f>
        <v>3</v>
      </c>
      <c r="AH576">
        <f>VLOOKUP(A:A,[1]android_repos_all_metrics!B:K,9,FALSE)</f>
        <v>13</v>
      </c>
      <c r="AI576">
        <f>VLOOKUP(A:A,[1]android_repos_all_metrics!B:K,10,FALSE)</f>
        <v>3</v>
      </c>
    </row>
    <row r="577" spans="1:35">
      <c r="A577" t="s">
        <v>638</v>
      </c>
      <c r="B577" t="b">
        <v>1</v>
      </c>
      <c r="C577" t="b">
        <v>0</v>
      </c>
      <c r="D577" t="b">
        <v>0</v>
      </c>
      <c r="F577" t="b">
        <v>0</v>
      </c>
      <c r="H577" t="s">
        <v>37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>
        <v>2</v>
      </c>
      <c r="AB577">
        <v>0</v>
      </c>
      <c r="AC577">
        <f>VLOOKUP(A:A,[1]android_repos_all_metrics!B:K,4,FALSE)</f>
        <v>74</v>
      </c>
      <c r="AD577">
        <f>VLOOKUP(A:A,[1]android_repos_all_metrics!B:K,5,FALSE)</f>
        <v>27</v>
      </c>
      <c r="AE577">
        <f>VLOOKUP(A:A,[1]android_repos_all_metrics!B:K,6,FALSE)</f>
        <v>2</v>
      </c>
      <c r="AF577">
        <f>VLOOKUP(A:A,[1]android_repos_all_metrics!B:K,7,FALSE)</f>
        <v>3540</v>
      </c>
      <c r="AG577">
        <f>VLOOKUP(A:A,[1]android_repos_all_metrics!B:K,8,FALSE)</f>
        <v>0</v>
      </c>
      <c r="AH577">
        <f>VLOOKUP(A:A,[1]android_repos_all_metrics!B:K,9,FALSE)</f>
        <v>1</v>
      </c>
      <c r="AI577">
        <f>VLOOKUP(A:A,[1]android_repos_all_metrics!B:K,10,FALSE)</f>
        <v>10</v>
      </c>
    </row>
    <row r="578" spans="1:35">
      <c r="A578" t="s">
        <v>639</v>
      </c>
      <c r="B578" t="b">
        <v>1</v>
      </c>
      <c r="C578" t="b">
        <v>0</v>
      </c>
      <c r="D578" t="b">
        <v>0</v>
      </c>
      <c r="F578" t="b">
        <v>0</v>
      </c>
      <c r="H578" t="s">
        <v>43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>
        <v>1</v>
      </c>
      <c r="AB578">
        <v>0</v>
      </c>
      <c r="AC578">
        <f>VLOOKUP(A:A,[1]android_repos_all_metrics!B:K,4,FALSE)</f>
        <v>99</v>
      </c>
      <c r="AD578">
        <f>VLOOKUP(A:A,[1]android_repos_all_metrics!B:K,5,FALSE)</f>
        <v>3</v>
      </c>
      <c r="AE578">
        <f>VLOOKUP(A:A,[1]android_repos_all_metrics!B:K,6,FALSE)</f>
        <v>1</v>
      </c>
      <c r="AF578">
        <f>VLOOKUP(A:A,[1]android_repos_all_metrics!B:K,7,FALSE)</f>
        <v>670</v>
      </c>
      <c r="AG578">
        <f>VLOOKUP(A:A,[1]android_repos_all_metrics!B:K,8,FALSE)</f>
        <v>1</v>
      </c>
      <c r="AH578">
        <f>VLOOKUP(A:A,[1]android_repos_all_metrics!B:K,9,FALSE)</f>
        <v>8</v>
      </c>
      <c r="AI578">
        <f>VLOOKUP(A:A,[1]android_repos_all_metrics!B:K,10,FALSE)</f>
        <v>0</v>
      </c>
    </row>
    <row r="579" spans="1:35">
      <c r="A579" t="s">
        <v>640</v>
      </c>
      <c r="B579" t="b">
        <v>1</v>
      </c>
      <c r="C579" t="b">
        <v>1</v>
      </c>
      <c r="D579" t="b">
        <v>0</v>
      </c>
      <c r="F579" t="b">
        <v>1</v>
      </c>
      <c r="G579" t="s">
        <v>39</v>
      </c>
      <c r="H579" t="s">
        <v>41</v>
      </c>
      <c r="I579" t="s">
        <v>41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>
        <v>1</v>
      </c>
      <c r="AB579">
        <v>0</v>
      </c>
      <c r="AC579">
        <f>VLOOKUP(A:A,[1]android_repos_all_metrics!B:K,4,FALSE)</f>
        <v>73</v>
      </c>
      <c r="AD579">
        <f>VLOOKUP(A:A,[1]android_repos_all_metrics!B:K,5,FALSE)</f>
        <v>17</v>
      </c>
      <c r="AE579">
        <f>VLOOKUP(A:A,[1]android_repos_all_metrics!B:K,6,FALSE)</f>
        <v>1</v>
      </c>
      <c r="AF579">
        <f>VLOOKUP(A:A,[1]android_repos_all_metrics!B:K,7,FALSE)</f>
        <v>827</v>
      </c>
      <c r="AG579">
        <f>VLOOKUP(A:A,[1]android_repos_all_metrics!B:K,8,FALSE)</f>
        <v>3</v>
      </c>
      <c r="AH579">
        <f>VLOOKUP(A:A,[1]android_repos_all_metrics!B:K,9,FALSE)</f>
        <v>3</v>
      </c>
      <c r="AI579">
        <f>VLOOKUP(A:A,[1]android_repos_all_metrics!B:K,10,FALSE)</f>
        <v>0</v>
      </c>
    </row>
    <row r="580" spans="1:35">
      <c r="A580" t="s">
        <v>641</v>
      </c>
      <c r="B580" t="b">
        <v>1</v>
      </c>
      <c r="C580" t="b">
        <v>0</v>
      </c>
      <c r="D580" t="b">
        <v>0</v>
      </c>
      <c r="F580" t="b">
        <v>0</v>
      </c>
      <c r="H580" t="s">
        <v>37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>
        <v>1</v>
      </c>
      <c r="AB580">
        <v>0</v>
      </c>
      <c r="AC580">
        <f>VLOOKUP(A:A,[1]android_repos_all_metrics!B:K,4,FALSE)</f>
        <v>78</v>
      </c>
      <c r="AD580">
        <f>VLOOKUP(A:A,[1]android_repos_all_metrics!B:K,5,FALSE)</f>
        <v>1</v>
      </c>
      <c r="AE580">
        <f>VLOOKUP(A:A,[1]android_repos_all_metrics!B:K,6,FALSE)</f>
        <v>2</v>
      </c>
      <c r="AF580">
        <f>VLOOKUP(A:A,[1]android_repos_all_metrics!B:K,7,FALSE)</f>
        <v>1663</v>
      </c>
      <c r="AG580">
        <f>VLOOKUP(A:A,[1]android_repos_all_metrics!B:K,8,FALSE)</f>
        <v>18</v>
      </c>
      <c r="AH580">
        <f>VLOOKUP(A:A,[1]android_repos_all_metrics!B:K,9,FALSE)</f>
        <v>449</v>
      </c>
      <c r="AI580">
        <f>VLOOKUP(A:A,[1]android_repos_all_metrics!B:K,10,FALSE)</f>
        <v>6</v>
      </c>
    </row>
    <row r="581" spans="1:35">
      <c r="A581" t="s">
        <v>642</v>
      </c>
      <c r="B581" t="b">
        <v>1</v>
      </c>
      <c r="C581" t="b">
        <v>0</v>
      </c>
      <c r="D581" t="b">
        <v>0</v>
      </c>
      <c r="F581" t="b">
        <v>0</v>
      </c>
      <c r="H581" t="s">
        <v>37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>
        <v>1</v>
      </c>
      <c r="AB581">
        <v>0</v>
      </c>
      <c r="AC581">
        <f>VLOOKUP(A:A,[1]android_repos_all_metrics!B:K,4,FALSE)</f>
        <v>673</v>
      </c>
      <c r="AD581">
        <f>VLOOKUP(A:A,[1]android_repos_all_metrics!B:K,5,FALSE)</f>
        <v>132</v>
      </c>
      <c r="AE581">
        <f>VLOOKUP(A:A,[1]android_repos_all_metrics!B:K,6,FALSE)</f>
        <v>16</v>
      </c>
      <c r="AF581">
        <f>VLOOKUP(A:A,[1]android_repos_all_metrics!B:K,7,FALSE)</f>
        <v>12092</v>
      </c>
      <c r="AG581">
        <f>VLOOKUP(A:A,[1]android_repos_all_metrics!B:K,8,FALSE)</f>
        <v>34</v>
      </c>
      <c r="AH581">
        <f>VLOOKUP(A:A,[1]android_repos_all_metrics!B:K,9,FALSE)</f>
        <v>115</v>
      </c>
      <c r="AI581">
        <f>VLOOKUP(A:A,[1]android_repos_all_metrics!B:K,10,FALSE)</f>
        <v>18</v>
      </c>
    </row>
    <row r="582" spans="1:35">
      <c r="A582" t="s">
        <v>643</v>
      </c>
      <c r="B582" t="b">
        <v>1</v>
      </c>
      <c r="C582" t="b">
        <v>0</v>
      </c>
      <c r="D582" t="b">
        <v>0</v>
      </c>
      <c r="F582" t="b">
        <v>0</v>
      </c>
      <c r="H582" t="s">
        <v>37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>
        <v>1</v>
      </c>
      <c r="AB582">
        <v>0</v>
      </c>
      <c r="AC582">
        <f>VLOOKUP(A:A,[1]android_repos_all_metrics!B:K,4,FALSE)</f>
        <v>1729</v>
      </c>
      <c r="AD582">
        <f>VLOOKUP(A:A,[1]android_repos_all_metrics!B:K,5,FALSE)</f>
        <v>255</v>
      </c>
      <c r="AE582">
        <f>VLOOKUP(A:A,[1]android_repos_all_metrics!B:K,6,FALSE)</f>
        <v>35</v>
      </c>
      <c r="AF582">
        <f>VLOOKUP(A:A,[1]android_repos_all_metrics!B:K,7,FALSE)</f>
        <v>31841</v>
      </c>
      <c r="AG582">
        <f>VLOOKUP(A:A,[1]android_repos_all_metrics!B:K,8,FALSE)</f>
        <v>36</v>
      </c>
      <c r="AH582">
        <f>VLOOKUP(A:A,[1]android_repos_all_metrics!B:K,9,FALSE)</f>
        <v>207</v>
      </c>
      <c r="AI582">
        <f>VLOOKUP(A:A,[1]android_repos_all_metrics!B:K,10,FALSE)</f>
        <v>46</v>
      </c>
    </row>
    <row r="583" spans="1:35">
      <c r="A583" t="s">
        <v>644</v>
      </c>
      <c r="B583" t="b">
        <v>1</v>
      </c>
      <c r="C583" t="b">
        <v>0</v>
      </c>
      <c r="D583" t="b">
        <v>0</v>
      </c>
      <c r="F583" t="b">
        <v>0</v>
      </c>
      <c r="H583" t="s">
        <v>37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>
        <v>3</v>
      </c>
      <c r="AB583">
        <v>0</v>
      </c>
      <c r="AC583">
        <f>VLOOKUP(A:A,[1]android_repos_all_metrics!B:K,4,FALSE)</f>
        <v>2091</v>
      </c>
      <c r="AD583">
        <f>VLOOKUP(A:A,[1]android_repos_all_metrics!B:K,5,FALSE)</f>
        <v>29</v>
      </c>
      <c r="AE583">
        <f>VLOOKUP(A:A,[1]android_repos_all_metrics!B:K,6,FALSE)</f>
        <v>12</v>
      </c>
      <c r="AF583">
        <f>VLOOKUP(A:A,[1]android_repos_all_metrics!B:K,7,FALSE)</f>
        <v>142125</v>
      </c>
      <c r="AG583">
        <f>VLOOKUP(A:A,[1]android_repos_all_metrics!B:K,8,FALSE)</f>
        <v>25</v>
      </c>
      <c r="AH583">
        <f>VLOOKUP(A:A,[1]android_repos_all_metrics!B:K,9,FALSE)</f>
        <v>142</v>
      </c>
      <c r="AI583">
        <f>VLOOKUP(A:A,[1]android_repos_all_metrics!B:K,10,FALSE)</f>
        <v>20</v>
      </c>
    </row>
    <row r="584" spans="1:35">
      <c r="A584" t="s">
        <v>645</v>
      </c>
      <c r="B584" t="b">
        <v>1</v>
      </c>
      <c r="C584" t="b">
        <v>0</v>
      </c>
      <c r="D584" t="b">
        <v>0</v>
      </c>
      <c r="F584" t="b">
        <v>0</v>
      </c>
      <c r="H584" t="s">
        <v>41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>
        <v>1</v>
      </c>
      <c r="AB584">
        <v>0</v>
      </c>
      <c r="AC584">
        <f>VLOOKUP(A:A,[1]android_repos_all_metrics!B:K,4,FALSE)</f>
        <v>340</v>
      </c>
      <c r="AD584">
        <f>VLOOKUP(A:A,[1]android_repos_all_metrics!B:K,5,FALSE)</f>
        <v>31</v>
      </c>
      <c r="AE584">
        <f>VLOOKUP(A:A,[1]android_repos_all_metrics!B:K,6,FALSE)</f>
        <v>1</v>
      </c>
      <c r="AF584">
        <f>VLOOKUP(A:A,[1]android_repos_all_metrics!B:K,7,FALSE)</f>
        <v>2729</v>
      </c>
      <c r="AG584">
        <f>VLOOKUP(A:A,[1]android_repos_all_metrics!B:K,8,FALSE)</f>
        <v>0</v>
      </c>
      <c r="AH584">
        <f>VLOOKUP(A:A,[1]android_repos_all_metrics!B:K,9,FALSE)</f>
        <v>2</v>
      </c>
      <c r="AI584">
        <f>VLOOKUP(A:A,[1]android_repos_all_metrics!B:K,10,FALSE)</f>
        <v>13</v>
      </c>
    </row>
    <row r="585" spans="1:35">
      <c r="A585" t="s">
        <v>646</v>
      </c>
      <c r="B585" t="b">
        <v>1</v>
      </c>
      <c r="C585" t="b">
        <v>0</v>
      </c>
      <c r="D585" t="b">
        <v>0</v>
      </c>
      <c r="F585" t="b">
        <v>0</v>
      </c>
      <c r="H585" t="s">
        <v>37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>
        <v>2</v>
      </c>
      <c r="AB585">
        <v>0</v>
      </c>
      <c r="AC585">
        <f>VLOOKUP(A:A,[1]android_repos_all_metrics!B:K,4,FALSE)</f>
        <v>510</v>
      </c>
      <c r="AD585">
        <f>VLOOKUP(A:A,[1]android_repos_all_metrics!B:K,5,FALSE)</f>
        <v>94</v>
      </c>
      <c r="AE585">
        <f>VLOOKUP(A:A,[1]android_repos_all_metrics!B:K,6,FALSE)</f>
        <v>17</v>
      </c>
      <c r="AF585">
        <f>VLOOKUP(A:A,[1]android_repos_all_metrics!B:K,7,FALSE)</f>
        <v>16231</v>
      </c>
      <c r="AG585">
        <f>VLOOKUP(A:A,[1]android_repos_all_metrics!B:K,8,FALSE)</f>
        <v>12</v>
      </c>
      <c r="AH585">
        <f>VLOOKUP(A:A,[1]android_repos_all_metrics!B:K,9,FALSE)</f>
        <v>93</v>
      </c>
      <c r="AI585">
        <f>VLOOKUP(A:A,[1]android_repos_all_metrics!B:K,10,FALSE)</f>
        <v>9</v>
      </c>
    </row>
    <row r="586" spans="1:35">
      <c r="A586" t="s">
        <v>647</v>
      </c>
      <c r="B586" t="b">
        <v>1</v>
      </c>
      <c r="C586" t="b">
        <v>0</v>
      </c>
      <c r="D586" t="b">
        <v>0</v>
      </c>
      <c r="F586" t="b">
        <v>0</v>
      </c>
      <c r="H586" t="s">
        <v>37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>
        <v>5</v>
      </c>
      <c r="AB586">
        <v>0</v>
      </c>
      <c r="AC586">
        <f>VLOOKUP(A:A,[1]android_repos_all_metrics!B:K,4,FALSE)</f>
        <v>281</v>
      </c>
      <c r="AD586">
        <f>VLOOKUP(A:A,[1]android_repos_all_metrics!B:K,5,FALSE)</f>
        <v>25</v>
      </c>
      <c r="AE586">
        <f>VLOOKUP(A:A,[1]android_repos_all_metrics!B:K,6,FALSE)</f>
        <v>1</v>
      </c>
      <c r="AF586">
        <f>VLOOKUP(A:A,[1]android_repos_all_metrics!B:K,7,FALSE)</f>
        <v>2374</v>
      </c>
      <c r="AG586">
        <f>VLOOKUP(A:A,[1]android_repos_all_metrics!B:K,8,FALSE)</f>
        <v>5</v>
      </c>
      <c r="AH586">
        <f>VLOOKUP(A:A,[1]android_repos_all_metrics!B:K,9,FALSE)</f>
        <v>25</v>
      </c>
      <c r="AI586">
        <f>VLOOKUP(A:A,[1]android_repos_all_metrics!B:K,10,FALSE)</f>
        <v>22</v>
      </c>
    </row>
    <row r="587" spans="1:35">
      <c r="A587" t="s">
        <v>648</v>
      </c>
      <c r="B587" t="b">
        <v>1</v>
      </c>
      <c r="C587" t="b">
        <v>0</v>
      </c>
      <c r="D587" t="b">
        <v>0</v>
      </c>
      <c r="F587" t="b">
        <v>0</v>
      </c>
      <c r="H587" t="s">
        <v>37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>
        <v>3</v>
      </c>
      <c r="AB587">
        <v>0</v>
      </c>
      <c r="AC587">
        <f>VLOOKUP(A:A,[1]android_repos_all_metrics!B:K,4,FALSE)</f>
        <v>4443</v>
      </c>
      <c r="AD587">
        <f>VLOOKUP(A:A,[1]android_repos_all_metrics!B:K,5,FALSE)</f>
        <v>1020</v>
      </c>
      <c r="AE587">
        <f>VLOOKUP(A:A,[1]android_repos_all_metrics!B:K,6,FALSE)</f>
        <v>30</v>
      </c>
      <c r="AF587">
        <f>VLOOKUP(A:A,[1]android_repos_all_metrics!B:K,7,FALSE)</f>
        <v>106198</v>
      </c>
      <c r="AG587">
        <f>VLOOKUP(A:A,[1]android_repos_all_metrics!B:K,8,FALSE)</f>
        <v>165</v>
      </c>
      <c r="AH587">
        <f>VLOOKUP(A:A,[1]android_repos_all_metrics!B:K,9,FALSE)</f>
        <v>159</v>
      </c>
      <c r="AI587">
        <f>VLOOKUP(A:A,[1]android_repos_all_metrics!B:K,10,FALSE)</f>
        <v>18</v>
      </c>
    </row>
    <row r="588" spans="1:35">
      <c r="A588" t="s">
        <v>649</v>
      </c>
      <c r="B588" t="b">
        <v>1</v>
      </c>
      <c r="C588" t="b">
        <v>0</v>
      </c>
      <c r="D588" t="b">
        <v>0</v>
      </c>
      <c r="F588" t="b">
        <v>0</v>
      </c>
      <c r="H588" t="s">
        <v>37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>
        <v>1</v>
      </c>
      <c r="AB588">
        <v>0</v>
      </c>
      <c r="AC588">
        <f>VLOOKUP(A:A,[1]android_repos_all_metrics!B:K,4,FALSE)</f>
        <v>1518</v>
      </c>
      <c r="AD588">
        <f>VLOOKUP(A:A,[1]android_repos_all_metrics!B:K,5,FALSE)</f>
        <v>2</v>
      </c>
      <c r="AE588">
        <f>VLOOKUP(A:A,[1]android_repos_all_metrics!B:K,6,FALSE)</f>
        <v>12</v>
      </c>
      <c r="AF588">
        <f>VLOOKUP(A:A,[1]android_repos_all_metrics!B:K,7,FALSE)</f>
        <v>20797</v>
      </c>
      <c r="AG588">
        <f>VLOOKUP(A:A,[1]android_repos_all_metrics!B:K,8,FALSE)</f>
        <v>7</v>
      </c>
      <c r="AH588">
        <f>VLOOKUP(A:A,[1]android_repos_all_metrics!B:K,9,FALSE)</f>
        <v>134</v>
      </c>
      <c r="AI588">
        <f>VLOOKUP(A:A,[1]android_repos_all_metrics!B:K,10,FALSE)</f>
        <v>7</v>
      </c>
    </row>
    <row r="589" spans="1:35">
      <c r="A589" t="s">
        <v>650</v>
      </c>
      <c r="B589" t="b">
        <v>1</v>
      </c>
      <c r="C589" t="b">
        <v>1</v>
      </c>
      <c r="D589" t="b">
        <v>1</v>
      </c>
      <c r="E589" t="s">
        <v>36</v>
      </c>
      <c r="F589" t="b">
        <v>0</v>
      </c>
      <c r="H589" t="s">
        <v>37</v>
      </c>
      <c r="I589" t="s">
        <v>37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>
        <v>1</v>
      </c>
      <c r="AA589">
        <v>1</v>
      </c>
      <c r="AB589">
        <v>0</v>
      </c>
      <c r="AC589" t="e">
        <f>VLOOKUP(A:A,[1]android_repos_all_metrics!B:K,4,FALSE)</f>
        <v>#N/A</v>
      </c>
      <c r="AD589" t="e">
        <f>VLOOKUP(A:A,[1]android_repos_all_metrics!B:K,5,FALSE)</f>
        <v>#N/A</v>
      </c>
      <c r="AE589" t="e">
        <f>VLOOKUP(A:A,[1]android_repos_all_metrics!B:K,6,FALSE)</f>
        <v>#N/A</v>
      </c>
      <c r="AF589" t="e">
        <f>VLOOKUP(A:A,[1]android_repos_all_metrics!B:K,7,FALSE)</f>
        <v>#N/A</v>
      </c>
      <c r="AG589" t="e">
        <f>VLOOKUP(A:A,[1]android_repos_all_metrics!B:K,8,FALSE)</f>
        <v>#N/A</v>
      </c>
      <c r="AH589" t="e">
        <f>VLOOKUP(A:A,[1]android_repos_all_metrics!B:K,9,FALSE)</f>
        <v>#N/A</v>
      </c>
      <c r="AI589" t="e">
        <f>VLOOKUP(A:A,[1]android_repos_all_metrics!B:K,10,FALSE)</f>
        <v>#N/A</v>
      </c>
    </row>
    <row r="590" spans="1:35">
      <c r="A590" t="s">
        <v>651</v>
      </c>
      <c r="B590" t="b">
        <v>1</v>
      </c>
      <c r="C590" t="b">
        <v>0</v>
      </c>
      <c r="D590" t="b">
        <v>0</v>
      </c>
      <c r="F590" t="b">
        <v>0</v>
      </c>
      <c r="H590" t="s">
        <v>37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>
        <v>2</v>
      </c>
      <c r="AB590">
        <v>0</v>
      </c>
      <c r="AC590">
        <f>VLOOKUP(A:A,[1]android_repos_all_metrics!B:K,4,FALSE)</f>
        <v>665</v>
      </c>
      <c r="AD590">
        <f>VLOOKUP(A:A,[1]android_repos_all_metrics!B:K,5,FALSE)</f>
        <v>8</v>
      </c>
      <c r="AE590">
        <f>VLOOKUP(A:A,[1]android_repos_all_metrics!B:K,6,FALSE)</f>
        <v>3</v>
      </c>
      <c r="AF590">
        <f>VLOOKUP(A:A,[1]android_repos_all_metrics!B:K,7,FALSE)</f>
        <v>64355</v>
      </c>
      <c r="AG590">
        <f>VLOOKUP(A:A,[1]android_repos_all_metrics!B:K,8,FALSE)</f>
        <v>77</v>
      </c>
      <c r="AH590">
        <f>VLOOKUP(A:A,[1]android_repos_all_metrics!B:K,9,FALSE)</f>
        <v>558</v>
      </c>
      <c r="AI590">
        <f>VLOOKUP(A:A,[1]android_repos_all_metrics!B:K,10,FALSE)</f>
        <v>1</v>
      </c>
    </row>
    <row r="591" spans="1:35">
      <c r="A591" t="s">
        <v>652</v>
      </c>
      <c r="B591" t="b">
        <v>1</v>
      </c>
      <c r="C591" t="b">
        <v>0</v>
      </c>
      <c r="D591" t="b">
        <v>0</v>
      </c>
      <c r="F591" t="b">
        <v>0</v>
      </c>
      <c r="H591" t="s">
        <v>37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>
        <v>2</v>
      </c>
      <c r="AB591">
        <v>0</v>
      </c>
      <c r="AC591">
        <f>VLOOKUP(A:A,[1]android_repos_all_metrics!B:K,4,FALSE)</f>
        <v>157</v>
      </c>
      <c r="AD591">
        <f>VLOOKUP(A:A,[1]android_repos_all_metrics!B:K,5,FALSE)</f>
        <v>13</v>
      </c>
      <c r="AE591">
        <f>VLOOKUP(A:A,[1]android_repos_all_metrics!B:K,6,FALSE)</f>
        <v>1</v>
      </c>
      <c r="AF591">
        <f>VLOOKUP(A:A,[1]android_repos_all_metrics!B:K,7,FALSE)</f>
        <v>441</v>
      </c>
      <c r="AG591">
        <f>VLOOKUP(A:A,[1]android_repos_all_metrics!B:K,8,FALSE)</f>
        <v>0</v>
      </c>
      <c r="AH591">
        <f>VLOOKUP(A:A,[1]android_repos_all_metrics!B:K,9,FALSE)</f>
        <v>2</v>
      </c>
      <c r="AI591">
        <f>VLOOKUP(A:A,[1]android_repos_all_metrics!B:K,10,FALSE)</f>
        <v>1</v>
      </c>
    </row>
    <row r="592" spans="1:35">
      <c r="A592" t="s">
        <v>653</v>
      </c>
      <c r="B592" t="b">
        <v>1</v>
      </c>
      <c r="C592" t="b">
        <v>0</v>
      </c>
      <c r="D592" t="b">
        <v>0</v>
      </c>
      <c r="F592" t="b">
        <v>0</v>
      </c>
      <c r="H592" t="s">
        <v>41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>
        <v>1</v>
      </c>
      <c r="AB592">
        <v>0</v>
      </c>
      <c r="AC592">
        <f>VLOOKUP(A:A,[1]android_repos_all_metrics!B:K,4,FALSE)</f>
        <v>472</v>
      </c>
      <c r="AD592">
        <f>VLOOKUP(A:A,[1]android_repos_all_metrics!B:K,5,FALSE)</f>
        <v>1</v>
      </c>
      <c r="AE592">
        <f>VLOOKUP(A:A,[1]android_repos_all_metrics!B:K,6,FALSE)</f>
        <v>1</v>
      </c>
      <c r="AF592">
        <f>VLOOKUP(A:A,[1]android_repos_all_metrics!B:K,7,FALSE)</f>
        <v>2011</v>
      </c>
      <c r="AG592">
        <f>VLOOKUP(A:A,[1]android_repos_all_metrics!B:K,8,FALSE)</f>
        <v>1</v>
      </c>
      <c r="AH592">
        <f>VLOOKUP(A:A,[1]android_repos_all_metrics!B:K,9,FALSE)</f>
        <v>5</v>
      </c>
      <c r="AI592">
        <f>VLOOKUP(A:A,[1]android_repos_all_metrics!B:K,10,FALSE)</f>
        <v>0</v>
      </c>
    </row>
    <row r="593" spans="1:35">
      <c r="A593" t="s">
        <v>654</v>
      </c>
      <c r="B593" t="b">
        <v>0</v>
      </c>
      <c r="C593" t="b">
        <v>0</v>
      </c>
      <c r="D593" t="b">
        <v>0</v>
      </c>
      <c r="F593" t="b">
        <v>0</v>
      </c>
      <c r="H593" t="s">
        <v>407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>
        <v>1</v>
      </c>
      <c r="AB593">
        <v>0</v>
      </c>
      <c r="AC593" t="e">
        <f>VLOOKUP(A:A,[1]android_repos_all_metrics!B:K,4,FALSE)</f>
        <v>#N/A</v>
      </c>
      <c r="AD593" t="e">
        <f>VLOOKUP(A:A,[1]android_repos_all_metrics!B:K,5,FALSE)</f>
        <v>#N/A</v>
      </c>
      <c r="AE593" t="e">
        <f>VLOOKUP(A:A,[1]android_repos_all_metrics!B:K,6,FALSE)</f>
        <v>#N/A</v>
      </c>
      <c r="AF593" t="e">
        <f>VLOOKUP(A:A,[1]android_repos_all_metrics!B:K,7,FALSE)</f>
        <v>#N/A</v>
      </c>
      <c r="AG593" t="e">
        <f>VLOOKUP(A:A,[1]android_repos_all_metrics!B:K,8,FALSE)</f>
        <v>#N/A</v>
      </c>
      <c r="AH593" t="e">
        <f>VLOOKUP(A:A,[1]android_repos_all_metrics!B:K,9,FALSE)</f>
        <v>#N/A</v>
      </c>
      <c r="AI593" t="e">
        <f>VLOOKUP(A:A,[1]android_repos_all_metrics!B:K,10,FALSE)</f>
        <v>#N/A</v>
      </c>
    </row>
    <row r="594" spans="1:35">
      <c r="A594" t="s">
        <v>655</v>
      </c>
      <c r="B594" t="b">
        <v>0</v>
      </c>
      <c r="C594" t="b">
        <v>0</v>
      </c>
      <c r="D594" t="b">
        <v>0</v>
      </c>
      <c r="F594" t="b">
        <v>0</v>
      </c>
      <c r="H594" t="s">
        <v>41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>
        <v>1</v>
      </c>
      <c r="AB594">
        <v>0</v>
      </c>
      <c r="AC594">
        <f>VLOOKUP(A:A,[1]android_repos_all_metrics!B:K,4,FALSE)</f>
        <v>18</v>
      </c>
      <c r="AD594">
        <f>VLOOKUP(A:A,[1]android_repos_all_metrics!B:K,5,FALSE)</f>
        <v>0</v>
      </c>
      <c r="AE594">
        <f>VLOOKUP(A:A,[1]android_repos_all_metrics!B:K,6,FALSE)</f>
        <v>1</v>
      </c>
      <c r="AF594">
        <f>VLOOKUP(A:A,[1]android_repos_all_metrics!B:K,7,FALSE)</f>
        <v>10824</v>
      </c>
      <c r="AG594">
        <f>VLOOKUP(A:A,[1]android_repos_all_metrics!B:K,8,FALSE)</f>
        <v>2</v>
      </c>
      <c r="AH594">
        <f>VLOOKUP(A:A,[1]android_repos_all_metrics!B:K,9,FALSE)</f>
        <v>3</v>
      </c>
      <c r="AI594">
        <f>VLOOKUP(A:A,[1]android_repos_all_metrics!B:K,10,FALSE)</f>
        <v>0</v>
      </c>
    </row>
    <row r="595" spans="1:35">
      <c r="A595" t="s">
        <v>656</v>
      </c>
      <c r="B595" t="b">
        <v>0</v>
      </c>
      <c r="C595" t="b">
        <v>0</v>
      </c>
      <c r="D595" t="b">
        <v>0</v>
      </c>
      <c r="F595" t="b">
        <v>0</v>
      </c>
      <c r="H595" t="s">
        <v>41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>
        <v>1</v>
      </c>
      <c r="AB595">
        <v>0</v>
      </c>
      <c r="AC595">
        <f>VLOOKUP(A:A,[1]android_repos_all_metrics!B:K,4,FALSE)</f>
        <v>208</v>
      </c>
      <c r="AD595">
        <f>VLOOKUP(A:A,[1]android_repos_all_metrics!B:K,5,FALSE)</f>
        <v>0</v>
      </c>
      <c r="AE595">
        <f>VLOOKUP(A:A,[1]android_repos_all_metrics!B:K,6,FALSE)</f>
        <v>1</v>
      </c>
      <c r="AF595">
        <f>VLOOKUP(A:A,[1]android_repos_all_metrics!B:K,7,FALSE)</f>
        <v>1087</v>
      </c>
      <c r="AG595">
        <f>VLOOKUP(A:A,[1]android_repos_all_metrics!B:K,8,FALSE)</f>
        <v>0</v>
      </c>
      <c r="AH595">
        <f>VLOOKUP(A:A,[1]android_repos_all_metrics!B:K,9,FALSE)</f>
        <v>3</v>
      </c>
      <c r="AI595">
        <f>VLOOKUP(A:A,[1]android_repos_all_metrics!B:K,10,FALSE)</f>
        <v>1</v>
      </c>
    </row>
    <row r="596" spans="1:35">
      <c r="A596" t="s">
        <v>657</v>
      </c>
      <c r="B596" t="b">
        <v>1</v>
      </c>
      <c r="C596" t="b">
        <v>0</v>
      </c>
      <c r="D596" t="b">
        <v>0</v>
      </c>
      <c r="F596" t="b">
        <v>0</v>
      </c>
      <c r="H596" t="s">
        <v>37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>
        <v>2</v>
      </c>
      <c r="AB596">
        <v>0</v>
      </c>
      <c r="AC596">
        <f>VLOOKUP(A:A,[1]android_repos_all_metrics!B:K,4,FALSE)</f>
        <v>322</v>
      </c>
      <c r="AD596">
        <f>VLOOKUP(A:A,[1]android_repos_all_metrics!B:K,5,FALSE)</f>
        <v>0</v>
      </c>
      <c r="AE596">
        <f>VLOOKUP(A:A,[1]android_repos_all_metrics!B:K,6,FALSE)</f>
        <v>2</v>
      </c>
      <c r="AF596">
        <f>VLOOKUP(A:A,[1]android_repos_all_metrics!B:K,7,FALSE)</f>
        <v>11104</v>
      </c>
      <c r="AG596">
        <f>VLOOKUP(A:A,[1]android_repos_all_metrics!B:K,8,FALSE)</f>
        <v>0</v>
      </c>
      <c r="AH596">
        <f>VLOOKUP(A:A,[1]android_repos_all_metrics!B:K,9,FALSE)</f>
        <v>8</v>
      </c>
      <c r="AI596">
        <f>VLOOKUP(A:A,[1]android_repos_all_metrics!B:K,10,FALSE)</f>
        <v>0</v>
      </c>
    </row>
    <row r="597" spans="1:35">
      <c r="A597" t="s">
        <v>658</v>
      </c>
      <c r="B597" t="b">
        <v>1</v>
      </c>
      <c r="C597" t="b">
        <v>0</v>
      </c>
      <c r="D597" t="b">
        <v>0</v>
      </c>
      <c r="F597" t="b">
        <v>0</v>
      </c>
      <c r="H597" t="s">
        <v>41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>
        <v>1</v>
      </c>
      <c r="AB597">
        <v>0</v>
      </c>
      <c r="AC597" t="e">
        <f>VLOOKUP(A:A,[1]android_repos_all_metrics!B:K,4,FALSE)</f>
        <v>#N/A</v>
      </c>
      <c r="AD597" t="e">
        <f>VLOOKUP(A:A,[1]android_repos_all_metrics!B:K,5,FALSE)</f>
        <v>#N/A</v>
      </c>
      <c r="AE597" t="e">
        <f>VLOOKUP(A:A,[1]android_repos_all_metrics!B:K,6,FALSE)</f>
        <v>#N/A</v>
      </c>
      <c r="AF597" t="e">
        <f>VLOOKUP(A:A,[1]android_repos_all_metrics!B:K,7,FALSE)</f>
        <v>#N/A</v>
      </c>
      <c r="AG597" t="e">
        <f>VLOOKUP(A:A,[1]android_repos_all_metrics!B:K,8,FALSE)</f>
        <v>#N/A</v>
      </c>
      <c r="AH597" t="e">
        <f>VLOOKUP(A:A,[1]android_repos_all_metrics!B:K,9,FALSE)</f>
        <v>#N/A</v>
      </c>
      <c r="AI597" t="e">
        <f>VLOOKUP(A:A,[1]android_repos_all_metrics!B:K,10,FALSE)</f>
        <v>#N/A</v>
      </c>
    </row>
    <row r="598" spans="1:35">
      <c r="A598" t="s">
        <v>659</v>
      </c>
      <c r="B598" t="b">
        <v>1</v>
      </c>
      <c r="C598" t="b">
        <v>0</v>
      </c>
      <c r="D598" t="b">
        <v>0</v>
      </c>
      <c r="F598" t="b">
        <v>0</v>
      </c>
      <c r="H598" t="s">
        <v>37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>
        <v>1</v>
      </c>
      <c r="AB598">
        <v>0</v>
      </c>
      <c r="AC598">
        <f>VLOOKUP(A:A,[1]android_repos_all_metrics!B:K,4,FALSE)</f>
        <v>177</v>
      </c>
      <c r="AD598">
        <f>VLOOKUP(A:A,[1]android_repos_all_metrics!B:K,5,FALSE)</f>
        <v>4</v>
      </c>
      <c r="AE598">
        <f>VLOOKUP(A:A,[1]android_repos_all_metrics!B:K,6,FALSE)</f>
        <v>5</v>
      </c>
      <c r="AF598">
        <f>VLOOKUP(A:A,[1]android_repos_all_metrics!B:K,7,FALSE)</f>
        <v>2742</v>
      </c>
      <c r="AG598">
        <f>VLOOKUP(A:A,[1]android_repos_all_metrics!B:K,8,FALSE)</f>
        <v>16</v>
      </c>
      <c r="AH598">
        <f>VLOOKUP(A:A,[1]android_repos_all_metrics!B:K,9,FALSE)</f>
        <v>287</v>
      </c>
      <c r="AI598">
        <f>VLOOKUP(A:A,[1]android_repos_all_metrics!B:K,10,FALSE)</f>
        <v>15</v>
      </c>
    </row>
    <row r="599" spans="1:35">
      <c r="A599" t="s">
        <v>660</v>
      </c>
      <c r="B599" t="b">
        <v>1</v>
      </c>
      <c r="C599" t="b">
        <v>0</v>
      </c>
      <c r="D599" t="b">
        <v>0</v>
      </c>
      <c r="F599" t="b">
        <v>0</v>
      </c>
      <c r="H599" t="s">
        <v>37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>
        <v>2</v>
      </c>
      <c r="AB599">
        <v>0</v>
      </c>
      <c r="AC599">
        <f>VLOOKUP(A:A,[1]android_repos_all_metrics!B:K,4,FALSE)</f>
        <v>85</v>
      </c>
      <c r="AD599">
        <f>VLOOKUP(A:A,[1]android_repos_all_metrics!B:K,5,FALSE)</f>
        <v>45</v>
      </c>
      <c r="AE599">
        <f>VLOOKUP(A:A,[1]android_repos_all_metrics!B:K,6,FALSE)</f>
        <v>10</v>
      </c>
      <c r="AF599">
        <f>VLOOKUP(A:A,[1]android_repos_all_metrics!B:K,7,FALSE)</f>
        <v>40098</v>
      </c>
      <c r="AG599">
        <f>VLOOKUP(A:A,[1]android_repos_all_metrics!B:K,8,FALSE)</f>
        <v>15</v>
      </c>
      <c r="AH599">
        <f>VLOOKUP(A:A,[1]android_repos_all_metrics!B:K,9,FALSE)</f>
        <v>4</v>
      </c>
      <c r="AI599">
        <f>VLOOKUP(A:A,[1]android_repos_all_metrics!B:K,10,FALSE)</f>
        <v>10</v>
      </c>
    </row>
    <row r="600" spans="1:35">
      <c r="A600" t="s">
        <v>661</v>
      </c>
      <c r="B600" t="b">
        <v>1</v>
      </c>
      <c r="C600" t="b">
        <v>0</v>
      </c>
      <c r="D600" t="b">
        <v>0</v>
      </c>
      <c r="F600" t="b">
        <v>0</v>
      </c>
      <c r="H600" t="s">
        <v>37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>
        <v>1</v>
      </c>
      <c r="AB600">
        <v>0</v>
      </c>
      <c r="AC600">
        <f>VLOOKUP(A:A,[1]android_repos_all_metrics!B:K,4,FALSE)</f>
        <v>81</v>
      </c>
      <c r="AD600">
        <f>VLOOKUP(A:A,[1]android_repos_all_metrics!B:K,5,FALSE)</f>
        <v>4</v>
      </c>
      <c r="AE600">
        <f>VLOOKUP(A:A,[1]android_repos_all_metrics!B:K,6,FALSE)</f>
        <v>3</v>
      </c>
      <c r="AF600">
        <f>VLOOKUP(A:A,[1]android_repos_all_metrics!B:K,7,FALSE)</f>
        <v>1374</v>
      </c>
      <c r="AG600">
        <f>VLOOKUP(A:A,[1]android_repos_all_metrics!B:K,8,FALSE)</f>
        <v>0</v>
      </c>
      <c r="AH600">
        <f>VLOOKUP(A:A,[1]android_repos_all_metrics!B:K,9,FALSE)</f>
        <v>8</v>
      </c>
      <c r="AI600">
        <f>VLOOKUP(A:A,[1]android_repos_all_metrics!B:K,10,FALSE)</f>
        <v>0</v>
      </c>
    </row>
    <row r="601" spans="1:35">
      <c r="A601" t="s">
        <v>662</v>
      </c>
      <c r="B601" t="b">
        <v>1</v>
      </c>
      <c r="C601" t="b">
        <v>0</v>
      </c>
      <c r="D601" t="b">
        <v>0</v>
      </c>
      <c r="F601" t="b">
        <v>0</v>
      </c>
      <c r="H601" t="s">
        <v>37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>
        <v>1</v>
      </c>
      <c r="AB601">
        <v>0</v>
      </c>
      <c r="AC601">
        <f>VLOOKUP(A:A,[1]android_repos_all_metrics!B:K,4,FALSE)</f>
        <v>760</v>
      </c>
      <c r="AD601">
        <f>VLOOKUP(A:A,[1]android_repos_all_metrics!B:K,5,FALSE)</f>
        <v>43</v>
      </c>
      <c r="AE601">
        <f>VLOOKUP(A:A,[1]android_repos_all_metrics!B:K,6,FALSE)</f>
        <v>9</v>
      </c>
      <c r="AF601">
        <f>VLOOKUP(A:A,[1]android_repos_all_metrics!B:K,7,FALSE)</f>
        <v>6986</v>
      </c>
      <c r="AG601">
        <f>VLOOKUP(A:A,[1]android_repos_all_metrics!B:K,8,FALSE)</f>
        <v>7</v>
      </c>
      <c r="AH601">
        <f>VLOOKUP(A:A,[1]android_repos_all_metrics!B:K,9,FALSE)</f>
        <v>63</v>
      </c>
      <c r="AI601">
        <f>VLOOKUP(A:A,[1]android_repos_all_metrics!B:K,10,FALSE)</f>
        <v>19</v>
      </c>
    </row>
    <row r="602" spans="1:35">
      <c r="A602" t="s">
        <v>663</v>
      </c>
      <c r="B602" t="b">
        <v>1</v>
      </c>
      <c r="C602" t="b">
        <v>0</v>
      </c>
      <c r="D602" t="b">
        <v>0</v>
      </c>
      <c r="F602" t="b">
        <v>0</v>
      </c>
      <c r="H602" t="s">
        <v>43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>
        <v>1</v>
      </c>
      <c r="AB602">
        <v>0</v>
      </c>
      <c r="AC602">
        <f>VLOOKUP(A:A,[1]android_repos_all_metrics!B:K,4,FALSE)</f>
        <v>124</v>
      </c>
      <c r="AD602">
        <f>VLOOKUP(A:A,[1]android_repos_all_metrics!B:K,5,FALSE)</f>
        <v>0</v>
      </c>
      <c r="AE602">
        <f>VLOOKUP(A:A,[1]android_repos_all_metrics!B:K,6,FALSE)</f>
        <v>1</v>
      </c>
      <c r="AF602">
        <f>VLOOKUP(A:A,[1]android_repos_all_metrics!B:K,7,FALSE)</f>
        <v>2470</v>
      </c>
      <c r="AG602">
        <f>VLOOKUP(A:A,[1]android_repos_all_metrics!B:K,8,FALSE)</f>
        <v>7</v>
      </c>
      <c r="AH602">
        <f>VLOOKUP(A:A,[1]android_repos_all_metrics!B:K,9,FALSE)</f>
        <v>24</v>
      </c>
      <c r="AI602">
        <f>VLOOKUP(A:A,[1]android_repos_all_metrics!B:K,10,FALSE)</f>
        <v>1</v>
      </c>
    </row>
    <row r="603" spans="1:35">
      <c r="A603" t="s">
        <v>664</v>
      </c>
      <c r="B603" t="b">
        <v>1</v>
      </c>
      <c r="C603" t="b">
        <v>0</v>
      </c>
      <c r="D603" t="b">
        <v>0</v>
      </c>
      <c r="F603" t="b">
        <v>0</v>
      </c>
      <c r="H603" t="s">
        <v>37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>
        <v>2</v>
      </c>
      <c r="AB603">
        <v>0</v>
      </c>
      <c r="AC603">
        <f>VLOOKUP(A:A,[1]android_repos_all_metrics!B:K,4,FALSE)</f>
        <v>496</v>
      </c>
      <c r="AD603">
        <f>VLOOKUP(A:A,[1]android_repos_all_metrics!B:K,5,FALSE)</f>
        <v>60</v>
      </c>
      <c r="AE603">
        <f>VLOOKUP(A:A,[1]android_repos_all_metrics!B:K,6,FALSE)</f>
        <v>2</v>
      </c>
      <c r="AF603">
        <f>VLOOKUP(A:A,[1]android_repos_all_metrics!B:K,7,FALSE)</f>
        <v>6679</v>
      </c>
      <c r="AG603">
        <f>VLOOKUP(A:A,[1]android_repos_all_metrics!B:K,8,FALSE)</f>
        <v>0</v>
      </c>
      <c r="AH603">
        <f>VLOOKUP(A:A,[1]android_repos_all_metrics!B:K,9,FALSE)</f>
        <v>5</v>
      </c>
      <c r="AI603">
        <f>VLOOKUP(A:A,[1]android_repos_all_metrics!B:K,10,FALSE)</f>
        <v>10</v>
      </c>
    </row>
    <row r="604" spans="1:35">
      <c r="A604" t="s">
        <v>665</v>
      </c>
      <c r="B604" t="b">
        <v>1</v>
      </c>
      <c r="C604" t="b">
        <v>0</v>
      </c>
      <c r="D604" t="b">
        <v>0</v>
      </c>
      <c r="F604" t="b">
        <v>0</v>
      </c>
      <c r="H604" t="s">
        <v>43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>
        <v>1</v>
      </c>
      <c r="AB604">
        <v>0</v>
      </c>
      <c r="AC604">
        <f>VLOOKUP(A:A,[1]android_repos_all_metrics!B:K,4,FALSE)</f>
        <v>178</v>
      </c>
      <c r="AD604">
        <f>VLOOKUP(A:A,[1]android_repos_all_metrics!B:K,5,FALSE)</f>
        <v>0</v>
      </c>
      <c r="AE604">
        <f>VLOOKUP(A:A,[1]android_repos_all_metrics!B:K,6,FALSE)</f>
        <v>1</v>
      </c>
      <c r="AF604">
        <f>VLOOKUP(A:A,[1]android_repos_all_metrics!B:K,7,FALSE)</f>
        <v>3322</v>
      </c>
      <c r="AG604">
        <f>VLOOKUP(A:A,[1]android_repos_all_metrics!B:K,8,FALSE)</f>
        <v>8</v>
      </c>
      <c r="AH604">
        <f>VLOOKUP(A:A,[1]android_repos_all_metrics!B:K,9,FALSE)</f>
        <v>43</v>
      </c>
      <c r="AI604">
        <f>VLOOKUP(A:A,[1]android_repos_all_metrics!B:K,10,FALSE)</f>
        <v>0</v>
      </c>
    </row>
    <row r="605" spans="1:35">
      <c r="A605" t="s">
        <v>666</v>
      </c>
      <c r="B605" t="b">
        <v>1</v>
      </c>
      <c r="C605" t="b">
        <v>0</v>
      </c>
      <c r="D605" t="b">
        <v>0</v>
      </c>
      <c r="F605" t="b">
        <v>0</v>
      </c>
      <c r="H605" t="s">
        <v>37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>
        <v>1</v>
      </c>
      <c r="AB605">
        <v>0</v>
      </c>
      <c r="AC605">
        <f>VLOOKUP(A:A,[1]android_repos_all_metrics!B:K,4,FALSE)</f>
        <v>55</v>
      </c>
      <c r="AD605">
        <f>VLOOKUP(A:A,[1]android_repos_all_metrics!B:K,5,FALSE)</f>
        <v>24</v>
      </c>
      <c r="AE605">
        <f>VLOOKUP(A:A,[1]android_repos_all_metrics!B:K,6,FALSE)</f>
        <v>2</v>
      </c>
      <c r="AF605">
        <f>VLOOKUP(A:A,[1]android_repos_all_metrics!B:K,7,FALSE)</f>
        <v>578</v>
      </c>
      <c r="AG605">
        <f>VLOOKUP(A:A,[1]android_repos_all_metrics!B:K,8,FALSE)</f>
        <v>0</v>
      </c>
      <c r="AH605">
        <f>VLOOKUP(A:A,[1]android_repos_all_metrics!B:K,9,FALSE)</f>
        <v>3</v>
      </c>
      <c r="AI605">
        <f>VLOOKUP(A:A,[1]android_repos_all_metrics!B:K,10,FALSE)</f>
        <v>0</v>
      </c>
    </row>
    <row r="606" spans="1:35">
      <c r="A606" t="s">
        <v>667</v>
      </c>
      <c r="B606" t="b">
        <v>1</v>
      </c>
      <c r="C606" t="b">
        <v>0</v>
      </c>
      <c r="D606" t="b">
        <v>0</v>
      </c>
      <c r="F606" t="b">
        <v>0</v>
      </c>
      <c r="H606" t="s">
        <v>37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>
        <v>3</v>
      </c>
      <c r="AB606">
        <v>0</v>
      </c>
      <c r="AC606">
        <f>VLOOKUP(A:A,[1]android_repos_all_metrics!B:K,4,FALSE)</f>
        <v>112</v>
      </c>
      <c r="AD606">
        <f>VLOOKUP(A:A,[1]android_repos_all_metrics!B:K,5,FALSE)</f>
        <v>55</v>
      </c>
      <c r="AE606">
        <f>VLOOKUP(A:A,[1]android_repos_all_metrics!B:K,6,FALSE)</f>
        <v>3</v>
      </c>
      <c r="AF606">
        <f>VLOOKUP(A:A,[1]android_repos_all_metrics!B:K,7,FALSE)</f>
        <v>16187</v>
      </c>
      <c r="AG606">
        <f>VLOOKUP(A:A,[1]android_repos_all_metrics!B:K,8,FALSE)</f>
        <v>11</v>
      </c>
      <c r="AH606">
        <f>VLOOKUP(A:A,[1]android_repos_all_metrics!B:K,9,FALSE)</f>
        <v>54</v>
      </c>
      <c r="AI606">
        <f>VLOOKUP(A:A,[1]android_repos_all_metrics!B:K,10,FALSE)</f>
        <v>28</v>
      </c>
    </row>
    <row r="607" spans="1:35">
      <c r="A607" t="s">
        <v>668</v>
      </c>
      <c r="B607" t="b">
        <v>1</v>
      </c>
      <c r="C607" t="b">
        <v>0</v>
      </c>
      <c r="D607" t="b">
        <v>0</v>
      </c>
      <c r="F607" t="b">
        <v>0</v>
      </c>
      <c r="H607" t="s">
        <v>37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>
        <v>1</v>
      </c>
      <c r="AB607">
        <v>0</v>
      </c>
      <c r="AC607">
        <f>VLOOKUP(A:A,[1]android_repos_all_metrics!B:K,4,FALSE)</f>
        <v>155</v>
      </c>
      <c r="AD607">
        <f>VLOOKUP(A:A,[1]android_repos_all_metrics!B:K,5,FALSE)</f>
        <v>16</v>
      </c>
      <c r="AE607">
        <f>VLOOKUP(A:A,[1]android_repos_all_metrics!B:K,6,FALSE)</f>
        <v>4</v>
      </c>
      <c r="AF607">
        <f>VLOOKUP(A:A,[1]android_repos_all_metrics!B:K,7,FALSE)</f>
        <v>3703</v>
      </c>
      <c r="AG607">
        <f>VLOOKUP(A:A,[1]android_repos_all_metrics!B:K,8,FALSE)</f>
        <v>10</v>
      </c>
      <c r="AH607">
        <f>VLOOKUP(A:A,[1]android_repos_all_metrics!B:K,9,FALSE)</f>
        <v>114</v>
      </c>
      <c r="AI607">
        <f>VLOOKUP(A:A,[1]android_repos_all_metrics!B:K,10,FALSE)</f>
        <v>10</v>
      </c>
    </row>
    <row r="608" spans="1:35">
      <c r="A608" t="s">
        <v>669</v>
      </c>
      <c r="B608" t="b">
        <v>1</v>
      </c>
      <c r="C608" t="b">
        <v>0</v>
      </c>
      <c r="D608" t="b">
        <v>0</v>
      </c>
      <c r="F608" t="b">
        <v>0</v>
      </c>
      <c r="H608" t="s">
        <v>43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>
        <v>1</v>
      </c>
      <c r="AB608">
        <v>0</v>
      </c>
      <c r="AC608">
        <f>VLOOKUP(A:A,[1]android_repos_all_metrics!B:K,4,FALSE)</f>
        <v>414</v>
      </c>
      <c r="AD608">
        <f>VLOOKUP(A:A,[1]android_repos_all_metrics!B:K,5,FALSE)</f>
        <v>1</v>
      </c>
      <c r="AE608">
        <f>VLOOKUP(A:A,[1]android_repos_all_metrics!B:K,6,FALSE)</f>
        <v>2</v>
      </c>
      <c r="AF608">
        <f>VLOOKUP(A:A,[1]android_repos_all_metrics!B:K,7,FALSE)</f>
        <v>2273</v>
      </c>
      <c r="AG608">
        <f>VLOOKUP(A:A,[1]android_repos_all_metrics!B:K,8,FALSE)</f>
        <v>1</v>
      </c>
      <c r="AH608">
        <f>VLOOKUP(A:A,[1]android_repos_all_metrics!B:K,9,FALSE)</f>
        <v>23</v>
      </c>
      <c r="AI608">
        <f>VLOOKUP(A:A,[1]android_repos_all_metrics!B:K,10,FALSE)</f>
        <v>4</v>
      </c>
    </row>
    <row r="609" spans="1:35">
      <c r="A609" t="s">
        <v>670</v>
      </c>
      <c r="B609" t="b">
        <v>1</v>
      </c>
      <c r="C609" t="b">
        <v>0</v>
      </c>
      <c r="D609" t="b">
        <v>0</v>
      </c>
      <c r="F609" t="b">
        <v>0</v>
      </c>
      <c r="H609" t="s">
        <v>37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>
        <v>1</v>
      </c>
      <c r="AB609">
        <v>0</v>
      </c>
      <c r="AC609">
        <f>VLOOKUP(A:A,[1]android_repos_all_metrics!B:K,4,FALSE)</f>
        <v>269</v>
      </c>
      <c r="AD609">
        <f>VLOOKUP(A:A,[1]android_repos_all_metrics!B:K,5,FALSE)</f>
        <v>31</v>
      </c>
      <c r="AE609">
        <f>VLOOKUP(A:A,[1]android_repos_all_metrics!B:K,6,FALSE)</f>
        <v>17</v>
      </c>
      <c r="AF609">
        <f>VLOOKUP(A:A,[1]android_repos_all_metrics!B:K,7,FALSE)</f>
        <v>1954</v>
      </c>
      <c r="AG609">
        <f>VLOOKUP(A:A,[1]android_repos_all_metrics!B:K,8,FALSE)</f>
        <v>19</v>
      </c>
      <c r="AH609">
        <f>VLOOKUP(A:A,[1]android_repos_all_metrics!B:K,9,FALSE)</f>
        <v>297</v>
      </c>
      <c r="AI609">
        <f>VLOOKUP(A:A,[1]android_repos_all_metrics!B:K,10,FALSE)</f>
        <v>9</v>
      </c>
    </row>
    <row r="610" spans="1:35">
      <c r="A610" t="s">
        <v>671</v>
      </c>
      <c r="B610" t="b">
        <v>1</v>
      </c>
      <c r="C610" t="b">
        <v>0</v>
      </c>
      <c r="D610" t="b">
        <v>0</v>
      </c>
      <c r="F610" t="b">
        <v>0</v>
      </c>
      <c r="H610" t="s">
        <v>37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>
        <v>1</v>
      </c>
      <c r="AB610">
        <v>0</v>
      </c>
      <c r="AC610">
        <f>VLOOKUP(A:A,[1]android_repos_all_metrics!B:K,4,FALSE)</f>
        <v>121</v>
      </c>
      <c r="AD610">
        <f>VLOOKUP(A:A,[1]android_repos_all_metrics!B:K,5,FALSE)</f>
        <v>21</v>
      </c>
      <c r="AE610">
        <f>VLOOKUP(A:A,[1]android_repos_all_metrics!B:K,6,FALSE)</f>
        <v>2</v>
      </c>
      <c r="AF610">
        <f>VLOOKUP(A:A,[1]android_repos_all_metrics!B:K,7,FALSE)</f>
        <v>15613</v>
      </c>
      <c r="AG610">
        <f>VLOOKUP(A:A,[1]android_repos_all_metrics!B:K,8,FALSE)</f>
        <v>9</v>
      </c>
      <c r="AH610">
        <f>VLOOKUP(A:A,[1]android_repos_all_metrics!B:K,9,FALSE)</f>
        <v>92</v>
      </c>
      <c r="AI610">
        <f>VLOOKUP(A:A,[1]android_repos_all_metrics!B:K,10,FALSE)</f>
        <v>6</v>
      </c>
    </row>
    <row r="611" spans="1:35">
      <c r="A611" t="s">
        <v>672</v>
      </c>
      <c r="B611" t="b">
        <v>1</v>
      </c>
      <c r="C611" t="b">
        <v>0</v>
      </c>
      <c r="D611" t="b">
        <v>0</v>
      </c>
      <c r="F611" t="b">
        <v>0</v>
      </c>
      <c r="H611" t="s">
        <v>37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>
        <v>1</v>
      </c>
      <c r="AB611">
        <v>0</v>
      </c>
      <c r="AC611">
        <f>VLOOKUP(A:A,[1]android_repos_all_metrics!B:K,4,FALSE)</f>
        <v>19</v>
      </c>
      <c r="AD611">
        <f>VLOOKUP(A:A,[1]android_repos_all_metrics!B:K,5,FALSE)</f>
        <v>7</v>
      </c>
      <c r="AE611">
        <f>VLOOKUP(A:A,[1]android_repos_all_metrics!B:K,6,FALSE)</f>
        <v>1</v>
      </c>
      <c r="AF611">
        <f>VLOOKUP(A:A,[1]android_repos_all_metrics!B:K,7,FALSE)</f>
        <v>3624</v>
      </c>
      <c r="AG611">
        <f>VLOOKUP(A:A,[1]android_repos_all_metrics!B:K,8,FALSE)</f>
        <v>0</v>
      </c>
      <c r="AH611">
        <f>VLOOKUP(A:A,[1]android_repos_all_metrics!B:K,9,FALSE)</f>
        <v>2</v>
      </c>
      <c r="AI611">
        <f>VLOOKUP(A:A,[1]android_repos_all_metrics!B:K,10,FALSE)</f>
        <v>0</v>
      </c>
    </row>
    <row r="612" spans="1:35">
      <c r="A612" t="s">
        <v>673</v>
      </c>
      <c r="B612" t="b">
        <v>1</v>
      </c>
      <c r="C612" t="b">
        <v>0</v>
      </c>
      <c r="D612" t="b">
        <v>0</v>
      </c>
      <c r="F612" t="b">
        <v>0</v>
      </c>
      <c r="H612" t="s">
        <v>37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>
        <v>1</v>
      </c>
      <c r="AB612">
        <v>0</v>
      </c>
      <c r="AC612">
        <f>VLOOKUP(A:A,[1]android_repos_all_metrics!B:K,4,FALSE)</f>
        <v>12</v>
      </c>
      <c r="AD612">
        <f>VLOOKUP(A:A,[1]android_repos_all_metrics!B:K,5,FALSE)</f>
        <v>1</v>
      </c>
      <c r="AE612">
        <f>VLOOKUP(A:A,[1]android_repos_all_metrics!B:K,6,FALSE)</f>
        <v>1</v>
      </c>
      <c r="AF612">
        <f>VLOOKUP(A:A,[1]android_repos_all_metrics!B:K,7,FALSE)</f>
        <v>1694</v>
      </c>
      <c r="AG612">
        <f>VLOOKUP(A:A,[1]android_repos_all_metrics!B:K,8,FALSE)</f>
        <v>2</v>
      </c>
      <c r="AH612">
        <f>VLOOKUP(A:A,[1]android_repos_all_metrics!B:K,9,FALSE)</f>
        <v>4</v>
      </c>
      <c r="AI612">
        <f>VLOOKUP(A:A,[1]android_repos_all_metrics!B:K,10,FALSE)</f>
        <v>0</v>
      </c>
    </row>
    <row r="613" spans="1:35">
      <c r="A613" t="s">
        <v>674</v>
      </c>
      <c r="B613" t="b">
        <v>1</v>
      </c>
      <c r="C613" t="b">
        <v>1</v>
      </c>
      <c r="D613" t="b">
        <v>1</v>
      </c>
      <c r="E613" t="s">
        <v>36</v>
      </c>
      <c r="F613" t="b">
        <v>0</v>
      </c>
      <c r="H613" t="s">
        <v>37</v>
      </c>
      <c r="I613" t="s">
        <v>37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>
        <v>2</v>
      </c>
      <c r="AB613">
        <v>1</v>
      </c>
      <c r="AC613">
        <f>VLOOKUP(A:A,[1]android_repos_all_metrics!B:K,4,FALSE)</f>
        <v>218</v>
      </c>
      <c r="AD613">
        <f>VLOOKUP(A:A,[1]android_repos_all_metrics!B:K,5,FALSE)</f>
        <v>12</v>
      </c>
      <c r="AE613">
        <f>VLOOKUP(A:A,[1]android_repos_all_metrics!B:K,6,FALSE)</f>
        <v>2</v>
      </c>
      <c r="AF613">
        <f>VLOOKUP(A:A,[1]android_repos_all_metrics!B:K,7,FALSE)</f>
        <v>64696</v>
      </c>
      <c r="AG613">
        <f>VLOOKUP(A:A,[1]android_repos_all_metrics!B:K,8,FALSE)</f>
        <v>58</v>
      </c>
      <c r="AH613">
        <f>VLOOKUP(A:A,[1]android_repos_all_metrics!B:K,9,FALSE)</f>
        <v>367</v>
      </c>
      <c r="AI613">
        <f>VLOOKUP(A:A,[1]android_repos_all_metrics!B:K,10,FALSE)</f>
        <v>0</v>
      </c>
    </row>
    <row r="614" spans="1:35">
      <c r="A614" t="s">
        <v>675</v>
      </c>
      <c r="B614" t="b">
        <v>1</v>
      </c>
      <c r="C614" t="b">
        <v>1</v>
      </c>
      <c r="D614" t="b">
        <v>0</v>
      </c>
      <c r="F614" t="b">
        <v>1</v>
      </c>
      <c r="G614" t="s">
        <v>129</v>
      </c>
      <c r="H614" t="s">
        <v>110</v>
      </c>
      <c r="I614" t="s">
        <v>76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>
        <v>2</v>
      </c>
      <c r="AB614">
        <v>0</v>
      </c>
      <c r="AC614">
        <f>VLOOKUP(A:A,[1]android_repos_all_metrics!B:K,4,FALSE)</f>
        <v>196</v>
      </c>
      <c r="AD614">
        <f>VLOOKUP(A:A,[1]android_repos_all_metrics!B:K,5,FALSE)</f>
        <v>1</v>
      </c>
      <c r="AE614">
        <f>VLOOKUP(A:A,[1]android_repos_all_metrics!B:K,6,FALSE)</f>
        <v>4</v>
      </c>
      <c r="AF614">
        <f>VLOOKUP(A:A,[1]android_repos_all_metrics!B:K,7,FALSE)</f>
        <v>89511</v>
      </c>
      <c r="AG614">
        <f>VLOOKUP(A:A,[1]android_repos_all_metrics!B:K,8,FALSE)</f>
        <v>0</v>
      </c>
      <c r="AH614">
        <f>VLOOKUP(A:A,[1]android_repos_all_metrics!B:K,9,FALSE)</f>
        <v>3</v>
      </c>
      <c r="AI614">
        <f>VLOOKUP(A:A,[1]android_repos_all_metrics!B:K,10,FALSE)</f>
        <v>0</v>
      </c>
    </row>
    <row r="615" spans="1:35">
      <c r="A615" t="s">
        <v>676</v>
      </c>
      <c r="B615" t="b">
        <v>1</v>
      </c>
      <c r="C615" t="b">
        <v>0</v>
      </c>
      <c r="D615" t="b">
        <v>0</v>
      </c>
      <c r="F615" t="b">
        <v>0</v>
      </c>
      <c r="H615" t="s">
        <v>37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>
        <v>1</v>
      </c>
      <c r="AB615">
        <v>0</v>
      </c>
      <c r="AC615">
        <f>VLOOKUP(A:A,[1]android_repos_all_metrics!B:K,4,FALSE)</f>
        <v>16</v>
      </c>
      <c r="AD615">
        <f>VLOOKUP(A:A,[1]android_repos_all_metrics!B:K,5,FALSE)</f>
        <v>1</v>
      </c>
      <c r="AE615">
        <f>VLOOKUP(A:A,[1]android_repos_all_metrics!B:K,6,FALSE)</f>
        <v>2</v>
      </c>
      <c r="AF615">
        <f>VLOOKUP(A:A,[1]android_repos_all_metrics!B:K,7,FALSE)</f>
        <v>5340</v>
      </c>
      <c r="AG615">
        <f>VLOOKUP(A:A,[1]android_repos_all_metrics!B:K,8,FALSE)</f>
        <v>1</v>
      </c>
      <c r="AH615">
        <f>VLOOKUP(A:A,[1]android_repos_all_metrics!B:K,9,FALSE)</f>
        <v>17</v>
      </c>
      <c r="AI615">
        <f>VLOOKUP(A:A,[1]android_repos_all_metrics!B:K,10,FALSE)</f>
        <v>2</v>
      </c>
    </row>
    <row r="616" spans="1:35">
      <c r="A616" t="s">
        <v>677</v>
      </c>
      <c r="B616" t="b">
        <v>1</v>
      </c>
      <c r="C616" t="b">
        <v>0</v>
      </c>
      <c r="D616" t="b">
        <v>0</v>
      </c>
      <c r="F616" t="b">
        <v>0</v>
      </c>
      <c r="H616" t="s">
        <v>37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>
        <v>1</v>
      </c>
      <c r="AB616">
        <v>0</v>
      </c>
      <c r="AC616">
        <f>VLOOKUP(A:A,[1]android_repos_all_metrics!B:K,4,FALSE)</f>
        <v>247</v>
      </c>
      <c r="AD616">
        <f>VLOOKUP(A:A,[1]android_repos_all_metrics!B:K,5,FALSE)</f>
        <v>19</v>
      </c>
      <c r="AE616">
        <f>VLOOKUP(A:A,[1]android_repos_all_metrics!B:K,6,FALSE)</f>
        <v>4</v>
      </c>
      <c r="AF616">
        <f>VLOOKUP(A:A,[1]android_repos_all_metrics!B:K,7,FALSE)</f>
        <v>37752</v>
      </c>
      <c r="AG616">
        <f>VLOOKUP(A:A,[1]android_repos_all_metrics!B:K,8,FALSE)</f>
        <v>2</v>
      </c>
      <c r="AH616">
        <f>VLOOKUP(A:A,[1]android_repos_all_metrics!B:K,9,FALSE)</f>
        <v>42</v>
      </c>
      <c r="AI616">
        <f>VLOOKUP(A:A,[1]android_repos_all_metrics!B:K,10,FALSE)</f>
        <v>7</v>
      </c>
    </row>
    <row r="617" spans="1:35">
      <c r="A617" t="s">
        <v>678</v>
      </c>
      <c r="B617" t="b">
        <v>1</v>
      </c>
      <c r="C617" t="b">
        <v>0</v>
      </c>
      <c r="D617" t="b">
        <v>0</v>
      </c>
      <c r="F617" t="b">
        <v>0</v>
      </c>
      <c r="H617" t="s">
        <v>41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>
        <v>1</v>
      </c>
      <c r="AB617">
        <v>0</v>
      </c>
      <c r="AC617">
        <f>VLOOKUP(A:A,[1]android_repos_all_metrics!B:K,4,FALSE)</f>
        <v>37</v>
      </c>
      <c r="AD617">
        <f>VLOOKUP(A:A,[1]android_repos_all_metrics!B:K,5,FALSE)</f>
        <v>13</v>
      </c>
      <c r="AE617">
        <f>VLOOKUP(A:A,[1]android_repos_all_metrics!B:K,6,FALSE)</f>
        <v>2</v>
      </c>
      <c r="AF617">
        <f>VLOOKUP(A:A,[1]android_repos_all_metrics!B:K,7,FALSE)</f>
        <v>920</v>
      </c>
      <c r="AG617">
        <f>VLOOKUP(A:A,[1]android_repos_all_metrics!B:K,8,FALSE)</f>
        <v>28</v>
      </c>
      <c r="AH617">
        <f>VLOOKUP(A:A,[1]android_repos_all_metrics!B:K,9,FALSE)</f>
        <v>203</v>
      </c>
      <c r="AI617">
        <f>VLOOKUP(A:A,[1]android_repos_all_metrics!B:K,10,FALSE)</f>
        <v>0</v>
      </c>
    </row>
    <row r="618" spans="1:35">
      <c r="A618" t="s">
        <v>679</v>
      </c>
      <c r="B618" t="b">
        <v>1</v>
      </c>
      <c r="C618" t="b">
        <v>0</v>
      </c>
      <c r="D618" t="b">
        <v>0</v>
      </c>
      <c r="F618" t="b">
        <v>0</v>
      </c>
      <c r="H618" t="s">
        <v>308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>
        <v>2</v>
      </c>
      <c r="AB618">
        <v>0</v>
      </c>
      <c r="AC618">
        <f>VLOOKUP(A:A,[1]android_repos_all_metrics!B:K,4,FALSE)</f>
        <v>65</v>
      </c>
      <c r="AD618">
        <f>VLOOKUP(A:A,[1]android_repos_all_metrics!B:K,5,FALSE)</f>
        <v>53</v>
      </c>
      <c r="AE618">
        <f>VLOOKUP(A:A,[1]android_repos_all_metrics!B:K,6,FALSE)</f>
        <v>2</v>
      </c>
      <c r="AF618">
        <f>VLOOKUP(A:A,[1]android_repos_all_metrics!B:K,7,FALSE)</f>
        <v>5459</v>
      </c>
      <c r="AG618">
        <f>VLOOKUP(A:A,[1]android_repos_all_metrics!B:K,8,FALSE)</f>
        <v>8</v>
      </c>
      <c r="AH618">
        <f>VLOOKUP(A:A,[1]android_repos_all_metrics!B:K,9,FALSE)</f>
        <v>77</v>
      </c>
      <c r="AI618">
        <f>VLOOKUP(A:A,[1]android_repos_all_metrics!B:K,10,FALSE)</f>
        <v>9</v>
      </c>
    </row>
    <row r="619" spans="1:35">
      <c r="A619" t="s">
        <v>680</v>
      </c>
      <c r="B619" t="b">
        <v>0</v>
      </c>
      <c r="C619" t="b">
        <v>0</v>
      </c>
      <c r="D619" t="b">
        <v>0</v>
      </c>
      <c r="F619" t="b">
        <v>0</v>
      </c>
      <c r="H619" t="s">
        <v>41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>
        <v>1</v>
      </c>
      <c r="AB619">
        <v>0</v>
      </c>
      <c r="AC619">
        <f>VLOOKUP(A:A,[1]android_repos_all_metrics!B:K,4,FALSE)</f>
        <v>201</v>
      </c>
      <c r="AD619">
        <f>VLOOKUP(A:A,[1]android_repos_all_metrics!B:K,5,FALSE)</f>
        <v>4</v>
      </c>
      <c r="AE619">
        <f>VLOOKUP(A:A,[1]android_repos_all_metrics!B:K,6,FALSE)</f>
        <v>3</v>
      </c>
      <c r="AF619">
        <f>VLOOKUP(A:A,[1]android_repos_all_metrics!B:K,7,FALSE)</f>
        <v>5689</v>
      </c>
      <c r="AG619">
        <f>VLOOKUP(A:A,[1]android_repos_all_metrics!B:K,8,FALSE)</f>
        <v>3</v>
      </c>
      <c r="AH619">
        <f>VLOOKUP(A:A,[1]android_repos_all_metrics!B:K,9,FALSE)</f>
        <v>29</v>
      </c>
      <c r="AI619">
        <f>VLOOKUP(A:A,[1]android_repos_all_metrics!B:K,10,FALSE)</f>
        <v>0</v>
      </c>
    </row>
    <row r="620" spans="1:35">
      <c r="A620" t="s">
        <v>681</v>
      </c>
      <c r="B620" t="b">
        <v>1</v>
      </c>
      <c r="C620" t="b">
        <v>0</v>
      </c>
      <c r="D620" t="b">
        <v>0</v>
      </c>
      <c r="F620" t="b">
        <v>0</v>
      </c>
      <c r="H620" t="s">
        <v>37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>
        <v>3</v>
      </c>
      <c r="AB620">
        <v>0</v>
      </c>
      <c r="AC620">
        <f>VLOOKUP(A:A,[1]android_repos_all_metrics!B:K,4,FALSE)</f>
        <v>1261</v>
      </c>
      <c r="AD620">
        <f>VLOOKUP(A:A,[1]android_repos_all_metrics!B:K,5,FALSE)</f>
        <v>795</v>
      </c>
      <c r="AE620">
        <f>VLOOKUP(A:A,[1]android_repos_all_metrics!B:K,6,FALSE)</f>
        <v>4</v>
      </c>
      <c r="AF620">
        <f>VLOOKUP(A:A,[1]android_repos_all_metrics!B:K,7,FALSE)</f>
        <v>49827</v>
      </c>
      <c r="AG620">
        <f>VLOOKUP(A:A,[1]android_repos_all_metrics!B:K,8,FALSE)</f>
        <v>11</v>
      </c>
      <c r="AH620">
        <f>VLOOKUP(A:A,[1]android_repos_all_metrics!B:K,9,FALSE)</f>
        <v>22</v>
      </c>
      <c r="AI620">
        <f>VLOOKUP(A:A,[1]android_repos_all_metrics!B:K,10,FALSE)</f>
        <v>12</v>
      </c>
    </row>
    <row r="621" spans="1:35">
      <c r="A621" t="s">
        <v>682</v>
      </c>
      <c r="B621" t="b">
        <v>1</v>
      </c>
      <c r="C621" t="b">
        <v>0</v>
      </c>
      <c r="D621" t="b">
        <v>0</v>
      </c>
      <c r="F621" t="b">
        <v>0</v>
      </c>
      <c r="H621" t="s">
        <v>43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>
        <v>1</v>
      </c>
      <c r="AB621">
        <v>0</v>
      </c>
      <c r="AC621">
        <f>VLOOKUP(A:A,[1]android_repos_all_metrics!B:K,4,FALSE)</f>
        <v>81</v>
      </c>
      <c r="AD621">
        <f>VLOOKUP(A:A,[1]android_repos_all_metrics!B:K,5,FALSE)</f>
        <v>25</v>
      </c>
      <c r="AE621">
        <f>VLOOKUP(A:A,[1]android_repos_all_metrics!B:K,6,FALSE)</f>
        <v>3</v>
      </c>
      <c r="AF621">
        <f>VLOOKUP(A:A,[1]android_repos_all_metrics!B:K,7,FALSE)</f>
        <v>1997</v>
      </c>
      <c r="AG621">
        <f>VLOOKUP(A:A,[1]android_repos_all_metrics!B:K,8,FALSE)</f>
        <v>11</v>
      </c>
      <c r="AH621">
        <f>VLOOKUP(A:A,[1]android_repos_all_metrics!B:K,9,FALSE)</f>
        <v>64</v>
      </c>
      <c r="AI621">
        <f>VLOOKUP(A:A,[1]android_repos_all_metrics!B:K,10,FALSE)</f>
        <v>2</v>
      </c>
    </row>
    <row r="622" spans="1:35">
      <c r="A622" t="s">
        <v>683</v>
      </c>
      <c r="B622" t="b">
        <v>1</v>
      </c>
      <c r="C622" t="b">
        <v>0</v>
      </c>
      <c r="D622" t="b">
        <v>0</v>
      </c>
      <c r="F622" t="b">
        <v>0</v>
      </c>
      <c r="H622" t="s">
        <v>37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>
        <v>1</v>
      </c>
      <c r="AB622">
        <v>0</v>
      </c>
      <c r="AC622">
        <f>VLOOKUP(A:A,[1]android_repos_all_metrics!B:K,4,FALSE)</f>
        <v>573</v>
      </c>
      <c r="AD622">
        <f>VLOOKUP(A:A,[1]android_repos_all_metrics!B:K,5,FALSE)</f>
        <v>103</v>
      </c>
      <c r="AE622">
        <f>VLOOKUP(A:A,[1]android_repos_all_metrics!B:K,6,FALSE)</f>
        <v>15</v>
      </c>
      <c r="AF622">
        <f>VLOOKUP(A:A,[1]android_repos_all_metrics!B:K,7,FALSE)</f>
        <v>7123</v>
      </c>
      <c r="AG622">
        <f>VLOOKUP(A:A,[1]android_repos_all_metrics!B:K,8,FALSE)</f>
        <v>71</v>
      </c>
      <c r="AH622">
        <f>VLOOKUP(A:A,[1]android_repos_all_metrics!B:K,9,FALSE)</f>
        <v>111</v>
      </c>
      <c r="AI622">
        <f>VLOOKUP(A:A,[1]android_repos_all_metrics!B:K,10,FALSE)</f>
        <v>6</v>
      </c>
    </row>
    <row r="623" spans="1:35">
      <c r="A623" t="s">
        <v>684</v>
      </c>
      <c r="B623" t="b">
        <v>1</v>
      </c>
      <c r="C623" t="b">
        <v>0</v>
      </c>
      <c r="D623" t="b">
        <v>0</v>
      </c>
      <c r="F623" t="b">
        <v>0</v>
      </c>
      <c r="H623" t="s">
        <v>37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>
        <v>7</v>
      </c>
      <c r="AB623">
        <v>0</v>
      </c>
      <c r="AC623">
        <f>VLOOKUP(A:A,[1]android_repos_all_metrics!B:K,4,FALSE)</f>
        <v>979</v>
      </c>
      <c r="AD623">
        <f>VLOOKUP(A:A,[1]android_repos_all_metrics!B:K,5,FALSE)</f>
        <v>1</v>
      </c>
      <c r="AE623">
        <f>VLOOKUP(A:A,[1]android_repos_all_metrics!B:K,6,FALSE)</f>
        <v>3</v>
      </c>
      <c r="AF623">
        <f>VLOOKUP(A:A,[1]android_repos_all_metrics!B:K,7,FALSE)</f>
        <v>48353</v>
      </c>
      <c r="AG623">
        <f>VLOOKUP(A:A,[1]android_repos_all_metrics!B:K,8,FALSE)</f>
        <v>7</v>
      </c>
      <c r="AH623">
        <f>VLOOKUP(A:A,[1]android_repos_all_metrics!B:K,9,FALSE)</f>
        <v>10</v>
      </c>
      <c r="AI623">
        <f>VLOOKUP(A:A,[1]android_repos_all_metrics!B:K,10,FALSE)</f>
        <v>0</v>
      </c>
    </row>
    <row r="624" spans="1:35">
      <c r="A624" t="s">
        <v>685</v>
      </c>
      <c r="B624" t="b">
        <v>0</v>
      </c>
      <c r="C624" t="b">
        <v>0</v>
      </c>
      <c r="D624" t="b">
        <v>0</v>
      </c>
      <c r="F624" t="b">
        <v>0</v>
      </c>
      <c r="H624" t="s">
        <v>41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>
        <v>1</v>
      </c>
      <c r="AB624">
        <v>0</v>
      </c>
      <c r="AC624">
        <f>VLOOKUP(A:A,[1]android_repos_all_metrics!B:K,4,FALSE)</f>
        <v>2725</v>
      </c>
      <c r="AD624">
        <f>VLOOKUP(A:A,[1]android_repos_all_metrics!B:K,5,FALSE)</f>
        <v>77</v>
      </c>
      <c r="AE624">
        <f>VLOOKUP(A:A,[1]android_repos_all_metrics!B:K,6,FALSE)</f>
        <v>19</v>
      </c>
      <c r="AF624">
        <f>VLOOKUP(A:A,[1]android_repos_all_metrics!B:K,7,FALSE)</f>
        <v>121209</v>
      </c>
      <c r="AG624">
        <f>VLOOKUP(A:A,[1]android_repos_all_metrics!B:K,8,FALSE)</f>
        <v>761</v>
      </c>
      <c r="AH624">
        <f>VLOOKUP(A:A,[1]android_repos_all_metrics!B:K,9,FALSE)</f>
        <v>8797</v>
      </c>
      <c r="AI624">
        <f>VLOOKUP(A:A,[1]android_repos_all_metrics!B:K,10,FALSE)</f>
        <v>40</v>
      </c>
    </row>
    <row r="625" spans="1:35">
      <c r="A625" t="s">
        <v>686</v>
      </c>
      <c r="B625" t="b">
        <v>1</v>
      </c>
      <c r="C625" t="b">
        <v>0</v>
      </c>
      <c r="D625" t="b">
        <v>0</v>
      </c>
      <c r="F625" t="b">
        <v>0</v>
      </c>
      <c r="H625" t="s">
        <v>37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>
        <v>1</v>
      </c>
      <c r="AB625">
        <v>0</v>
      </c>
      <c r="AC625">
        <f>VLOOKUP(A:A,[1]android_repos_all_metrics!B:K,4,FALSE)</f>
        <v>125</v>
      </c>
      <c r="AD625">
        <f>VLOOKUP(A:A,[1]android_repos_all_metrics!B:K,5,FALSE)</f>
        <v>3</v>
      </c>
      <c r="AE625">
        <f>VLOOKUP(A:A,[1]android_repos_all_metrics!B:K,6,FALSE)</f>
        <v>1</v>
      </c>
      <c r="AF625">
        <f>VLOOKUP(A:A,[1]android_repos_all_metrics!B:K,7,FALSE)</f>
        <v>94147</v>
      </c>
      <c r="AG625">
        <f>VLOOKUP(A:A,[1]android_repos_all_metrics!B:K,8,FALSE)</f>
        <v>0</v>
      </c>
      <c r="AH625">
        <f>VLOOKUP(A:A,[1]android_repos_all_metrics!B:K,9,FALSE)</f>
        <v>8</v>
      </c>
      <c r="AI625">
        <f>VLOOKUP(A:A,[1]android_repos_all_metrics!B:K,10,FALSE)</f>
        <v>0</v>
      </c>
    </row>
    <row r="626" spans="1:35">
      <c r="A626" t="s">
        <v>687</v>
      </c>
      <c r="B626" t="b">
        <v>1</v>
      </c>
      <c r="C626" t="b">
        <v>0</v>
      </c>
      <c r="D626" t="b">
        <v>0</v>
      </c>
      <c r="F626" t="b">
        <v>0</v>
      </c>
      <c r="H626" t="s">
        <v>37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>
        <v>1</v>
      </c>
      <c r="AB626">
        <v>0</v>
      </c>
      <c r="AC626">
        <f>VLOOKUP(A:A,[1]android_repos_all_metrics!B:K,4,FALSE)</f>
        <v>189</v>
      </c>
      <c r="AD626">
        <f>VLOOKUP(A:A,[1]android_repos_all_metrics!B:K,5,FALSE)</f>
        <v>4</v>
      </c>
      <c r="AE626">
        <f>VLOOKUP(A:A,[1]android_repos_all_metrics!B:K,6,FALSE)</f>
        <v>1</v>
      </c>
      <c r="AF626">
        <f>VLOOKUP(A:A,[1]android_repos_all_metrics!B:K,7,FALSE)</f>
        <v>3702</v>
      </c>
      <c r="AG626">
        <f>VLOOKUP(A:A,[1]android_repos_all_metrics!B:K,8,FALSE)</f>
        <v>4</v>
      </c>
      <c r="AH626">
        <f>VLOOKUP(A:A,[1]android_repos_all_metrics!B:K,9,FALSE)</f>
        <v>12</v>
      </c>
      <c r="AI626">
        <f>VLOOKUP(A:A,[1]android_repos_all_metrics!B:K,10,FALSE)</f>
        <v>0</v>
      </c>
    </row>
    <row r="627" spans="1:35">
      <c r="A627" t="s">
        <v>688</v>
      </c>
      <c r="B627" t="b">
        <v>1</v>
      </c>
      <c r="C627" t="b">
        <v>0</v>
      </c>
      <c r="D627" t="b">
        <v>0</v>
      </c>
      <c r="F627" t="b">
        <v>0</v>
      </c>
      <c r="H627" t="s">
        <v>37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>
        <v>1</v>
      </c>
      <c r="AB627">
        <v>0</v>
      </c>
      <c r="AC627">
        <f>VLOOKUP(A:A,[1]android_repos_all_metrics!B:K,4,FALSE)</f>
        <v>39</v>
      </c>
      <c r="AD627">
        <f>VLOOKUP(A:A,[1]android_repos_all_metrics!B:K,5,FALSE)</f>
        <v>1</v>
      </c>
      <c r="AE627">
        <f>VLOOKUP(A:A,[1]android_repos_all_metrics!B:K,6,FALSE)</f>
        <v>1</v>
      </c>
      <c r="AF627">
        <f>VLOOKUP(A:A,[1]android_repos_all_metrics!B:K,7,FALSE)</f>
        <v>264</v>
      </c>
      <c r="AG627">
        <f>VLOOKUP(A:A,[1]android_repos_all_metrics!B:K,8,FALSE)</f>
        <v>4</v>
      </c>
      <c r="AH627">
        <f>VLOOKUP(A:A,[1]android_repos_all_metrics!B:K,9,FALSE)</f>
        <v>78</v>
      </c>
      <c r="AI627">
        <f>VLOOKUP(A:A,[1]android_repos_all_metrics!B:K,10,FALSE)</f>
        <v>0</v>
      </c>
    </row>
    <row r="628" spans="1:35">
      <c r="A628" t="s">
        <v>689</v>
      </c>
      <c r="B628" t="b">
        <v>1</v>
      </c>
      <c r="C628" t="b">
        <v>0</v>
      </c>
      <c r="D628" t="b">
        <v>0</v>
      </c>
      <c r="F628" t="b">
        <v>0</v>
      </c>
      <c r="H628" t="s">
        <v>37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>
        <v>2</v>
      </c>
      <c r="AB628">
        <v>0</v>
      </c>
      <c r="AC628">
        <f>VLOOKUP(A:A,[1]android_repos_all_metrics!B:K,4,FALSE)</f>
        <v>100</v>
      </c>
      <c r="AD628">
        <f>VLOOKUP(A:A,[1]android_repos_all_metrics!B:K,5,FALSE)</f>
        <v>0</v>
      </c>
      <c r="AE628">
        <f>VLOOKUP(A:A,[1]android_repos_all_metrics!B:K,6,FALSE)</f>
        <v>1</v>
      </c>
      <c r="AF628">
        <f>VLOOKUP(A:A,[1]android_repos_all_metrics!B:K,7,FALSE)</f>
        <v>3979</v>
      </c>
      <c r="AG628">
        <f>VLOOKUP(A:A,[1]android_repos_all_metrics!B:K,8,FALSE)</f>
        <v>21</v>
      </c>
      <c r="AH628">
        <f>VLOOKUP(A:A,[1]android_repos_all_metrics!B:K,9,FALSE)</f>
        <v>85</v>
      </c>
      <c r="AI628">
        <f>VLOOKUP(A:A,[1]android_repos_all_metrics!B:K,10,FALSE)</f>
        <v>3</v>
      </c>
    </row>
    <row r="629" spans="1:35">
      <c r="A629" t="s">
        <v>690</v>
      </c>
      <c r="B629" t="b">
        <v>1</v>
      </c>
      <c r="C629" t="b">
        <v>0</v>
      </c>
      <c r="D629" t="b">
        <v>0</v>
      </c>
      <c r="F629" t="b">
        <v>0</v>
      </c>
      <c r="H629" t="s">
        <v>308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>
        <v>3</v>
      </c>
      <c r="AB629">
        <v>0</v>
      </c>
      <c r="AC629">
        <f>VLOOKUP(A:A,[1]android_repos_all_metrics!B:K,4,FALSE)</f>
        <v>2054</v>
      </c>
      <c r="AD629">
        <f>VLOOKUP(A:A,[1]android_repos_all_metrics!B:K,5,FALSE)</f>
        <v>235</v>
      </c>
      <c r="AE629">
        <f>VLOOKUP(A:A,[1]android_repos_all_metrics!B:K,6,FALSE)</f>
        <v>3</v>
      </c>
      <c r="AF629">
        <f>VLOOKUP(A:A,[1]android_repos_all_metrics!B:K,7,FALSE)</f>
        <v>50402</v>
      </c>
      <c r="AG629">
        <f>VLOOKUP(A:A,[1]android_repos_all_metrics!B:K,8,FALSE)</f>
        <v>0</v>
      </c>
      <c r="AH629">
        <f>VLOOKUP(A:A,[1]android_repos_all_metrics!B:K,9,FALSE)</f>
        <v>14</v>
      </c>
      <c r="AI629">
        <f>VLOOKUP(A:A,[1]android_repos_all_metrics!B:K,10,FALSE)</f>
        <v>24</v>
      </c>
    </row>
    <row r="630" spans="1:35">
      <c r="A630" t="s">
        <v>691</v>
      </c>
      <c r="B630" t="b">
        <v>0</v>
      </c>
      <c r="C630" t="b">
        <v>0</v>
      </c>
      <c r="D630" t="b">
        <v>0</v>
      </c>
      <c r="F630" t="b">
        <v>0</v>
      </c>
      <c r="H630" t="s">
        <v>41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>
        <v>1</v>
      </c>
      <c r="AB630">
        <v>0</v>
      </c>
      <c r="AC630">
        <f>VLOOKUP(A:A,[1]android_repos_all_metrics!B:K,4,FALSE)</f>
        <v>49</v>
      </c>
      <c r="AD630">
        <f>VLOOKUP(A:A,[1]android_repos_all_metrics!B:K,5,FALSE)</f>
        <v>3</v>
      </c>
      <c r="AE630">
        <f>VLOOKUP(A:A,[1]android_repos_all_metrics!B:K,6,FALSE)</f>
        <v>1</v>
      </c>
      <c r="AF630">
        <f>VLOOKUP(A:A,[1]android_repos_all_metrics!B:K,7,FALSE)</f>
        <v>12711</v>
      </c>
      <c r="AG630">
        <f>VLOOKUP(A:A,[1]android_repos_all_metrics!B:K,8,FALSE)</f>
        <v>35</v>
      </c>
      <c r="AH630">
        <f>VLOOKUP(A:A,[1]android_repos_all_metrics!B:K,9,FALSE)</f>
        <v>258</v>
      </c>
      <c r="AI630">
        <f>VLOOKUP(A:A,[1]android_repos_all_metrics!B:K,10,FALSE)</f>
        <v>0</v>
      </c>
    </row>
    <row r="631" spans="1:35">
      <c r="A631" t="s">
        <v>692</v>
      </c>
      <c r="B631" t="b">
        <v>1</v>
      </c>
      <c r="C631" t="b">
        <v>0</v>
      </c>
      <c r="D631" t="b">
        <v>0</v>
      </c>
      <c r="F631" t="b">
        <v>0</v>
      </c>
      <c r="H631" t="s">
        <v>37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>
        <v>1</v>
      </c>
      <c r="AB631">
        <v>0</v>
      </c>
      <c r="AC631">
        <f>VLOOKUP(A:A,[1]android_repos_all_metrics!B:K,4,FALSE)</f>
        <v>3078</v>
      </c>
      <c r="AD631">
        <f>VLOOKUP(A:A,[1]android_repos_all_metrics!B:K,5,FALSE)</f>
        <v>5</v>
      </c>
      <c r="AE631">
        <f>VLOOKUP(A:A,[1]android_repos_all_metrics!B:K,6,FALSE)</f>
        <v>5</v>
      </c>
      <c r="AF631">
        <f>VLOOKUP(A:A,[1]android_repos_all_metrics!B:K,7,FALSE)</f>
        <v>56573</v>
      </c>
      <c r="AG631">
        <f>VLOOKUP(A:A,[1]android_repos_all_metrics!B:K,8,FALSE)</f>
        <v>20</v>
      </c>
      <c r="AH631">
        <f>VLOOKUP(A:A,[1]android_repos_all_metrics!B:K,9,FALSE)</f>
        <v>89</v>
      </c>
      <c r="AI631">
        <f>VLOOKUP(A:A,[1]android_repos_all_metrics!B:K,10,FALSE)</f>
        <v>19</v>
      </c>
    </row>
    <row r="632" spans="1:35">
      <c r="A632" t="s">
        <v>693</v>
      </c>
      <c r="B632" t="b">
        <v>1</v>
      </c>
      <c r="C632" t="b">
        <v>0</v>
      </c>
      <c r="D632" t="b">
        <v>0</v>
      </c>
      <c r="F632" t="b">
        <v>0</v>
      </c>
      <c r="H632" t="s">
        <v>37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>
        <v>1</v>
      </c>
      <c r="AB632">
        <v>0</v>
      </c>
      <c r="AC632">
        <f>VLOOKUP(A:A,[1]android_repos_all_metrics!B:K,4,FALSE)</f>
        <v>172</v>
      </c>
      <c r="AD632">
        <f>VLOOKUP(A:A,[1]android_repos_all_metrics!B:K,5,FALSE)</f>
        <v>4</v>
      </c>
      <c r="AE632">
        <f>VLOOKUP(A:A,[1]android_repos_all_metrics!B:K,6,FALSE)</f>
        <v>2</v>
      </c>
      <c r="AF632">
        <f>VLOOKUP(A:A,[1]android_repos_all_metrics!B:K,7,FALSE)</f>
        <v>59919</v>
      </c>
      <c r="AG632">
        <f>VLOOKUP(A:A,[1]android_repos_all_metrics!B:K,8,FALSE)</f>
        <v>0</v>
      </c>
      <c r="AH632">
        <f>VLOOKUP(A:A,[1]android_repos_all_metrics!B:K,9,FALSE)</f>
        <v>1</v>
      </c>
      <c r="AI632">
        <f>VLOOKUP(A:A,[1]android_repos_all_metrics!B:K,10,FALSE)</f>
        <v>0</v>
      </c>
    </row>
    <row r="633" spans="1:35">
      <c r="A633" t="s">
        <v>694</v>
      </c>
      <c r="B633" t="b">
        <v>0</v>
      </c>
      <c r="C633" t="b">
        <v>0</v>
      </c>
      <c r="D633" t="b">
        <v>0</v>
      </c>
      <c r="F633" t="b">
        <v>0</v>
      </c>
      <c r="H633" t="s">
        <v>41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>
        <v>1</v>
      </c>
      <c r="AB633">
        <v>0</v>
      </c>
      <c r="AC633">
        <f>VLOOKUP(A:A,[1]android_repos_all_metrics!B:K,4,FALSE)</f>
        <v>10</v>
      </c>
      <c r="AD633">
        <f>VLOOKUP(A:A,[1]android_repos_all_metrics!B:K,5,FALSE)</f>
        <v>0</v>
      </c>
      <c r="AE633">
        <f>VLOOKUP(A:A,[1]android_repos_all_metrics!B:K,6,FALSE)</f>
        <v>1</v>
      </c>
      <c r="AF633">
        <f>VLOOKUP(A:A,[1]android_repos_all_metrics!B:K,7,FALSE)</f>
        <v>1262</v>
      </c>
      <c r="AG633">
        <f>VLOOKUP(A:A,[1]android_repos_all_metrics!B:K,8,FALSE)</f>
        <v>4</v>
      </c>
      <c r="AH633">
        <f>VLOOKUP(A:A,[1]android_repos_all_metrics!B:K,9,FALSE)</f>
        <v>44</v>
      </c>
      <c r="AI633">
        <f>VLOOKUP(A:A,[1]android_repos_all_metrics!B:K,10,FALSE)</f>
        <v>0</v>
      </c>
    </row>
    <row r="634" spans="1:35">
      <c r="A634" t="s">
        <v>695</v>
      </c>
      <c r="B634" t="b">
        <v>1</v>
      </c>
      <c r="C634" t="b">
        <v>0</v>
      </c>
      <c r="D634" t="b">
        <v>0</v>
      </c>
      <c r="F634" t="b">
        <v>0</v>
      </c>
      <c r="H634" t="s">
        <v>37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>
        <v>1</v>
      </c>
      <c r="AB634">
        <v>0</v>
      </c>
      <c r="AC634">
        <f>VLOOKUP(A:A,[1]android_repos_all_metrics!B:K,4,FALSE)</f>
        <v>133</v>
      </c>
      <c r="AD634">
        <f>VLOOKUP(A:A,[1]android_repos_all_metrics!B:K,5,FALSE)</f>
        <v>6</v>
      </c>
      <c r="AE634">
        <f>VLOOKUP(A:A,[1]android_repos_all_metrics!B:K,6,FALSE)</f>
        <v>5</v>
      </c>
      <c r="AF634">
        <f>VLOOKUP(A:A,[1]android_repos_all_metrics!B:K,7,FALSE)</f>
        <v>587</v>
      </c>
      <c r="AG634">
        <f>VLOOKUP(A:A,[1]android_repos_all_metrics!B:K,8,FALSE)</f>
        <v>4</v>
      </c>
      <c r="AH634">
        <f>VLOOKUP(A:A,[1]android_repos_all_metrics!B:K,9,FALSE)</f>
        <v>42</v>
      </c>
      <c r="AI634">
        <f>VLOOKUP(A:A,[1]android_repos_all_metrics!B:K,10,FALSE)</f>
        <v>14</v>
      </c>
    </row>
    <row r="635" spans="1:35">
      <c r="A635" t="s">
        <v>696</v>
      </c>
      <c r="B635" t="b">
        <v>0</v>
      </c>
      <c r="C635" t="b">
        <v>0</v>
      </c>
      <c r="D635" t="b">
        <v>0</v>
      </c>
      <c r="F635" t="b">
        <v>0</v>
      </c>
      <c r="H635" t="s">
        <v>41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>
        <v>1</v>
      </c>
      <c r="AB635">
        <v>0</v>
      </c>
      <c r="AC635">
        <f>VLOOKUP(A:A,[1]android_repos_all_metrics!B:K,4,FALSE)</f>
        <v>183</v>
      </c>
      <c r="AD635">
        <f>VLOOKUP(A:A,[1]android_repos_all_metrics!B:K,5,FALSE)</f>
        <v>49</v>
      </c>
      <c r="AE635">
        <f>VLOOKUP(A:A,[1]android_repos_all_metrics!B:K,6,FALSE)</f>
        <v>11</v>
      </c>
      <c r="AF635">
        <f>VLOOKUP(A:A,[1]android_repos_all_metrics!B:K,7,FALSE)</f>
        <v>6790</v>
      </c>
      <c r="AG635">
        <f>VLOOKUP(A:A,[1]android_repos_all_metrics!B:K,8,FALSE)</f>
        <v>806</v>
      </c>
      <c r="AH635">
        <f>VLOOKUP(A:A,[1]android_repos_all_metrics!B:K,9,FALSE)</f>
        <v>4985</v>
      </c>
      <c r="AI635">
        <f>VLOOKUP(A:A,[1]android_repos_all_metrics!B:K,10,FALSE)</f>
        <v>54</v>
      </c>
    </row>
    <row r="636" spans="1:35">
      <c r="A636" t="s">
        <v>697</v>
      </c>
      <c r="B636" t="b">
        <v>1</v>
      </c>
      <c r="C636" t="b">
        <v>1</v>
      </c>
      <c r="D636" t="b">
        <v>1</v>
      </c>
      <c r="E636" t="s">
        <v>36</v>
      </c>
      <c r="F636" t="b">
        <v>0</v>
      </c>
      <c r="H636" t="s">
        <v>37</v>
      </c>
      <c r="I636" t="s">
        <v>37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>
        <v>3</v>
      </c>
      <c r="AA636">
        <v>1</v>
      </c>
      <c r="AB636">
        <v>0</v>
      </c>
      <c r="AC636">
        <f>VLOOKUP(A:A,[1]android_repos_all_metrics!B:K,4,FALSE)</f>
        <v>1107</v>
      </c>
      <c r="AD636">
        <f>VLOOKUP(A:A,[1]android_repos_all_metrics!B:K,5,FALSE)</f>
        <v>4</v>
      </c>
      <c r="AE636">
        <f>VLOOKUP(A:A,[1]android_repos_all_metrics!B:K,6,FALSE)</f>
        <v>1</v>
      </c>
      <c r="AF636">
        <f>VLOOKUP(A:A,[1]android_repos_all_metrics!B:K,7,FALSE)</f>
        <v>2253</v>
      </c>
      <c r="AG636">
        <f>VLOOKUP(A:A,[1]android_repos_all_metrics!B:K,8,FALSE)</f>
        <v>0</v>
      </c>
      <c r="AH636">
        <f>VLOOKUP(A:A,[1]android_repos_all_metrics!B:K,9,FALSE)</f>
        <v>7</v>
      </c>
      <c r="AI636">
        <f>VLOOKUP(A:A,[1]android_repos_all_metrics!B:K,10,FALSE)</f>
        <v>1</v>
      </c>
    </row>
    <row r="637" spans="1:35">
      <c r="A637" t="s">
        <v>698</v>
      </c>
      <c r="B637" t="b">
        <v>1</v>
      </c>
      <c r="C637" t="b">
        <v>1</v>
      </c>
      <c r="D637" t="b">
        <v>0</v>
      </c>
      <c r="F637" t="b">
        <v>1</v>
      </c>
      <c r="G637" t="s">
        <v>39</v>
      </c>
      <c r="H637" t="s">
        <v>41</v>
      </c>
      <c r="I637" t="s">
        <v>41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>
        <v>1</v>
      </c>
      <c r="AB637">
        <v>0</v>
      </c>
      <c r="AC637">
        <f>VLOOKUP(A:A,[1]android_repos_all_metrics!B:K,4,FALSE)</f>
        <v>280</v>
      </c>
      <c r="AD637">
        <f>VLOOKUP(A:A,[1]android_repos_all_metrics!B:K,5,FALSE)</f>
        <v>2</v>
      </c>
      <c r="AE637">
        <f>VLOOKUP(A:A,[1]android_repos_all_metrics!B:K,6,FALSE)</f>
        <v>4</v>
      </c>
      <c r="AF637">
        <f>VLOOKUP(A:A,[1]android_repos_all_metrics!B:K,7,FALSE)</f>
        <v>29060</v>
      </c>
      <c r="AG637">
        <f>VLOOKUP(A:A,[1]android_repos_all_metrics!B:K,8,FALSE)</f>
        <v>10</v>
      </c>
      <c r="AH637">
        <f>VLOOKUP(A:A,[1]android_repos_all_metrics!B:K,9,FALSE)</f>
        <v>14</v>
      </c>
      <c r="AI637">
        <f>VLOOKUP(A:A,[1]android_repos_all_metrics!B:K,10,FALSE)</f>
        <v>0</v>
      </c>
    </row>
    <row r="638" spans="1:35">
      <c r="A638" t="s">
        <v>699</v>
      </c>
      <c r="B638" t="b">
        <v>1</v>
      </c>
      <c r="C638" t="b">
        <v>1</v>
      </c>
      <c r="D638" t="b">
        <v>0</v>
      </c>
      <c r="F638" t="b">
        <v>1</v>
      </c>
      <c r="G638" t="s">
        <v>39</v>
      </c>
      <c r="H638" t="s">
        <v>41</v>
      </c>
      <c r="I638" t="s">
        <v>41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>
        <v>1</v>
      </c>
      <c r="AB638">
        <v>0</v>
      </c>
      <c r="AC638">
        <f>VLOOKUP(A:A,[1]android_repos_all_metrics!B:K,4,FALSE)</f>
        <v>76</v>
      </c>
      <c r="AD638">
        <f>VLOOKUP(A:A,[1]android_repos_all_metrics!B:K,5,FALSE)</f>
        <v>1</v>
      </c>
      <c r="AE638">
        <f>VLOOKUP(A:A,[1]android_repos_all_metrics!B:K,6,FALSE)</f>
        <v>1</v>
      </c>
      <c r="AF638">
        <f>VLOOKUP(A:A,[1]android_repos_all_metrics!B:K,7,FALSE)</f>
        <v>4523</v>
      </c>
      <c r="AG638">
        <f>VLOOKUP(A:A,[1]android_repos_all_metrics!B:K,8,FALSE)</f>
        <v>0</v>
      </c>
      <c r="AH638">
        <f>VLOOKUP(A:A,[1]android_repos_all_metrics!B:K,9,FALSE)</f>
        <v>3</v>
      </c>
      <c r="AI638">
        <f>VLOOKUP(A:A,[1]android_repos_all_metrics!B:K,10,FALSE)</f>
        <v>0</v>
      </c>
    </row>
    <row r="639" spans="1:35">
      <c r="A639" t="s">
        <v>700</v>
      </c>
      <c r="B639" t="b">
        <v>1</v>
      </c>
      <c r="C639" t="b">
        <v>0</v>
      </c>
      <c r="D639" t="b">
        <v>0</v>
      </c>
      <c r="F639" t="b">
        <v>0</v>
      </c>
      <c r="H639" t="s">
        <v>37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>
        <v>1</v>
      </c>
      <c r="AB639">
        <v>0</v>
      </c>
      <c r="AC639">
        <f>VLOOKUP(A:A,[1]android_repos_all_metrics!B:K,4,FALSE)</f>
        <v>33</v>
      </c>
      <c r="AD639">
        <f>VLOOKUP(A:A,[1]android_repos_all_metrics!B:K,5,FALSE)</f>
        <v>6</v>
      </c>
      <c r="AE639">
        <f>VLOOKUP(A:A,[1]android_repos_all_metrics!B:K,6,FALSE)</f>
        <v>1</v>
      </c>
      <c r="AF639">
        <f>VLOOKUP(A:A,[1]android_repos_all_metrics!B:K,7,FALSE)</f>
        <v>992</v>
      </c>
      <c r="AG639">
        <f>VLOOKUP(A:A,[1]android_repos_all_metrics!B:K,8,FALSE)</f>
        <v>1</v>
      </c>
      <c r="AH639">
        <f>VLOOKUP(A:A,[1]android_repos_all_metrics!B:K,9,FALSE)</f>
        <v>15</v>
      </c>
      <c r="AI639">
        <f>VLOOKUP(A:A,[1]android_repos_all_metrics!B:K,10,FALSE)</f>
        <v>0</v>
      </c>
    </row>
    <row r="640" spans="1:35">
      <c r="A640" t="s">
        <v>701</v>
      </c>
      <c r="B640" t="b">
        <v>1</v>
      </c>
      <c r="C640" t="b">
        <v>0</v>
      </c>
      <c r="D640" t="b">
        <v>0</v>
      </c>
      <c r="F640" t="b">
        <v>0</v>
      </c>
      <c r="H640" t="s">
        <v>43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>
        <v>1</v>
      </c>
      <c r="AB640">
        <v>0</v>
      </c>
      <c r="AC640">
        <f>VLOOKUP(A:A,[1]android_repos_all_metrics!B:K,4,FALSE)</f>
        <v>14</v>
      </c>
      <c r="AD640">
        <f>VLOOKUP(A:A,[1]android_repos_all_metrics!B:K,5,FALSE)</f>
        <v>7</v>
      </c>
      <c r="AE640">
        <f>VLOOKUP(A:A,[1]android_repos_all_metrics!B:K,6,FALSE)</f>
        <v>1</v>
      </c>
      <c r="AF640">
        <f>VLOOKUP(A:A,[1]android_repos_all_metrics!B:K,7,FALSE)</f>
        <v>4214</v>
      </c>
      <c r="AG640">
        <f>VLOOKUP(A:A,[1]android_repos_all_metrics!B:K,8,FALSE)</f>
        <v>0</v>
      </c>
      <c r="AH640">
        <f>VLOOKUP(A:A,[1]android_repos_all_metrics!B:K,9,FALSE)</f>
        <v>1</v>
      </c>
      <c r="AI640">
        <f>VLOOKUP(A:A,[1]android_repos_all_metrics!B:K,10,FALSE)</f>
        <v>0</v>
      </c>
    </row>
    <row r="641" spans="1:35">
      <c r="A641" t="s">
        <v>702</v>
      </c>
      <c r="B641" t="b">
        <v>1</v>
      </c>
      <c r="C641" t="b">
        <v>0</v>
      </c>
      <c r="D641" t="b">
        <v>0</v>
      </c>
      <c r="F641" t="b">
        <v>0</v>
      </c>
      <c r="H641" t="s">
        <v>37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>
        <v>1</v>
      </c>
      <c r="AB641">
        <v>0</v>
      </c>
      <c r="AC641">
        <f>VLOOKUP(A:A,[1]android_repos_all_metrics!B:K,4,FALSE)</f>
        <v>272</v>
      </c>
      <c r="AD641">
        <f>VLOOKUP(A:A,[1]android_repos_all_metrics!B:K,5,FALSE)</f>
        <v>10</v>
      </c>
      <c r="AE641">
        <f>VLOOKUP(A:A,[1]android_repos_all_metrics!B:K,6,FALSE)</f>
        <v>4</v>
      </c>
      <c r="AF641">
        <f>VLOOKUP(A:A,[1]android_repos_all_metrics!B:K,7,FALSE)</f>
        <v>101926</v>
      </c>
      <c r="AG641">
        <f>VLOOKUP(A:A,[1]android_repos_all_metrics!B:K,8,FALSE)</f>
        <v>1</v>
      </c>
      <c r="AH641">
        <f>VLOOKUP(A:A,[1]android_repos_all_metrics!B:K,9,FALSE)</f>
        <v>5</v>
      </c>
      <c r="AI641">
        <f>VLOOKUP(A:A,[1]android_repos_all_metrics!B:K,10,FALSE)</f>
        <v>0</v>
      </c>
    </row>
    <row r="642" spans="1:35">
      <c r="A642" t="s">
        <v>703</v>
      </c>
      <c r="B642" t="b">
        <v>1</v>
      </c>
      <c r="C642" t="b">
        <v>0</v>
      </c>
      <c r="D642" t="b">
        <v>0</v>
      </c>
      <c r="F642" t="b">
        <v>0</v>
      </c>
      <c r="H642" t="s">
        <v>37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>
        <v>1</v>
      </c>
      <c r="AB642">
        <v>0</v>
      </c>
      <c r="AC642">
        <f>VLOOKUP(A:A,[1]android_repos_all_metrics!B:K,4,FALSE)</f>
        <v>168</v>
      </c>
      <c r="AD642">
        <f>VLOOKUP(A:A,[1]android_repos_all_metrics!B:K,5,FALSE)</f>
        <v>52</v>
      </c>
      <c r="AE642">
        <f>VLOOKUP(A:A,[1]android_repos_all_metrics!B:K,6,FALSE)</f>
        <v>12</v>
      </c>
      <c r="AF642">
        <f>VLOOKUP(A:A,[1]android_repos_all_metrics!B:K,7,FALSE)</f>
        <v>2822</v>
      </c>
      <c r="AG642">
        <f>VLOOKUP(A:A,[1]android_repos_all_metrics!B:K,8,FALSE)</f>
        <v>57</v>
      </c>
      <c r="AH642">
        <f>VLOOKUP(A:A,[1]android_repos_all_metrics!B:K,9,FALSE)</f>
        <v>245</v>
      </c>
      <c r="AI642">
        <f>VLOOKUP(A:A,[1]android_repos_all_metrics!B:K,10,FALSE)</f>
        <v>28</v>
      </c>
    </row>
    <row r="643" spans="1:35">
      <c r="A643" t="s">
        <v>704</v>
      </c>
      <c r="B643" t="b">
        <v>0</v>
      </c>
      <c r="C643" t="b">
        <v>0</v>
      </c>
      <c r="D643" t="b">
        <v>0</v>
      </c>
      <c r="F643" t="b">
        <v>0</v>
      </c>
      <c r="H643" t="s">
        <v>41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>
        <v>1</v>
      </c>
      <c r="AB643">
        <v>0</v>
      </c>
      <c r="AC643">
        <f>VLOOKUP(A:A,[1]android_repos_all_metrics!B:K,4,FALSE)</f>
        <v>24</v>
      </c>
      <c r="AD643">
        <f>VLOOKUP(A:A,[1]android_repos_all_metrics!B:K,5,FALSE)</f>
        <v>13</v>
      </c>
      <c r="AE643">
        <f>VLOOKUP(A:A,[1]android_repos_all_metrics!B:K,6,FALSE)</f>
        <v>1</v>
      </c>
      <c r="AF643">
        <f>VLOOKUP(A:A,[1]android_repos_all_metrics!B:K,7,FALSE)</f>
        <v>754</v>
      </c>
      <c r="AG643">
        <f>VLOOKUP(A:A,[1]android_repos_all_metrics!B:K,8,FALSE)</f>
        <v>7</v>
      </c>
      <c r="AH643">
        <f>VLOOKUP(A:A,[1]android_repos_all_metrics!B:K,9,FALSE)</f>
        <v>18</v>
      </c>
      <c r="AI643">
        <f>VLOOKUP(A:A,[1]android_repos_all_metrics!B:K,10,FALSE)</f>
        <v>25</v>
      </c>
    </row>
    <row r="644" spans="1:35">
      <c r="A644" t="s">
        <v>705</v>
      </c>
      <c r="B644" t="b">
        <v>1</v>
      </c>
      <c r="C644" t="b">
        <v>0</v>
      </c>
      <c r="D644" t="b">
        <v>0</v>
      </c>
      <c r="F644" t="b">
        <v>0</v>
      </c>
      <c r="H644" t="s">
        <v>41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>
        <v>1</v>
      </c>
      <c r="AB644">
        <v>0</v>
      </c>
      <c r="AC644">
        <f>VLOOKUP(A:A,[1]android_repos_all_metrics!B:K,4,FALSE)</f>
        <v>1</v>
      </c>
      <c r="AD644">
        <f>VLOOKUP(A:A,[1]android_repos_all_metrics!B:K,5,FALSE)</f>
        <v>2</v>
      </c>
      <c r="AE644">
        <f>VLOOKUP(A:A,[1]android_repos_all_metrics!B:K,6,FALSE)</f>
        <v>1</v>
      </c>
      <c r="AF644">
        <f>VLOOKUP(A:A,[1]android_repos_all_metrics!B:K,7,FALSE)</f>
        <v>245</v>
      </c>
      <c r="AG644">
        <f>VLOOKUP(A:A,[1]android_repos_all_metrics!B:K,8,FALSE)</f>
        <v>0</v>
      </c>
      <c r="AH644">
        <f>VLOOKUP(A:A,[1]android_repos_all_metrics!B:K,9,FALSE)</f>
        <v>1</v>
      </c>
      <c r="AI644">
        <f>VLOOKUP(A:A,[1]android_repos_all_metrics!B:K,10,FALSE)</f>
        <v>1</v>
      </c>
    </row>
    <row r="645" spans="1:35">
      <c r="A645" t="s">
        <v>706</v>
      </c>
      <c r="B645" t="b">
        <v>1</v>
      </c>
      <c r="C645" t="b">
        <v>0</v>
      </c>
      <c r="D645" t="b">
        <v>0</v>
      </c>
      <c r="F645" t="b">
        <v>0</v>
      </c>
      <c r="H645" t="s">
        <v>37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>
        <v>1</v>
      </c>
      <c r="AB645">
        <v>0</v>
      </c>
      <c r="AC645">
        <f>VLOOKUP(A:A,[1]android_repos_all_metrics!B:K,4,FALSE)</f>
        <v>56</v>
      </c>
      <c r="AD645">
        <f>VLOOKUP(A:A,[1]android_repos_all_metrics!B:K,5,FALSE)</f>
        <v>1</v>
      </c>
      <c r="AE645">
        <f>VLOOKUP(A:A,[1]android_repos_all_metrics!B:K,6,FALSE)</f>
        <v>1</v>
      </c>
      <c r="AF645">
        <f>VLOOKUP(A:A,[1]android_repos_all_metrics!B:K,7,FALSE)</f>
        <v>2290</v>
      </c>
      <c r="AG645">
        <f>VLOOKUP(A:A,[1]android_repos_all_metrics!B:K,8,FALSE)</f>
        <v>2</v>
      </c>
      <c r="AH645">
        <f>VLOOKUP(A:A,[1]android_repos_all_metrics!B:K,9,FALSE)</f>
        <v>4</v>
      </c>
      <c r="AI645">
        <f>VLOOKUP(A:A,[1]android_repos_all_metrics!B:K,10,FALSE)</f>
        <v>1</v>
      </c>
    </row>
    <row r="646" spans="1:35">
      <c r="A646" t="s">
        <v>707</v>
      </c>
      <c r="B646" t="b">
        <v>0</v>
      </c>
      <c r="C646" t="b">
        <v>0</v>
      </c>
      <c r="D646" t="b">
        <v>0</v>
      </c>
      <c r="F646" t="b">
        <v>0</v>
      </c>
      <c r="H646" t="s">
        <v>41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>
        <v>1</v>
      </c>
      <c r="AB646">
        <v>0</v>
      </c>
      <c r="AC646">
        <f>VLOOKUP(A:A,[1]android_repos_all_metrics!B:K,4,FALSE)</f>
        <v>11</v>
      </c>
      <c r="AD646">
        <f>VLOOKUP(A:A,[1]android_repos_all_metrics!B:K,5,FALSE)</f>
        <v>1</v>
      </c>
      <c r="AE646">
        <f>VLOOKUP(A:A,[1]android_repos_all_metrics!B:K,6,FALSE)</f>
        <v>3</v>
      </c>
      <c r="AF646">
        <f>VLOOKUP(A:A,[1]android_repos_all_metrics!B:K,7,FALSE)</f>
        <v>140</v>
      </c>
      <c r="AG646">
        <f>VLOOKUP(A:A,[1]android_repos_all_metrics!B:K,8,FALSE)</f>
        <v>8</v>
      </c>
      <c r="AH646">
        <f>VLOOKUP(A:A,[1]android_repos_all_metrics!B:K,9,FALSE)</f>
        <v>36</v>
      </c>
      <c r="AI646">
        <f>VLOOKUP(A:A,[1]android_repos_all_metrics!B:K,10,FALSE)</f>
        <v>3</v>
      </c>
    </row>
    <row r="647" spans="1:35">
      <c r="A647" t="s">
        <v>708</v>
      </c>
      <c r="B647" t="b">
        <v>1</v>
      </c>
      <c r="C647" t="b">
        <v>0</v>
      </c>
      <c r="D647" t="b">
        <v>0</v>
      </c>
      <c r="F647" t="b">
        <v>0</v>
      </c>
      <c r="H647" t="s">
        <v>37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>
        <v>1</v>
      </c>
      <c r="AB647">
        <v>0</v>
      </c>
      <c r="AC647">
        <f>VLOOKUP(A:A,[1]android_repos_all_metrics!B:K,4,FALSE)</f>
        <v>254</v>
      </c>
      <c r="AD647">
        <f>VLOOKUP(A:A,[1]android_repos_all_metrics!B:K,5,FALSE)</f>
        <v>47</v>
      </c>
      <c r="AE647">
        <f>VLOOKUP(A:A,[1]android_repos_all_metrics!B:K,6,FALSE)</f>
        <v>7</v>
      </c>
      <c r="AF647">
        <f>VLOOKUP(A:A,[1]android_repos_all_metrics!B:K,7,FALSE)</f>
        <v>38315</v>
      </c>
      <c r="AG647">
        <f>VLOOKUP(A:A,[1]android_repos_all_metrics!B:K,8,FALSE)</f>
        <v>9</v>
      </c>
      <c r="AH647">
        <f>VLOOKUP(A:A,[1]android_repos_all_metrics!B:K,9,FALSE)</f>
        <v>165</v>
      </c>
      <c r="AI647">
        <f>VLOOKUP(A:A,[1]android_repos_all_metrics!B:K,10,FALSE)</f>
        <v>8</v>
      </c>
    </row>
    <row r="648" spans="1:35">
      <c r="A648" t="s">
        <v>709</v>
      </c>
      <c r="B648" t="b">
        <v>1</v>
      </c>
      <c r="C648" t="b">
        <v>0</v>
      </c>
      <c r="D648" t="b">
        <v>0</v>
      </c>
      <c r="F648" t="b">
        <v>0</v>
      </c>
      <c r="H648" t="s">
        <v>37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>
        <v>1</v>
      </c>
      <c r="AB648">
        <v>0</v>
      </c>
      <c r="AC648">
        <f>VLOOKUP(A:A,[1]android_repos_all_metrics!B:K,4,FALSE)</f>
        <v>635</v>
      </c>
      <c r="AD648">
        <f>VLOOKUP(A:A,[1]android_repos_all_metrics!B:K,5,FALSE)</f>
        <v>87</v>
      </c>
      <c r="AE648">
        <f>VLOOKUP(A:A,[1]android_repos_all_metrics!B:K,6,FALSE)</f>
        <v>14</v>
      </c>
      <c r="AF648">
        <f>VLOOKUP(A:A,[1]android_repos_all_metrics!B:K,7,FALSE)</f>
        <v>27744</v>
      </c>
      <c r="AG648">
        <f>VLOOKUP(A:A,[1]android_repos_all_metrics!B:K,8,FALSE)</f>
        <v>35</v>
      </c>
      <c r="AH648">
        <f>VLOOKUP(A:A,[1]android_repos_all_metrics!B:K,9,FALSE)</f>
        <v>159</v>
      </c>
      <c r="AI648">
        <f>VLOOKUP(A:A,[1]android_repos_all_metrics!B:K,10,FALSE)</f>
        <v>15</v>
      </c>
    </row>
    <row r="649" spans="1:35">
      <c r="A649" t="s">
        <v>710</v>
      </c>
      <c r="B649" t="b">
        <v>0</v>
      </c>
      <c r="C649" t="b">
        <v>0</v>
      </c>
      <c r="D649" t="b">
        <v>0</v>
      </c>
      <c r="F649" t="b">
        <v>0</v>
      </c>
      <c r="H649" t="s">
        <v>43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>
        <v>1</v>
      </c>
      <c r="AB649">
        <v>0</v>
      </c>
      <c r="AC649">
        <f>VLOOKUP(A:A,[1]android_repos_all_metrics!B:K,4,FALSE)</f>
        <v>406</v>
      </c>
      <c r="AD649">
        <f>VLOOKUP(A:A,[1]android_repos_all_metrics!B:K,5,FALSE)</f>
        <v>66</v>
      </c>
      <c r="AE649">
        <f>VLOOKUP(A:A,[1]android_repos_all_metrics!B:K,6,FALSE)</f>
        <v>1</v>
      </c>
      <c r="AF649">
        <f>VLOOKUP(A:A,[1]android_repos_all_metrics!B:K,7,FALSE)</f>
        <v>1078</v>
      </c>
      <c r="AG649">
        <f>VLOOKUP(A:A,[1]android_repos_all_metrics!B:K,8,FALSE)</f>
        <v>1</v>
      </c>
      <c r="AH649">
        <f>VLOOKUP(A:A,[1]android_repos_all_metrics!B:K,9,FALSE)</f>
        <v>5</v>
      </c>
      <c r="AI649">
        <f>VLOOKUP(A:A,[1]android_repos_all_metrics!B:K,10,FALSE)</f>
        <v>0</v>
      </c>
    </row>
    <row r="650" spans="1:35">
      <c r="A650" t="s">
        <v>711</v>
      </c>
      <c r="B650" t="b">
        <v>1</v>
      </c>
      <c r="C650" t="b">
        <v>0</v>
      </c>
      <c r="D650" t="b">
        <v>0</v>
      </c>
      <c r="F650" t="b">
        <v>0</v>
      </c>
      <c r="H650" t="s">
        <v>37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>
        <v>2</v>
      </c>
      <c r="AB650">
        <v>0</v>
      </c>
      <c r="AC650">
        <f>VLOOKUP(A:A,[1]android_repos_all_metrics!B:K,4,FALSE)</f>
        <v>402</v>
      </c>
      <c r="AD650">
        <f>VLOOKUP(A:A,[1]android_repos_all_metrics!B:K,5,FALSE)</f>
        <v>4</v>
      </c>
      <c r="AE650">
        <f>VLOOKUP(A:A,[1]android_repos_all_metrics!B:K,6,FALSE)</f>
        <v>2</v>
      </c>
      <c r="AF650">
        <f>VLOOKUP(A:A,[1]android_repos_all_metrics!B:K,7,FALSE)</f>
        <v>4759</v>
      </c>
      <c r="AG650">
        <f>VLOOKUP(A:A,[1]android_repos_all_metrics!B:K,8,FALSE)</f>
        <v>26</v>
      </c>
      <c r="AH650">
        <f>VLOOKUP(A:A,[1]android_repos_all_metrics!B:K,9,FALSE)</f>
        <v>75</v>
      </c>
      <c r="AI650">
        <f>VLOOKUP(A:A,[1]android_repos_all_metrics!B:K,10,FALSE)</f>
        <v>1</v>
      </c>
    </row>
    <row r="651" spans="1:35">
      <c r="A651" t="s">
        <v>712</v>
      </c>
      <c r="B651" t="b">
        <v>1</v>
      </c>
      <c r="C651" t="b">
        <v>0</v>
      </c>
      <c r="D651" t="b">
        <v>0</v>
      </c>
      <c r="F651" t="b">
        <v>0</v>
      </c>
      <c r="H651" t="s">
        <v>37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>
        <v>1</v>
      </c>
      <c r="AB651">
        <v>0</v>
      </c>
      <c r="AC651">
        <f>VLOOKUP(A:A,[1]android_repos_all_metrics!B:K,4,FALSE)</f>
        <v>144</v>
      </c>
      <c r="AD651">
        <f>VLOOKUP(A:A,[1]android_repos_all_metrics!B:K,5,FALSE)</f>
        <v>5</v>
      </c>
      <c r="AE651">
        <f>VLOOKUP(A:A,[1]android_repos_all_metrics!B:K,6,FALSE)</f>
        <v>2</v>
      </c>
      <c r="AF651">
        <f>VLOOKUP(A:A,[1]android_repos_all_metrics!B:K,7,FALSE)</f>
        <v>95881</v>
      </c>
      <c r="AG651">
        <f>VLOOKUP(A:A,[1]android_repos_all_metrics!B:K,8,FALSE)</f>
        <v>185</v>
      </c>
      <c r="AH651">
        <f>VLOOKUP(A:A,[1]android_repos_all_metrics!B:K,9,FALSE)</f>
        <v>1410</v>
      </c>
      <c r="AI651">
        <f>VLOOKUP(A:A,[1]android_repos_all_metrics!B:K,10,FALSE)</f>
        <v>0</v>
      </c>
    </row>
    <row r="652" spans="1:35">
      <c r="A652" t="s">
        <v>713</v>
      </c>
      <c r="B652" t="b">
        <v>1</v>
      </c>
      <c r="C652" t="b">
        <v>0</v>
      </c>
      <c r="D652" t="b">
        <v>0</v>
      </c>
      <c r="F652" t="b">
        <v>0</v>
      </c>
      <c r="H652" t="s">
        <v>37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>
        <v>1</v>
      </c>
      <c r="AB652">
        <v>0</v>
      </c>
      <c r="AC652">
        <f>VLOOKUP(A:A,[1]android_repos_all_metrics!B:K,4,FALSE)</f>
        <v>9</v>
      </c>
      <c r="AD652">
        <f>VLOOKUP(A:A,[1]android_repos_all_metrics!B:K,5,FALSE)</f>
        <v>1</v>
      </c>
      <c r="AE652">
        <f>VLOOKUP(A:A,[1]android_repos_all_metrics!B:K,6,FALSE)</f>
        <v>2</v>
      </c>
      <c r="AF652">
        <f>VLOOKUP(A:A,[1]android_repos_all_metrics!B:K,7,FALSE)</f>
        <v>187</v>
      </c>
      <c r="AG652">
        <f>VLOOKUP(A:A,[1]android_repos_all_metrics!B:K,8,FALSE)</f>
        <v>8</v>
      </c>
      <c r="AH652">
        <f>VLOOKUP(A:A,[1]android_repos_all_metrics!B:K,9,FALSE)</f>
        <v>10</v>
      </c>
      <c r="AI652">
        <f>VLOOKUP(A:A,[1]android_repos_all_metrics!B:K,10,FALSE)</f>
        <v>9</v>
      </c>
    </row>
    <row r="653" spans="1:35">
      <c r="A653" t="s">
        <v>714</v>
      </c>
      <c r="B653" t="b">
        <v>1</v>
      </c>
      <c r="C653" t="b">
        <v>0</v>
      </c>
      <c r="D653" t="b">
        <v>0</v>
      </c>
      <c r="F653" t="b">
        <v>0</v>
      </c>
      <c r="H653" t="s">
        <v>37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>
        <v>2</v>
      </c>
      <c r="AB653">
        <v>0</v>
      </c>
      <c r="AC653">
        <f>VLOOKUP(A:A,[1]android_repos_all_metrics!B:K,4,FALSE)</f>
        <v>277</v>
      </c>
      <c r="AD653">
        <f>VLOOKUP(A:A,[1]android_repos_all_metrics!B:K,5,FALSE)</f>
        <v>18</v>
      </c>
      <c r="AE653">
        <f>VLOOKUP(A:A,[1]android_repos_all_metrics!B:K,6,FALSE)</f>
        <v>4</v>
      </c>
      <c r="AF653">
        <f>VLOOKUP(A:A,[1]android_repos_all_metrics!B:K,7,FALSE)</f>
        <v>6482</v>
      </c>
      <c r="AG653">
        <f>VLOOKUP(A:A,[1]android_repos_all_metrics!B:K,8,FALSE)</f>
        <v>2</v>
      </c>
      <c r="AH653">
        <f>VLOOKUP(A:A,[1]android_repos_all_metrics!B:K,9,FALSE)</f>
        <v>4</v>
      </c>
      <c r="AI653">
        <f>VLOOKUP(A:A,[1]android_repos_all_metrics!B:K,10,FALSE)</f>
        <v>1</v>
      </c>
    </row>
    <row r="654" spans="1:35">
      <c r="A654" t="s">
        <v>715</v>
      </c>
      <c r="B654" t="b">
        <v>1</v>
      </c>
      <c r="C654" t="b">
        <v>0</v>
      </c>
      <c r="D654" t="b">
        <v>0</v>
      </c>
      <c r="F654" t="b">
        <v>0</v>
      </c>
      <c r="H654" t="s">
        <v>37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>
        <v>1</v>
      </c>
      <c r="AB654">
        <v>0</v>
      </c>
      <c r="AC654">
        <f>VLOOKUP(A:A,[1]android_repos_all_metrics!B:K,4,FALSE)</f>
        <v>18</v>
      </c>
      <c r="AD654">
        <f>VLOOKUP(A:A,[1]android_repos_all_metrics!B:K,5,FALSE)</f>
        <v>1</v>
      </c>
      <c r="AE654">
        <f>VLOOKUP(A:A,[1]android_repos_all_metrics!B:K,6,FALSE)</f>
        <v>2</v>
      </c>
      <c r="AF654">
        <f>VLOOKUP(A:A,[1]android_repos_all_metrics!B:K,7,FALSE)</f>
        <v>402</v>
      </c>
      <c r="AG654">
        <f>VLOOKUP(A:A,[1]android_repos_all_metrics!B:K,8,FALSE)</f>
        <v>0</v>
      </c>
      <c r="AH654">
        <f>VLOOKUP(A:A,[1]android_repos_all_metrics!B:K,9,FALSE)</f>
        <v>6</v>
      </c>
      <c r="AI654">
        <f>VLOOKUP(A:A,[1]android_repos_all_metrics!B:K,10,FALSE)</f>
        <v>1</v>
      </c>
    </row>
    <row r="655" spans="1:35">
      <c r="A655" t="s">
        <v>716</v>
      </c>
      <c r="B655" t="b">
        <v>1</v>
      </c>
      <c r="C655" t="b">
        <v>0</v>
      </c>
      <c r="D655" t="b">
        <v>0</v>
      </c>
      <c r="F655" t="b">
        <v>0</v>
      </c>
      <c r="H655" t="s">
        <v>37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>
        <v>1</v>
      </c>
      <c r="AB655">
        <v>0</v>
      </c>
      <c r="AC655">
        <f>VLOOKUP(A:A,[1]android_repos_all_metrics!B:K,4,FALSE)</f>
        <v>22</v>
      </c>
      <c r="AD655">
        <f>VLOOKUP(A:A,[1]android_repos_all_metrics!B:K,5,FALSE)</f>
        <v>1</v>
      </c>
      <c r="AE655">
        <f>VLOOKUP(A:A,[1]android_repos_all_metrics!B:K,6,FALSE)</f>
        <v>1</v>
      </c>
      <c r="AF655">
        <f>VLOOKUP(A:A,[1]android_repos_all_metrics!B:K,7,FALSE)</f>
        <v>3844</v>
      </c>
      <c r="AG655">
        <f>VLOOKUP(A:A,[1]android_repos_all_metrics!B:K,8,FALSE)</f>
        <v>2</v>
      </c>
      <c r="AH655">
        <f>VLOOKUP(A:A,[1]android_repos_all_metrics!B:K,9,FALSE)</f>
        <v>15</v>
      </c>
      <c r="AI655">
        <f>VLOOKUP(A:A,[1]android_repos_all_metrics!B:K,10,FALSE)</f>
        <v>1</v>
      </c>
    </row>
    <row r="656" spans="1:35">
      <c r="A656" t="s">
        <v>717</v>
      </c>
      <c r="B656" t="b">
        <v>1</v>
      </c>
      <c r="C656" t="b">
        <v>0</v>
      </c>
      <c r="D656" t="b">
        <v>0</v>
      </c>
      <c r="F656" t="b">
        <v>0</v>
      </c>
      <c r="H656" t="s">
        <v>41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>
        <v>1</v>
      </c>
      <c r="AB656">
        <v>0</v>
      </c>
      <c r="AC656">
        <f>VLOOKUP(A:A,[1]android_repos_all_metrics!B:K,4,FALSE)</f>
        <v>2605</v>
      </c>
      <c r="AD656">
        <f>VLOOKUP(A:A,[1]android_repos_all_metrics!B:K,5,FALSE)</f>
        <v>201</v>
      </c>
      <c r="AE656">
        <f>VLOOKUP(A:A,[1]android_repos_all_metrics!B:K,6,FALSE)</f>
        <v>32</v>
      </c>
      <c r="AF656">
        <f>VLOOKUP(A:A,[1]android_repos_all_metrics!B:K,7,FALSE)</f>
        <v>36138</v>
      </c>
      <c r="AG656">
        <f>VLOOKUP(A:A,[1]android_repos_all_metrics!B:K,8,FALSE)</f>
        <v>204</v>
      </c>
      <c r="AH656">
        <f>VLOOKUP(A:A,[1]android_repos_all_metrics!B:K,9,FALSE)</f>
        <v>585</v>
      </c>
      <c r="AI656">
        <f>VLOOKUP(A:A,[1]android_repos_all_metrics!B:K,10,FALSE)</f>
        <v>168</v>
      </c>
    </row>
    <row r="657" spans="1:35">
      <c r="A657" t="s">
        <v>718</v>
      </c>
      <c r="B657" t="b">
        <v>1</v>
      </c>
      <c r="C657" t="b">
        <v>0</v>
      </c>
      <c r="D657" t="b">
        <v>0</v>
      </c>
      <c r="F657" t="b">
        <v>0</v>
      </c>
      <c r="H657" t="s">
        <v>37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>
        <v>1</v>
      </c>
      <c r="AB657">
        <v>0</v>
      </c>
      <c r="AC657">
        <f>VLOOKUP(A:A,[1]android_repos_all_metrics!B:K,4,FALSE)</f>
        <v>2105</v>
      </c>
      <c r="AD657">
        <f>VLOOKUP(A:A,[1]android_repos_all_metrics!B:K,5,FALSE)</f>
        <v>199</v>
      </c>
      <c r="AE657">
        <f>VLOOKUP(A:A,[1]android_repos_all_metrics!B:K,6,FALSE)</f>
        <v>8</v>
      </c>
      <c r="AF657">
        <f>VLOOKUP(A:A,[1]android_repos_all_metrics!B:K,7,FALSE)</f>
        <v>2965</v>
      </c>
      <c r="AG657">
        <f>VLOOKUP(A:A,[1]android_repos_all_metrics!B:K,8,FALSE)</f>
        <v>0</v>
      </c>
      <c r="AH657">
        <f>VLOOKUP(A:A,[1]android_repos_all_metrics!B:K,9,FALSE)</f>
        <v>29</v>
      </c>
      <c r="AI657">
        <f>VLOOKUP(A:A,[1]android_repos_all_metrics!B:K,10,FALSE)</f>
        <v>20</v>
      </c>
    </row>
    <row r="658" spans="1:35">
      <c r="A658" t="s">
        <v>719</v>
      </c>
      <c r="B658" t="b">
        <v>1</v>
      </c>
      <c r="C658" t="b">
        <v>0</v>
      </c>
      <c r="D658" t="b">
        <v>0</v>
      </c>
      <c r="F658" t="b">
        <v>0</v>
      </c>
      <c r="H658" t="s">
        <v>37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>
        <v>1</v>
      </c>
      <c r="AB658">
        <v>0</v>
      </c>
      <c r="AC658">
        <f>VLOOKUP(A:A,[1]android_repos_all_metrics!B:K,4,FALSE)</f>
        <v>47</v>
      </c>
      <c r="AD658">
        <f>VLOOKUP(A:A,[1]android_repos_all_metrics!B:K,5,FALSE)</f>
        <v>21</v>
      </c>
      <c r="AE658">
        <f>VLOOKUP(A:A,[1]android_repos_all_metrics!B:K,6,FALSE)</f>
        <v>1</v>
      </c>
      <c r="AF658">
        <f>VLOOKUP(A:A,[1]android_repos_all_metrics!B:K,7,FALSE)</f>
        <v>1966</v>
      </c>
      <c r="AG658">
        <f>VLOOKUP(A:A,[1]android_repos_all_metrics!B:K,8,FALSE)</f>
        <v>0</v>
      </c>
      <c r="AH658">
        <f>VLOOKUP(A:A,[1]android_repos_all_metrics!B:K,9,FALSE)</f>
        <v>2</v>
      </c>
      <c r="AI658">
        <f>VLOOKUP(A:A,[1]android_repos_all_metrics!B:K,10,FALSE)</f>
        <v>11</v>
      </c>
    </row>
    <row r="659" spans="1:35">
      <c r="A659" t="s">
        <v>720</v>
      </c>
      <c r="B659" t="b">
        <v>1</v>
      </c>
      <c r="C659" t="b">
        <v>0</v>
      </c>
      <c r="D659" t="b">
        <v>0</v>
      </c>
      <c r="F659" t="b">
        <v>0</v>
      </c>
      <c r="H659" t="s">
        <v>86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>
        <v>2</v>
      </c>
      <c r="AB659">
        <v>0</v>
      </c>
      <c r="AC659">
        <f>VLOOKUP(A:A,[1]android_repos_all_metrics!B:K,4,FALSE)</f>
        <v>365</v>
      </c>
      <c r="AD659">
        <f>VLOOKUP(A:A,[1]android_repos_all_metrics!B:K,5,FALSE)</f>
        <v>59</v>
      </c>
      <c r="AE659">
        <f>VLOOKUP(A:A,[1]android_repos_all_metrics!B:K,6,FALSE)</f>
        <v>18</v>
      </c>
      <c r="AF659">
        <f>VLOOKUP(A:A,[1]android_repos_all_metrics!B:K,7,FALSE)</f>
        <v>821</v>
      </c>
      <c r="AG659">
        <f>VLOOKUP(A:A,[1]android_repos_all_metrics!B:K,8,FALSE)</f>
        <v>196</v>
      </c>
      <c r="AH659">
        <f>VLOOKUP(A:A,[1]android_repos_all_metrics!B:K,9,FALSE)</f>
        <v>1952</v>
      </c>
      <c r="AI659">
        <f>VLOOKUP(A:A,[1]android_repos_all_metrics!B:K,10,FALSE)</f>
        <v>87</v>
      </c>
    </row>
    <row r="660" spans="1:35">
      <c r="A660" t="s">
        <v>721</v>
      </c>
      <c r="B660" t="b">
        <v>1</v>
      </c>
      <c r="C660" t="b">
        <v>0</v>
      </c>
      <c r="D660" t="b">
        <v>0</v>
      </c>
      <c r="F660" t="b">
        <v>0</v>
      </c>
      <c r="H660" t="s">
        <v>37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>
        <v>1</v>
      </c>
      <c r="AB660">
        <v>0</v>
      </c>
      <c r="AC660">
        <f>VLOOKUP(A:A,[1]android_repos_all_metrics!B:K,4,FALSE)</f>
        <v>289</v>
      </c>
      <c r="AD660">
        <f>VLOOKUP(A:A,[1]android_repos_all_metrics!B:K,5,FALSE)</f>
        <v>116</v>
      </c>
      <c r="AE660">
        <f>VLOOKUP(A:A,[1]android_repos_all_metrics!B:K,6,FALSE)</f>
        <v>4</v>
      </c>
      <c r="AF660">
        <f>VLOOKUP(A:A,[1]android_repos_all_metrics!B:K,7,FALSE)</f>
        <v>30793</v>
      </c>
      <c r="AG660">
        <f>VLOOKUP(A:A,[1]android_repos_all_metrics!B:K,8,FALSE)</f>
        <v>13</v>
      </c>
      <c r="AH660">
        <f>VLOOKUP(A:A,[1]android_repos_all_metrics!B:K,9,FALSE)</f>
        <v>66</v>
      </c>
      <c r="AI660">
        <f>VLOOKUP(A:A,[1]android_repos_all_metrics!B:K,10,FALSE)</f>
        <v>8</v>
      </c>
    </row>
    <row r="661" spans="1:35">
      <c r="A661" t="s">
        <v>722</v>
      </c>
      <c r="B661" t="b">
        <v>1</v>
      </c>
      <c r="C661" t="b">
        <v>1</v>
      </c>
      <c r="D661" t="b">
        <v>0</v>
      </c>
      <c r="F661" t="b">
        <v>1</v>
      </c>
      <c r="G661" t="s">
        <v>39</v>
      </c>
      <c r="H661" t="s">
        <v>41</v>
      </c>
      <c r="I661" t="s">
        <v>41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>
        <v>1</v>
      </c>
      <c r="AB661">
        <v>0</v>
      </c>
      <c r="AC661">
        <f>VLOOKUP(A:A,[1]android_repos_all_metrics!B:K,4,FALSE)</f>
        <v>24</v>
      </c>
      <c r="AD661">
        <f>VLOOKUP(A:A,[1]android_repos_all_metrics!B:K,5,FALSE)</f>
        <v>0</v>
      </c>
      <c r="AE661">
        <f>VLOOKUP(A:A,[1]android_repos_all_metrics!B:K,6,FALSE)</f>
        <v>1</v>
      </c>
      <c r="AF661">
        <f>VLOOKUP(A:A,[1]android_repos_all_metrics!B:K,7,FALSE)</f>
        <v>25024</v>
      </c>
      <c r="AG661">
        <f>VLOOKUP(A:A,[1]android_repos_all_metrics!B:K,8,FALSE)</f>
        <v>2</v>
      </c>
      <c r="AH661">
        <f>VLOOKUP(A:A,[1]android_repos_all_metrics!B:K,9,FALSE)</f>
        <v>4</v>
      </c>
      <c r="AI661">
        <f>VLOOKUP(A:A,[1]android_repos_all_metrics!B:K,10,FALSE)</f>
        <v>0</v>
      </c>
    </row>
    <row r="662" spans="1:35">
      <c r="A662" t="s">
        <v>723</v>
      </c>
      <c r="B662" t="b">
        <v>1</v>
      </c>
      <c r="C662" t="b">
        <v>0</v>
      </c>
      <c r="D662" t="b">
        <v>0</v>
      </c>
      <c r="F662" t="b">
        <v>0</v>
      </c>
      <c r="H662" t="s">
        <v>43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>
        <v>1</v>
      </c>
      <c r="AB662">
        <v>0</v>
      </c>
      <c r="AC662">
        <f>VLOOKUP(A:A,[1]android_repos_all_metrics!B:K,4,FALSE)</f>
        <v>230</v>
      </c>
      <c r="AD662">
        <f>VLOOKUP(A:A,[1]android_repos_all_metrics!B:K,5,FALSE)</f>
        <v>44</v>
      </c>
      <c r="AE662">
        <f>VLOOKUP(A:A,[1]android_repos_all_metrics!B:K,6,FALSE)</f>
        <v>5</v>
      </c>
      <c r="AF662">
        <f>VLOOKUP(A:A,[1]android_repos_all_metrics!B:K,7,FALSE)</f>
        <v>6101</v>
      </c>
      <c r="AG662">
        <f>VLOOKUP(A:A,[1]android_repos_all_metrics!B:K,8,FALSE)</f>
        <v>12</v>
      </c>
      <c r="AH662">
        <f>VLOOKUP(A:A,[1]android_repos_all_metrics!B:K,9,FALSE)</f>
        <v>20</v>
      </c>
      <c r="AI662">
        <f>VLOOKUP(A:A,[1]android_repos_all_metrics!B:K,10,FALSE)</f>
        <v>36</v>
      </c>
    </row>
    <row r="663" spans="1:35">
      <c r="A663" t="s">
        <v>724</v>
      </c>
      <c r="B663" t="b">
        <v>1</v>
      </c>
      <c r="C663" t="b">
        <v>0</v>
      </c>
      <c r="D663" t="b">
        <v>0</v>
      </c>
      <c r="F663" t="b">
        <v>0</v>
      </c>
      <c r="H663" t="s">
        <v>110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>
        <v>2</v>
      </c>
      <c r="AB663">
        <v>0</v>
      </c>
      <c r="AC663">
        <f>VLOOKUP(A:A,[1]android_repos_all_metrics!B:K,4,FALSE)</f>
        <v>159</v>
      </c>
      <c r="AD663">
        <f>VLOOKUP(A:A,[1]android_repos_all_metrics!B:K,5,FALSE)</f>
        <v>79</v>
      </c>
      <c r="AE663">
        <f>VLOOKUP(A:A,[1]android_repos_all_metrics!B:K,6,FALSE)</f>
        <v>5</v>
      </c>
      <c r="AF663">
        <f>VLOOKUP(A:A,[1]android_repos_all_metrics!B:K,7,FALSE)</f>
        <v>1043</v>
      </c>
      <c r="AG663">
        <f>VLOOKUP(A:A,[1]android_repos_all_metrics!B:K,8,FALSE)</f>
        <v>7</v>
      </c>
      <c r="AH663">
        <f>VLOOKUP(A:A,[1]android_repos_all_metrics!B:K,9,FALSE)</f>
        <v>52</v>
      </c>
      <c r="AI663">
        <f>VLOOKUP(A:A,[1]android_repos_all_metrics!B:K,10,FALSE)</f>
        <v>17</v>
      </c>
    </row>
    <row r="664" spans="1:35">
      <c r="A664" t="s">
        <v>725</v>
      </c>
      <c r="B664" t="b">
        <v>1</v>
      </c>
      <c r="C664" t="b">
        <v>0</v>
      </c>
      <c r="D664" t="b">
        <v>0</v>
      </c>
      <c r="F664" t="b">
        <v>0</v>
      </c>
      <c r="H664" t="s">
        <v>37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>
        <v>3</v>
      </c>
      <c r="AB664">
        <v>0</v>
      </c>
      <c r="AC664">
        <f>VLOOKUP(A:A,[1]android_repos_all_metrics!B:K,4,FALSE)</f>
        <v>186</v>
      </c>
      <c r="AD664">
        <f>VLOOKUP(A:A,[1]android_repos_all_metrics!B:K,5,FALSE)</f>
        <v>83</v>
      </c>
      <c r="AE664">
        <f>VLOOKUP(A:A,[1]android_repos_all_metrics!B:K,6,FALSE)</f>
        <v>6</v>
      </c>
      <c r="AF664">
        <f>VLOOKUP(A:A,[1]android_repos_all_metrics!B:K,7,FALSE)</f>
        <v>1100</v>
      </c>
      <c r="AG664">
        <f>VLOOKUP(A:A,[1]android_repos_all_metrics!B:K,8,FALSE)</f>
        <v>2</v>
      </c>
      <c r="AH664">
        <f>VLOOKUP(A:A,[1]android_repos_all_metrics!B:K,9,FALSE)</f>
        <v>6</v>
      </c>
      <c r="AI664">
        <f>VLOOKUP(A:A,[1]android_repos_all_metrics!B:K,10,FALSE)</f>
        <v>14</v>
      </c>
    </row>
    <row r="665" spans="1:35">
      <c r="A665" t="s">
        <v>726</v>
      </c>
      <c r="B665" t="b">
        <v>1</v>
      </c>
      <c r="C665" t="b">
        <v>0</v>
      </c>
      <c r="D665" t="b">
        <v>0</v>
      </c>
      <c r="F665" t="b">
        <v>0</v>
      </c>
      <c r="H665" t="s">
        <v>41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>
        <v>1</v>
      </c>
      <c r="AB665">
        <v>0</v>
      </c>
      <c r="AC665">
        <f>VLOOKUP(A:A,[1]android_repos_all_metrics!B:K,4,FALSE)</f>
        <v>2022</v>
      </c>
      <c r="AD665">
        <f>VLOOKUP(A:A,[1]android_repos_all_metrics!B:K,5,FALSE)</f>
        <v>2</v>
      </c>
      <c r="AE665">
        <f>VLOOKUP(A:A,[1]android_repos_all_metrics!B:K,6,FALSE)</f>
        <v>2</v>
      </c>
      <c r="AF665">
        <f>VLOOKUP(A:A,[1]android_repos_all_metrics!B:K,7,FALSE)</f>
        <v>21897</v>
      </c>
      <c r="AG665">
        <f>VLOOKUP(A:A,[1]android_repos_all_metrics!B:K,8,FALSE)</f>
        <v>4</v>
      </c>
      <c r="AH665">
        <f>VLOOKUP(A:A,[1]android_repos_all_metrics!B:K,9,FALSE)</f>
        <v>13</v>
      </c>
      <c r="AI665">
        <f>VLOOKUP(A:A,[1]android_repos_all_metrics!B:K,10,FALSE)</f>
        <v>62</v>
      </c>
    </row>
    <row r="666" spans="1:35">
      <c r="A666" t="s">
        <v>727</v>
      </c>
      <c r="B666" t="b">
        <v>1</v>
      </c>
      <c r="C666" t="b">
        <v>0</v>
      </c>
      <c r="D666" t="b">
        <v>0</v>
      </c>
      <c r="F666" t="b">
        <v>0</v>
      </c>
      <c r="H666" t="s">
        <v>37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>
        <v>1</v>
      </c>
      <c r="AB666">
        <v>0</v>
      </c>
      <c r="AC666">
        <f>VLOOKUP(A:A,[1]android_repos_all_metrics!B:K,4,FALSE)</f>
        <v>145</v>
      </c>
      <c r="AD666">
        <f>VLOOKUP(A:A,[1]android_repos_all_metrics!B:K,5,FALSE)</f>
        <v>1</v>
      </c>
      <c r="AE666">
        <f>VLOOKUP(A:A,[1]android_repos_all_metrics!B:K,6,FALSE)</f>
        <v>1</v>
      </c>
      <c r="AF666">
        <f>VLOOKUP(A:A,[1]android_repos_all_metrics!B:K,7,FALSE)</f>
        <v>1315</v>
      </c>
      <c r="AG666">
        <f>VLOOKUP(A:A,[1]android_repos_all_metrics!B:K,8,FALSE)</f>
        <v>0</v>
      </c>
      <c r="AH666">
        <f>VLOOKUP(A:A,[1]android_repos_all_metrics!B:K,9,FALSE)</f>
        <v>9</v>
      </c>
      <c r="AI666">
        <f>VLOOKUP(A:A,[1]android_repos_all_metrics!B:K,10,FALSE)</f>
        <v>3</v>
      </c>
    </row>
    <row r="667" spans="1:35">
      <c r="A667" t="s">
        <v>728</v>
      </c>
      <c r="B667" t="b">
        <v>1</v>
      </c>
      <c r="C667" t="b">
        <v>0</v>
      </c>
      <c r="D667" t="b">
        <v>0</v>
      </c>
      <c r="F667" t="b">
        <v>0</v>
      </c>
      <c r="H667" t="s">
        <v>37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>
        <v>1</v>
      </c>
      <c r="AB667">
        <v>0</v>
      </c>
      <c r="AC667">
        <f>VLOOKUP(A:A,[1]android_repos_all_metrics!B:K,4,FALSE)</f>
        <v>46</v>
      </c>
      <c r="AD667">
        <f>VLOOKUP(A:A,[1]android_repos_all_metrics!B:K,5,FALSE)</f>
        <v>0</v>
      </c>
      <c r="AE667">
        <f>VLOOKUP(A:A,[1]android_repos_all_metrics!B:K,6,FALSE)</f>
        <v>1</v>
      </c>
      <c r="AF667">
        <f>VLOOKUP(A:A,[1]android_repos_all_metrics!B:K,7,FALSE)</f>
        <v>4526</v>
      </c>
      <c r="AG667">
        <f>VLOOKUP(A:A,[1]android_repos_all_metrics!B:K,8,FALSE)</f>
        <v>1</v>
      </c>
      <c r="AH667">
        <f>VLOOKUP(A:A,[1]android_repos_all_metrics!B:K,9,FALSE)</f>
        <v>4</v>
      </c>
      <c r="AI667">
        <f>VLOOKUP(A:A,[1]android_repos_all_metrics!B:K,10,FALSE)</f>
        <v>0</v>
      </c>
    </row>
    <row r="668" spans="1:35">
      <c r="A668" t="s">
        <v>729</v>
      </c>
      <c r="B668" t="b">
        <v>0</v>
      </c>
      <c r="C668" t="b">
        <v>0</v>
      </c>
      <c r="D668" t="b">
        <v>0</v>
      </c>
      <c r="F668" t="b">
        <v>0</v>
      </c>
      <c r="H668" t="s">
        <v>41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>
        <v>1</v>
      </c>
      <c r="AB668">
        <v>0</v>
      </c>
      <c r="AC668">
        <f>VLOOKUP(A:A,[1]android_repos_all_metrics!B:K,4,FALSE)</f>
        <v>1318</v>
      </c>
      <c r="AD668">
        <f>VLOOKUP(A:A,[1]android_repos_all_metrics!B:K,5,FALSE)</f>
        <v>2</v>
      </c>
      <c r="AE668">
        <f>VLOOKUP(A:A,[1]android_repos_all_metrics!B:K,6,FALSE)</f>
        <v>1</v>
      </c>
      <c r="AF668">
        <f>VLOOKUP(A:A,[1]android_repos_all_metrics!B:K,7,FALSE)</f>
        <v>25350</v>
      </c>
      <c r="AG668">
        <f>VLOOKUP(A:A,[1]android_repos_all_metrics!B:K,8,FALSE)</f>
        <v>1174</v>
      </c>
      <c r="AH668">
        <f>VLOOKUP(A:A,[1]android_repos_all_metrics!B:K,9,FALSE)</f>
        <v>4543</v>
      </c>
      <c r="AI668">
        <f>VLOOKUP(A:A,[1]android_repos_all_metrics!B:K,10,FALSE)</f>
        <v>17</v>
      </c>
    </row>
    <row r="669" spans="1:35">
      <c r="A669" t="s">
        <v>730</v>
      </c>
      <c r="B669" t="b">
        <v>1</v>
      </c>
      <c r="C669" t="b">
        <v>0</v>
      </c>
      <c r="D669" t="b">
        <v>0</v>
      </c>
      <c r="F669" t="b">
        <v>0</v>
      </c>
      <c r="H669" t="s">
        <v>37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>
        <v>1</v>
      </c>
      <c r="AB669">
        <v>0</v>
      </c>
      <c r="AC669">
        <f>VLOOKUP(A:A,[1]android_repos_all_metrics!B:K,4,FALSE)</f>
        <v>194</v>
      </c>
      <c r="AD669">
        <f>VLOOKUP(A:A,[1]android_repos_all_metrics!B:K,5,FALSE)</f>
        <v>11</v>
      </c>
      <c r="AE669">
        <f>VLOOKUP(A:A,[1]android_repos_all_metrics!B:K,6,FALSE)</f>
        <v>1</v>
      </c>
      <c r="AF669">
        <f>VLOOKUP(A:A,[1]android_repos_all_metrics!B:K,7,FALSE)</f>
        <v>417</v>
      </c>
      <c r="AG669">
        <f>VLOOKUP(A:A,[1]android_repos_all_metrics!B:K,8,FALSE)</f>
        <v>2</v>
      </c>
      <c r="AH669">
        <f>VLOOKUP(A:A,[1]android_repos_all_metrics!B:K,9,FALSE)</f>
        <v>118</v>
      </c>
      <c r="AI669">
        <f>VLOOKUP(A:A,[1]android_repos_all_metrics!B:K,10,FALSE)</f>
        <v>0</v>
      </c>
    </row>
    <row r="670" spans="1:35">
      <c r="A670" t="s">
        <v>731</v>
      </c>
      <c r="B670" t="b">
        <v>1</v>
      </c>
      <c r="C670" t="b">
        <v>0</v>
      </c>
      <c r="D670" t="b">
        <v>0</v>
      </c>
      <c r="F670" t="b">
        <v>0</v>
      </c>
      <c r="H670" t="s">
        <v>37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>
        <v>1</v>
      </c>
      <c r="AB670">
        <v>0</v>
      </c>
      <c r="AC670">
        <f>VLOOKUP(A:A,[1]android_repos_all_metrics!B:K,4,FALSE)</f>
        <v>488</v>
      </c>
      <c r="AD670">
        <f>VLOOKUP(A:A,[1]android_repos_all_metrics!B:K,5,FALSE)</f>
        <v>24</v>
      </c>
      <c r="AE670">
        <f>VLOOKUP(A:A,[1]android_repos_all_metrics!B:K,6,FALSE)</f>
        <v>12</v>
      </c>
      <c r="AF670">
        <f>VLOOKUP(A:A,[1]android_repos_all_metrics!B:K,7,FALSE)</f>
        <v>6002</v>
      </c>
      <c r="AG670">
        <f>VLOOKUP(A:A,[1]android_repos_all_metrics!B:K,8,FALSE)</f>
        <v>72</v>
      </c>
      <c r="AH670">
        <f>VLOOKUP(A:A,[1]android_repos_all_metrics!B:K,9,FALSE)</f>
        <v>622</v>
      </c>
      <c r="AI670">
        <f>VLOOKUP(A:A,[1]android_repos_all_metrics!B:K,10,FALSE)</f>
        <v>101</v>
      </c>
    </row>
    <row r="671" spans="1:35">
      <c r="A671" t="s">
        <v>732</v>
      </c>
      <c r="B671" t="b">
        <v>1</v>
      </c>
      <c r="C671" t="b">
        <v>0</v>
      </c>
      <c r="D671" t="b">
        <v>0</v>
      </c>
      <c r="F671" t="b">
        <v>0</v>
      </c>
      <c r="H671" t="s">
        <v>37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>
        <v>2</v>
      </c>
      <c r="AB671">
        <v>0</v>
      </c>
      <c r="AC671">
        <f>VLOOKUP(A:A,[1]android_repos_all_metrics!B:K,4,FALSE)</f>
        <v>16</v>
      </c>
      <c r="AD671">
        <f>VLOOKUP(A:A,[1]android_repos_all_metrics!B:K,5,FALSE)</f>
        <v>6</v>
      </c>
      <c r="AE671">
        <f>VLOOKUP(A:A,[1]android_repos_all_metrics!B:K,6,FALSE)</f>
        <v>2</v>
      </c>
      <c r="AF671">
        <f>VLOOKUP(A:A,[1]android_repos_all_metrics!B:K,7,FALSE)</f>
        <v>627</v>
      </c>
      <c r="AG671">
        <f>VLOOKUP(A:A,[1]android_repos_all_metrics!B:K,8,FALSE)</f>
        <v>16</v>
      </c>
      <c r="AH671">
        <f>VLOOKUP(A:A,[1]android_repos_all_metrics!B:K,9,FALSE)</f>
        <v>246</v>
      </c>
      <c r="AI671">
        <f>VLOOKUP(A:A,[1]android_repos_all_metrics!B:K,10,FALSE)</f>
        <v>2</v>
      </c>
    </row>
    <row r="672" spans="1:35">
      <c r="A672" t="s">
        <v>733</v>
      </c>
      <c r="B672" t="b">
        <v>1</v>
      </c>
      <c r="C672" t="b">
        <v>0</v>
      </c>
      <c r="D672" t="b">
        <v>0</v>
      </c>
      <c r="F672" t="b">
        <v>0</v>
      </c>
      <c r="H672" t="s">
        <v>37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>
        <v>1</v>
      </c>
      <c r="AB672">
        <v>0</v>
      </c>
      <c r="AC672">
        <f>VLOOKUP(A:A,[1]android_repos_all_metrics!B:K,4,FALSE)</f>
        <v>8</v>
      </c>
      <c r="AD672">
        <f>VLOOKUP(A:A,[1]android_repos_all_metrics!B:K,5,FALSE)</f>
        <v>3</v>
      </c>
      <c r="AE672">
        <f>VLOOKUP(A:A,[1]android_repos_all_metrics!B:K,6,FALSE)</f>
        <v>2</v>
      </c>
      <c r="AF672">
        <f>VLOOKUP(A:A,[1]android_repos_all_metrics!B:K,7,FALSE)</f>
        <v>5277</v>
      </c>
      <c r="AG672">
        <f>VLOOKUP(A:A,[1]android_repos_all_metrics!B:K,8,FALSE)</f>
        <v>1</v>
      </c>
      <c r="AH672">
        <f>VLOOKUP(A:A,[1]android_repos_all_metrics!B:K,9,FALSE)</f>
        <v>21</v>
      </c>
      <c r="AI672">
        <f>VLOOKUP(A:A,[1]android_repos_all_metrics!B:K,10,FALSE)</f>
        <v>1</v>
      </c>
    </row>
    <row r="673" spans="1:35">
      <c r="A673" t="s">
        <v>734</v>
      </c>
      <c r="B673" t="b">
        <v>0</v>
      </c>
      <c r="C673" t="b">
        <v>0</v>
      </c>
      <c r="D673" t="b">
        <v>0</v>
      </c>
      <c r="F673" t="b">
        <v>0</v>
      </c>
      <c r="H673" t="s">
        <v>136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>
        <v>2</v>
      </c>
      <c r="AB673">
        <v>0</v>
      </c>
      <c r="AC673">
        <f>VLOOKUP(A:A,[1]android_repos_all_metrics!B:K,4,FALSE)</f>
        <v>314</v>
      </c>
      <c r="AD673">
        <f>VLOOKUP(A:A,[1]android_repos_all_metrics!B:K,5,FALSE)</f>
        <v>0</v>
      </c>
      <c r="AE673">
        <f>VLOOKUP(A:A,[1]android_repos_all_metrics!B:K,6,FALSE)</f>
        <v>1</v>
      </c>
      <c r="AF673">
        <f>VLOOKUP(A:A,[1]android_repos_all_metrics!B:K,7,FALSE)</f>
        <v>5038</v>
      </c>
      <c r="AG673">
        <f>VLOOKUP(A:A,[1]android_repos_all_metrics!B:K,8,FALSE)</f>
        <v>6</v>
      </c>
      <c r="AH673">
        <f>VLOOKUP(A:A,[1]android_repos_all_metrics!B:K,9,FALSE)</f>
        <v>17</v>
      </c>
      <c r="AI673">
        <f>VLOOKUP(A:A,[1]android_repos_all_metrics!B:K,10,FALSE)</f>
        <v>0</v>
      </c>
    </row>
    <row r="674" spans="1:35">
      <c r="A674" t="s">
        <v>735</v>
      </c>
      <c r="B674" t="b">
        <v>0</v>
      </c>
      <c r="C674" t="b">
        <v>0</v>
      </c>
      <c r="D674" t="b">
        <v>0</v>
      </c>
      <c r="F674" t="b">
        <v>0</v>
      </c>
      <c r="H674" t="s">
        <v>41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>
        <v>1</v>
      </c>
      <c r="AB674">
        <v>0</v>
      </c>
      <c r="AC674">
        <f>VLOOKUP(A:A,[1]android_repos_all_metrics!B:K,4,FALSE)</f>
        <v>1625</v>
      </c>
      <c r="AD674">
        <f>VLOOKUP(A:A,[1]android_repos_all_metrics!B:K,5,FALSE)</f>
        <v>41</v>
      </c>
      <c r="AE674">
        <f>VLOOKUP(A:A,[1]android_repos_all_metrics!B:K,6,FALSE)</f>
        <v>19</v>
      </c>
      <c r="AF674">
        <f>VLOOKUP(A:A,[1]android_repos_all_metrics!B:K,7,FALSE)</f>
        <v>1260658</v>
      </c>
      <c r="AG674">
        <f>VLOOKUP(A:A,[1]android_repos_all_metrics!B:K,8,FALSE)</f>
        <v>45</v>
      </c>
      <c r="AH674">
        <f>VLOOKUP(A:A,[1]android_repos_all_metrics!B:K,9,FALSE)</f>
        <v>98</v>
      </c>
      <c r="AI674">
        <f>VLOOKUP(A:A,[1]android_repos_all_metrics!B:K,10,FALSE)</f>
        <v>47</v>
      </c>
    </row>
    <row r="675" spans="1:35">
      <c r="A675" t="s">
        <v>736</v>
      </c>
      <c r="B675" t="b">
        <v>1</v>
      </c>
      <c r="C675" t="b">
        <v>1</v>
      </c>
      <c r="D675" t="b">
        <v>0</v>
      </c>
      <c r="F675" t="b">
        <v>1</v>
      </c>
      <c r="G675" t="s">
        <v>39</v>
      </c>
      <c r="H675" t="s">
        <v>41</v>
      </c>
      <c r="I675" t="s">
        <v>41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>
        <v>1</v>
      </c>
      <c r="AB675">
        <v>0</v>
      </c>
      <c r="AC675">
        <f>VLOOKUP(A:A,[1]android_repos_all_metrics!B:K,4,FALSE)</f>
        <v>91</v>
      </c>
      <c r="AD675">
        <f>VLOOKUP(A:A,[1]android_repos_all_metrics!B:K,5,FALSE)</f>
        <v>14</v>
      </c>
      <c r="AE675">
        <f>VLOOKUP(A:A,[1]android_repos_all_metrics!B:K,6,FALSE)</f>
        <v>2</v>
      </c>
      <c r="AF675">
        <f>VLOOKUP(A:A,[1]android_repos_all_metrics!B:K,7,FALSE)</f>
        <v>294</v>
      </c>
      <c r="AG675">
        <f>VLOOKUP(A:A,[1]android_repos_all_metrics!B:K,8,FALSE)</f>
        <v>0</v>
      </c>
      <c r="AH675">
        <f>VLOOKUP(A:A,[1]android_repos_all_metrics!B:K,9,FALSE)</f>
        <v>1</v>
      </c>
      <c r="AI675">
        <f>VLOOKUP(A:A,[1]android_repos_all_metrics!B:K,10,FALSE)</f>
        <v>0</v>
      </c>
    </row>
    <row r="676" spans="1:35">
      <c r="A676" t="s">
        <v>737</v>
      </c>
      <c r="B676" t="b">
        <v>1</v>
      </c>
      <c r="C676" t="b">
        <v>0</v>
      </c>
      <c r="D676" t="b">
        <v>0</v>
      </c>
      <c r="F676" t="b">
        <v>0</v>
      </c>
      <c r="H676" t="s">
        <v>37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>
        <v>3</v>
      </c>
      <c r="AB676">
        <v>0</v>
      </c>
      <c r="AC676">
        <f>VLOOKUP(A:A,[1]android_repos_all_metrics!B:K,4,FALSE)</f>
        <v>422</v>
      </c>
      <c r="AD676">
        <f>VLOOKUP(A:A,[1]android_repos_all_metrics!B:K,5,FALSE)</f>
        <v>257</v>
      </c>
      <c r="AE676">
        <f>VLOOKUP(A:A,[1]android_repos_all_metrics!B:K,6,FALSE)</f>
        <v>29</v>
      </c>
      <c r="AF676">
        <f>VLOOKUP(A:A,[1]android_repos_all_metrics!B:K,7,FALSE)</f>
        <v>36844</v>
      </c>
      <c r="AG676">
        <f>VLOOKUP(A:A,[1]android_repos_all_metrics!B:K,8,FALSE)</f>
        <v>7</v>
      </c>
      <c r="AH676">
        <f>VLOOKUP(A:A,[1]android_repos_all_metrics!B:K,9,FALSE)</f>
        <v>44</v>
      </c>
      <c r="AI676">
        <f>VLOOKUP(A:A,[1]android_repos_all_metrics!B:K,10,FALSE)</f>
        <v>11</v>
      </c>
    </row>
    <row r="677" spans="1:35">
      <c r="A677" t="s">
        <v>738</v>
      </c>
      <c r="B677" t="b">
        <v>1</v>
      </c>
      <c r="C677" t="b">
        <v>0</v>
      </c>
      <c r="D677" t="b">
        <v>0</v>
      </c>
      <c r="F677" t="b">
        <v>0</v>
      </c>
      <c r="H677" t="s">
        <v>136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>
        <v>2</v>
      </c>
      <c r="AB677">
        <v>0</v>
      </c>
      <c r="AC677">
        <f>VLOOKUP(A:A,[1]android_repos_all_metrics!B:K,4,FALSE)</f>
        <v>742</v>
      </c>
      <c r="AD677">
        <f>VLOOKUP(A:A,[1]android_repos_all_metrics!B:K,5,FALSE)</f>
        <v>5</v>
      </c>
      <c r="AE677">
        <f>VLOOKUP(A:A,[1]android_repos_all_metrics!B:K,6,FALSE)</f>
        <v>3</v>
      </c>
      <c r="AF677">
        <f>VLOOKUP(A:A,[1]android_repos_all_metrics!B:K,7,FALSE)</f>
        <v>2220</v>
      </c>
      <c r="AG677">
        <f>VLOOKUP(A:A,[1]android_repos_all_metrics!B:K,8,FALSE)</f>
        <v>12</v>
      </c>
      <c r="AH677">
        <f>VLOOKUP(A:A,[1]android_repos_all_metrics!B:K,9,FALSE)</f>
        <v>28</v>
      </c>
      <c r="AI677">
        <f>VLOOKUP(A:A,[1]android_repos_all_metrics!B:K,10,FALSE)</f>
        <v>13</v>
      </c>
    </row>
    <row r="678" spans="1:35">
      <c r="A678" t="s">
        <v>739</v>
      </c>
      <c r="B678" t="b">
        <v>1</v>
      </c>
      <c r="C678" t="b">
        <v>0</v>
      </c>
      <c r="D678" t="b">
        <v>0</v>
      </c>
      <c r="F678" t="b">
        <v>0</v>
      </c>
      <c r="H678" t="s">
        <v>76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>
        <v>1</v>
      </c>
      <c r="AB678">
        <v>0</v>
      </c>
      <c r="AC678">
        <f>VLOOKUP(A:A,[1]android_repos_all_metrics!B:K,4,FALSE)</f>
        <v>1649</v>
      </c>
      <c r="AD678">
        <f>VLOOKUP(A:A,[1]android_repos_all_metrics!B:K,5,FALSE)</f>
        <v>7</v>
      </c>
      <c r="AE678">
        <f>VLOOKUP(A:A,[1]android_repos_all_metrics!B:K,6,FALSE)</f>
        <v>19</v>
      </c>
      <c r="AF678">
        <f>VLOOKUP(A:A,[1]android_repos_all_metrics!B:K,7,FALSE)</f>
        <v>10464</v>
      </c>
      <c r="AG678">
        <f>VLOOKUP(A:A,[1]android_repos_all_metrics!B:K,8,FALSE)</f>
        <v>1</v>
      </c>
      <c r="AH678">
        <f>VLOOKUP(A:A,[1]android_repos_all_metrics!B:K,9,FALSE)</f>
        <v>16</v>
      </c>
      <c r="AI678">
        <f>VLOOKUP(A:A,[1]android_repos_all_metrics!B:K,10,FALSE)</f>
        <v>6</v>
      </c>
    </row>
    <row r="679" spans="1:35">
      <c r="A679" t="s">
        <v>740</v>
      </c>
      <c r="B679" t="b">
        <v>1</v>
      </c>
      <c r="C679" t="b">
        <v>1</v>
      </c>
      <c r="D679" t="b">
        <v>0</v>
      </c>
      <c r="F679" t="b">
        <v>1</v>
      </c>
      <c r="G679" t="s">
        <v>39</v>
      </c>
      <c r="H679" t="s">
        <v>41</v>
      </c>
      <c r="I679" t="s">
        <v>41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>
        <v>1</v>
      </c>
      <c r="AB679">
        <v>0</v>
      </c>
      <c r="AC679">
        <f>VLOOKUP(A:A,[1]android_repos_all_metrics!B:K,4,FALSE)</f>
        <v>77</v>
      </c>
      <c r="AD679">
        <f>VLOOKUP(A:A,[1]android_repos_all_metrics!B:K,5,FALSE)</f>
        <v>48</v>
      </c>
      <c r="AE679">
        <f>VLOOKUP(A:A,[1]android_repos_all_metrics!B:K,6,FALSE)</f>
        <v>3</v>
      </c>
      <c r="AF679">
        <f>VLOOKUP(A:A,[1]android_repos_all_metrics!B:K,7,FALSE)</f>
        <v>2978</v>
      </c>
      <c r="AG679">
        <f>VLOOKUP(A:A,[1]android_repos_all_metrics!B:K,8,FALSE)</f>
        <v>4</v>
      </c>
      <c r="AH679">
        <f>VLOOKUP(A:A,[1]android_repos_all_metrics!B:K,9,FALSE)</f>
        <v>5</v>
      </c>
      <c r="AI679">
        <f>VLOOKUP(A:A,[1]android_repos_all_metrics!B:K,10,FALSE)</f>
        <v>8</v>
      </c>
    </row>
    <row r="680" spans="1:35">
      <c r="A680" t="s">
        <v>741</v>
      </c>
      <c r="B680" t="b">
        <v>1</v>
      </c>
      <c r="C680" t="b">
        <v>1</v>
      </c>
      <c r="D680" t="b">
        <v>0</v>
      </c>
      <c r="F680" t="b">
        <v>1</v>
      </c>
      <c r="G680" t="s">
        <v>39</v>
      </c>
      <c r="H680" t="s">
        <v>41</v>
      </c>
      <c r="I680" t="s">
        <v>41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>
        <v>1</v>
      </c>
      <c r="AB680">
        <v>0</v>
      </c>
      <c r="AC680">
        <f>VLOOKUP(A:A,[1]android_repos_all_metrics!B:K,4,FALSE)</f>
        <v>325</v>
      </c>
      <c r="AD680">
        <f>VLOOKUP(A:A,[1]android_repos_all_metrics!B:K,5,FALSE)</f>
        <v>59</v>
      </c>
      <c r="AE680">
        <f>VLOOKUP(A:A,[1]android_repos_all_metrics!B:K,6,FALSE)</f>
        <v>5</v>
      </c>
      <c r="AF680">
        <f>VLOOKUP(A:A,[1]android_repos_all_metrics!B:K,7,FALSE)</f>
        <v>2405</v>
      </c>
      <c r="AG680">
        <f>VLOOKUP(A:A,[1]android_repos_all_metrics!B:K,8,FALSE)</f>
        <v>7</v>
      </c>
      <c r="AH680">
        <f>VLOOKUP(A:A,[1]android_repos_all_metrics!B:K,9,FALSE)</f>
        <v>4</v>
      </c>
      <c r="AI680">
        <f>VLOOKUP(A:A,[1]android_repos_all_metrics!B:K,10,FALSE)</f>
        <v>4</v>
      </c>
    </row>
    <row r="681" spans="1:35">
      <c r="A681" t="s">
        <v>742</v>
      </c>
      <c r="B681" t="b">
        <v>1</v>
      </c>
      <c r="C681" t="b">
        <v>1</v>
      </c>
      <c r="D681" t="b">
        <v>1</v>
      </c>
      <c r="E681" t="s">
        <v>36</v>
      </c>
      <c r="F681" t="b">
        <v>0</v>
      </c>
      <c r="H681" t="s">
        <v>37</v>
      </c>
      <c r="I681" t="s">
        <v>37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>
        <v>2</v>
      </c>
      <c r="AA681">
        <v>2</v>
      </c>
      <c r="AB681">
        <v>0</v>
      </c>
      <c r="AC681">
        <f>VLOOKUP(A:A,[1]android_repos_all_metrics!B:K,4,FALSE)</f>
        <v>469</v>
      </c>
      <c r="AD681">
        <f>VLOOKUP(A:A,[1]android_repos_all_metrics!B:K,5,FALSE)</f>
        <v>45</v>
      </c>
      <c r="AE681">
        <f>VLOOKUP(A:A,[1]android_repos_all_metrics!B:K,6,FALSE)</f>
        <v>1</v>
      </c>
      <c r="AF681">
        <f>VLOOKUP(A:A,[1]android_repos_all_metrics!B:K,7,FALSE)</f>
        <v>13033</v>
      </c>
      <c r="AG681">
        <f>VLOOKUP(A:A,[1]android_repos_all_metrics!B:K,8,FALSE)</f>
        <v>35</v>
      </c>
      <c r="AH681">
        <f>VLOOKUP(A:A,[1]android_repos_all_metrics!B:K,9,FALSE)</f>
        <v>183</v>
      </c>
      <c r="AI681">
        <f>VLOOKUP(A:A,[1]android_repos_all_metrics!B:K,10,FALSE)</f>
        <v>3</v>
      </c>
    </row>
    <row r="682" spans="1:35">
      <c r="A682" t="s">
        <v>743</v>
      </c>
      <c r="B682" t="b">
        <v>1</v>
      </c>
      <c r="C682" t="b">
        <v>0</v>
      </c>
      <c r="D682" t="b">
        <v>0</v>
      </c>
      <c r="F682" t="b">
        <v>0</v>
      </c>
      <c r="H682" t="s">
        <v>41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>
        <v>1</v>
      </c>
      <c r="AB682">
        <v>0</v>
      </c>
      <c r="AC682">
        <f>VLOOKUP(A:A,[1]android_repos_all_metrics!B:K,4,FALSE)</f>
        <v>281</v>
      </c>
      <c r="AD682">
        <f>VLOOKUP(A:A,[1]android_repos_all_metrics!B:K,5,FALSE)</f>
        <v>1</v>
      </c>
      <c r="AE682">
        <f>VLOOKUP(A:A,[1]android_repos_all_metrics!B:K,6,FALSE)</f>
        <v>3</v>
      </c>
      <c r="AF682">
        <f>VLOOKUP(A:A,[1]android_repos_all_metrics!B:K,7,FALSE)</f>
        <v>108017</v>
      </c>
      <c r="AG682">
        <f>VLOOKUP(A:A,[1]android_repos_all_metrics!B:K,8,FALSE)</f>
        <v>2</v>
      </c>
      <c r="AH682">
        <f>VLOOKUP(A:A,[1]android_repos_all_metrics!B:K,9,FALSE)</f>
        <v>7</v>
      </c>
      <c r="AI682">
        <f>VLOOKUP(A:A,[1]android_repos_all_metrics!B:K,10,FALSE)</f>
        <v>0</v>
      </c>
    </row>
    <row r="683" spans="1:35">
      <c r="A683" t="s">
        <v>744</v>
      </c>
      <c r="B683" t="b">
        <v>0</v>
      </c>
      <c r="C683" t="b">
        <v>0</v>
      </c>
      <c r="D683" t="b">
        <v>0</v>
      </c>
      <c r="F683" t="b">
        <v>0</v>
      </c>
      <c r="H683" t="s">
        <v>41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>
        <v>1</v>
      </c>
      <c r="AB683">
        <v>0</v>
      </c>
      <c r="AC683">
        <f>VLOOKUP(A:A,[1]android_repos_all_metrics!B:K,4,FALSE)</f>
        <v>75</v>
      </c>
      <c r="AD683">
        <f>VLOOKUP(A:A,[1]android_repos_all_metrics!B:K,5,FALSE)</f>
        <v>0</v>
      </c>
      <c r="AE683">
        <f>VLOOKUP(A:A,[1]android_repos_all_metrics!B:K,6,FALSE)</f>
        <v>1</v>
      </c>
      <c r="AF683">
        <f>VLOOKUP(A:A,[1]android_repos_all_metrics!B:K,7,FALSE)</f>
        <v>47843</v>
      </c>
      <c r="AG683">
        <f>VLOOKUP(A:A,[1]android_repos_all_metrics!B:K,8,FALSE)</f>
        <v>1</v>
      </c>
      <c r="AH683">
        <f>VLOOKUP(A:A,[1]android_repos_all_metrics!B:K,9,FALSE)</f>
        <v>14</v>
      </c>
      <c r="AI683">
        <f>VLOOKUP(A:A,[1]android_repos_all_metrics!B:K,10,FALSE)</f>
        <v>0</v>
      </c>
    </row>
    <row r="684" spans="1:35">
      <c r="A684" t="s">
        <v>745</v>
      </c>
      <c r="B684" t="b">
        <v>1</v>
      </c>
      <c r="C684" t="b">
        <v>0</v>
      </c>
      <c r="D684" t="b">
        <v>0</v>
      </c>
      <c r="F684" t="b">
        <v>0</v>
      </c>
      <c r="H684" t="s">
        <v>37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>
        <v>2</v>
      </c>
      <c r="AB684">
        <v>0</v>
      </c>
      <c r="AC684">
        <f>VLOOKUP(A:A,[1]android_repos_all_metrics!B:K,4,FALSE)</f>
        <v>0</v>
      </c>
      <c r="AD684">
        <f>VLOOKUP(A:A,[1]android_repos_all_metrics!B:K,5,FALSE)</f>
        <v>0</v>
      </c>
      <c r="AE684">
        <f>VLOOKUP(A:A,[1]android_repos_all_metrics!B:K,6,FALSE)</f>
        <v>0</v>
      </c>
      <c r="AF684">
        <f>VLOOKUP(A:A,[1]android_repos_all_metrics!B:K,7,FALSE)</f>
        <v>19260</v>
      </c>
      <c r="AG684">
        <f>VLOOKUP(A:A,[1]android_repos_all_metrics!B:K,8,FALSE)</f>
        <v>8</v>
      </c>
      <c r="AH684">
        <f>VLOOKUP(A:A,[1]android_repos_all_metrics!B:K,9,FALSE)</f>
        <v>35</v>
      </c>
      <c r="AI684">
        <f>VLOOKUP(A:A,[1]android_repos_all_metrics!B:K,10,FALSE)</f>
        <v>1</v>
      </c>
    </row>
    <row r="685" spans="1:35">
      <c r="A685" t="s">
        <v>746</v>
      </c>
      <c r="B685" t="b">
        <v>0</v>
      </c>
      <c r="C685" t="b">
        <v>0</v>
      </c>
      <c r="D685" t="b">
        <v>0</v>
      </c>
      <c r="F685" t="b">
        <v>0</v>
      </c>
      <c r="H685" t="s">
        <v>43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>
        <v>1</v>
      </c>
      <c r="AB685">
        <v>1</v>
      </c>
      <c r="AC685">
        <f>VLOOKUP(A:A,[1]android_repos_all_metrics!B:K,4,FALSE)</f>
        <v>25</v>
      </c>
      <c r="AD685">
        <f>VLOOKUP(A:A,[1]android_repos_all_metrics!B:K,5,FALSE)</f>
        <v>1</v>
      </c>
      <c r="AE685">
        <f>VLOOKUP(A:A,[1]android_repos_all_metrics!B:K,6,FALSE)</f>
        <v>1</v>
      </c>
      <c r="AF685">
        <f>VLOOKUP(A:A,[1]android_repos_all_metrics!B:K,7,FALSE)</f>
        <v>3797</v>
      </c>
      <c r="AG685">
        <f>VLOOKUP(A:A,[1]android_repos_all_metrics!B:K,8,FALSE)</f>
        <v>35</v>
      </c>
      <c r="AH685">
        <f>VLOOKUP(A:A,[1]android_repos_all_metrics!B:K,9,FALSE)</f>
        <v>331</v>
      </c>
      <c r="AI685">
        <f>VLOOKUP(A:A,[1]android_repos_all_metrics!B:K,10,FALSE)</f>
        <v>5</v>
      </c>
    </row>
    <row r="686" spans="1:35">
      <c r="A686" t="s">
        <v>747</v>
      </c>
      <c r="B686" t="b">
        <v>0</v>
      </c>
      <c r="C686" t="b">
        <v>0</v>
      </c>
      <c r="D686" t="b">
        <v>0</v>
      </c>
      <c r="F686" t="b">
        <v>0</v>
      </c>
      <c r="H686" t="s">
        <v>43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>
        <v>1</v>
      </c>
      <c r="AB686">
        <v>0</v>
      </c>
      <c r="AC686">
        <f>VLOOKUP(A:A,[1]android_repos_all_metrics!B:K,4,FALSE)</f>
        <v>212</v>
      </c>
      <c r="AD686">
        <f>VLOOKUP(A:A,[1]android_repos_all_metrics!B:K,5,FALSE)</f>
        <v>5</v>
      </c>
      <c r="AE686">
        <f>VLOOKUP(A:A,[1]android_repos_all_metrics!B:K,6,FALSE)</f>
        <v>1</v>
      </c>
      <c r="AF686">
        <f>VLOOKUP(A:A,[1]android_repos_all_metrics!B:K,7,FALSE)</f>
        <v>1993</v>
      </c>
      <c r="AG686">
        <f>VLOOKUP(A:A,[1]android_repos_all_metrics!B:K,8,FALSE)</f>
        <v>2</v>
      </c>
      <c r="AH686">
        <f>VLOOKUP(A:A,[1]android_repos_all_metrics!B:K,9,FALSE)</f>
        <v>8</v>
      </c>
      <c r="AI686">
        <f>VLOOKUP(A:A,[1]android_repos_all_metrics!B:K,10,FALSE)</f>
        <v>0</v>
      </c>
    </row>
    <row r="687" spans="1:35">
      <c r="A687" t="s">
        <v>748</v>
      </c>
      <c r="B687" t="b">
        <v>1</v>
      </c>
      <c r="C687" t="b">
        <v>0</v>
      </c>
      <c r="D687" t="b">
        <v>0</v>
      </c>
      <c r="F687" t="b">
        <v>0</v>
      </c>
      <c r="H687" t="s">
        <v>37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>
        <v>1</v>
      </c>
      <c r="AB687">
        <v>0</v>
      </c>
      <c r="AC687">
        <f>VLOOKUP(A:A,[1]android_repos_all_metrics!B:K,4,FALSE)</f>
        <v>353</v>
      </c>
      <c r="AD687">
        <f>VLOOKUP(A:A,[1]android_repos_all_metrics!B:K,5,FALSE)</f>
        <v>54</v>
      </c>
      <c r="AE687">
        <f>VLOOKUP(A:A,[1]android_repos_all_metrics!B:K,6,FALSE)</f>
        <v>3</v>
      </c>
      <c r="AF687">
        <f>VLOOKUP(A:A,[1]android_repos_all_metrics!B:K,7,FALSE)</f>
        <v>30968</v>
      </c>
      <c r="AG687">
        <f>VLOOKUP(A:A,[1]android_repos_all_metrics!B:K,8,FALSE)</f>
        <v>0</v>
      </c>
      <c r="AH687">
        <f>VLOOKUP(A:A,[1]android_repos_all_metrics!B:K,9,FALSE)</f>
        <v>23</v>
      </c>
      <c r="AI687">
        <f>VLOOKUP(A:A,[1]android_repos_all_metrics!B:K,10,FALSE)</f>
        <v>0</v>
      </c>
    </row>
    <row r="688" spans="1:35">
      <c r="A688" t="s">
        <v>749</v>
      </c>
      <c r="B688" t="b">
        <v>0</v>
      </c>
      <c r="C688" t="b">
        <v>0</v>
      </c>
      <c r="D688" t="b">
        <v>0</v>
      </c>
      <c r="F688" t="b">
        <v>0</v>
      </c>
      <c r="H688" t="s">
        <v>41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>
        <v>1</v>
      </c>
      <c r="AB688">
        <v>0</v>
      </c>
      <c r="AC688">
        <f>VLOOKUP(A:A,[1]android_repos_all_metrics!B:K,4,FALSE)</f>
        <v>19</v>
      </c>
      <c r="AD688">
        <f>VLOOKUP(A:A,[1]android_repos_all_metrics!B:K,5,FALSE)</f>
        <v>0</v>
      </c>
      <c r="AE688">
        <f>VLOOKUP(A:A,[1]android_repos_all_metrics!B:K,6,FALSE)</f>
        <v>1</v>
      </c>
      <c r="AF688">
        <f>VLOOKUP(A:A,[1]android_repos_all_metrics!B:K,7,FALSE)</f>
        <v>9645</v>
      </c>
      <c r="AG688">
        <f>VLOOKUP(A:A,[1]android_repos_all_metrics!B:K,8,FALSE)</f>
        <v>0</v>
      </c>
      <c r="AH688">
        <f>VLOOKUP(A:A,[1]android_repos_all_metrics!B:K,9,FALSE)</f>
        <v>5</v>
      </c>
      <c r="AI688">
        <f>VLOOKUP(A:A,[1]android_repos_all_metrics!B:K,10,FALSE)</f>
        <v>1</v>
      </c>
    </row>
    <row r="689" spans="1:35">
      <c r="A689" t="s">
        <v>750</v>
      </c>
      <c r="B689" t="b">
        <v>1</v>
      </c>
      <c r="C689" t="b">
        <v>0</v>
      </c>
      <c r="D689" t="b">
        <v>0</v>
      </c>
      <c r="F689" t="b">
        <v>0</v>
      </c>
      <c r="H689" t="s">
        <v>37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>
        <v>2</v>
      </c>
      <c r="AB689">
        <v>0</v>
      </c>
      <c r="AC689">
        <f>VLOOKUP(A:A,[1]android_repos_all_metrics!B:K,4,FALSE)</f>
        <v>19</v>
      </c>
      <c r="AD689">
        <f>VLOOKUP(A:A,[1]android_repos_all_metrics!B:K,5,FALSE)</f>
        <v>1</v>
      </c>
      <c r="AE689">
        <f>VLOOKUP(A:A,[1]android_repos_all_metrics!B:K,6,FALSE)</f>
        <v>1</v>
      </c>
      <c r="AF689">
        <f>VLOOKUP(A:A,[1]android_repos_all_metrics!B:K,7,FALSE)</f>
        <v>959</v>
      </c>
      <c r="AG689">
        <f>VLOOKUP(A:A,[1]android_repos_all_metrics!B:K,8,FALSE)</f>
        <v>6</v>
      </c>
      <c r="AH689">
        <f>VLOOKUP(A:A,[1]android_repos_all_metrics!B:K,9,FALSE)</f>
        <v>211</v>
      </c>
      <c r="AI689">
        <f>VLOOKUP(A:A,[1]android_repos_all_metrics!B:K,10,FALSE)</f>
        <v>11</v>
      </c>
    </row>
    <row r="690" spans="1:35">
      <c r="A690" t="s">
        <v>751</v>
      </c>
      <c r="B690" t="b">
        <v>1</v>
      </c>
      <c r="C690" t="b">
        <v>1</v>
      </c>
      <c r="D690" t="b">
        <v>0</v>
      </c>
      <c r="F690" t="b">
        <v>1</v>
      </c>
      <c r="G690" t="s">
        <v>39</v>
      </c>
      <c r="H690" t="s">
        <v>41</v>
      </c>
      <c r="I690" t="s">
        <v>41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>
        <v>1</v>
      </c>
      <c r="AB690">
        <v>0</v>
      </c>
      <c r="AC690">
        <f>VLOOKUP(A:A,[1]android_repos_all_metrics!B:K,4,FALSE)</f>
        <v>756</v>
      </c>
      <c r="AD690">
        <f>VLOOKUP(A:A,[1]android_repos_all_metrics!B:K,5,FALSE)</f>
        <v>22</v>
      </c>
      <c r="AE690">
        <f>VLOOKUP(A:A,[1]android_repos_all_metrics!B:K,6,FALSE)</f>
        <v>1</v>
      </c>
      <c r="AF690">
        <f>VLOOKUP(A:A,[1]android_repos_all_metrics!B:K,7,FALSE)</f>
        <v>20329</v>
      </c>
      <c r="AG690">
        <f>VLOOKUP(A:A,[1]android_repos_all_metrics!B:K,8,FALSE)</f>
        <v>2</v>
      </c>
      <c r="AH690">
        <f>VLOOKUP(A:A,[1]android_repos_all_metrics!B:K,9,FALSE)</f>
        <v>3</v>
      </c>
      <c r="AI690">
        <f>VLOOKUP(A:A,[1]android_repos_all_metrics!B:K,10,FALSE)</f>
        <v>0</v>
      </c>
    </row>
    <row r="691" spans="1:35">
      <c r="A691" t="s">
        <v>752</v>
      </c>
      <c r="B691" t="b">
        <v>0</v>
      </c>
      <c r="C691" t="b">
        <v>0</v>
      </c>
      <c r="D691" t="b">
        <v>0</v>
      </c>
      <c r="F691" t="b">
        <v>0</v>
      </c>
      <c r="H691" t="s">
        <v>41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>
        <v>1</v>
      </c>
      <c r="AB691">
        <v>0</v>
      </c>
      <c r="AC691">
        <f>VLOOKUP(A:A,[1]android_repos_all_metrics!B:K,4,FALSE)</f>
        <v>2512</v>
      </c>
      <c r="AD691">
        <f>VLOOKUP(A:A,[1]android_repos_all_metrics!B:K,5,FALSE)</f>
        <v>1</v>
      </c>
      <c r="AE691">
        <f>VLOOKUP(A:A,[1]android_repos_all_metrics!B:K,6,FALSE)</f>
        <v>2</v>
      </c>
      <c r="AF691">
        <f>VLOOKUP(A:A,[1]android_repos_all_metrics!B:K,7,FALSE)</f>
        <v>84309</v>
      </c>
      <c r="AG691">
        <f>VLOOKUP(A:A,[1]android_repos_all_metrics!B:K,8,FALSE)</f>
        <v>1</v>
      </c>
      <c r="AH691">
        <f>VLOOKUP(A:A,[1]android_repos_all_metrics!B:K,9,FALSE)</f>
        <v>3</v>
      </c>
      <c r="AI691">
        <f>VLOOKUP(A:A,[1]android_repos_all_metrics!B:K,10,FALSE)</f>
        <v>3</v>
      </c>
    </row>
    <row r="692" spans="1:35">
      <c r="A692" t="s">
        <v>753</v>
      </c>
      <c r="B692" t="b">
        <v>1</v>
      </c>
      <c r="C692" t="b">
        <v>0</v>
      </c>
      <c r="D692" t="b">
        <v>0</v>
      </c>
      <c r="F692" t="b">
        <v>0</v>
      </c>
      <c r="H692" t="s">
        <v>37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>
        <v>1</v>
      </c>
      <c r="AB692">
        <v>0</v>
      </c>
      <c r="AC692">
        <f>VLOOKUP(A:A,[1]android_repos_all_metrics!B:K,4,FALSE)</f>
        <v>12</v>
      </c>
      <c r="AD692">
        <f>VLOOKUP(A:A,[1]android_repos_all_metrics!B:K,5,FALSE)</f>
        <v>0</v>
      </c>
      <c r="AE692">
        <f>VLOOKUP(A:A,[1]android_repos_all_metrics!B:K,6,FALSE)</f>
        <v>1</v>
      </c>
      <c r="AF692">
        <f>VLOOKUP(A:A,[1]android_repos_all_metrics!B:K,7,FALSE)</f>
        <v>22513</v>
      </c>
      <c r="AG692">
        <f>VLOOKUP(A:A,[1]android_repos_all_metrics!B:K,8,FALSE)</f>
        <v>3</v>
      </c>
      <c r="AH692">
        <f>VLOOKUP(A:A,[1]android_repos_all_metrics!B:K,9,FALSE)</f>
        <v>9</v>
      </c>
      <c r="AI692">
        <f>VLOOKUP(A:A,[1]android_repos_all_metrics!B:K,10,FALSE)</f>
        <v>0</v>
      </c>
    </row>
    <row r="693" spans="1:35">
      <c r="A693" t="s">
        <v>754</v>
      </c>
      <c r="B693" t="b">
        <v>1</v>
      </c>
      <c r="C693" t="b">
        <v>1</v>
      </c>
      <c r="D693" t="b">
        <v>0</v>
      </c>
      <c r="F693" t="b">
        <v>1</v>
      </c>
      <c r="G693" t="s">
        <v>39</v>
      </c>
      <c r="H693" t="s">
        <v>41</v>
      </c>
      <c r="I693" t="s">
        <v>41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>
        <v>1</v>
      </c>
      <c r="AB693">
        <v>0</v>
      </c>
      <c r="AC693">
        <f>VLOOKUP(A:A,[1]android_repos_all_metrics!B:K,4,FALSE)</f>
        <v>68</v>
      </c>
      <c r="AD693">
        <f>VLOOKUP(A:A,[1]android_repos_all_metrics!B:K,5,FALSE)</f>
        <v>2</v>
      </c>
      <c r="AE693">
        <f>VLOOKUP(A:A,[1]android_repos_all_metrics!B:K,6,FALSE)</f>
        <v>2</v>
      </c>
      <c r="AF693">
        <f>VLOOKUP(A:A,[1]android_repos_all_metrics!B:K,7,FALSE)</f>
        <v>965</v>
      </c>
      <c r="AG693">
        <f>VLOOKUP(A:A,[1]android_repos_all_metrics!B:K,8,FALSE)</f>
        <v>4</v>
      </c>
      <c r="AH693">
        <f>VLOOKUP(A:A,[1]android_repos_all_metrics!B:K,9,FALSE)</f>
        <v>5</v>
      </c>
      <c r="AI693">
        <f>VLOOKUP(A:A,[1]android_repos_all_metrics!B:K,10,FALSE)</f>
        <v>3</v>
      </c>
    </row>
    <row r="694" spans="1:35">
      <c r="A694" t="s">
        <v>755</v>
      </c>
      <c r="B694" t="b">
        <v>1</v>
      </c>
      <c r="C694" t="b">
        <v>1</v>
      </c>
      <c r="D694" t="b">
        <v>0</v>
      </c>
      <c r="F694" t="b">
        <v>1</v>
      </c>
      <c r="G694" t="s">
        <v>39</v>
      </c>
      <c r="H694" t="s">
        <v>41</v>
      </c>
      <c r="I694" t="s">
        <v>41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>
        <v>1</v>
      </c>
      <c r="AB694">
        <v>0</v>
      </c>
      <c r="AC694">
        <f>VLOOKUP(A:A,[1]android_repos_all_metrics!B:K,4,FALSE)</f>
        <v>72</v>
      </c>
      <c r="AD694">
        <f>VLOOKUP(A:A,[1]android_repos_all_metrics!B:K,5,FALSE)</f>
        <v>0</v>
      </c>
      <c r="AE694">
        <f>VLOOKUP(A:A,[1]android_repos_all_metrics!B:K,6,FALSE)</f>
        <v>2</v>
      </c>
      <c r="AF694">
        <f>VLOOKUP(A:A,[1]android_repos_all_metrics!B:K,7,FALSE)</f>
        <v>730</v>
      </c>
      <c r="AG694">
        <f>VLOOKUP(A:A,[1]android_repos_all_metrics!B:K,8,FALSE)</f>
        <v>0</v>
      </c>
      <c r="AH694">
        <f>VLOOKUP(A:A,[1]android_repos_all_metrics!B:K,9,FALSE)</f>
        <v>1</v>
      </c>
      <c r="AI694">
        <f>VLOOKUP(A:A,[1]android_repos_all_metrics!B:K,10,FALSE)</f>
        <v>1</v>
      </c>
    </row>
    <row r="695" spans="1:35">
      <c r="A695" t="s">
        <v>756</v>
      </c>
      <c r="B695" t="b">
        <v>1</v>
      </c>
      <c r="C695" t="b">
        <v>0</v>
      </c>
      <c r="D695" t="b">
        <v>0</v>
      </c>
      <c r="F695" t="b">
        <v>0</v>
      </c>
      <c r="H695" t="s">
        <v>37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>
        <v>2</v>
      </c>
      <c r="AB695">
        <v>0</v>
      </c>
      <c r="AC695">
        <f>VLOOKUP(A:A,[1]android_repos_all_metrics!B:K,4,FALSE)</f>
        <v>16</v>
      </c>
      <c r="AD695">
        <f>VLOOKUP(A:A,[1]android_repos_all_metrics!B:K,5,FALSE)</f>
        <v>22</v>
      </c>
      <c r="AE695">
        <f>VLOOKUP(A:A,[1]android_repos_all_metrics!B:K,6,FALSE)</f>
        <v>4</v>
      </c>
      <c r="AF695">
        <f>VLOOKUP(A:A,[1]android_repos_all_metrics!B:K,7,FALSE)</f>
        <v>78222</v>
      </c>
      <c r="AG695">
        <f>VLOOKUP(A:A,[1]android_repos_all_metrics!B:K,8,FALSE)</f>
        <v>32</v>
      </c>
      <c r="AH695">
        <f>VLOOKUP(A:A,[1]android_repos_all_metrics!B:K,9,FALSE)</f>
        <v>116</v>
      </c>
      <c r="AI695">
        <f>VLOOKUP(A:A,[1]android_repos_all_metrics!B:K,10,FALSE)</f>
        <v>8</v>
      </c>
    </row>
    <row r="696" spans="1:35">
      <c r="A696" t="s">
        <v>757</v>
      </c>
      <c r="B696" t="b">
        <v>1</v>
      </c>
      <c r="C696" t="b">
        <v>1</v>
      </c>
      <c r="D696" t="b">
        <v>0</v>
      </c>
      <c r="F696" t="b">
        <v>1</v>
      </c>
      <c r="G696" t="s">
        <v>270</v>
      </c>
      <c r="H696" t="s">
        <v>136</v>
      </c>
      <c r="I696" t="s">
        <v>43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>
        <v>2</v>
      </c>
      <c r="AB696">
        <v>0</v>
      </c>
      <c r="AC696">
        <f>VLOOKUP(A:A,[1]android_repos_all_metrics!B:K,4,FALSE)</f>
        <v>89</v>
      </c>
      <c r="AD696">
        <f>VLOOKUP(A:A,[1]android_repos_all_metrics!B:K,5,FALSE)</f>
        <v>24</v>
      </c>
      <c r="AE696">
        <f>VLOOKUP(A:A,[1]android_repos_all_metrics!B:K,6,FALSE)</f>
        <v>1</v>
      </c>
      <c r="AF696">
        <f>VLOOKUP(A:A,[1]android_repos_all_metrics!B:K,7,FALSE)</f>
        <v>1654</v>
      </c>
      <c r="AG696">
        <f>VLOOKUP(A:A,[1]android_repos_all_metrics!B:K,8,FALSE)</f>
        <v>11</v>
      </c>
      <c r="AH696">
        <f>VLOOKUP(A:A,[1]android_repos_all_metrics!B:K,9,FALSE)</f>
        <v>7</v>
      </c>
      <c r="AI696">
        <f>VLOOKUP(A:A,[1]android_repos_all_metrics!B:K,10,FALSE)</f>
        <v>9</v>
      </c>
    </row>
    <row r="697" spans="1:35">
      <c r="A697" t="s">
        <v>758</v>
      </c>
      <c r="B697" t="b">
        <v>1</v>
      </c>
      <c r="C697" t="b">
        <v>0</v>
      </c>
      <c r="D697" t="b">
        <v>0</v>
      </c>
      <c r="F697" t="b">
        <v>0</v>
      </c>
      <c r="H697" t="s">
        <v>37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>
        <v>1</v>
      </c>
      <c r="AB697">
        <v>0</v>
      </c>
      <c r="AC697">
        <f>VLOOKUP(A:A,[1]android_repos_all_metrics!B:K,4,FALSE)</f>
        <v>52</v>
      </c>
      <c r="AD697">
        <f>VLOOKUP(A:A,[1]android_repos_all_metrics!B:K,5,FALSE)</f>
        <v>0</v>
      </c>
      <c r="AE697">
        <f>VLOOKUP(A:A,[1]android_repos_all_metrics!B:K,6,FALSE)</f>
        <v>1</v>
      </c>
      <c r="AF697">
        <f>VLOOKUP(A:A,[1]android_repos_all_metrics!B:K,7,FALSE)</f>
        <v>5517</v>
      </c>
      <c r="AG697">
        <f>VLOOKUP(A:A,[1]android_repos_all_metrics!B:K,8,FALSE)</f>
        <v>2</v>
      </c>
      <c r="AH697">
        <f>VLOOKUP(A:A,[1]android_repos_all_metrics!B:K,9,FALSE)</f>
        <v>1</v>
      </c>
      <c r="AI697">
        <f>VLOOKUP(A:A,[1]android_repos_all_metrics!B:K,10,FALSE)</f>
        <v>0</v>
      </c>
    </row>
    <row r="698" spans="1:35">
      <c r="A698" t="s">
        <v>759</v>
      </c>
      <c r="B698" t="b">
        <v>0</v>
      </c>
      <c r="C698" t="b">
        <v>0</v>
      </c>
      <c r="D698" t="b">
        <v>0</v>
      </c>
      <c r="F698" t="b">
        <v>0</v>
      </c>
      <c r="H698" t="s">
        <v>41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>
        <v>1</v>
      </c>
      <c r="AB698">
        <v>0</v>
      </c>
      <c r="AC698">
        <f>VLOOKUP(A:A,[1]android_repos_all_metrics!B:K,4,FALSE)</f>
        <v>46</v>
      </c>
      <c r="AD698">
        <f>VLOOKUP(A:A,[1]android_repos_all_metrics!B:K,5,FALSE)</f>
        <v>1</v>
      </c>
      <c r="AE698">
        <f>VLOOKUP(A:A,[1]android_repos_all_metrics!B:K,6,FALSE)</f>
        <v>1</v>
      </c>
      <c r="AF698">
        <f>VLOOKUP(A:A,[1]android_repos_all_metrics!B:K,7,FALSE)</f>
        <v>158</v>
      </c>
      <c r="AG698">
        <f>VLOOKUP(A:A,[1]android_repos_all_metrics!B:K,8,FALSE)</f>
        <v>13</v>
      </c>
      <c r="AH698">
        <f>VLOOKUP(A:A,[1]android_repos_all_metrics!B:K,9,FALSE)</f>
        <v>137</v>
      </c>
      <c r="AI698">
        <f>VLOOKUP(A:A,[1]android_repos_all_metrics!B:K,10,FALSE)</f>
        <v>2</v>
      </c>
    </row>
    <row r="699" spans="1:35">
      <c r="A699" t="s">
        <v>760</v>
      </c>
      <c r="B699" t="b">
        <v>1</v>
      </c>
      <c r="C699" t="b">
        <v>1</v>
      </c>
      <c r="D699" t="b">
        <v>1</v>
      </c>
      <c r="E699" t="s">
        <v>36</v>
      </c>
      <c r="F699" t="b">
        <v>1</v>
      </c>
      <c r="G699" t="s">
        <v>39</v>
      </c>
      <c r="H699" t="s">
        <v>86</v>
      </c>
      <c r="I699" t="s">
        <v>86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>
        <v>1</v>
      </c>
      <c r="AA699">
        <v>2</v>
      </c>
      <c r="AB699">
        <v>0</v>
      </c>
      <c r="AC699">
        <f>VLOOKUP(A:A,[1]android_repos_all_metrics!B:K,4,FALSE)</f>
        <v>1455</v>
      </c>
      <c r="AD699">
        <f>VLOOKUP(A:A,[1]android_repos_all_metrics!B:K,5,FALSE)</f>
        <v>64</v>
      </c>
      <c r="AE699">
        <f>VLOOKUP(A:A,[1]android_repos_all_metrics!B:K,6,FALSE)</f>
        <v>79</v>
      </c>
      <c r="AF699">
        <f>VLOOKUP(A:A,[1]android_repos_all_metrics!B:K,7,FALSE)</f>
        <v>7902</v>
      </c>
      <c r="AG699">
        <f>VLOOKUP(A:A,[1]android_repos_all_metrics!B:K,8,FALSE)</f>
        <v>82</v>
      </c>
      <c r="AH699">
        <f>VLOOKUP(A:A,[1]android_repos_all_metrics!B:K,9,FALSE)</f>
        <v>733</v>
      </c>
      <c r="AI699">
        <f>VLOOKUP(A:A,[1]android_repos_all_metrics!B:K,10,FALSE)</f>
        <v>230</v>
      </c>
    </row>
    <row r="700" spans="1:35">
      <c r="A700" t="s">
        <v>761</v>
      </c>
      <c r="B700" t="b">
        <v>1</v>
      </c>
      <c r="C700" t="b">
        <v>0</v>
      </c>
      <c r="D700" t="b">
        <v>0</v>
      </c>
      <c r="F700" t="b">
        <v>0</v>
      </c>
      <c r="H700" t="s">
        <v>37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>
        <v>1</v>
      </c>
      <c r="AB700">
        <v>0</v>
      </c>
      <c r="AC700">
        <f>VLOOKUP(A:A,[1]android_repos_all_metrics!B:K,4,FALSE)</f>
        <v>11</v>
      </c>
      <c r="AD700">
        <f>VLOOKUP(A:A,[1]android_repos_all_metrics!B:K,5,FALSE)</f>
        <v>2</v>
      </c>
      <c r="AE700">
        <f>VLOOKUP(A:A,[1]android_repos_all_metrics!B:K,6,FALSE)</f>
        <v>1</v>
      </c>
      <c r="AF700">
        <f>VLOOKUP(A:A,[1]android_repos_all_metrics!B:K,7,FALSE)</f>
        <v>6861</v>
      </c>
      <c r="AG700">
        <f>VLOOKUP(A:A,[1]android_repos_all_metrics!B:K,8,FALSE)</f>
        <v>1</v>
      </c>
      <c r="AH700">
        <f>VLOOKUP(A:A,[1]android_repos_all_metrics!B:K,9,FALSE)</f>
        <v>1</v>
      </c>
      <c r="AI700">
        <f>VLOOKUP(A:A,[1]android_repos_all_metrics!B:K,10,FALSE)</f>
        <v>0</v>
      </c>
    </row>
    <row r="701" spans="1:35">
      <c r="A701" t="s">
        <v>762</v>
      </c>
      <c r="B701" t="b">
        <v>1</v>
      </c>
      <c r="C701" t="b">
        <v>0</v>
      </c>
      <c r="D701" t="b">
        <v>0</v>
      </c>
      <c r="F701" t="b">
        <v>0</v>
      </c>
      <c r="H701" t="s">
        <v>37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>
        <v>1</v>
      </c>
      <c r="AB701">
        <v>0</v>
      </c>
      <c r="AC701">
        <f>VLOOKUP(A:A,[1]android_repos_all_metrics!B:K,4,FALSE)</f>
        <v>1062</v>
      </c>
      <c r="AD701">
        <f>VLOOKUP(A:A,[1]android_repos_all_metrics!B:K,5,FALSE)</f>
        <v>140</v>
      </c>
      <c r="AE701">
        <f>VLOOKUP(A:A,[1]android_repos_all_metrics!B:K,6,FALSE)</f>
        <v>26</v>
      </c>
      <c r="AF701">
        <f>VLOOKUP(A:A,[1]android_repos_all_metrics!B:K,7,FALSE)</f>
        <v>32613</v>
      </c>
      <c r="AG701">
        <f>VLOOKUP(A:A,[1]android_repos_all_metrics!B:K,8,FALSE)</f>
        <v>41</v>
      </c>
      <c r="AH701">
        <f>VLOOKUP(A:A,[1]android_repos_all_metrics!B:K,9,FALSE)</f>
        <v>149</v>
      </c>
      <c r="AI701">
        <f>VLOOKUP(A:A,[1]android_repos_all_metrics!B:K,10,FALSE)</f>
        <v>25</v>
      </c>
    </row>
    <row r="702" spans="1:35">
      <c r="A702" t="s">
        <v>763</v>
      </c>
      <c r="B702" t="b">
        <v>1</v>
      </c>
      <c r="C702" t="b">
        <v>0</v>
      </c>
      <c r="D702" t="b">
        <v>0</v>
      </c>
      <c r="F702" t="b">
        <v>0</v>
      </c>
      <c r="H702" t="s">
        <v>308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>
        <v>2</v>
      </c>
      <c r="AB702">
        <v>0</v>
      </c>
      <c r="AC702">
        <f>VLOOKUP(A:A,[1]android_repos_all_metrics!B:K,4,FALSE)</f>
        <v>146</v>
      </c>
      <c r="AD702">
        <f>VLOOKUP(A:A,[1]android_repos_all_metrics!B:K,5,FALSE)</f>
        <v>3</v>
      </c>
      <c r="AE702">
        <f>VLOOKUP(A:A,[1]android_repos_all_metrics!B:K,6,FALSE)</f>
        <v>1</v>
      </c>
      <c r="AF702">
        <f>VLOOKUP(A:A,[1]android_repos_all_metrics!B:K,7,FALSE)</f>
        <v>2294</v>
      </c>
      <c r="AG702">
        <f>VLOOKUP(A:A,[1]android_repos_all_metrics!B:K,8,FALSE)</f>
        <v>15</v>
      </c>
      <c r="AH702">
        <f>VLOOKUP(A:A,[1]android_repos_all_metrics!B:K,9,FALSE)</f>
        <v>145</v>
      </c>
      <c r="AI702">
        <f>VLOOKUP(A:A,[1]android_repos_all_metrics!B:K,10,FALSE)</f>
        <v>4</v>
      </c>
    </row>
    <row r="703" spans="1:35">
      <c r="A703" t="s">
        <v>764</v>
      </c>
      <c r="B703" t="b">
        <v>1</v>
      </c>
      <c r="C703" t="b">
        <v>0</v>
      </c>
      <c r="D703" t="b">
        <v>0</v>
      </c>
      <c r="F703" t="b">
        <v>0</v>
      </c>
      <c r="H703" t="s">
        <v>37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>
        <v>1</v>
      </c>
      <c r="AB703">
        <v>0</v>
      </c>
      <c r="AC703">
        <f>VLOOKUP(A:A,[1]android_repos_all_metrics!B:K,4,FALSE)</f>
        <v>242</v>
      </c>
      <c r="AD703">
        <f>VLOOKUP(A:A,[1]android_repos_all_metrics!B:K,5,FALSE)</f>
        <v>4</v>
      </c>
      <c r="AE703">
        <f>VLOOKUP(A:A,[1]android_repos_all_metrics!B:K,6,FALSE)</f>
        <v>5</v>
      </c>
      <c r="AF703">
        <f>VLOOKUP(A:A,[1]android_repos_all_metrics!B:K,7,FALSE)</f>
        <v>67366</v>
      </c>
      <c r="AG703">
        <f>VLOOKUP(A:A,[1]android_repos_all_metrics!B:K,8,FALSE)</f>
        <v>9</v>
      </c>
      <c r="AH703">
        <f>VLOOKUP(A:A,[1]android_repos_all_metrics!B:K,9,FALSE)</f>
        <v>395</v>
      </c>
      <c r="AI703">
        <f>VLOOKUP(A:A,[1]android_repos_all_metrics!B:K,10,FALSE)</f>
        <v>4</v>
      </c>
    </row>
    <row r="704" spans="1:35">
      <c r="A704" t="s">
        <v>765</v>
      </c>
      <c r="B704" t="b">
        <v>1</v>
      </c>
      <c r="C704" t="b">
        <v>0</v>
      </c>
      <c r="D704" t="b">
        <v>0</v>
      </c>
      <c r="F704" t="b">
        <v>0</v>
      </c>
      <c r="H704" t="s">
        <v>37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>
        <v>1</v>
      </c>
      <c r="AB704">
        <v>0</v>
      </c>
      <c r="AC704">
        <f>VLOOKUP(A:A,[1]android_repos_all_metrics!B:K,4,FALSE)</f>
        <v>20</v>
      </c>
      <c r="AD704">
        <f>VLOOKUP(A:A,[1]android_repos_all_metrics!B:K,5,FALSE)</f>
        <v>15</v>
      </c>
      <c r="AE704">
        <f>VLOOKUP(A:A,[1]android_repos_all_metrics!B:K,6,FALSE)</f>
        <v>2</v>
      </c>
      <c r="AF704">
        <f>VLOOKUP(A:A,[1]android_repos_all_metrics!B:K,7,FALSE)</f>
        <v>212</v>
      </c>
      <c r="AG704">
        <f>VLOOKUP(A:A,[1]android_repos_all_metrics!B:K,8,FALSE)</f>
        <v>2</v>
      </c>
      <c r="AH704">
        <f>VLOOKUP(A:A,[1]android_repos_all_metrics!B:K,9,FALSE)</f>
        <v>23</v>
      </c>
      <c r="AI704">
        <f>VLOOKUP(A:A,[1]android_repos_all_metrics!B:K,10,FALSE)</f>
        <v>11</v>
      </c>
    </row>
    <row r="705" spans="1:35">
      <c r="A705" t="s">
        <v>766</v>
      </c>
      <c r="B705" t="b">
        <v>1</v>
      </c>
      <c r="C705" t="b">
        <v>1</v>
      </c>
      <c r="D705" t="b">
        <v>1</v>
      </c>
      <c r="E705" t="s">
        <v>104</v>
      </c>
      <c r="F705" t="b">
        <v>0</v>
      </c>
      <c r="H705" t="s">
        <v>37</v>
      </c>
      <c r="I705" t="s">
        <v>37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>
        <v>1</v>
      </c>
      <c r="AA705">
        <v>3</v>
      </c>
      <c r="AB705">
        <v>0</v>
      </c>
      <c r="AC705">
        <f>VLOOKUP(A:A,[1]android_repos_all_metrics!B:K,4,FALSE)</f>
        <v>140</v>
      </c>
      <c r="AD705">
        <f>VLOOKUP(A:A,[1]android_repos_all_metrics!B:K,5,FALSE)</f>
        <v>15</v>
      </c>
      <c r="AE705">
        <f>VLOOKUP(A:A,[1]android_repos_all_metrics!B:K,6,FALSE)</f>
        <v>3</v>
      </c>
      <c r="AF705">
        <f>VLOOKUP(A:A,[1]android_repos_all_metrics!B:K,7,FALSE)</f>
        <v>1562</v>
      </c>
      <c r="AG705">
        <f>VLOOKUP(A:A,[1]android_repos_all_metrics!B:K,8,FALSE)</f>
        <v>1</v>
      </c>
      <c r="AH705">
        <f>VLOOKUP(A:A,[1]android_repos_all_metrics!B:K,9,FALSE)</f>
        <v>7</v>
      </c>
      <c r="AI705">
        <f>VLOOKUP(A:A,[1]android_repos_all_metrics!B:K,10,FALSE)</f>
        <v>10</v>
      </c>
    </row>
    <row r="706" spans="1:35">
      <c r="A706" t="s">
        <v>767</v>
      </c>
      <c r="B706" t="b">
        <v>1</v>
      </c>
      <c r="C706" t="b">
        <v>0</v>
      </c>
      <c r="D706" t="b">
        <v>0</v>
      </c>
      <c r="F706" t="b">
        <v>0</v>
      </c>
      <c r="H706" t="s">
        <v>76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>
        <v>1</v>
      </c>
      <c r="AB706">
        <v>0</v>
      </c>
      <c r="AC706">
        <f>VLOOKUP(A:A,[1]android_repos_all_metrics!B:K,4,FALSE)</f>
        <v>53</v>
      </c>
      <c r="AD706">
        <f>VLOOKUP(A:A,[1]android_repos_all_metrics!B:K,5,FALSE)</f>
        <v>5</v>
      </c>
      <c r="AE706">
        <f>VLOOKUP(A:A,[1]android_repos_all_metrics!B:K,6,FALSE)</f>
        <v>1</v>
      </c>
      <c r="AF706">
        <f>VLOOKUP(A:A,[1]android_repos_all_metrics!B:K,7,FALSE)</f>
        <v>8494</v>
      </c>
      <c r="AG706">
        <f>VLOOKUP(A:A,[1]android_repos_all_metrics!B:K,8,FALSE)</f>
        <v>3</v>
      </c>
      <c r="AH706">
        <f>VLOOKUP(A:A,[1]android_repos_all_metrics!B:K,9,FALSE)</f>
        <v>11</v>
      </c>
      <c r="AI706">
        <f>VLOOKUP(A:A,[1]android_repos_all_metrics!B:K,10,FALSE)</f>
        <v>10</v>
      </c>
    </row>
    <row r="707" spans="1:35">
      <c r="A707" t="s">
        <v>768</v>
      </c>
      <c r="B707" t="b">
        <v>1</v>
      </c>
      <c r="C707" t="b">
        <v>0</v>
      </c>
      <c r="D707" t="b">
        <v>0</v>
      </c>
      <c r="F707" t="b">
        <v>0</v>
      </c>
      <c r="H707" t="s">
        <v>37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>
        <v>1</v>
      </c>
      <c r="AB707">
        <v>0</v>
      </c>
      <c r="AC707">
        <f>VLOOKUP(A:A,[1]android_repos_all_metrics!B:K,4,FALSE)</f>
        <v>44</v>
      </c>
      <c r="AD707">
        <f>VLOOKUP(A:A,[1]android_repos_all_metrics!B:K,5,FALSE)</f>
        <v>0</v>
      </c>
      <c r="AE707">
        <f>VLOOKUP(A:A,[1]android_repos_all_metrics!B:K,6,FALSE)</f>
        <v>2</v>
      </c>
      <c r="AF707">
        <f>VLOOKUP(A:A,[1]android_repos_all_metrics!B:K,7,FALSE)</f>
        <v>434</v>
      </c>
      <c r="AG707">
        <f>VLOOKUP(A:A,[1]android_repos_all_metrics!B:K,8,FALSE)</f>
        <v>0</v>
      </c>
      <c r="AH707">
        <f>VLOOKUP(A:A,[1]android_repos_all_metrics!B:K,9,FALSE)</f>
        <v>6</v>
      </c>
      <c r="AI707">
        <f>VLOOKUP(A:A,[1]android_repos_all_metrics!B:K,10,FALSE)</f>
        <v>0</v>
      </c>
    </row>
    <row r="708" spans="1:35">
      <c r="A708" t="s">
        <v>769</v>
      </c>
      <c r="B708" t="b">
        <v>1</v>
      </c>
      <c r="C708" t="b">
        <v>0</v>
      </c>
      <c r="D708" t="b">
        <v>0</v>
      </c>
      <c r="F708" t="b">
        <v>0</v>
      </c>
      <c r="H708" t="s">
        <v>37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>
        <v>1</v>
      </c>
      <c r="AB708">
        <v>0</v>
      </c>
      <c r="AC708">
        <f>VLOOKUP(A:A,[1]android_repos_all_metrics!B:K,4,FALSE)</f>
        <v>196</v>
      </c>
      <c r="AD708">
        <f>VLOOKUP(A:A,[1]android_repos_all_metrics!B:K,5,FALSE)</f>
        <v>27</v>
      </c>
      <c r="AE708">
        <f>VLOOKUP(A:A,[1]android_repos_all_metrics!B:K,6,FALSE)</f>
        <v>4</v>
      </c>
      <c r="AF708">
        <f>VLOOKUP(A:A,[1]android_repos_all_metrics!B:K,7,FALSE)</f>
        <v>29752</v>
      </c>
      <c r="AG708">
        <f>VLOOKUP(A:A,[1]android_repos_all_metrics!B:K,8,FALSE)</f>
        <v>11</v>
      </c>
      <c r="AH708">
        <f>VLOOKUP(A:A,[1]android_repos_all_metrics!B:K,9,FALSE)</f>
        <v>60</v>
      </c>
      <c r="AI708">
        <f>VLOOKUP(A:A,[1]android_repos_all_metrics!B:K,10,FALSE)</f>
        <v>8</v>
      </c>
    </row>
    <row r="709" spans="1:35">
      <c r="A709" t="s">
        <v>770</v>
      </c>
      <c r="B709" t="b">
        <v>0</v>
      </c>
      <c r="C709" t="b">
        <v>0</v>
      </c>
      <c r="D709" t="b">
        <v>0</v>
      </c>
      <c r="F709" t="b">
        <v>0</v>
      </c>
      <c r="H709" t="s">
        <v>41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>
        <v>1</v>
      </c>
      <c r="AB709">
        <v>0</v>
      </c>
      <c r="AC709">
        <f>VLOOKUP(A:A,[1]android_repos_all_metrics!B:K,4,FALSE)</f>
        <v>40</v>
      </c>
      <c r="AD709">
        <f>VLOOKUP(A:A,[1]android_repos_all_metrics!B:K,5,FALSE)</f>
        <v>0</v>
      </c>
      <c r="AE709">
        <f>VLOOKUP(A:A,[1]android_repos_all_metrics!B:K,6,FALSE)</f>
        <v>1</v>
      </c>
      <c r="AF709">
        <f>VLOOKUP(A:A,[1]android_repos_all_metrics!B:K,7,FALSE)</f>
        <v>210</v>
      </c>
      <c r="AG709">
        <f>VLOOKUP(A:A,[1]android_repos_all_metrics!B:K,8,FALSE)</f>
        <v>50</v>
      </c>
      <c r="AH709">
        <f>VLOOKUP(A:A,[1]android_repos_all_metrics!B:K,9,FALSE)</f>
        <v>284</v>
      </c>
      <c r="AI709">
        <f>VLOOKUP(A:A,[1]android_repos_all_metrics!B:K,10,FALSE)</f>
        <v>2</v>
      </c>
    </row>
    <row r="710" spans="1:35">
      <c r="A710" t="s">
        <v>771</v>
      </c>
      <c r="B710" t="b">
        <v>1</v>
      </c>
      <c r="C710" t="b">
        <v>0</v>
      </c>
      <c r="D710" t="b">
        <v>0</v>
      </c>
      <c r="F710" t="b">
        <v>0</v>
      </c>
      <c r="H710" t="s">
        <v>37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>
        <v>2</v>
      </c>
      <c r="AB710">
        <v>0</v>
      </c>
      <c r="AC710">
        <f>VLOOKUP(A:A,[1]android_repos_all_metrics!B:K,4,FALSE)</f>
        <v>434</v>
      </c>
      <c r="AD710">
        <f>VLOOKUP(A:A,[1]android_repos_all_metrics!B:K,5,FALSE)</f>
        <v>243</v>
      </c>
      <c r="AE710">
        <f>VLOOKUP(A:A,[1]android_repos_all_metrics!B:K,6,FALSE)</f>
        <v>13</v>
      </c>
      <c r="AF710">
        <f>VLOOKUP(A:A,[1]android_repos_all_metrics!B:K,7,FALSE)</f>
        <v>36278</v>
      </c>
      <c r="AG710">
        <f>VLOOKUP(A:A,[1]android_repos_all_metrics!B:K,8,FALSE)</f>
        <v>108</v>
      </c>
      <c r="AH710">
        <f>VLOOKUP(A:A,[1]android_repos_all_metrics!B:K,9,FALSE)</f>
        <v>1102</v>
      </c>
      <c r="AI710">
        <f>VLOOKUP(A:A,[1]android_repos_all_metrics!B:K,10,FALSE)</f>
        <v>17</v>
      </c>
    </row>
    <row r="711" spans="1:35">
      <c r="A711" t="s">
        <v>772</v>
      </c>
      <c r="B711" t="b">
        <v>1</v>
      </c>
      <c r="C711" t="b">
        <v>0</v>
      </c>
      <c r="D711" t="b">
        <v>0</v>
      </c>
      <c r="F711" t="b">
        <v>0</v>
      </c>
      <c r="H711" t="s">
        <v>37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>
        <v>2</v>
      </c>
      <c r="AB711">
        <v>0</v>
      </c>
      <c r="AC711">
        <f>VLOOKUP(A:A,[1]android_repos_all_metrics!B:K,4,FALSE)</f>
        <v>217</v>
      </c>
      <c r="AD711">
        <f>VLOOKUP(A:A,[1]android_repos_all_metrics!B:K,5,FALSE)</f>
        <v>0</v>
      </c>
      <c r="AE711">
        <f>VLOOKUP(A:A,[1]android_repos_all_metrics!B:K,6,FALSE)</f>
        <v>10</v>
      </c>
      <c r="AF711">
        <f>VLOOKUP(A:A,[1]android_repos_all_metrics!B:K,7,FALSE)</f>
        <v>3261</v>
      </c>
      <c r="AG711">
        <f>VLOOKUP(A:A,[1]android_repos_all_metrics!B:K,8,FALSE)</f>
        <v>0</v>
      </c>
      <c r="AH711">
        <f>VLOOKUP(A:A,[1]android_repos_all_metrics!B:K,9,FALSE)</f>
        <v>6</v>
      </c>
      <c r="AI711">
        <f>VLOOKUP(A:A,[1]android_repos_all_metrics!B:K,10,FALSE)</f>
        <v>7</v>
      </c>
    </row>
    <row r="712" spans="1:35">
      <c r="A712" t="s">
        <v>773</v>
      </c>
      <c r="B712" t="b">
        <v>0</v>
      </c>
      <c r="C712" t="b">
        <v>0</v>
      </c>
      <c r="D712" t="b">
        <v>0</v>
      </c>
      <c r="F712" t="b">
        <v>0</v>
      </c>
      <c r="H712" t="s">
        <v>41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>
        <v>1</v>
      </c>
      <c r="AB712">
        <v>0</v>
      </c>
      <c r="AC712">
        <f>VLOOKUP(A:A,[1]android_repos_all_metrics!B:K,4,FALSE)</f>
        <v>19</v>
      </c>
      <c r="AD712">
        <f>VLOOKUP(A:A,[1]android_repos_all_metrics!B:K,5,FALSE)</f>
        <v>1</v>
      </c>
      <c r="AE712">
        <f>VLOOKUP(A:A,[1]android_repos_all_metrics!B:K,6,FALSE)</f>
        <v>1</v>
      </c>
      <c r="AF712">
        <f>VLOOKUP(A:A,[1]android_repos_all_metrics!B:K,7,FALSE)</f>
        <v>71258</v>
      </c>
      <c r="AG712">
        <f>VLOOKUP(A:A,[1]android_repos_all_metrics!B:K,8,FALSE)</f>
        <v>1</v>
      </c>
      <c r="AH712">
        <f>VLOOKUP(A:A,[1]android_repos_all_metrics!B:K,9,FALSE)</f>
        <v>4</v>
      </c>
      <c r="AI712">
        <f>VLOOKUP(A:A,[1]android_repos_all_metrics!B:K,10,FALSE)</f>
        <v>0</v>
      </c>
    </row>
    <row r="713" spans="1:35">
      <c r="A713" t="s">
        <v>774</v>
      </c>
      <c r="B713" t="b">
        <v>1</v>
      </c>
      <c r="C713" t="b">
        <v>0</v>
      </c>
      <c r="D713" t="b">
        <v>0</v>
      </c>
      <c r="F713" t="b">
        <v>0</v>
      </c>
      <c r="H713" t="s">
        <v>37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>
        <v>1</v>
      </c>
      <c r="AB713">
        <v>0</v>
      </c>
      <c r="AC713">
        <f>VLOOKUP(A:A,[1]android_repos_all_metrics!B:K,4,FALSE)</f>
        <v>74</v>
      </c>
      <c r="AD713">
        <f>VLOOKUP(A:A,[1]android_repos_all_metrics!B:K,5,FALSE)</f>
        <v>0</v>
      </c>
      <c r="AE713">
        <f>VLOOKUP(A:A,[1]android_repos_all_metrics!B:K,6,FALSE)</f>
        <v>1</v>
      </c>
      <c r="AF713">
        <f>VLOOKUP(A:A,[1]android_repos_all_metrics!B:K,7,FALSE)</f>
        <v>257956</v>
      </c>
      <c r="AG713">
        <f>VLOOKUP(A:A,[1]android_repos_all_metrics!B:K,8,FALSE)</f>
        <v>19</v>
      </c>
      <c r="AH713">
        <f>VLOOKUP(A:A,[1]android_repos_all_metrics!B:K,9,FALSE)</f>
        <v>69</v>
      </c>
      <c r="AI713">
        <f>VLOOKUP(A:A,[1]android_repos_all_metrics!B:K,10,FALSE)</f>
        <v>4</v>
      </c>
    </row>
    <row r="714" spans="1:35">
      <c r="A714" t="s">
        <v>775</v>
      </c>
      <c r="B714" t="b">
        <v>1</v>
      </c>
      <c r="C714" t="b">
        <v>0</v>
      </c>
      <c r="D714" t="b">
        <v>0</v>
      </c>
      <c r="F714" t="b">
        <v>0</v>
      </c>
      <c r="H714" t="s">
        <v>37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>
        <v>2</v>
      </c>
      <c r="AB714">
        <v>0</v>
      </c>
      <c r="AC714">
        <f>VLOOKUP(A:A,[1]android_repos_all_metrics!B:K,4,FALSE)</f>
        <v>658</v>
      </c>
      <c r="AD714">
        <f>VLOOKUP(A:A,[1]android_repos_all_metrics!B:K,5,FALSE)</f>
        <v>40</v>
      </c>
      <c r="AE714">
        <f>VLOOKUP(A:A,[1]android_repos_all_metrics!B:K,6,FALSE)</f>
        <v>28</v>
      </c>
      <c r="AF714">
        <f>VLOOKUP(A:A,[1]android_repos_all_metrics!B:K,7,FALSE)</f>
        <v>6011</v>
      </c>
      <c r="AG714">
        <f>VLOOKUP(A:A,[1]android_repos_all_metrics!B:K,8,FALSE)</f>
        <v>73</v>
      </c>
      <c r="AH714">
        <f>VLOOKUP(A:A,[1]android_repos_all_metrics!B:K,9,FALSE)</f>
        <v>357</v>
      </c>
      <c r="AI714">
        <f>VLOOKUP(A:A,[1]android_repos_all_metrics!B:K,10,FALSE)</f>
        <v>2</v>
      </c>
    </row>
    <row r="715" spans="1:35">
      <c r="A715" t="s">
        <v>776</v>
      </c>
      <c r="B715" t="b">
        <v>1</v>
      </c>
      <c r="C715" t="b">
        <v>0</v>
      </c>
      <c r="D715" t="b">
        <v>0</v>
      </c>
      <c r="F715" t="b">
        <v>0</v>
      </c>
      <c r="H715" t="s">
        <v>37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>
        <v>1</v>
      </c>
      <c r="AB715">
        <v>0</v>
      </c>
      <c r="AC715">
        <f>VLOOKUP(A:A,[1]android_repos_all_metrics!B:K,4,FALSE)</f>
        <v>79</v>
      </c>
      <c r="AD715">
        <f>VLOOKUP(A:A,[1]android_repos_all_metrics!B:K,5,FALSE)</f>
        <v>7</v>
      </c>
      <c r="AE715">
        <f>VLOOKUP(A:A,[1]android_repos_all_metrics!B:K,6,FALSE)</f>
        <v>1</v>
      </c>
      <c r="AF715">
        <f>VLOOKUP(A:A,[1]android_repos_all_metrics!B:K,7,FALSE)</f>
        <v>7034</v>
      </c>
      <c r="AG715">
        <f>VLOOKUP(A:A,[1]android_repos_all_metrics!B:K,8,FALSE)</f>
        <v>0</v>
      </c>
      <c r="AH715">
        <f>VLOOKUP(A:A,[1]android_repos_all_metrics!B:K,9,FALSE)</f>
        <v>1</v>
      </c>
      <c r="AI715">
        <f>VLOOKUP(A:A,[1]android_repos_all_metrics!B:K,10,FALSE)</f>
        <v>0</v>
      </c>
    </row>
    <row r="716" spans="1:35">
      <c r="A716" t="s">
        <v>777</v>
      </c>
      <c r="B716" t="b">
        <v>1</v>
      </c>
      <c r="C716" t="b">
        <v>0</v>
      </c>
      <c r="D716" t="b">
        <v>0</v>
      </c>
      <c r="F716" t="b">
        <v>0</v>
      </c>
      <c r="H716" t="s">
        <v>37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>
        <v>1</v>
      </c>
      <c r="AB716">
        <v>0</v>
      </c>
      <c r="AC716">
        <f>VLOOKUP(A:A,[1]android_repos_all_metrics!B:K,4,FALSE)</f>
        <v>283</v>
      </c>
      <c r="AD716">
        <f>VLOOKUP(A:A,[1]android_repos_all_metrics!B:K,5,FALSE)</f>
        <v>71</v>
      </c>
      <c r="AE716">
        <f>VLOOKUP(A:A,[1]android_repos_all_metrics!B:K,6,FALSE)</f>
        <v>4</v>
      </c>
      <c r="AF716">
        <f>VLOOKUP(A:A,[1]android_repos_all_metrics!B:K,7,FALSE)</f>
        <v>9705</v>
      </c>
      <c r="AG716">
        <f>VLOOKUP(A:A,[1]android_repos_all_metrics!B:K,8,FALSE)</f>
        <v>0</v>
      </c>
      <c r="AH716">
        <f>VLOOKUP(A:A,[1]android_repos_all_metrics!B:K,9,FALSE)</f>
        <v>1</v>
      </c>
      <c r="AI716">
        <f>VLOOKUP(A:A,[1]android_repos_all_metrics!B:K,10,FALSE)</f>
        <v>14</v>
      </c>
    </row>
    <row r="717" spans="1:35">
      <c r="A717" t="s">
        <v>778</v>
      </c>
      <c r="B717" t="b">
        <v>1</v>
      </c>
      <c r="C717" t="b">
        <v>1</v>
      </c>
      <c r="D717" t="b">
        <v>1</v>
      </c>
      <c r="E717" t="s">
        <v>779</v>
      </c>
      <c r="F717" t="b">
        <v>0</v>
      </c>
      <c r="H717" t="s">
        <v>37</v>
      </c>
      <c r="I717" t="s">
        <v>37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>
        <v>1</v>
      </c>
      <c r="AA717">
        <v>1</v>
      </c>
      <c r="AB717">
        <v>0</v>
      </c>
      <c r="AC717">
        <f>VLOOKUP(A:A,[1]android_repos_all_metrics!B:K,4,FALSE)</f>
        <v>194</v>
      </c>
      <c r="AD717">
        <f>VLOOKUP(A:A,[1]android_repos_all_metrics!B:K,5,FALSE)</f>
        <v>63</v>
      </c>
      <c r="AE717">
        <f>VLOOKUP(A:A,[1]android_repos_all_metrics!B:K,6,FALSE)</f>
        <v>5</v>
      </c>
      <c r="AF717">
        <f>VLOOKUP(A:A,[1]android_repos_all_metrics!B:K,7,FALSE)</f>
        <v>2888</v>
      </c>
      <c r="AG717">
        <f>VLOOKUP(A:A,[1]android_repos_all_metrics!B:K,8,FALSE)</f>
        <v>2</v>
      </c>
      <c r="AH717">
        <f>VLOOKUP(A:A,[1]android_repos_all_metrics!B:K,9,FALSE)</f>
        <v>8</v>
      </c>
      <c r="AI717">
        <f>VLOOKUP(A:A,[1]android_repos_all_metrics!B:K,10,FALSE)</f>
        <v>5</v>
      </c>
    </row>
    <row r="718" spans="1:35">
      <c r="A718" t="s">
        <v>780</v>
      </c>
      <c r="B718" t="b">
        <v>1</v>
      </c>
      <c r="C718" t="b">
        <v>0</v>
      </c>
      <c r="D718" t="b">
        <v>0</v>
      </c>
      <c r="F718" t="b">
        <v>0</v>
      </c>
      <c r="H718" t="s">
        <v>37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>
        <v>1</v>
      </c>
      <c r="AB718">
        <v>0</v>
      </c>
      <c r="AC718">
        <f>VLOOKUP(A:A,[1]android_repos_all_metrics!B:K,4,FALSE)</f>
        <v>179</v>
      </c>
      <c r="AD718">
        <f>VLOOKUP(A:A,[1]android_repos_all_metrics!B:K,5,FALSE)</f>
        <v>49</v>
      </c>
      <c r="AE718">
        <f>VLOOKUP(A:A,[1]android_repos_all_metrics!B:K,6,FALSE)</f>
        <v>7</v>
      </c>
      <c r="AF718">
        <f>VLOOKUP(A:A,[1]android_repos_all_metrics!B:K,7,FALSE)</f>
        <v>36698</v>
      </c>
      <c r="AG718">
        <f>VLOOKUP(A:A,[1]android_repos_all_metrics!B:K,8,FALSE)</f>
        <v>12</v>
      </c>
      <c r="AH718">
        <f>VLOOKUP(A:A,[1]android_repos_all_metrics!B:K,9,FALSE)</f>
        <v>16</v>
      </c>
      <c r="AI718">
        <f>VLOOKUP(A:A,[1]android_repos_all_metrics!B:K,10,FALSE)</f>
        <v>5</v>
      </c>
    </row>
    <row r="719" spans="1:35">
      <c r="A719" t="s">
        <v>781</v>
      </c>
      <c r="B719" t="b">
        <v>1</v>
      </c>
      <c r="C719" t="b">
        <v>0</v>
      </c>
      <c r="D719" t="b">
        <v>0</v>
      </c>
      <c r="F719" t="b">
        <v>0</v>
      </c>
      <c r="H719" t="s">
        <v>37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>
        <v>3</v>
      </c>
      <c r="AB719">
        <v>0</v>
      </c>
      <c r="AC719">
        <f>VLOOKUP(A:A,[1]android_repos_all_metrics!B:K,4,FALSE)</f>
        <v>220</v>
      </c>
      <c r="AD719">
        <f>VLOOKUP(A:A,[1]android_repos_all_metrics!B:K,5,FALSE)</f>
        <v>4</v>
      </c>
      <c r="AE719">
        <f>VLOOKUP(A:A,[1]android_repos_all_metrics!B:K,6,FALSE)</f>
        <v>1</v>
      </c>
      <c r="AF719">
        <f>VLOOKUP(A:A,[1]android_repos_all_metrics!B:K,7,FALSE)</f>
        <v>2139</v>
      </c>
      <c r="AG719">
        <f>VLOOKUP(A:A,[1]android_repos_all_metrics!B:K,8,FALSE)</f>
        <v>11</v>
      </c>
      <c r="AH719">
        <f>VLOOKUP(A:A,[1]android_repos_all_metrics!B:K,9,FALSE)</f>
        <v>94</v>
      </c>
      <c r="AI719">
        <f>VLOOKUP(A:A,[1]android_repos_all_metrics!B:K,10,FALSE)</f>
        <v>10</v>
      </c>
    </row>
    <row r="720" spans="1:35">
      <c r="A720" t="s">
        <v>782</v>
      </c>
      <c r="B720" t="b">
        <v>1</v>
      </c>
      <c r="C720" t="b">
        <v>0</v>
      </c>
      <c r="D720" t="b">
        <v>0</v>
      </c>
      <c r="F720" t="b">
        <v>0</v>
      </c>
      <c r="H720" t="s">
        <v>37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>
        <v>1</v>
      </c>
      <c r="AB720">
        <v>0</v>
      </c>
      <c r="AC720">
        <f>VLOOKUP(A:A,[1]android_repos_all_metrics!B:K,4,FALSE)</f>
        <v>2800</v>
      </c>
      <c r="AD720">
        <f>VLOOKUP(A:A,[1]android_repos_all_metrics!B:K,5,FALSE)</f>
        <v>0</v>
      </c>
      <c r="AE720">
        <f>VLOOKUP(A:A,[1]android_repos_all_metrics!B:K,6,FALSE)</f>
        <v>26</v>
      </c>
      <c r="AF720">
        <f>VLOOKUP(A:A,[1]android_repos_all_metrics!B:K,7,FALSE)</f>
        <v>112869</v>
      </c>
      <c r="AG720">
        <f>VLOOKUP(A:A,[1]android_repos_all_metrics!B:K,8,FALSE)</f>
        <v>9</v>
      </c>
      <c r="AH720">
        <f>VLOOKUP(A:A,[1]android_repos_all_metrics!B:K,9,FALSE)</f>
        <v>57</v>
      </c>
      <c r="AI720">
        <f>VLOOKUP(A:A,[1]android_repos_all_metrics!B:K,10,FALSE)</f>
        <v>0</v>
      </c>
    </row>
    <row r="721" spans="1:35">
      <c r="A721" t="s">
        <v>783</v>
      </c>
      <c r="B721" t="b">
        <v>1</v>
      </c>
      <c r="C721" t="b">
        <v>0</v>
      </c>
      <c r="D721" t="b">
        <v>0</v>
      </c>
      <c r="F721" t="b">
        <v>0</v>
      </c>
      <c r="H721" t="s">
        <v>37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>
        <v>1</v>
      </c>
      <c r="AB721">
        <v>0</v>
      </c>
      <c r="AC721">
        <f>VLOOKUP(A:A,[1]android_repos_all_metrics!B:K,4,FALSE)</f>
        <v>376</v>
      </c>
      <c r="AD721">
        <f>VLOOKUP(A:A,[1]android_repos_all_metrics!B:K,5,FALSE)</f>
        <v>10</v>
      </c>
      <c r="AE721">
        <f>VLOOKUP(A:A,[1]android_repos_all_metrics!B:K,6,FALSE)</f>
        <v>12</v>
      </c>
      <c r="AF721">
        <f>VLOOKUP(A:A,[1]android_repos_all_metrics!B:K,7,FALSE)</f>
        <v>4368</v>
      </c>
      <c r="AG721">
        <f>VLOOKUP(A:A,[1]android_repos_all_metrics!B:K,8,FALSE)</f>
        <v>232</v>
      </c>
      <c r="AH721">
        <f>VLOOKUP(A:A,[1]android_repos_all_metrics!B:K,9,FALSE)</f>
        <v>5755</v>
      </c>
      <c r="AI721">
        <f>VLOOKUP(A:A,[1]android_repos_all_metrics!B:K,10,FALSE)</f>
        <v>174</v>
      </c>
    </row>
    <row r="722" spans="1:35">
      <c r="A722" t="s">
        <v>784</v>
      </c>
      <c r="B722" t="b">
        <v>1</v>
      </c>
      <c r="C722" t="b">
        <v>0</v>
      </c>
      <c r="D722" t="b">
        <v>0</v>
      </c>
      <c r="F722" t="b">
        <v>0</v>
      </c>
      <c r="H722" t="s">
        <v>86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>
        <v>2</v>
      </c>
      <c r="AB722">
        <v>0</v>
      </c>
      <c r="AC722">
        <f>VLOOKUP(A:A,[1]android_repos_all_metrics!B:K,4,FALSE)</f>
        <v>2015</v>
      </c>
      <c r="AD722">
        <f>VLOOKUP(A:A,[1]android_repos_all_metrics!B:K,5,FALSE)</f>
        <v>26</v>
      </c>
      <c r="AE722">
        <f>VLOOKUP(A:A,[1]android_repos_all_metrics!B:K,6,FALSE)</f>
        <v>33</v>
      </c>
      <c r="AF722">
        <f>VLOOKUP(A:A,[1]android_repos_all_metrics!B:K,7,FALSE)</f>
        <v>33141</v>
      </c>
      <c r="AG722">
        <f>VLOOKUP(A:A,[1]android_repos_all_metrics!B:K,8,FALSE)</f>
        <v>50</v>
      </c>
      <c r="AH722">
        <f>VLOOKUP(A:A,[1]android_repos_all_metrics!B:K,9,FALSE)</f>
        <v>642</v>
      </c>
      <c r="AI722">
        <f>VLOOKUP(A:A,[1]android_repos_all_metrics!B:K,10,FALSE)</f>
        <v>11</v>
      </c>
    </row>
    <row r="723" spans="1:35">
      <c r="A723" t="s">
        <v>785</v>
      </c>
      <c r="B723" t="b">
        <v>1</v>
      </c>
      <c r="C723" t="b">
        <v>0</v>
      </c>
      <c r="D723" t="b">
        <v>0</v>
      </c>
      <c r="F723" t="b">
        <v>0</v>
      </c>
      <c r="H723" t="s">
        <v>37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>
        <v>1</v>
      </c>
      <c r="AB723">
        <v>0</v>
      </c>
      <c r="AC723">
        <f>VLOOKUP(A:A,[1]android_repos_all_metrics!B:K,4,FALSE)</f>
        <v>121</v>
      </c>
      <c r="AD723">
        <f>VLOOKUP(A:A,[1]android_repos_all_metrics!B:K,5,FALSE)</f>
        <v>15</v>
      </c>
      <c r="AE723">
        <f>VLOOKUP(A:A,[1]android_repos_all_metrics!B:K,6,FALSE)</f>
        <v>5</v>
      </c>
      <c r="AF723">
        <f>VLOOKUP(A:A,[1]android_repos_all_metrics!B:K,7,FALSE)</f>
        <v>738</v>
      </c>
      <c r="AG723">
        <f>VLOOKUP(A:A,[1]android_repos_all_metrics!B:K,8,FALSE)</f>
        <v>15</v>
      </c>
      <c r="AH723">
        <f>VLOOKUP(A:A,[1]android_repos_all_metrics!B:K,9,FALSE)</f>
        <v>31</v>
      </c>
      <c r="AI723">
        <f>VLOOKUP(A:A,[1]android_repos_all_metrics!B:K,10,FALSE)</f>
        <v>6</v>
      </c>
    </row>
    <row r="724" spans="1:35">
      <c r="A724" t="s">
        <v>786</v>
      </c>
      <c r="B724" t="b">
        <v>1</v>
      </c>
      <c r="C724" t="b">
        <v>0</v>
      </c>
      <c r="D724" t="b">
        <v>0</v>
      </c>
      <c r="F724" t="b">
        <v>0</v>
      </c>
      <c r="H724" t="s">
        <v>37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>
        <v>1</v>
      </c>
      <c r="AB724">
        <v>0</v>
      </c>
      <c r="AC724">
        <f>VLOOKUP(A:A,[1]android_repos_all_metrics!B:K,4,FALSE)</f>
        <v>172</v>
      </c>
      <c r="AD724">
        <f>VLOOKUP(A:A,[1]android_repos_all_metrics!B:K,5,FALSE)</f>
        <v>52</v>
      </c>
      <c r="AE724">
        <f>VLOOKUP(A:A,[1]android_repos_all_metrics!B:K,6,FALSE)</f>
        <v>3</v>
      </c>
      <c r="AF724">
        <f>VLOOKUP(A:A,[1]android_repos_all_metrics!B:K,7,FALSE)</f>
        <v>1660</v>
      </c>
      <c r="AG724">
        <f>VLOOKUP(A:A,[1]android_repos_all_metrics!B:K,8,FALSE)</f>
        <v>0</v>
      </c>
      <c r="AH724">
        <f>VLOOKUP(A:A,[1]android_repos_all_metrics!B:K,9,FALSE)</f>
        <v>1</v>
      </c>
      <c r="AI724">
        <f>VLOOKUP(A:A,[1]android_repos_all_metrics!B:K,10,FALSE)</f>
        <v>1</v>
      </c>
    </row>
    <row r="725" spans="1:35">
      <c r="A725" t="s">
        <v>787</v>
      </c>
      <c r="B725" t="b">
        <v>1</v>
      </c>
      <c r="C725" t="b">
        <v>0</v>
      </c>
      <c r="D725" t="b">
        <v>0</v>
      </c>
      <c r="F725" t="b">
        <v>0</v>
      </c>
      <c r="H725" t="s">
        <v>244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>
        <v>4</v>
      </c>
      <c r="AB725">
        <v>0</v>
      </c>
      <c r="AC725">
        <f>VLOOKUP(A:A,[1]android_repos_all_metrics!B:K,4,FALSE)</f>
        <v>4106</v>
      </c>
      <c r="AD725">
        <f>VLOOKUP(A:A,[1]android_repos_all_metrics!B:K,5,FALSE)</f>
        <v>1487</v>
      </c>
      <c r="AE725">
        <f>VLOOKUP(A:A,[1]android_repos_all_metrics!B:K,6,FALSE)</f>
        <v>39</v>
      </c>
      <c r="AF725">
        <f>VLOOKUP(A:A,[1]android_repos_all_metrics!B:K,7,FALSE)</f>
        <v>22344</v>
      </c>
      <c r="AG725">
        <f>VLOOKUP(A:A,[1]android_repos_all_metrics!B:K,8,FALSE)</f>
        <v>114</v>
      </c>
      <c r="AH725">
        <f>VLOOKUP(A:A,[1]android_repos_all_metrics!B:K,9,FALSE)</f>
        <v>705</v>
      </c>
      <c r="AI725">
        <f>VLOOKUP(A:A,[1]android_repos_all_metrics!B:K,10,FALSE)</f>
        <v>92</v>
      </c>
    </row>
    <row r="726" spans="1:35">
      <c r="A726" t="s">
        <v>788</v>
      </c>
      <c r="B726" t="b">
        <v>1</v>
      </c>
      <c r="C726" t="b">
        <v>0</v>
      </c>
      <c r="D726" t="b">
        <v>0</v>
      </c>
      <c r="F726" t="b">
        <v>0</v>
      </c>
      <c r="H726" t="s">
        <v>407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>
        <v>1</v>
      </c>
      <c r="AB726">
        <v>0</v>
      </c>
      <c r="AC726" t="e">
        <f>VLOOKUP(A:A,[1]android_repos_all_metrics!B:K,4,FALSE)</f>
        <v>#N/A</v>
      </c>
      <c r="AD726" t="e">
        <f>VLOOKUP(A:A,[1]android_repos_all_metrics!B:K,5,FALSE)</f>
        <v>#N/A</v>
      </c>
      <c r="AE726" t="e">
        <f>VLOOKUP(A:A,[1]android_repos_all_metrics!B:K,6,FALSE)</f>
        <v>#N/A</v>
      </c>
      <c r="AF726" t="e">
        <f>VLOOKUP(A:A,[1]android_repos_all_metrics!B:K,7,FALSE)</f>
        <v>#N/A</v>
      </c>
      <c r="AG726" t="e">
        <f>VLOOKUP(A:A,[1]android_repos_all_metrics!B:K,8,FALSE)</f>
        <v>#N/A</v>
      </c>
      <c r="AH726" t="e">
        <f>VLOOKUP(A:A,[1]android_repos_all_metrics!B:K,9,FALSE)</f>
        <v>#N/A</v>
      </c>
      <c r="AI726" t="e">
        <f>VLOOKUP(A:A,[1]android_repos_all_metrics!B:K,10,FALSE)</f>
        <v>#N/A</v>
      </c>
    </row>
    <row r="727" spans="1:35">
      <c r="A727" t="s">
        <v>789</v>
      </c>
      <c r="B727" t="b">
        <v>1</v>
      </c>
      <c r="C727" t="b">
        <v>1</v>
      </c>
      <c r="D727" t="b">
        <v>1</v>
      </c>
      <c r="E727" t="s">
        <v>36</v>
      </c>
      <c r="F727" t="b">
        <v>0</v>
      </c>
      <c r="H727" t="s">
        <v>37</v>
      </c>
      <c r="I727" t="s">
        <v>37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>
        <v>1</v>
      </c>
      <c r="AA727">
        <v>19</v>
      </c>
      <c r="AB727">
        <v>0</v>
      </c>
      <c r="AC727">
        <f>VLOOKUP(A:A,[1]android_repos_all_metrics!B:K,4,FALSE)</f>
        <v>23109</v>
      </c>
      <c r="AD727">
        <f>VLOOKUP(A:A,[1]android_repos_all_metrics!B:K,5,FALSE)</f>
        <v>3679</v>
      </c>
      <c r="AE727">
        <f>VLOOKUP(A:A,[1]android_repos_all_metrics!B:K,6,FALSE)</f>
        <v>308</v>
      </c>
      <c r="AF727">
        <f>VLOOKUP(A:A,[1]android_repos_all_metrics!B:K,7,FALSE)</f>
        <v>209124</v>
      </c>
      <c r="AG727">
        <f>VLOOKUP(A:A,[1]android_repos_all_metrics!B:K,8,FALSE)</f>
        <v>602</v>
      </c>
      <c r="AH727">
        <f>VLOOKUP(A:A,[1]android_repos_all_metrics!B:K,9,FALSE)</f>
        <v>2910</v>
      </c>
      <c r="AI727">
        <f>VLOOKUP(A:A,[1]android_repos_all_metrics!B:K,10,FALSE)</f>
        <v>2021</v>
      </c>
    </row>
    <row r="728" spans="1:35">
      <c r="A728" t="s">
        <v>790</v>
      </c>
      <c r="B728" t="b">
        <v>1</v>
      </c>
      <c r="C728" t="b">
        <v>0</v>
      </c>
      <c r="D728" t="b">
        <v>0</v>
      </c>
      <c r="F728" t="b">
        <v>0</v>
      </c>
      <c r="H728" t="s">
        <v>37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>
        <v>3</v>
      </c>
      <c r="AB728">
        <v>0</v>
      </c>
      <c r="AC728">
        <f>VLOOKUP(A:A,[1]android_repos_all_metrics!B:K,4,FALSE)</f>
        <v>123</v>
      </c>
      <c r="AD728">
        <f>VLOOKUP(A:A,[1]android_repos_all_metrics!B:K,5,FALSE)</f>
        <v>2</v>
      </c>
      <c r="AE728">
        <f>VLOOKUP(A:A,[1]android_repos_all_metrics!B:K,6,FALSE)</f>
        <v>3</v>
      </c>
      <c r="AF728">
        <f>VLOOKUP(A:A,[1]android_repos_all_metrics!B:K,7,FALSE)</f>
        <v>1708</v>
      </c>
      <c r="AG728">
        <f>VLOOKUP(A:A,[1]android_repos_all_metrics!B:K,8,FALSE)</f>
        <v>5</v>
      </c>
      <c r="AH728">
        <f>VLOOKUP(A:A,[1]android_repos_all_metrics!B:K,9,FALSE)</f>
        <v>89</v>
      </c>
      <c r="AI728">
        <f>VLOOKUP(A:A,[1]android_repos_all_metrics!B:K,10,FALSE)</f>
        <v>9</v>
      </c>
    </row>
    <row r="729" spans="1:35">
      <c r="A729" t="s">
        <v>791</v>
      </c>
      <c r="B729" t="b">
        <v>1</v>
      </c>
      <c r="C729" t="b">
        <v>0</v>
      </c>
      <c r="D729" t="b">
        <v>0</v>
      </c>
      <c r="F729" t="b">
        <v>0</v>
      </c>
      <c r="H729" t="s">
        <v>37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>
        <v>1</v>
      </c>
      <c r="AB729">
        <v>0</v>
      </c>
      <c r="AC729">
        <f>VLOOKUP(A:A,[1]android_repos_all_metrics!B:K,4,FALSE)</f>
        <v>597</v>
      </c>
      <c r="AD729">
        <f>VLOOKUP(A:A,[1]android_repos_all_metrics!B:K,5,FALSE)</f>
        <v>4</v>
      </c>
      <c r="AE729">
        <f>VLOOKUP(A:A,[1]android_repos_all_metrics!B:K,6,FALSE)</f>
        <v>3</v>
      </c>
      <c r="AF729">
        <f>VLOOKUP(A:A,[1]android_repos_all_metrics!B:K,7,FALSE)</f>
        <v>8249</v>
      </c>
      <c r="AG729">
        <f>VLOOKUP(A:A,[1]android_repos_all_metrics!B:K,8,FALSE)</f>
        <v>1</v>
      </c>
      <c r="AH729">
        <f>VLOOKUP(A:A,[1]android_repos_all_metrics!B:K,9,FALSE)</f>
        <v>5</v>
      </c>
      <c r="AI729">
        <f>VLOOKUP(A:A,[1]android_repos_all_metrics!B:K,10,FALSE)</f>
        <v>1</v>
      </c>
    </row>
    <row r="730" spans="1:35">
      <c r="A730" t="s">
        <v>792</v>
      </c>
      <c r="B730" t="b">
        <v>1</v>
      </c>
      <c r="C730" t="b">
        <v>0</v>
      </c>
      <c r="D730" t="b">
        <v>0</v>
      </c>
      <c r="F730" t="b">
        <v>0</v>
      </c>
      <c r="H730" t="s">
        <v>37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>
        <v>2</v>
      </c>
      <c r="AB730">
        <v>0</v>
      </c>
      <c r="AC730">
        <f>VLOOKUP(A:A,[1]android_repos_all_metrics!B:K,4,FALSE)</f>
        <v>144</v>
      </c>
      <c r="AD730">
        <f>VLOOKUP(A:A,[1]android_repos_all_metrics!B:K,5,FALSE)</f>
        <v>14</v>
      </c>
      <c r="AE730">
        <f>VLOOKUP(A:A,[1]android_repos_all_metrics!B:K,6,FALSE)</f>
        <v>8</v>
      </c>
      <c r="AF730">
        <f>VLOOKUP(A:A,[1]android_repos_all_metrics!B:K,7,FALSE)</f>
        <v>356</v>
      </c>
      <c r="AG730">
        <f>VLOOKUP(A:A,[1]android_repos_all_metrics!B:K,8,FALSE)</f>
        <v>4</v>
      </c>
      <c r="AH730">
        <f>VLOOKUP(A:A,[1]android_repos_all_metrics!B:K,9,FALSE)</f>
        <v>14</v>
      </c>
      <c r="AI730">
        <f>VLOOKUP(A:A,[1]android_repos_all_metrics!B:K,10,FALSE)</f>
        <v>5</v>
      </c>
    </row>
    <row r="731" spans="1:35">
      <c r="A731" t="s">
        <v>793</v>
      </c>
      <c r="B731" t="b">
        <v>0</v>
      </c>
      <c r="C731" t="b">
        <v>0</v>
      </c>
      <c r="D731" t="b">
        <v>0</v>
      </c>
      <c r="F731" t="b">
        <v>0</v>
      </c>
      <c r="H731" t="s">
        <v>41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>
        <v>1</v>
      </c>
      <c r="AB731">
        <v>0</v>
      </c>
      <c r="AC731">
        <f>VLOOKUP(A:A,[1]android_repos_all_metrics!B:K,4,FALSE)</f>
        <v>125</v>
      </c>
      <c r="AD731">
        <f>VLOOKUP(A:A,[1]android_repos_all_metrics!B:K,5,FALSE)</f>
        <v>28</v>
      </c>
      <c r="AE731">
        <f>VLOOKUP(A:A,[1]android_repos_all_metrics!B:K,6,FALSE)</f>
        <v>2</v>
      </c>
      <c r="AF731">
        <f>VLOOKUP(A:A,[1]android_repos_all_metrics!B:K,7,FALSE)</f>
        <v>407</v>
      </c>
      <c r="AG731">
        <f>VLOOKUP(A:A,[1]android_repos_all_metrics!B:K,8,FALSE)</f>
        <v>50</v>
      </c>
      <c r="AH731">
        <f>VLOOKUP(A:A,[1]android_repos_all_metrics!B:K,9,FALSE)</f>
        <v>378</v>
      </c>
      <c r="AI731">
        <f>VLOOKUP(A:A,[1]android_repos_all_metrics!B:K,10,FALSE)</f>
        <v>5</v>
      </c>
    </row>
    <row r="732" spans="1:35">
      <c r="A732" t="s">
        <v>794</v>
      </c>
      <c r="B732" t="b">
        <v>0</v>
      </c>
      <c r="C732" t="b">
        <v>0</v>
      </c>
      <c r="D732" t="b">
        <v>0</v>
      </c>
      <c r="F732" t="b">
        <v>0</v>
      </c>
      <c r="H732" t="s">
        <v>41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>
        <v>1</v>
      </c>
      <c r="AB732">
        <v>0</v>
      </c>
      <c r="AC732">
        <f>VLOOKUP(A:A,[1]android_repos_all_metrics!B:K,4,FALSE)</f>
        <v>10</v>
      </c>
      <c r="AD732">
        <f>VLOOKUP(A:A,[1]android_repos_all_metrics!B:K,5,FALSE)</f>
        <v>0</v>
      </c>
      <c r="AE732">
        <f>VLOOKUP(A:A,[1]android_repos_all_metrics!B:K,6,FALSE)</f>
        <v>1</v>
      </c>
      <c r="AF732">
        <f>VLOOKUP(A:A,[1]android_repos_all_metrics!B:K,7,FALSE)</f>
        <v>104</v>
      </c>
      <c r="AG732">
        <f>VLOOKUP(A:A,[1]android_repos_all_metrics!B:K,8,FALSE)</f>
        <v>4</v>
      </c>
      <c r="AH732">
        <f>VLOOKUP(A:A,[1]android_repos_all_metrics!B:K,9,FALSE)</f>
        <v>19</v>
      </c>
      <c r="AI732">
        <f>VLOOKUP(A:A,[1]android_repos_all_metrics!B:K,10,FALSE)</f>
        <v>0</v>
      </c>
    </row>
    <row r="733" spans="1:35">
      <c r="A733" t="s">
        <v>795</v>
      </c>
      <c r="B733" t="b">
        <v>1</v>
      </c>
      <c r="C733" t="b">
        <v>0</v>
      </c>
      <c r="D733" t="b">
        <v>0</v>
      </c>
      <c r="F733" t="b">
        <v>0</v>
      </c>
      <c r="H733" t="s">
        <v>37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>
        <v>1</v>
      </c>
      <c r="AB733">
        <v>0</v>
      </c>
      <c r="AC733">
        <f>VLOOKUP(A:A,[1]android_repos_all_metrics!B:K,4,FALSE)</f>
        <v>223</v>
      </c>
      <c r="AD733">
        <f>VLOOKUP(A:A,[1]android_repos_all_metrics!B:K,5,FALSE)</f>
        <v>34</v>
      </c>
      <c r="AE733">
        <f>VLOOKUP(A:A,[1]android_repos_all_metrics!B:K,6,FALSE)</f>
        <v>8</v>
      </c>
      <c r="AF733">
        <f>VLOOKUP(A:A,[1]android_repos_all_metrics!B:K,7,FALSE)</f>
        <v>837</v>
      </c>
      <c r="AG733">
        <f>VLOOKUP(A:A,[1]android_repos_all_metrics!B:K,8,FALSE)</f>
        <v>11</v>
      </c>
      <c r="AH733">
        <f>VLOOKUP(A:A,[1]android_repos_all_metrics!B:K,9,FALSE)</f>
        <v>56</v>
      </c>
      <c r="AI733">
        <f>VLOOKUP(A:A,[1]android_repos_all_metrics!B:K,10,FALSE)</f>
        <v>7</v>
      </c>
    </row>
    <row r="734" spans="1:35">
      <c r="A734" t="s">
        <v>796</v>
      </c>
      <c r="B734" t="b">
        <v>1</v>
      </c>
      <c r="C734" t="b">
        <v>0</v>
      </c>
      <c r="D734" t="b">
        <v>0</v>
      </c>
      <c r="F734" t="b">
        <v>0</v>
      </c>
      <c r="H734" t="s">
        <v>41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>
        <v>1</v>
      </c>
      <c r="AB734">
        <v>0</v>
      </c>
      <c r="AC734">
        <f>VLOOKUP(A:A,[1]android_repos_all_metrics!B:K,4,FALSE)</f>
        <v>5</v>
      </c>
      <c r="AD734">
        <f>VLOOKUP(A:A,[1]android_repos_all_metrics!B:K,5,FALSE)</f>
        <v>0</v>
      </c>
      <c r="AE734">
        <f>VLOOKUP(A:A,[1]android_repos_all_metrics!B:K,6,FALSE)</f>
        <v>1</v>
      </c>
      <c r="AF734">
        <f>VLOOKUP(A:A,[1]android_repos_all_metrics!B:K,7,FALSE)</f>
        <v>69</v>
      </c>
      <c r="AG734">
        <f>VLOOKUP(A:A,[1]android_repos_all_metrics!B:K,8,FALSE)</f>
        <v>0</v>
      </c>
      <c r="AH734">
        <f>VLOOKUP(A:A,[1]android_repos_all_metrics!B:K,9,FALSE)</f>
        <v>6</v>
      </c>
      <c r="AI734">
        <f>VLOOKUP(A:A,[1]android_repos_all_metrics!B:K,10,FALSE)</f>
        <v>0</v>
      </c>
    </row>
    <row r="735" spans="1:35">
      <c r="A735" t="s">
        <v>797</v>
      </c>
      <c r="B735" t="b">
        <v>1</v>
      </c>
      <c r="C735" t="b">
        <v>0</v>
      </c>
      <c r="D735" t="b">
        <v>0</v>
      </c>
      <c r="F735" t="b">
        <v>0</v>
      </c>
      <c r="H735" t="s">
        <v>37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>
        <v>1</v>
      </c>
      <c r="AB735">
        <v>0</v>
      </c>
      <c r="AC735">
        <f>VLOOKUP(A:A,[1]android_repos_all_metrics!B:K,4,FALSE)</f>
        <v>55</v>
      </c>
      <c r="AD735">
        <f>VLOOKUP(A:A,[1]android_repos_all_metrics!B:K,5,FALSE)</f>
        <v>0</v>
      </c>
      <c r="AE735">
        <f>VLOOKUP(A:A,[1]android_repos_all_metrics!B:K,6,FALSE)</f>
        <v>1</v>
      </c>
      <c r="AF735">
        <f>VLOOKUP(A:A,[1]android_repos_all_metrics!B:K,7,FALSE)</f>
        <v>244</v>
      </c>
      <c r="AG735">
        <f>VLOOKUP(A:A,[1]android_repos_all_metrics!B:K,8,FALSE)</f>
        <v>0</v>
      </c>
      <c r="AH735">
        <f>VLOOKUP(A:A,[1]android_repos_all_metrics!B:K,9,FALSE)</f>
        <v>1</v>
      </c>
      <c r="AI735">
        <f>VLOOKUP(A:A,[1]android_repos_all_metrics!B:K,10,FALSE)</f>
        <v>0</v>
      </c>
    </row>
    <row r="736" spans="1:35">
      <c r="A736" t="s">
        <v>798</v>
      </c>
      <c r="B736" t="b">
        <v>1</v>
      </c>
      <c r="C736" t="b">
        <v>1</v>
      </c>
      <c r="D736" t="b">
        <v>0</v>
      </c>
      <c r="F736" t="b">
        <v>1</v>
      </c>
      <c r="G736" t="s">
        <v>39</v>
      </c>
      <c r="H736" t="s">
        <v>41</v>
      </c>
      <c r="I736" t="s">
        <v>41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>
        <v>1</v>
      </c>
      <c r="AB736">
        <v>0</v>
      </c>
      <c r="AC736">
        <f>VLOOKUP(A:A,[1]android_repos_all_metrics!B:K,4,FALSE)</f>
        <v>18</v>
      </c>
      <c r="AD736">
        <f>VLOOKUP(A:A,[1]android_repos_all_metrics!B:K,5,FALSE)</f>
        <v>5</v>
      </c>
      <c r="AE736">
        <f>VLOOKUP(A:A,[1]android_repos_all_metrics!B:K,6,FALSE)</f>
        <v>1</v>
      </c>
      <c r="AF736">
        <f>VLOOKUP(A:A,[1]android_repos_all_metrics!B:K,7,FALSE)</f>
        <v>191</v>
      </c>
      <c r="AG736">
        <f>VLOOKUP(A:A,[1]android_repos_all_metrics!B:K,8,FALSE)</f>
        <v>0</v>
      </c>
      <c r="AH736">
        <f>VLOOKUP(A:A,[1]android_repos_all_metrics!B:K,9,FALSE)</f>
        <v>4</v>
      </c>
      <c r="AI736">
        <f>VLOOKUP(A:A,[1]android_repos_all_metrics!B:K,10,FALSE)</f>
        <v>0</v>
      </c>
    </row>
    <row r="737" spans="1:35">
      <c r="A737" t="s">
        <v>799</v>
      </c>
      <c r="B737" t="b">
        <v>1</v>
      </c>
      <c r="C737" t="b">
        <v>0</v>
      </c>
      <c r="D737" t="b">
        <v>0</v>
      </c>
      <c r="F737" t="b">
        <v>0</v>
      </c>
      <c r="H737" t="s">
        <v>407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>
        <v>1</v>
      </c>
      <c r="AB737">
        <v>0</v>
      </c>
      <c r="AC737" t="e">
        <f>VLOOKUP(A:A,[1]android_repos_all_metrics!B:K,4,FALSE)</f>
        <v>#N/A</v>
      </c>
      <c r="AD737" t="e">
        <f>VLOOKUP(A:A,[1]android_repos_all_metrics!B:K,5,FALSE)</f>
        <v>#N/A</v>
      </c>
      <c r="AE737" t="e">
        <f>VLOOKUP(A:A,[1]android_repos_all_metrics!B:K,6,FALSE)</f>
        <v>#N/A</v>
      </c>
      <c r="AF737" t="e">
        <f>VLOOKUP(A:A,[1]android_repos_all_metrics!B:K,7,FALSE)</f>
        <v>#N/A</v>
      </c>
      <c r="AG737" t="e">
        <f>VLOOKUP(A:A,[1]android_repos_all_metrics!B:K,8,FALSE)</f>
        <v>#N/A</v>
      </c>
      <c r="AH737" t="e">
        <f>VLOOKUP(A:A,[1]android_repos_all_metrics!B:K,9,FALSE)</f>
        <v>#N/A</v>
      </c>
      <c r="AI737" t="e">
        <f>VLOOKUP(A:A,[1]android_repos_all_metrics!B:K,10,FALSE)</f>
        <v>#N/A</v>
      </c>
    </row>
    <row r="738" spans="1:35">
      <c r="A738" t="s">
        <v>800</v>
      </c>
      <c r="B738" t="b">
        <v>1</v>
      </c>
      <c r="C738" t="b">
        <v>0</v>
      </c>
      <c r="D738" t="b">
        <v>0</v>
      </c>
      <c r="F738" t="b">
        <v>0</v>
      </c>
      <c r="H738" t="s">
        <v>37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>
        <v>1</v>
      </c>
      <c r="AB738">
        <v>0</v>
      </c>
      <c r="AC738">
        <f>VLOOKUP(A:A,[1]android_repos_all_metrics!B:K,4,FALSE)</f>
        <v>179</v>
      </c>
      <c r="AD738">
        <f>VLOOKUP(A:A,[1]android_repos_all_metrics!B:K,5,FALSE)</f>
        <v>5</v>
      </c>
      <c r="AE738">
        <f>VLOOKUP(A:A,[1]android_repos_all_metrics!B:K,6,FALSE)</f>
        <v>4</v>
      </c>
      <c r="AF738">
        <f>VLOOKUP(A:A,[1]android_repos_all_metrics!B:K,7,FALSE)</f>
        <v>5101</v>
      </c>
      <c r="AG738">
        <f>VLOOKUP(A:A,[1]android_repos_all_metrics!B:K,8,FALSE)</f>
        <v>17</v>
      </c>
      <c r="AH738">
        <f>VLOOKUP(A:A,[1]android_repos_all_metrics!B:K,9,FALSE)</f>
        <v>122</v>
      </c>
      <c r="AI738">
        <f>VLOOKUP(A:A,[1]android_repos_all_metrics!B:K,10,FALSE)</f>
        <v>0</v>
      </c>
    </row>
    <row r="739" spans="1:35">
      <c r="A739" t="s">
        <v>801</v>
      </c>
      <c r="B739" t="b">
        <v>1</v>
      </c>
      <c r="C739" t="b">
        <v>0</v>
      </c>
      <c r="D739" t="b">
        <v>0</v>
      </c>
      <c r="F739" t="b">
        <v>0</v>
      </c>
      <c r="H739" t="s">
        <v>86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>
        <v>2</v>
      </c>
      <c r="AB739">
        <v>0</v>
      </c>
      <c r="AC739">
        <f>VLOOKUP(A:A,[1]android_repos_all_metrics!B:K,4,FALSE)</f>
        <v>72</v>
      </c>
      <c r="AD739">
        <f>VLOOKUP(A:A,[1]android_repos_all_metrics!B:K,5,FALSE)</f>
        <v>1</v>
      </c>
      <c r="AE739">
        <f>VLOOKUP(A:A,[1]android_repos_all_metrics!B:K,6,FALSE)</f>
        <v>6</v>
      </c>
      <c r="AF739">
        <f>VLOOKUP(A:A,[1]android_repos_all_metrics!B:K,7,FALSE)</f>
        <v>865</v>
      </c>
      <c r="AG739">
        <f>VLOOKUP(A:A,[1]android_repos_all_metrics!B:K,8,FALSE)</f>
        <v>0</v>
      </c>
      <c r="AH739">
        <f>VLOOKUP(A:A,[1]android_repos_all_metrics!B:K,9,FALSE)</f>
        <v>5</v>
      </c>
      <c r="AI739">
        <f>VLOOKUP(A:A,[1]android_repos_all_metrics!B:K,10,FALSE)</f>
        <v>1</v>
      </c>
    </row>
    <row r="740" spans="1:35">
      <c r="A740" t="s">
        <v>802</v>
      </c>
      <c r="B740" t="b">
        <v>1</v>
      </c>
      <c r="C740" t="b">
        <v>1</v>
      </c>
      <c r="D740" t="b">
        <v>0</v>
      </c>
      <c r="F740" t="b">
        <v>1</v>
      </c>
      <c r="G740" t="s">
        <v>39</v>
      </c>
      <c r="H740" t="s">
        <v>41</v>
      </c>
      <c r="I740" t="s">
        <v>41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>
        <v>1</v>
      </c>
      <c r="AB740">
        <v>0</v>
      </c>
      <c r="AC740">
        <f>VLOOKUP(A:A,[1]android_repos_all_metrics!B:K,4,FALSE)</f>
        <v>3244</v>
      </c>
      <c r="AD740">
        <f>VLOOKUP(A:A,[1]android_repos_all_metrics!B:K,5,FALSE)</f>
        <v>1005</v>
      </c>
      <c r="AE740">
        <f>VLOOKUP(A:A,[1]android_repos_all_metrics!B:K,6,FALSE)</f>
        <v>10</v>
      </c>
      <c r="AF740">
        <f>VLOOKUP(A:A,[1]android_repos_all_metrics!B:K,7,FALSE)</f>
        <v>197971</v>
      </c>
      <c r="AG740">
        <f>VLOOKUP(A:A,[1]android_repos_all_metrics!B:K,8,FALSE)</f>
        <v>17</v>
      </c>
      <c r="AH740">
        <f>VLOOKUP(A:A,[1]android_repos_all_metrics!B:K,9,FALSE)</f>
        <v>24</v>
      </c>
      <c r="AI740">
        <f>VLOOKUP(A:A,[1]android_repos_all_metrics!B:K,10,FALSE)</f>
        <v>9</v>
      </c>
    </row>
    <row r="741" spans="1:35">
      <c r="A741" t="s">
        <v>803</v>
      </c>
      <c r="B741" t="b">
        <v>0</v>
      </c>
      <c r="C741" t="b">
        <v>0</v>
      </c>
      <c r="D741" t="b">
        <v>0</v>
      </c>
      <c r="F741" t="b">
        <v>0</v>
      </c>
      <c r="H741" t="s">
        <v>41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>
        <v>1</v>
      </c>
      <c r="AB741">
        <v>0</v>
      </c>
      <c r="AC741">
        <f>VLOOKUP(A:A,[1]android_repos_all_metrics!B:K,4,FALSE)</f>
        <v>78</v>
      </c>
      <c r="AD741">
        <f>VLOOKUP(A:A,[1]android_repos_all_metrics!B:K,5,FALSE)</f>
        <v>0</v>
      </c>
      <c r="AE741">
        <f>VLOOKUP(A:A,[1]android_repos_all_metrics!B:K,6,FALSE)</f>
        <v>1</v>
      </c>
      <c r="AF741">
        <f>VLOOKUP(A:A,[1]android_repos_all_metrics!B:K,7,FALSE)</f>
        <v>2457</v>
      </c>
      <c r="AG741">
        <f>VLOOKUP(A:A,[1]android_repos_all_metrics!B:K,8,FALSE)</f>
        <v>8</v>
      </c>
      <c r="AH741">
        <f>VLOOKUP(A:A,[1]android_repos_all_metrics!B:K,9,FALSE)</f>
        <v>14</v>
      </c>
      <c r="AI741">
        <f>VLOOKUP(A:A,[1]android_repos_all_metrics!B:K,10,FALSE)</f>
        <v>16</v>
      </c>
    </row>
    <row r="742" spans="1:35">
      <c r="A742" t="s">
        <v>804</v>
      </c>
      <c r="B742" t="b">
        <v>1</v>
      </c>
      <c r="C742" t="b">
        <v>0</v>
      </c>
      <c r="D742" t="b">
        <v>0</v>
      </c>
      <c r="F742" t="b">
        <v>0</v>
      </c>
      <c r="H742" t="s">
        <v>37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>
        <v>4</v>
      </c>
      <c r="AB742">
        <v>0</v>
      </c>
      <c r="AC742">
        <f>VLOOKUP(A:A,[1]android_repos_all_metrics!B:K,4,FALSE)</f>
        <v>2603</v>
      </c>
      <c r="AD742">
        <f>VLOOKUP(A:A,[1]android_repos_all_metrics!B:K,5,FALSE)</f>
        <v>37</v>
      </c>
      <c r="AE742">
        <f>VLOOKUP(A:A,[1]android_repos_all_metrics!B:K,6,FALSE)</f>
        <v>11</v>
      </c>
      <c r="AF742">
        <f>VLOOKUP(A:A,[1]android_repos_all_metrics!B:K,7,FALSE)</f>
        <v>350669</v>
      </c>
      <c r="AG742">
        <f>VLOOKUP(A:A,[1]android_repos_all_metrics!B:K,8,FALSE)</f>
        <v>20</v>
      </c>
      <c r="AH742">
        <f>VLOOKUP(A:A,[1]android_repos_all_metrics!B:K,9,FALSE)</f>
        <v>59</v>
      </c>
      <c r="AI742">
        <f>VLOOKUP(A:A,[1]android_repos_all_metrics!B:K,10,FALSE)</f>
        <v>16</v>
      </c>
    </row>
    <row r="743" spans="1:35">
      <c r="A743" t="s">
        <v>805</v>
      </c>
      <c r="B743" t="b">
        <v>1</v>
      </c>
      <c r="C743" t="b">
        <v>0</v>
      </c>
      <c r="D743" t="b">
        <v>0</v>
      </c>
      <c r="F743" t="b">
        <v>0</v>
      </c>
      <c r="H743" t="s">
        <v>37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>
        <v>2</v>
      </c>
      <c r="AB743">
        <v>0</v>
      </c>
      <c r="AC743">
        <f>VLOOKUP(A:A,[1]android_repos_all_metrics!B:K,4,FALSE)</f>
        <v>197</v>
      </c>
      <c r="AD743">
        <f>VLOOKUP(A:A,[1]android_repos_all_metrics!B:K,5,FALSE)</f>
        <v>10</v>
      </c>
      <c r="AE743">
        <f>VLOOKUP(A:A,[1]android_repos_all_metrics!B:K,6,FALSE)</f>
        <v>1</v>
      </c>
      <c r="AF743">
        <f>VLOOKUP(A:A,[1]android_repos_all_metrics!B:K,7,FALSE)</f>
        <v>623</v>
      </c>
      <c r="AG743">
        <f>VLOOKUP(A:A,[1]android_repos_all_metrics!B:K,8,FALSE)</f>
        <v>0</v>
      </c>
      <c r="AH743">
        <f>VLOOKUP(A:A,[1]android_repos_all_metrics!B:K,9,FALSE)</f>
        <v>1</v>
      </c>
      <c r="AI743">
        <f>VLOOKUP(A:A,[1]android_repos_all_metrics!B:K,10,FALSE)</f>
        <v>0</v>
      </c>
    </row>
    <row r="744" spans="1:35">
      <c r="A744" t="s">
        <v>806</v>
      </c>
      <c r="B744" t="b">
        <v>1</v>
      </c>
      <c r="C744" t="b">
        <v>1</v>
      </c>
      <c r="D744" t="b">
        <v>0</v>
      </c>
      <c r="F744" t="b">
        <v>1</v>
      </c>
      <c r="G744" t="s">
        <v>109</v>
      </c>
      <c r="H744" t="s">
        <v>37</v>
      </c>
      <c r="I744" t="s">
        <v>37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>
        <v>2</v>
      </c>
      <c r="AB744">
        <v>0</v>
      </c>
      <c r="AC744">
        <f>VLOOKUP(A:A,[1]android_repos_all_metrics!B:K,4,FALSE)</f>
        <v>139</v>
      </c>
      <c r="AD744">
        <f>VLOOKUP(A:A,[1]android_repos_all_metrics!B:K,5,FALSE)</f>
        <v>32</v>
      </c>
      <c r="AE744">
        <f>VLOOKUP(A:A,[1]android_repos_all_metrics!B:K,6,FALSE)</f>
        <v>4</v>
      </c>
      <c r="AF744">
        <f>VLOOKUP(A:A,[1]android_repos_all_metrics!B:K,7,FALSE)</f>
        <v>35935</v>
      </c>
      <c r="AG744">
        <f>VLOOKUP(A:A,[1]android_repos_all_metrics!B:K,8,FALSE)</f>
        <v>7</v>
      </c>
      <c r="AH744">
        <f>VLOOKUP(A:A,[1]android_repos_all_metrics!B:K,9,FALSE)</f>
        <v>39</v>
      </c>
      <c r="AI744">
        <f>VLOOKUP(A:A,[1]android_repos_all_metrics!B:K,10,FALSE)</f>
        <v>2</v>
      </c>
    </row>
    <row r="745" spans="1:35">
      <c r="A745" t="s">
        <v>807</v>
      </c>
      <c r="B745" t="b">
        <v>0</v>
      </c>
      <c r="C745" t="b">
        <v>0</v>
      </c>
      <c r="D745" t="b">
        <v>0</v>
      </c>
      <c r="F745" t="b">
        <v>0</v>
      </c>
      <c r="H745" t="s">
        <v>41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>
        <v>1</v>
      </c>
      <c r="AB745">
        <v>0</v>
      </c>
      <c r="AC745">
        <f>VLOOKUP(A:A,[1]android_repos_all_metrics!B:K,4,FALSE)</f>
        <v>143</v>
      </c>
      <c r="AD745">
        <f>VLOOKUP(A:A,[1]android_repos_all_metrics!B:K,5,FALSE)</f>
        <v>0</v>
      </c>
      <c r="AE745">
        <f>VLOOKUP(A:A,[1]android_repos_all_metrics!B:K,6,FALSE)</f>
        <v>2</v>
      </c>
      <c r="AF745">
        <f>VLOOKUP(A:A,[1]android_repos_all_metrics!B:K,7,FALSE)</f>
        <v>1062</v>
      </c>
      <c r="AG745">
        <f>VLOOKUP(A:A,[1]android_repos_all_metrics!B:K,8,FALSE)</f>
        <v>0</v>
      </c>
      <c r="AH745">
        <f>VLOOKUP(A:A,[1]android_repos_all_metrics!B:K,9,FALSE)</f>
        <v>1</v>
      </c>
      <c r="AI745">
        <f>VLOOKUP(A:A,[1]android_repos_all_metrics!B:K,10,FALSE)</f>
        <v>0</v>
      </c>
    </row>
    <row r="746" spans="1:35">
      <c r="A746" t="s">
        <v>808</v>
      </c>
      <c r="B746" t="b">
        <v>1</v>
      </c>
      <c r="C746" t="b">
        <v>0</v>
      </c>
      <c r="D746" t="b">
        <v>0</v>
      </c>
      <c r="F746" t="b">
        <v>0</v>
      </c>
      <c r="H746" t="s">
        <v>37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>
        <v>1</v>
      </c>
      <c r="AB746">
        <v>0</v>
      </c>
      <c r="AC746">
        <f>VLOOKUP(A:A,[1]android_repos_all_metrics!B:K,4,FALSE)</f>
        <v>60</v>
      </c>
      <c r="AD746">
        <f>VLOOKUP(A:A,[1]android_repos_all_metrics!B:K,5,FALSE)</f>
        <v>0</v>
      </c>
      <c r="AE746">
        <f>VLOOKUP(A:A,[1]android_repos_all_metrics!B:K,6,FALSE)</f>
        <v>1</v>
      </c>
      <c r="AF746">
        <f>VLOOKUP(A:A,[1]android_repos_all_metrics!B:K,7,FALSE)</f>
        <v>1758</v>
      </c>
      <c r="AG746">
        <f>VLOOKUP(A:A,[1]android_repos_all_metrics!B:K,8,FALSE)</f>
        <v>3</v>
      </c>
      <c r="AH746">
        <f>VLOOKUP(A:A,[1]android_repos_all_metrics!B:K,9,FALSE)</f>
        <v>9</v>
      </c>
      <c r="AI746">
        <f>VLOOKUP(A:A,[1]android_repos_all_metrics!B:K,10,FALSE)</f>
        <v>0</v>
      </c>
    </row>
    <row r="747" spans="1:35">
      <c r="A747" t="s">
        <v>809</v>
      </c>
      <c r="B747" t="b">
        <v>0</v>
      </c>
      <c r="C747" t="b">
        <v>0</v>
      </c>
      <c r="D747" t="b">
        <v>0</v>
      </c>
      <c r="F747" t="b">
        <v>0</v>
      </c>
      <c r="H747" t="s">
        <v>76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>
        <v>1</v>
      </c>
      <c r="AB747">
        <v>0</v>
      </c>
      <c r="AC747">
        <f>VLOOKUP(A:A,[1]android_repos_all_metrics!B:K,4,FALSE)</f>
        <v>75</v>
      </c>
      <c r="AD747">
        <f>VLOOKUP(A:A,[1]android_repos_all_metrics!B:K,5,FALSE)</f>
        <v>1</v>
      </c>
      <c r="AE747">
        <f>VLOOKUP(A:A,[1]android_repos_all_metrics!B:K,6,FALSE)</f>
        <v>3</v>
      </c>
      <c r="AF747">
        <f>VLOOKUP(A:A,[1]android_repos_all_metrics!B:K,7,FALSE)</f>
        <v>1080</v>
      </c>
      <c r="AG747">
        <f>VLOOKUP(A:A,[1]android_repos_all_metrics!B:K,8,FALSE)</f>
        <v>6</v>
      </c>
      <c r="AH747">
        <f>VLOOKUP(A:A,[1]android_repos_all_metrics!B:K,9,FALSE)</f>
        <v>10</v>
      </c>
      <c r="AI747">
        <f>VLOOKUP(A:A,[1]android_repos_all_metrics!B:K,10,FALSE)</f>
        <v>1</v>
      </c>
    </row>
    <row r="748" spans="1:35">
      <c r="A748" t="s">
        <v>810</v>
      </c>
      <c r="B748" t="b">
        <v>1</v>
      </c>
      <c r="C748" t="b">
        <v>0</v>
      </c>
      <c r="D748" t="b">
        <v>0</v>
      </c>
      <c r="F748" t="b">
        <v>0</v>
      </c>
      <c r="H748" t="s">
        <v>37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>
        <v>2</v>
      </c>
      <c r="AB748">
        <v>0</v>
      </c>
      <c r="AC748">
        <f>VLOOKUP(A:A,[1]android_repos_all_metrics!B:K,4,FALSE)</f>
        <v>33</v>
      </c>
      <c r="AD748">
        <f>VLOOKUP(A:A,[1]android_repos_all_metrics!B:K,5,FALSE)</f>
        <v>9</v>
      </c>
      <c r="AE748">
        <f>VLOOKUP(A:A,[1]android_repos_all_metrics!B:K,6,FALSE)</f>
        <v>1</v>
      </c>
      <c r="AF748">
        <f>VLOOKUP(A:A,[1]android_repos_all_metrics!B:K,7,FALSE)</f>
        <v>776</v>
      </c>
      <c r="AG748">
        <f>VLOOKUP(A:A,[1]android_repos_all_metrics!B:K,8,FALSE)</f>
        <v>13</v>
      </c>
      <c r="AH748">
        <f>VLOOKUP(A:A,[1]android_repos_all_metrics!B:K,9,FALSE)</f>
        <v>70</v>
      </c>
      <c r="AI748">
        <f>VLOOKUP(A:A,[1]android_repos_all_metrics!B:K,10,FALSE)</f>
        <v>0</v>
      </c>
    </row>
    <row r="749" spans="1:35">
      <c r="A749" t="s">
        <v>811</v>
      </c>
      <c r="B749" t="b">
        <v>1</v>
      </c>
      <c r="C749" t="b">
        <v>0</v>
      </c>
      <c r="D749" t="b">
        <v>0</v>
      </c>
      <c r="F749" t="b">
        <v>0</v>
      </c>
      <c r="H749" t="s">
        <v>43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>
        <v>1</v>
      </c>
      <c r="AB749">
        <v>0</v>
      </c>
      <c r="AC749">
        <f>VLOOKUP(A:A,[1]android_repos_all_metrics!B:K,4,FALSE)</f>
        <v>406</v>
      </c>
      <c r="AD749">
        <f>VLOOKUP(A:A,[1]android_repos_all_metrics!B:K,5,FALSE)</f>
        <v>7</v>
      </c>
      <c r="AE749">
        <f>VLOOKUP(A:A,[1]android_repos_all_metrics!B:K,6,FALSE)</f>
        <v>2</v>
      </c>
      <c r="AF749">
        <f>VLOOKUP(A:A,[1]android_repos_all_metrics!B:K,7,FALSE)</f>
        <v>2516</v>
      </c>
      <c r="AG749">
        <f>VLOOKUP(A:A,[1]android_repos_all_metrics!B:K,8,FALSE)</f>
        <v>17</v>
      </c>
      <c r="AH749">
        <f>VLOOKUP(A:A,[1]android_repos_all_metrics!B:K,9,FALSE)</f>
        <v>61</v>
      </c>
      <c r="AI749">
        <f>VLOOKUP(A:A,[1]android_repos_all_metrics!B:K,10,FALSE)</f>
        <v>41</v>
      </c>
    </row>
    <row r="750" spans="1:35">
      <c r="A750" t="s">
        <v>812</v>
      </c>
      <c r="B750" t="b">
        <v>1</v>
      </c>
      <c r="C750" t="b">
        <v>0</v>
      </c>
      <c r="D750" t="b">
        <v>0</v>
      </c>
      <c r="F750" t="b">
        <v>0</v>
      </c>
      <c r="H750" t="s">
        <v>37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>
        <v>3</v>
      </c>
      <c r="AB750">
        <v>0</v>
      </c>
      <c r="AC750">
        <f>VLOOKUP(A:A,[1]android_repos_all_metrics!B:K,4,FALSE)</f>
        <v>101</v>
      </c>
      <c r="AD750">
        <f>VLOOKUP(A:A,[1]android_repos_all_metrics!B:K,5,FALSE)</f>
        <v>11</v>
      </c>
      <c r="AE750">
        <f>VLOOKUP(A:A,[1]android_repos_all_metrics!B:K,6,FALSE)</f>
        <v>1</v>
      </c>
      <c r="AF750">
        <f>VLOOKUP(A:A,[1]android_repos_all_metrics!B:K,7,FALSE)</f>
        <v>11786</v>
      </c>
      <c r="AG750">
        <f>VLOOKUP(A:A,[1]android_repos_all_metrics!B:K,8,FALSE)</f>
        <v>0</v>
      </c>
      <c r="AH750">
        <f>VLOOKUP(A:A,[1]android_repos_all_metrics!B:K,9,FALSE)</f>
        <v>2</v>
      </c>
      <c r="AI750">
        <f>VLOOKUP(A:A,[1]android_repos_all_metrics!B:K,10,FALSE)</f>
        <v>0</v>
      </c>
    </row>
    <row r="751" spans="1:35">
      <c r="A751" t="s">
        <v>813</v>
      </c>
      <c r="B751" t="b">
        <v>1</v>
      </c>
      <c r="C751" t="b">
        <v>0</v>
      </c>
      <c r="D751" t="b">
        <v>0</v>
      </c>
      <c r="F751" t="b">
        <v>0</v>
      </c>
      <c r="H751" t="s">
        <v>86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>
        <v>8</v>
      </c>
      <c r="AB751">
        <v>0</v>
      </c>
      <c r="AC751">
        <f>VLOOKUP(A:A,[1]android_repos_all_metrics!B:K,4,FALSE)</f>
        <v>5523</v>
      </c>
      <c r="AD751">
        <f>VLOOKUP(A:A,[1]android_repos_all_metrics!B:K,5,FALSE)</f>
        <v>796</v>
      </c>
      <c r="AE751">
        <f>VLOOKUP(A:A,[1]android_repos_all_metrics!B:K,6,FALSE)</f>
        <v>148</v>
      </c>
      <c r="AF751">
        <f>VLOOKUP(A:A,[1]android_repos_all_metrics!B:K,7,FALSE)</f>
        <v>57915</v>
      </c>
      <c r="AG751">
        <f>VLOOKUP(A:A,[1]android_repos_all_metrics!B:K,8,FALSE)</f>
        <v>679</v>
      </c>
      <c r="AH751">
        <f>VLOOKUP(A:A,[1]android_repos_all_metrics!B:K,9,FALSE)</f>
        <v>2144</v>
      </c>
      <c r="AI751">
        <f>VLOOKUP(A:A,[1]android_repos_all_metrics!B:K,10,FALSE)</f>
        <v>430</v>
      </c>
    </row>
    <row r="752" spans="1:35">
      <c r="A752" t="s">
        <v>814</v>
      </c>
      <c r="B752" t="b">
        <v>0</v>
      </c>
      <c r="C752" t="b">
        <v>0</v>
      </c>
      <c r="D752" t="b">
        <v>0</v>
      </c>
      <c r="F752" t="b">
        <v>0</v>
      </c>
      <c r="H752" t="s">
        <v>76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>
        <v>1</v>
      </c>
      <c r="AB752">
        <v>0</v>
      </c>
      <c r="AC752">
        <f>VLOOKUP(A:A,[1]android_repos_all_metrics!B:K,4,FALSE)</f>
        <v>2</v>
      </c>
      <c r="AD752">
        <f>VLOOKUP(A:A,[1]android_repos_all_metrics!B:K,5,FALSE)</f>
        <v>0</v>
      </c>
      <c r="AE752">
        <f>VLOOKUP(A:A,[1]android_repos_all_metrics!B:K,6,FALSE)</f>
        <v>1</v>
      </c>
      <c r="AF752">
        <f>VLOOKUP(A:A,[1]android_repos_all_metrics!B:K,7,FALSE)</f>
        <v>95</v>
      </c>
      <c r="AG752">
        <f>VLOOKUP(A:A,[1]android_repos_all_metrics!B:K,8,FALSE)</f>
        <v>6</v>
      </c>
      <c r="AH752">
        <f>VLOOKUP(A:A,[1]android_repos_all_metrics!B:K,9,FALSE)</f>
        <v>19</v>
      </c>
      <c r="AI752">
        <f>VLOOKUP(A:A,[1]android_repos_all_metrics!B:K,10,FALSE)</f>
        <v>0</v>
      </c>
    </row>
    <row r="753" spans="1:35">
      <c r="A753" t="s">
        <v>815</v>
      </c>
      <c r="B753" t="b">
        <v>1</v>
      </c>
      <c r="C753" t="b">
        <v>0</v>
      </c>
      <c r="D753" t="b">
        <v>0</v>
      </c>
      <c r="F753" t="b">
        <v>0</v>
      </c>
      <c r="H753" t="s">
        <v>43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>
        <v>1</v>
      </c>
      <c r="AB753">
        <v>0</v>
      </c>
      <c r="AC753">
        <f>VLOOKUP(A:A,[1]android_repos_all_metrics!B:K,4,FALSE)</f>
        <v>12</v>
      </c>
      <c r="AD753">
        <f>VLOOKUP(A:A,[1]android_repos_all_metrics!B:K,5,FALSE)</f>
        <v>0</v>
      </c>
      <c r="AE753">
        <f>VLOOKUP(A:A,[1]android_repos_all_metrics!B:K,6,FALSE)</f>
        <v>2</v>
      </c>
      <c r="AF753">
        <f>VLOOKUP(A:A,[1]android_repos_all_metrics!B:K,7,FALSE)</f>
        <v>17874</v>
      </c>
      <c r="AG753">
        <f>VLOOKUP(A:A,[1]android_repos_all_metrics!B:K,8,FALSE)</f>
        <v>8</v>
      </c>
      <c r="AH753">
        <f>VLOOKUP(A:A,[1]android_repos_all_metrics!B:K,9,FALSE)</f>
        <v>57</v>
      </c>
      <c r="AI753">
        <f>VLOOKUP(A:A,[1]android_repos_all_metrics!B:K,10,FALSE)</f>
        <v>2</v>
      </c>
    </row>
    <row r="754" spans="1:35">
      <c r="A754" t="s">
        <v>816</v>
      </c>
      <c r="B754" t="b">
        <v>1</v>
      </c>
      <c r="C754" t="b">
        <v>0</v>
      </c>
      <c r="D754" t="b">
        <v>0</v>
      </c>
      <c r="F754" t="b">
        <v>0</v>
      </c>
      <c r="H754" t="s">
        <v>37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>
        <v>1</v>
      </c>
      <c r="AB754">
        <v>0</v>
      </c>
      <c r="AC754">
        <f>VLOOKUP(A:A,[1]android_repos_all_metrics!B:K,4,FALSE)</f>
        <v>6576</v>
      </c>
      <c r="AD754">
        <f>VLOOKUP(A:A,[1]android_repos_all_metrics!B:K,5,FALSE)</f>
        <v>586</v>
      </c>
      <c r="AE754">
        <f>VLOOKUP(A:A,[1]android_repos_all_metrics!B:K,6,FALSE)</f>
        <v>235</v>
      </c>
      <c r="AF754">
        <f>VLOOKUP(A:A,[1]android_repos_all_metrics!B:K,7,FALSE)</f>
        <v>40388</v>
      </c>
      <c r="AG754">
        <f>VLOOKUP(A:A,[1]android_repos_all_metrics!B:K,8,FALSE)</f>
        <v>370</v>
      </c>
      <c r="AH754">
        <f>VLOOKUP(A:A,[1]android_repos_all_metrics!B:K,9,FALSE)</f>
        <v>1655</v>
      </c>
      <c r="AI754">
        <f>VLOOKUP(A:A,[1]android_repos_all_metrics!B:K,10,FALSE)</f>
        <v>373</v>
      </c>
    </row>
    <row r="755" spans="1:35">
      <c r="A755" t="s">
        <v>817</v>
      </c>
      <c r="B755" t="b">
        <v>1</v>
      </c>
      <c r="C755" t="b">
        <v>0</v>
      </c>
      <c r="D755" t="b">
        <v>0</v>
      </c>
      <c r="F755" t="b">
        <v>0</v>
      </c>
      <c r="H755" t="s">
        <v>37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>
        <v>1</v>
      </c>
      <c r="AB755">
        <v>0</v>
      </c>
      <c r="AC755">
        <f>VLOOKUP(A:A,[1]android_repos_all_metrics!B:K,4,FALSE)</f>
        <v>1102</v>
      </c>
      <c r="AD755">
        <f>VLOOKUP(A:A,[1]android_repos_all_metrics!B:K,5,FALSE)</f>
        <v>171</v>
      </c>
      <c r="AE755">
        <f>VLOOKUP(A:A,[1]android_repos_all_metrics!B:K,6,FALSE)</f>
        <v>5</v>
      </c>
      <c r="AF755">
        <f>VLOOKUP(A:A,[1]android_repos_all_metrics!B:K,7,FALSE)</f>
        <v>4154</v>
      </c>
      <c r="AG755">
        <f>VLOOKUP(A:A,[1]android_repos_all_metrics!B:K,8,FALSE)</f>
        <v>1</v>
      </c>
      <c r="AH755">
        <f>VLOOKUP(A:A,[1]android_repos_all_metrics!B:K,9,FALSE)</f>
        <v>19</v>
      </c>
      <c r="AI755">
        <f>VLOOKUP(A:A,[1]android_repos_all_metrics!B:K,10,FALSE)</f>
        <v>0</v>
      </c>
    </row>
    <row r="756" spans="1:35">
      <c r="A756" t="s">
        <v>818</v>
      </c>
      <c r="B756" t="b">
        <v>1</v>
      </c>
      <c r="C756" t="b">
        <v>0</v>
      </c>
      <c r="D756" t="b">
        <v>0</v>
      </c>
      <c r="F756" t="b">
        <v>0</v>
      </c>
      <c r="H756" t="s">
        <v>41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>
        <v>1</v>
      </c>
      <c r="AB756">
        <v>0</v>
      </c>
      <c r="AC756">
        <f>VLOOKUP(A:A,[1]android_repos_all_metrics!B:K,4,FALSE)</f>
        <v>982</v>
      </c>
      <c r="AD756">
        <f>VLOOKUP(A:A,[1]android_repos_all_metrics!B:K,5,FALSE)</f>
        <v>84</v>
      </c>
      <c r="AE756">
        <f>VLOOKUP(A:A,[1]android_repos_all_metrics!B:K,6,FALSE)</f>
        <v>18</v>
      </c>
      <c r="AF756">
        <f>VLOOKUP(A:A,[1]android_repos_all_metrics!B:K,7,FALSE)</f>
        <v>17673</v>
      </c>
      <c r="AG756">
        <f>VLOOKUP(A:A,[1]android_repos_all_metrics!B:K,8,FALSE)</f>
        <v>11</v>
      </c>
      <c r="AH756">
        <f>VLOOKUP(A:A,[1]android_repos_all_metrics!B:K,9,FALSE)</f>
        <v>12</v>
      </c>
      <c r="AI756">
        <f>VLOOKUP(A:A,[1]android_repos_all_metrics!B:K,10,FALSE)</f>
        <v>10</v>
      </c>
    </row>
    <row r="757" spans="1:35">
      <c r="A757" t="s">
        <v>819</v>
      </c>
      <c r="B757" t="b">
        <v>1</v>
      </c>
      <c r="C757" t="b">
        <v>1</v>
      </c>
      <c r="D757" t="b">
        <v>1</v>
      </c>
      <c r="E757" t="s">
        <v>36</v>
      </c>
      <c r="F757" t="b">
        <v>0</v>
      </c>
      <c r="H757" t="s">
        <v>37</v>
      </c>
      <c r="I757" t="s">
        <v>37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>
        <v>1</v>
      </c>
      <c r="AA757">
        <v>1</v>
      </c>
      <c r="AB757">
        <v>0</v>
      </c>
      <c r="AC757">
        <f>VLOOKUP(A:A,[1]android_repos_all_metrics!B:K,4,FALSE)</f>
        <v>29</v>
      </c>
      <c r="AD757">
        <f>VLOOKUP(A:A,[1]android_repos_all_metrics!B:K,5,FALSE)</f>
        <v>21</v>
      </c>
      <c r="AE757">
        <f>VLOOKUP(A:A,[1]android_repos_all_metrics!B:K,6,FALSE)</f>
        <v>6</v>
      </c>
      <c r="AF757">
        <f>VLOOKUP(A:A,[1]android_repos_all_metrics!B:K,7,FALSE)</f>
        <v>174</v>
      </c>
      <c r="AG757">
        <f>VLOOKUP(A:A,[1]android_repos_all_metrics!B:K,8,FALSE)</f>
        <v>7</v>
      </c>
      <c r="AH757">
        <f>VLOOKUP(A:A,[1]android_repos_all_metrics!B:K,9,FALSE)</f>
        <v>4</v>
      </c>
      <c r="AI757">
        <f>VLOOKUP(A:A,[1]android_repos_all_metrics!B:K,10,FALSE)</f>
        <v>7</v>
      </c>
    </row>
    <row r="758" spans="1:35">
      <c r="A758" t="s">
        <v>820</v>
      </c>
      <c r="B758" t="b">
        <v>1</v>
      </c>
      <c r="C758" t="b">
        <v>0</v>
      </c>
      <c r="D758" t="b">
        <v>0</v>
      </c>
      <c r="F758" t="b">
        <v>0</v>
      </c>
      <c r="H758" t="s">
        <v>37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>
        <v>1</v>
      </c>
      <c r="AB758">
        <v>0</v>
      </c>
      <c r="AC758">
        <f>VLOOKUP(A:A,[1]android_repos_all_metrics!B:K,4,FALSE)</f>
        <v>129</v>
      </c>
      <c r="AD758">
        <f>VLOOKUP(A:A,[1]android_repos_all_metrics!B:K,5,FALSE)</f>
        <v>40</v>
      </c>
      <c r="AE758">
        <f>VLOOKUP(A:A,[1]android_repos_all_metrics!B:K,6,FALSE)</f>
        <v>2</v>
      </c>
      <c r="AF758">
        <f>VLOOKUP(A:A,[1]android_repos_all_metrics!B:K,7,FALSE)</f>
        <v>2117</v>
      </c>
      <c r="AG758">
        <f>VLOOKUP(A:A,[1]android_repos_all_metrics!B:K,8,FALSE)</f>
        <v>3</v>
      </c>
      <c r="AH758">
        <f>VLOOKUP(A:A,[1]android_repos_all_metrics!B:K,9,FALSE)</f>
        <v>10</v>
      </c>
      <c r="AI758">
        <f>VLOOKUP(A:A,[1]android_repos_all_metrics!B:K,10,FALSE)</f>
        <v>6</v>
      </c>
    </row>
    <row r="759" spans="1:35">
      <c r="A759" t="s">
        <v>821</v>
      </c>
      <c r="B759" t="b">
        <v>1</v>
      </c>
      <c r="C759" t="b">
        <v>1</v>
      </c>
      <c r="D759" t="b">
        <v>1</v>
      </c>
      <c r="E759" t="s">
        <v>36</v>
      </c>
      <c r="F759" t="b">
        <v>0</v>
      </c>
      <c r="H759" t="s">
        <v>86</v>
      </c>
      <c r="I759" t="s">
        <v>37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>
        <v>1</v>
      </c>
      <c r="AA759">
        <v>2</v>
      </c>
      <c r="AB759">
        <v>0</v>
      </c>
      <c r="AC759">
        <f>VLOOKUP(A:A,[1]android_repos_all_metrics!B:K,4,FALSE)</f>
        <v>2963</v>
      </c>
      <c r="AD759">
        <f>VLOOKUP(A:A,[1]android_repos_all_metrics!B:K,5,FALSE)</f>
        <v>342</v>
      </c>
      <c r="AE759">
        <f>VLOOKUP(A:A,[1]android_repos_all_metrics!B:K,6,FALSE)</f>
        <v>43</v>
      </c>
      <c r="AF759">
        <f>VLOOKUP(A:A,[1]android_repos_all_metrics!B:K,7,FALSE)</f>
        <v>11511</v>
      </c>
      <c r="AG759">
        <f>VLOOKUP(A:A,[1]android_repos_all_metrics!B:K,8,FALSE)</f>
        <v>84</v>
      </c>
      <c r="AH759">
        <f>VLOOKUP(A:A,[1]android_repos_all_metrics!B:K,9,FALSE)</f>
        <v>172</v>
      </c>
      <c r="AI759">
        <f>VLOOKUP(A:A,[1]android_repos_all_metrics!B:K,10,FALSE)</f>
        <v>69</v>
      </c>
    </row>
    <row r="760" spans="1:35">
      <c r="A760" t="s">
        <v>822</v>
      </c>
      <c r="B760" t="b">
        <v>1</v>
      </c>
      <c r="C760" t="b">
        <v>0</v>
      </c>
      <c r="D760" t="b">
        <v>0</v>
      </c>
      <c r="F760" t="b">
        <v>0</v>
      </c>
      <c r="H760" t="s">
        <v>37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>
        <v>1</v>
      </c>
      <c r="AB760">
        <v>0</v>
      </c>
      <c r="AC760">
        <f>VLOOKUP(A:A,[1]android_repos_all_metrics!B:K,4,FALSE)</f>
        <v>705</v>
      </c>
      <c r="AD760">
        <f>VLOOKUP(A:A,[1]android_repos_all_metrics!B:K,5,FALSE)</f>
        <v>66</v>
      </c>
      <c r="AE760">
        <f>VLOOKUP(A:A,[1]android_repos_all_metrics!B:K,6,FALSE)</f>
        <v>92</v>
      </c>
      <c r="AF760">
        <f>VLOOKUP(A:A,[1]android_repos_all_metrics!B:K,7,FALSE)</f>
        <v>3632</v>
      </c>
      <c r="AG760">
        <f>VLOOKUP(A:A,[1]android_repos_all_metrics!B:K,8,FALSE)</f>
        <v>28</v>
      </c>
      <c r="AH760">
        <f>VLOOKUP(A:A,[1]android_repos_all_metrics!B:K,9,FALSE)</f>
        <v>262</v>
      </c>
      <c r="AI760">
        <f>VLOOKUP(A:A,[1]android_repos_all_metrics!B:K,10,FALSE)</f>
        <v>113</v>
      </c>
    </row>
    <row r="761" spans="1:35">
      <c r="A761" t="s">
        <v>823</v>
      </c>
      <c r="B761" t="b">
        <v>1</v>
      </c>
      <c r="C761" t="b">
        <v>0</v>
      </c>
      <c r="D761" t="b">
        <v>0</v>
      </c>
      <c r="F761" t="b">
        <v>0</v>
      </c>
      <c r="H761" t="s">
        <v>37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>
        <v>2</v>
      </c>
      <c r="AB761">
        <v>0</v>
      </c>
      <c r="AC761">
        <f>VLOOKUP(A:A,[1]android_repos_all_metrics!B:K,4,FALSE)</f>
        <v>1209</v>
      </c>
      <c r="AD761">
        <f>VLOOKUP(A:A,[1]android_repos_all_metrics!B:K,5,FALSE)</f>
        <v>45</v>
      </c>
      <c r="AE761">
        <f>VLOOKUP(A:A,[1]android_repos_all_metrics!B:K,6,FALSE)</f>
        <v>14</v>
      </c>
      <c r="AF761">
        <f>VLOOKUP(A:A,[1]android_repos_all_metrics!B:K,7,FALSE)</f>
        <v>30080</v>
      </c>
      <c r="AG761">
        <f>VLOOKUP(A:A,[1]android_repos_all_metrics!B:K,8,FALSE)</f>
        <v>41</v>
      </c>
      <c r="AH761">
        <f>VLOOKUP(A:A,[1]android_repos_all_metrics!B:K,9,FALSE)</f>
        <v>108</v>
      </c>
      <c r="AI761">
        <f>VLOOKUP(A:A,[1]android_repos_all_metrics!B:K,10,FALSE)</f>
        <v>42</v>
      </c>
    </row>
    <row r="762" spans="1:35">
      <c r="A762" t="s">
        <v>824</v>
      </c>
      <c r="B762" t="b">
        <v>0</v>
      </c>
      <c r="C762" t="b">
        <v>0</v>
      </c>
      <c r="D762" t="b">
        <v>0</v>
      </c>
      <c r="F762" t="b">
        <v>0</v>
      </c>
      <c r="H762" t="s">
        <v>41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>
        <v>1</v>
      </c>
      <c r="AB762">
        <v>0</v>
      </c>
      <c r="AC762">
        <f>VLOOKUP(A:A,[1]android_repos_all_metrics!B:K,4,FALSE)</f>
        <v>115</v>
      </c>
      <c r="AD762">
        <f>VLOOKUP(A:A,[1]android_repos_all_metrics!B:K,5,FALSE)</f>
        <v>14</v>
      </c>
      <c r="AE762">
        <f>VLOOKUP(A:A,[1]android_repos_all_metrics!B:K,6,FALSE)</f>
        <v>1</v>
      </c>
      <c r="AF762">
        <f>VLOOKUP(A:A,[1]android_repos_all_metrics!B:K,7,FALSE)</f>
        <v>334546</v>
      </c>
      <c r="AG762">
        <f>VLOOKUP(A:A,[1]android_repos_all_metrics!B:K,8,FALSE)</f>
        <v>2</v>
      </c>
      <c r="AH762">
        <f>VLOOKUP(A:A,[1]android_repos_all_metrics!B:K,9,FALSE)</f>
        <v>2</v>
      </c>
      <c r="AI762">
        <f>VLOOKUP(A:A,[1]android_repos_all_metrics!B:K,10,FALSE)</f>
        <v>9</v>
      </c>
    </row>
    <row r="763" spans="1:35">
      <c r="A763" t="s">
        <v>825</v>
      </c>
      <c r="B763" t="b">
        <v>1</v>
      </c>
      <c r="C763" t="b">
        <v>1</v>
      </c>
      <c r="D763" t="b">
        <v>1</v>
      </c>
      <c r="E763" t="s">
        <v>104</v>
      </c>
      <c r="F763" t="b">
        <v>0</v>
      </c>
      <c r="H763" t="s">
        <v>37</v>
      </c>
      <c r="I763" t="s">
        <v>37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0</v>
      </c>
      <c r="Z763">
        <v>8</v>
      </c>
      <c r="AA763">
        <v>1</v>
      </c>
      <c r="AB763">
        <v>0</v>
      </c>
      <c r="AC763">
        <f>VLOOKUP(A:A,[1]android_repos_all_metrics!B:K,4,FALSE)</f>
        <v>698</v>
      </c>
      <c r="AD763">
        <f>VLOOKUP(A:A,[1]android_repos_all_metrics!B:K,5,FALSE)</f>
        <v>33</v>
      </c>
      <c r="AE763">
        <f>VLOOKUP(A:A,[1]android_repos_all_metrics!B:K,6,FALSE)</f>
        <v>3</v>
      </c>
      <c r="AF763">
        <f>VLOOKUP(A:A,[1]android_repos_all_metrics!B:K,7,FALSE)</f>
        <v>86066</v>
      </c>
      <c r="AG763">
        <f>VLOOKUP(A:A,[1]android_repos_all_metrics!B:K,8,FALSE)</f>
        <v>9</v>
      </c>
      <c r="AH763">
        <f>VLOOKUP(A:A,[1]android_repos_all_metrics!B:K,9,FALSE)</f>
        <v>27</v>
      </c>
      <c r="AI763">
        <f>VLOOKUP(A:A,[1]android_repos_all_metrics!B:K,10,FALSE)</f>
        <v>0</v>
      </c>
    </row>
    <row r="764" spans="1:35">
      <c r="A764" t="s">
        <v>826</v>
      </c>
      <c r="B764" t="b">
        <v>1</v>
      </c>
      <c r="C764" t="b">
        <v>0</v>
      </c>
      <c r="D764" t="b">
        <v>0</v>
      </c>
      <c r="F764" t="b">
        <v>0</v>
      </c>
      <c r="H764" t="s">
        <v>37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>
        <v>2</v>
      </c>
      <c r="AB764">
        <v>0</v>
      </c>
      <c r="AC764">
        <f>VLOOKUP(A:A,[1]android_repos_all_metrics!B:K,4,FALSE)</f>
        <v>268</v>
      </c>
      <c r="AD764">
        <f>VLOOKUP(A:A,[1]android_repos_all_metrics!B:K,5,FALSE)</f>
        <v>131</v>
      </c>
      <c r="AE764">
        <f>VLOOKUP(A:A,[1]android_repos_all_metrics!B:K,6,FALSE)</f>
        <v>35</v>
      </c>
      <c r="AF764">
        <f>VLOOKUP(A:A,[1]android_repos_all_metrics!B:K,7,FALSE)</f>
        <v>7985</v>
      </c>
      <c r="AG764">
        <f>VLOOKUP(A:A,[1]android_repos_all_metrics!B:K,8,FALSE)</f>
        <v>42</v>
      </c>
      <c r="AH764">
        <f>VLOOKUP(A:A,[1]android_repos_all_metrics!B:K,9,FALSE)</f>
        <v>317</v>
      </c>
      <c r="AI764">
        <f>VLOOKUP(A:A,[1]android_repos_all_metrics!B:K,10,FALSE)</f>
        <v>43</v>
      </c>
    </row>
    <row r="765" spans="1:35">
      <c r="A765" t="s">
        <v>827</v>
      </c>
      <c r="B765" t="b">
        <v>1</v>
      </c>
      <c r="C765" t="b">
        <v>0</v>
      </c>
      <c r="D765" t="b">
        <v>0</v>
      </c>
      <c r="F765" t="b">
        <v>0</v>
      </c>
      <c r="H765" t="s">
        <v>325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>
        <v>2</v>
      </c>
      <c r="AB765">
        <v>0</v>
      </c>
      <c r="AC765">
        <f>VLOOKUP(A:A,[1]android_repos_all_metrics!B:K,4,FALSE)</f>
        <v>9412</v>
      </c>
      <c r="AD765">
        <f>VLOOKUP(A:A,[1]android_repos_all_metrics!B:K,5,FALSE)</f>
        <v>952</v>
      </c>
      <c r="AE765">
        <f>VLOOKUP(A:A,[1]android_repos_all_metrics!B:K,6,FALSE)</f>
        <v>20</v>
      </c>
      <c r="AF765">
        <f>VLOOKUP(A:A,[1]android_repos_all_metrics!B:K,7,FALSE)</f>
        <v>245031</v>
      </c>
      <c r="AG765">
        <f>VLOOKUP(A:A,[1]android_repos_all_metrics!B:K,8,FALSE)</f>
        <v>116</v>
      </c>
      <c r="AH765">
        <f>VLOOKUP(A:A,[1]android_repos_all_metrics!B:K,9,FALSE)</f>
        <v>951</v>
      </c>
      <c r="AI765">
        <f>VLOOKUP(A:A,[1]android_repos_all_metrics!B:K,10,FALSE)</f>
        <v>209</v>
      </c>
    </row>
    <row r="766" spans="1:35">
      <c r="A766" t="s">
        <v>828</v>
      </c>
      <c r="B766" t="b">
        <v>1</v>
      </c>
      <c r="C766" t="b">
        <v>0</v>
      </c>
      <c r="D766" t="b">
        <v>0</v>
      </c>
      <c r="F766" t="b">
        <v>0</v>
      </c>
      <c r="H766" t="s">
        <v>43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>
        <v>1</v>
      </c>
      <c r="AB766">
        <v>0</v>
      </c>
      <c r="AC766">
        <f>VLOOKUP(A:A,[1]android_repos_all_metrics!B:K,4,FALSE)</f>
        <v>171</v>
      </c>
      <c r="AD766">
        <f>VLOOKUP(A:A,[1]android_repos_all_metrics!B:K,5,FALSE)</f>
        <v>63</v>
      </c>
      <c r="AE766">
        <f>VLOOKUP(A:A,[1]android_repos_all_metrics!B:K,6,FALSE)</f>
        <v>3</v>
      </c>
      <c r="AF766">
        <f>VLOOKUP(A:A,[1]android_repos_all_metrics!B:K,7,FALSE)</f>
        <v>28374</v>
      </c>
      <c r="AG766">
        <f>VLOOKUP(A:A,[1]android_repos_all_metrics!B:K,8,FALSE)</f>
        <v>53</v>
      </c>
      <c r="AH766">
        <f>VLOOKUP(A:A,[1]android_repos_all_metrics!B:K,9,FALSE)</f>
        <v>706</v>
      </c>
      <c r="AI766">
        <f>VLOOKUP(A:A,[1]android_repos_all_metrics!B:K,10,FALSE)</f>
        <v>0</v>
      </c>
    </row>
    <row r="767" spans="1:35">
      <c r="A767" t="s">
        <v>829</v>
      </c>
      <c r="B767" t="b">
        <v>1</v>
      </c>
      <c r="C767" t="b">
        <v>0</v>
      </c>
      <c r="D767" t="b">
        <v>0</v>
      </c>
      <c r="F767" t="b">
        <v>0</v>
      </c>
      <c r="H767" t="s">
        <v>37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>
        <v>2</v>
      </c>
      <c r="AB767">
        <v>0</v>
      </c>
      <c r="AC767">
        <f>VLOOKUP(A:A,[1]android_repos_all_metrics!B:K,4,FALSE)</f>
        <v>90</v>
      </c>
      <c r="AD767">
        <f>VLOOKUP(A:A,[1]android_repos_all_metrics!B:K,5,FALSE)</f>
        <v>7</v>
      </c>
      <c r="AE767">
        <f>VLOOKUP(A:A,[1]android_repos_all_metrics!B:K,6,FALSE)</f>
        <v>2</v>
      </c>
      <c r="AF767">
        <f>VLOOKUP(A:A,[1]android_repos_all_metrics!B:K,7,FALSE)</f>
        <v>472</v>
      </c>
      <c r="AG767">
        <f>VLOOKUP(A:A,[1]android_repos_all_metrics!B:K,8,FALSE)</f>
        <v>0</v>
      </c>
      <c r="AH767">
        <f>VLOOKUP(A:A,[1]android_repos_all_metrics!B:K,9,FALSE)</f>
        <v>4</v>
      </c>
      <c r="AI767">
        <f>VLOOKUP(A:A,[1]android_repos_all_metrics!B:K,10,FALSE)</f>
        <v>2</v>
      </c>
    </row>
    <row r="768" spans="1:35">
      <c r="A768" t="s">
        <v>830</v>
      </c>
      <c r="B768" t="b">
        <v>1</v>
      </c>
      <c r="C768" t="b">
        <v>1</v>
      </c>
      <c r="D768" t="b">
        <v>1</v>
      </c>
      <c r="E768" t="s">
        <v>36</v>
      </c>
      <c r="F768" t="b">
        <v>0</v>
      </c>
      <c r="H768" t="s">
        <v>37</v>
      </c>
      <c r="I768" t="s">
        <v>37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>
        <v>1</v>
      </c>
      <c r="AA768">
        <v>1</v>
      </c>
      <c r="AB768">
        <v>0</v>
      </c>
      <c r="AC768">
        <f>VLOOKUP(A:A,[1]android_repos_all_metrics!B:K,4,FALSE)</f>
        <v>97</v>
      </c>
      <c r="AD768">
        <f>VLOOKUP(A:A,[1]android_repos_all_metrics!B:K,5,FALSE)</f>
        <v>5</v>
      </c>
      <c r="AE768">
        <f>VLOOKUP(A:A,[1]android_repos_all_metrics!B:K,6,FALSE)</f>
        <v>1</v>
      </c>
      <c r="AF768">
        <f>VLOOKUP(A:A,[1]android_repos_all_metrics!B:K,7,FALSE)</f>
        <v>253</v>
      </c>
      <c r="AG768">
        <f>VLOOKUP(A:A,[1]android_repos_all_metrics!B:K,8,FALSE)</f>
        <v>85</v>
      </c>
      <c r="AH768">
        <f>VLOOKUP(A:A,[1]android_repos_all_metrics!B:K,9,FALSE)</f>
        <v>67</v>
      </c>
      <c r="AI768">
        <f>VLOOKUP(A:A,[1]android_repos_all_metrics!B:K,10,FALSE)</f>
        <v>8</v>
      </c>
    </row>
    <row r="769" spans="1:35">
      <c r="A769" t="s">
        <v>831</v>
      </c>
      <c r="B769" t="b">
        <v>0</v>
      </c>
      <c r="C769" t="b">
        <v>0</v>
      </c>
      <c r="D769" t="b">
        <v>0</v>
      </c>
      <c r="F769" t="b">
        <v>0</v>
      </c>
      <c r="H769" t="s">
        <v>41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>
        <v>1</v>
      </c>
      <c r="AB769">
        <v>0</v>
      </c>
      <c r="AC769">
        <f>VLOOKUP(A:A,[1]android_repos_all_metrics!B:K,4,FALSE)</f>
        <v>31</v>
      </c>
      <c r="AD769">
        <f>VLOOKUP(A:A,[1]android_repos_all_metrics!B:K,5,FALSE)</f>
        <v>3</v>
      </c>
      <c r="AE769">
        <f>VLOOKUP(A:A,[1]android_repos_all_metrics!B:K,6,FALSE)</f>
        <v>2</v>
      </c>
      <c r="AF769">
        <f>VLOOKUP(A:A,[1]android_repos_all_metrics!B:K,7,FALSE)</f>
        <v>187</v>
      </c>
      <c r="AG769">
        <f>VLOOKUP(A:A,[1]android_repos_all_metrics!B:K,8,FALSE)</f>
        <v>2</v>
      </c>
      <c r="AH769">
        <f>VLOOKUP(A:A,[1]android_repos_all_metrics!B:K,9,FALSE)</f>
        <v>1</v>
      </c>
      <c r="AI769">
        <f>VLOOKUP(A:A,[1]android_repos_all_metrics!B:K,10,FALSE)</f>
        <v>1</v>
      </c>
    </row>
    <row r="770" spans="1:35">
      <c r="A770" t="s">
        <v>832</v>
      </c>
      <c r="B770" t="b">
        <v>1</v>
      </c>
      <c r="C770" t="b">
        <v>0</v>
      </c>
      <c r="D770" t="b">
        <v>0</v>
      </c>
      <c r="F770" t="b">
        <v>0</v>
      </c>
      <c r="H770" t="s">
        <v>37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>
        <v>1</v>
      </c>
      <c r="AB770">
        <v>0</v>
      </c>
      <c r="AC770">
        <f>VLOOKUP(A:A,[1]android_repos_all_metrics!B:K,4,FALSE)</f>
        <v>17</v>
      </c>
      <c r="AD770">
        <f>VLOOKUP(A:A,[1]android_repos_all_metrics!B:K,5,FALSE)</f>
        <v>0</v>
      </c>
      <c r="AE770">
        <f>VLOOKUP(A:A,[1]android_repos_all_metrics!B:K,6,FALSE)</f>
        <v>1</v>
      </c>
      <c r="AF770">
        <f>VLOOKUP(A:A,[1]android_repos_all_metrics!B:K,7,FALSE)</f>
        <v>946</v>
      </c>
      <c r="AG770">
        <f>VLOOKUP(A:A,[1]android_repos_all_metrics!B:K,8,FALSE)</f>
        <v>0</v>
      </c>
      <c r="AH770">
        <f>VLOOKUP(A:A,[1]android_repos_all_metrics!B:K,9,FALSE)</f>
        <v>1</v>
      </c>
      <c r="AI770">
        <f>VLOOKUP(A:A,[1]android_repos_all_metrics!B:K,10,FALSE)</f>
        <v>0</v>
      </c>
    </row>
    <row r="771" spans="1:35">
      <c r="A771" t="s">
        <v>833</v>
      </c>
      <c r="B771" t="b">
        <v>1</v>
      </c>
      <c r="C771" t="b">
        <v>0</v>
      </c>
      <c r="D771" t="b">
        <v>0</v>
      </c>
      <c r="F771" t="b">
        <v>0</v>
      </c>
      <c r="H771" t="s">
        <v>86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>
        <v>2</v>
      </c>
      <c r="AB771">
        <v>0</v>
      </c>
      <c r="AC771">
        <f>VLOOKUP(A:A,[1]android_repos_all_metrics!B:K,4,FALSE)</f>
        <v>90</v>
      </c>
      <c r="AD771">
        <f>VLOOKUP(A:A,[1]android_repos_all_metrics!B:K,5,FALSE)</f>
        <v>0</v>
      </c>
      <c r="AE771">
        <f>VLOOKUP(A:A,[1]android_repos_all_metrics!B:K,6,FALSE)</f>
        <v>1</v>
      </c>
      <c r="AF771">
        <f>VLOOKUP(A:A,[1]android_repos_all_metrics!B:K,7,FALSE)</f>
        <v>2571</v>
      </c>
      <c r="AG771">
        <f>VLOOKUP(A:A,[1]android_repos_all_metrics!B:K,8,FALSE)</f>
        <v>4</v>
      </c>
      <c r="AH771">
        <f>VLOOKUP(A:A,[1]android_repos_all_metrics!B:K,9,FALSE)</f>
        <v>5</v>
      </c>
      <c r="AI771">
        <f>VLOOKUP(A:A,[1]android_repos_all_metrics!B:K,10,FALSE)</f>
        <v>0</v>
      </c>
    </row>
    <row r="772" spans="1:35">
      <c r="A772" t="s">
        <v>834</v>
      </c>
      <c r="B772" t="b">
        <v>1</v>
      </c>
      <c r="C772" t="b">
        <v>0</v>
      </c>
      <c r="D772" t="b">
        <v>0</v>
      </c>
      <c r="F772" t="b">
        <v>0</v>
      </c>
      <c r="H772" t="s">
        <v>37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>
        <v>1</v>
      </c>
      <c r="AB772">
        <v>0</v>
      </c>
      <c r="AC772">
        <f>VLOOKUP(A:A,[1]android_repos_all_metrics!B:K,4,FALSE)</f>
        <v>435</v>
      </c>
      <c r="AD772">
        <f>VLOOKUP(A:A,[1]android_repos_all_metrics!B:K,5,FALSE)</f>
        <v>27</v>
      </c>
      <c r="AE772">
        <f>VLOOKUP(A:A,[1]android_repos_all_metrics!B:K,6,FALSE)</f>
        <v>2</v>
      </c>
      <c r="AF772">
        <f>VLOOKUP(A:A,[1]android_repos_all_metrics!B:K,7,FALSE)</f>
        <v>8794</v>
      </c>
      <c r="AG772">
        <f>VLOOKUP(A:A,[1]android_repos_all_metrics!B:K,8,FALSE)</f>
        <v>11</v>
      </c>
      <c r="AH772">
        <f>VLOOKUP(A:A,[1]android_repos_all_metrics!B:K,9,FALSE)</f>
        <v>133</v>
      </c>
      <c r="AI772">
        <f>VLOOKUP(A:A,[1]android_repos_all_metrics!B:K,10,FALSE)</f>
        <v>0</v>
      </c>
    </row>
    <row r="773" spans="1:35">
      <c r="A773" t="s">
        <v>835</v>
      </c>
      <c r="B773" t="b">
        <v>0</v>
      </c>
      <c r="C773" t="b">
        <v>0</v>
      </c>
      <c r="D773" t="b">
        <v>0</v>
      </c>
      <c r="F773" t="b">
        <v>0</v>
      </c>
      <c r="H773" t="s">
        <v>41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>
        <v>1</v>
      </c>
      <c r="AB773">
        <v>0</v>
      </c>
      <c r="AC773">
        <f>VLOOKUP(A:A,[1]android_repos_all_metrics!B:K,4,FALSE)</f>
        <v>809</v>
      </c>
      <c r="AD773">
        <f>VLOOKUP(A:A,[1]android_repos_all_metrics!B:K,5,FALSE)</f>
        <v>51</v>
      </c>
      <c r="AE773">
        <f>VLOOKUP(A:A,[1]android_repos_all_metrics!B:K,6,FALSE)</f>
        <v>22</v>
      </c>
      <c r="AF773">
        <f>VLOOKUP(A:A,[1]android_repos_all_metrics!B:K,7,FALSE)</f>
        <v>31232</v>
      </c>
      <c r="AG773">
        <f>VLOOKUP(A:A,[1]android_repos_all_metrics!B:K,8,FALSE)</f>
        <v>8</v>
      </c>
      <c r="AH773">
        <f>VLOOKUP(A:A,[1]android_repos_all_metrics!B:K,9,FALSE)</f>
        <v>18</v>
      </c>
      <c r="AI773">
        <f>VLOOKUP(A:A,[1]android_repos_all_metrics!B:K,10,FALSE)</f>
        <v>4</v>
      </c>
    </row>
    <row r="774" spans="1:35">
      <c r="A774" t="s">
        <v>836</v>
      </c>
      <c r="B774" t="b">
        <v>1</v>
      </c>
      <c r="C774" t="b">
        <v>1</v>
      </c>
      <c r="D774" t="b">
        <v>1</v>
      </c>
      <c r="E774" t="s">
        <v>36</v>
      </c>
      <c r="F774" t="b">
        <v>0</v>
      </c>
      <c r="H774" t="s">
        <v>37</v>
      </c>
      <c r="I774" t="s">
        <v>37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1</v>
      </c>
      <c r="W774" t="b">
        <v>0</v>
      </c>
      <c r="X774" t="b">
        <v>1</v>
      </c>
      <c r="Y774" t="b">
        <v>0</v>
      </c>
      <c r="Z774">
        <v>3</v>
      </c>
      <c r="AA774">
        <v>2</v>
      </c>
      <c r="AB774">
        <v>0</v>
      </c>
      <c r="AC774">
        <f>VLOOKUP(A:A,[1]android_repos_all_metrics!B:K,4,FALSE)</f>
        <v>193</v>
      </c>
      <c r="AD774">
        <f>VLOOKUP(A:A,[1]android_repos_all_metrics!B:K,5,FALSE)</f>
        <v>31</v>
      </c>
      <c r="AE774">
        <f>VLOOKUP(A:A,[1]android_repos_all_metrics!B:K,6,FALSE)</f>
        <v>2</v>
      </c>
      <c r="AF774">
        <f>VLOOKUP(A:A,[1]android_repos_all_metrics!B:K,7,FALSE)</f>
        <v>5863</v>
      </c>
      <c r="AG774">
        <f>VLOOKUP(A:A,[1]android_repos_all_metrics!B:K,8,FALSE)</f>
        <v>0</v>
      </c>
      <c r="AH774">
        <f>VLOOKUP(A:A,[1]android_repos_all_metrics!B:K,9,FALSE)</f>
        <v>1</v>
      </c>
      <c r="AI774">
        <f>VLOOKUP(A:A,[1]android_repos_all_metrics!B:K,10,FALSE)</f>
        <v>0</v>
      </c>
    </row>
    <row r="775" spans="1:35">
      <c r="A775" t="s">
        <v>837</v>
      </c>
      <c r="B775" t="b">
        <v>1</v>
      </c>
      <c r="C775" t="b">
        <v>0</v>
      </c>
      <c r="D775" t="b">
        <v>0</v>
      </c>
      <c r="F775" t="b">
        <v>0</v>
      </c>
      <c r="H775" t="s">
        <v>41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>
        <v>1</v>
      </c>
      <c r="AB775">
        <v>0</v>
      </c>
      <c r="AC775">
        <f>VLOOKUP(A:A,[1]android_repos_all_metrics!B:K,4,FALSE)</f>
        <v>577</v>
      </c>
      <c r="AD775">
        <f>VLOOKUP(A:A,[1]android_repos_all_metrics!B:K,5,FALSE)</f>
        <v>162</v>
      </c>
      <c r="AE775">
        <f>VLOOKUP(A:A,[1]android_repos_all_metrics!B:K,6,FALSE)</f>
        <v>3</v>
      </c>
      <c r="AF775">
        <f>VLOOKUP(A:A,[1]android_repos_all_metrics!B:K,7,FALSE)</f>
        <v>128461</v>
      </c>
      <c r="AG775">
        <f>VLOOKUP(A:A,[1]android_repos_all_metrics!B:K,8,FALSE)</f>
        <v>7</v>
      </c>
      <c r="AH775">
        <f>VLOOKUP(A:A,[1]android_repos_all_metrics!B:K,9,FALSE)</f>
        <v>9</v>
      </c>
      <c r="AI775">
        <f>VLOOKUP(A:A,[1]android_repos_all_metrics!B:K,10,FALSE)</f>
        <v>18</v>
      </c>
    </row>
    <row r="776" spans="1:35">
      <c r="A776" t="s">
        <v>838</v>
      </c>
      <c r="B776" t="b">
        <v>0</v>
      </c>
      <c r="C776" t="b">
        <v>0</v>
      </c>
      <c r="D776" t="b">
        <v>0</v>
      </c>
      <c r="F776" t="b">
        <v>0</v>
      </c>
      <c r="H776" t="s">
        <v>41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>
        <v>1</v>
      </c>
      <c r="AB776">
        <v>0</v>
      </c>
      <c r="AC776">
        <f>VLOOKUP(A:A,[1]android_repos_all_metrics!B:K,4,FALSE)</f>
        <v>21</v>
      </c>
      <c r="AD776">
        <f>VLOOKUP(A:A,[1]android_repos_all_metrics!B:K,5,FALSE)</f>
        <v>0</v>
      </c>
      <c r="AE776">
        <f>VLOOKUP(A:A,[1]android_repos_all_metrics!B:K,6,FALSE)</f>
        <v>1</v>
      </c>
      <c r="AF776">
        <f>VLOOKUP(A:A,[1]android_repos_all_metrics!B:K,7,FALSE)</f>
        <v>202</v>
      </c>
      <c r="AG776">
        <f>VLOOKUP(A:A,[1]android_repos_all_metrics!B:K,8,FALSE)</f>
        <v>3</v>
      </c>
      <c r="AH776">
        <f>VLOOKUP(A:A,[1]android_repos_all_metrics!B:K,9,FALSE)</f>
        <v>6</v>
      </c>
      <c r="AI776">
        <f>VLOOKUP(A:A,[1]android_repos_all_metrics!B:K,10,FALSE)</f>
        <v>0</v>
      </c>
    </row>
    <row r="777" spans="1:35">
      <c r="A777" t="s">
        <v>839</v>
      </c>
      <c r="B777" t="b">
        <v>1</v>
      </c>
      <c r="C777" t="b">
        <v>0</v>
      </c>
      <c r="D777" t="b">
        <v>0</v>
      </c>
      <c r="F777" t="b">
        <v>0</v>
      </c>
      <c r="H777" t="s">
        <v>41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>
        <v>1</v>
      </c>
      <c r="AB777">
        <v>0</v>
      </c>
      <c r="AC777">
        <f>VLOOKUP(A:A,[1]android_repos_all_metrics!B:K,4,FALSE)</f>
        <v>116</v>
      </c>
      <c r="AD777">
        <f>VLOOKUP(A:A,[1]android_repos_all_metrics!B:K,5,FALSE)</f>
        <v>5</v>
      </c>
      <c r="AE777">
        <f>VLOOKUP(A:A,[1]android_repos_all_metrics!B:K,6,FALSE)</f>
        <v>1</v>
      </c>
      <c r="AF777">
        <f>VLOOKUP(A:A,[1]android_repos_all_metrics!B:K,7,FALSE)</f>
        <v>12744</v>
      </c>
      <c r="AG777">
        <f>VLOOKUP(A:A,[1]android_repos_all_metrics!B:K,8,FALSE)</f>
        <v>238</v>
      </c>
      <c r="AH777">
        <f>VLOOKUP(A:A,[1]android_repos_all_metrics!B:K,9,FALSE)</f>
        <v>481</v>
      </c>
      <c r="AI777">
        <f>VLOOKUP(A:A,[1]android_repos_all_metrics!B:K,10,FALSE)</f>
        <v>2</v>
      </c>
    </row>
    <row r="778" spans="1:35">
      <c r="A778" t="s">
        <v>840</v>
      </c>
      <c r="B778" t="b">
        <v>0</v>
      </c>
      <c r="C778" t="b">
        <v>0</v>
      </c>
      <c r="D778" t="b">
        <v>0</v>
      </c>
      <c r="F778" t="b">
        <v>0</v>
      </c>
      <c r="H778" t="s">
        <v>41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>
        <v>1</v>
      </c>
      <c r="AB778">
        <v>0</v>
      </c>
      <c r="AC778">
        <f>VLOOKUP(A:A,[1]android_repos_all_metrics!B:K,4,FALSE)</f>
        <v>569</v>
      </c>
      <c r="AD778">
        <f>VLOOKUP(A:A,[1]android_repos_all_metrics!B:K,5,FALSE)</f>
        <v>106</v>
      </c>
      <c r="AE778">
        <f>VLOOKUP(A:A,[1]android_repos_all_metrics!B:K,6,FALSE)</f>
        <v>21</v>
      </c>
      <c r="AF778">
        <f>VLOOKUP(A:A,[1]android_repos_all_metrics!B:K,7,FALSE)</f>
        <v>55974</v>
      </c>
      <c r="AG778">
        <f>VLOOKUP(A:A,[1]android_repos_all_metrics!B:K,8,FALSE)</f>
        <v>61</v>
      </c>
      <c r="AH778">
        <f>VLOOKUP(A:A,[1]android_repos_all_metrics!B:K,9,FALSE)</f>
        <v>308</v>
      </c>
      <c r="AI778">
        <f>VLOOKUP(A:A,[1]android_repos_all_metrics!B:K,10,FALSE)</f>
        <v>147</v>
      </c>
    </row>
    <row r="779" spans="1:35">
      <c r="A779" t="s">
        <v>841</v>
      </c>
      <c r="B779" t="b">
        <v>0</v>
      </c>
      <c r="C779" t="b">
        <v>0</v>
      </c>
      <c r="D779" t="b">
        <v>0</v>
      </c>
      <c r="F779" t="b">
        <v>0</v>
      </c>
      <c r="H779" t="s">
        <v>41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>
        <v>1</v>
      </c>
      <c r="AB779">
        <v>0</v>
      </c>
      <c r="AC779">
        <f>VLOOKUP(A:A,[1]android_repos_all_metrics!B:K,4,FALSE)</f>
        <v>2029</v>
      </c>
      <c r="AD779">
        <f>VLOOKUP(A:A,[1]android_repos_all_metrics!B:K,5,FALSE)</f>
        <v>0</v>
      </c>
      <c r="AE779">
        <f>VLOOKUP(A:A,[1]android_repos_all_metrics!B:K,6,FALSE)</f>
        <v>3</v>
      </c>
      <c r="AF779">
        <f>VLOOKUP(A:A,[1]android_repos_all_metrics!B:K,7,FALSE)</f>
        <v>6879</v>
      </c>
      <c r="AG779">
        <f>VLOOKUP(A:A,[1]android_repos_all_metrics!B:K,8,FALSE)</f>
        <v>1</v>
      </c>
      <c r="AH779">
        <f>VLOOKUP(A:A,[1]android_repos_all_metrics!B:K,9,FALSE)</f>
        <v>4</v>
      </c>
      <c r="AI779">
        <f>VLOOKUP(A:A,[1]android_repos_all_metrics!B:K,10,FALSE)</f>
        <v>0</v>
      </c>
    </row>
    <row r="780" spans="1:35">
      <c r="A780" t="s">
        <v>842</v>
      </c>
      <c r="B780" t="b">
        <v>1</v>
      </c>
      <c r="C780" t="b">
        <v>1</v>
      </c>
      <c r="D780" t="b">
        <v>0</v>
      </c>
      <c r="F780" t="b">
        <v>1</v>
      </c>
      <c r="G780" t="s">
        <v>39</v>
      </c>
      <c r="H780" t="s">
        <v>41</v>
      </c>
      <c r="I780" t="s">
        <v>41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>
        <v>1</v>
      </c>
      <c r="AB780">
        <v>0</v>
      </c>
      <c r="AC780">
        <f>VLOOKUP(A:A,[1]android_repos_all_metrics!B:K,4,FALSE)</f>
        <v>74</v>
      </c>
      <c r="AD780">
        <f>VLOOKUP(A:A,[1]android_repos_all_metrics!B:K,5,FALSE)</f>
        <v>3</v>
      </c>
      <c r="AE780">
        <f>VLOOKUP(A:A,[1]android_repos_all_metrics!B:K,6,FALSE)</f>
        <v>2</v>
      </c>
      <c r="AF780">
        <f>VLOOKUP(A:A,[1]android_repos_all_metrics!B:K,7,FALSE)</f>
        <v>1521</v>
      </c>
      <c r="AG780">
        <f>VLOOKUP(A:A,[1]android_repos_all_metrics!B:K,8,FALSE)</f>
        <v>31</v>
      </c>
      <c r="AH780">
        <f>VLOOKUP(A:A,[1]android_repos_all_metrics!B:K,9,FALSE)</f>
        <v>243</v>
      </c>
      <c r="AI780">
        <f>VLOOKUP(A:A,[1]android_repos_all_metrics!B:K,10,FALSE)</f>
        <v>2</v>
      </c>
    </row>
    <row r="781" spans="1:35">
      <c r="A781" t="s">
        <v>843</v>
      </c>
      <c r="B781" t="b">
        <v>1</v>
      </c>
      <c r="C781" t="b">
        <v>0</v>
      </c>
      <c r="D781" t="b">
        <v>0</v>
      </c>
      <c r="F781" t="b">
        <v>0</v>
      </c>
      <c r="H781" t="s">
        <v>37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>
        <v>1</v>
      </c>
      <c r="AB781">
        <v>0</v>
      </c>
      <c r="AC781">
        <f>VLOOKUP(A:A,[1]android_repos_all_metrics!B:K,4,FALSE)</f>
        <v>335</v>
      </c>
      <c r="AD781">
        <f>VLOOKUP(A:A,[1]android_repos_all_metrics!B:K,5,FALSE)</f>
        <v>13</v>
      </c>
      <c r="AE781">
        <f>VLOOKUP(A:A,[1]android_repos_all_metrics!B:K,6,FALSE)</f>
        <v>5</v>
      </c>
      <c r="AF781">
        <f>VLOOKUP(A:A,[1]android_repos_all_metrics!B:K,7,FALSE)</f>
        <v>24907</v>
      </c>
      <c r="AG781">
        <f>VLOOKUP(A:A,[1]android_repos_all_metrics!B:K,8,FALSE)</f>
        <v>16</v>
      </c>
      <c r="AH781">
        <f>VLOOKUP(A:A,[1]android_repos_all_metrics!B:K,9,FALSE)</f>
        <v>233</v>
      </c>
      <c r="AI781">
        <f>VLOOKUP(A:A,[1]android_repos_all_metrics!B:K,10,FALSE)</f>
        <v>34</v>
      </c>
    </row>
    <row r="782" spans="1:35">
      <c r="A782" t="s">
        <v>844</v>
      </c>
      <c r="B782" t="b">
        <v>1</v>
      </c>
      <c r="C782" t="b">
        <v>0</v>
      </c>
      <c r="D782" t="b">
        <v>0</v>
      </c>
      <c r="F782" t="b">
        <v>0</v>
      </c>
      <c r="H782" t="s">
        <v>37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>
        <v>2</v>
      </c>
      <c r="AB782">
        <v>0</v>
      </c>
      <c r="AC782">
        <f>VLOOKUP(A:A,[1]android_repos_all_metrics!B:K,4,FALSE)</f>
        <v>83</v>
      </c>
      <c r="AD782">
        <f>VLOOKUP(A:A,[1]android_repos_all_metrics!B:K,5,FALSE)</f>
        <v>16</v>
      </c>
      <c r="AE782">
        <f>VLOOKUP(A:A,[1]android_repos_all_metrics!B:K,6,FALSE)</f>
        <v>15</v>
      </c>
      <c r="AF782">
        <f>VLOOKUP(A:A,[1]android_repos_all_metrics!B:K,7,FALSE)</f>
        <v>3496</v>
      </c>
      <c r="AG782">
        <f>VLOOKUP(A:A,[1]android_repos_all_metrics!B:K,8,FALSE)</f>
        <v>50</v>
      </c>
      <c r="AH782">
        <f>VLOOKUP(A:A,[1]android_repos_all_metrics!B:K,9,FALSE)</f>
        <v>239</v>
      </c>
      <c r="AI782">
        <f>VLOOKUP(A:A,[1]android_repos_all_metrics!B:K,10,FALSE)</f>
        <v>28</v>
      </c>
    </row>
    <row r="783" spans="1:35">
      <c r="A783" t="s">
        <v>845</v>
      </c>
      <c r="B783" t="b">
        <v>1</v>
      </c>
      <c r="C783" t="b">
        <v>0</v>
      </c>
      <c r="D783" t="b">
        <v>0</v>
      </c>
      <c r="F783" t="b">
        <v>0</v>
      </c>
      <c r="H783" t="s">
        <v>37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>
        <v>1</v>
      </c>
      <c r="AB783">
        <v>0</v>
      </c>
      <c r="AC783">
        <f>VLOOKUP(A:A,[1]android_repos_all_metrics!B:K,4,FALSE)</f>
        <v>4</v>
      </c>
      <c r="AD783">
        <f>VLOOKUP(A:A,[1]android_repos_all_metrics!B:K,5,FALSE)</f>
        <v>1</v>
      </c>
      <c r="AE783">
        <f>VLOOKUP(A:A,[1]android_repos_all_metrics!B:K,6,FALSE)</f>
        <v>2</v>
      </c>
      <c r="AF783">
        <f>VLOOKUP(A:A,[1]android_repos_all_metrics!B:K,7,FALSE)</f>
        <v>617</v>
      </c>
      <c r="AG783">
        <f>VLOOKUP(A:A,[1]android_repos_all_metrics!B:K,8,FALSE)</f>
        <v>1</v>
      </c>
      <c r="AH783">
        <f>VLOOKUP(A:A,[1]android_repos_all_metrics!B:K,9,FALSE)</f>
        <v>4</v>
      </c>
      <c r="AI783">
        <f>VLOOKUP(A:A,[1]android_repos_all_metrics!B:K,10,FALSE)</f>
        <v>1</v>
      </c>
    </row>
    <row r="784" spans="1:35">
      <c r="A784" t="s">
        <v>846</v>
      </c>
      <c r="B784" t="b">
        <v>1</v>
      </c>
      <c r="C784" t="b">
        <v>1</v>
      </c>
      <c r="D784" t="b">
        <v>0</v>
      </c>
      <c r="F784" t="b">
        <v>1</v>
      </c>
      <c r="G784" t="s">
        <v>39</v>
      </c>
      <c r="H784" t="s">
        <v>41</v>
      </c>
      <c r="I784" t="s">
        <v>41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>
        <v>1</v>
      </c>
      <c r="AB784">
        <v>0</v>
      </c>
      <c r="AC784">
        <f>VLOOKUP(A:A,[1]android_repos_all_metrics!B:K,4,FALSE)</f>
        <v>104</v>
      </c>
      <c r="AD784">
        <f>VLOOKUP(A:A,[1]android_repos_all_metrics!B:K,5,FALSE)</f>
        <v>30</v>
      </c>
      <c r="AE784">
        <f>VLOOKUP(A:A,[1]android_repos_all_metrics!B:K,6,FALSE)</f>
        <v>6</v>
      </c>
      <c r="AF784">
        <f>VLOOKUP(A:A,[1]android_repos_all_metrics!B:K,7,FALSE)</f>
        <v>25332</v>
      </c>
      <c r="AG784">
        <f>VLOOKUP(A:A,[1]android_repos_all_metrics!B:K,8,FALSE)</f>
        <v>1</v>
      </c>
      <c r="AH784">
        <f>VLOOKUP(A:A,[1]android_repos_all_metrics!B:K,9,FALSE)</f>
        <v>1</v>
      </c>
      <c r="AI784">
        <f>VLOOKUP(A:A,[1]android_repos_all_metrics!B:K,10,FALSE)</f>
        <v>5</v>
      </c>
    </row>
    <row r="785" spans="1:35">
      <c r="A785" t="s">
        <v>847</v>
      </c>
      <c r="B785" t="b">
        <v>1</v>
      </c>
      <c r="C785" t="b">
        <v>0</v>
      </c>
      <c r="D785" t="b">
        <v>0</v>
      </c>
      <c r="F785" t="b">
        <v>0</v>
      </c>
      <c r="H785" t="s">
        <v>37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>
        <v>2</v>
      </c>
      <c r="AB785">
        <v>0</v>
      </c>
      <c r="AC785">
        <f>VLOOKUP(A:A,[1]android_repos_all_metrics!B:K,4,FALSE)</f>
        <v>217</v>
      </c>
      <c r="AD785">
        <f>VLOOKUP(A:A,[1]android_repos_all_metrics!B:K,5,FALSE)</f>
        <v>38</v>
      </c>
      <c r="AE785">
        <f>VLOOKUP(A:A,[1]android_repos_all_metrics!B:K,6,FALSE)</f>
        <v>1</v>
      </c>
      <c r="AF785">
        <f>VLOOKUP(A:A,[1]android_repos_all_metrics!B:K,7,FALSE)</f>
        <v>24190</v>
      </c>
      <c r="AG785">
        <f>VLOOKUP(A:A,[1]android_repos_all_metrics!B:K,8,FALSE)</f>
        <v>0</v>
      </c>
      <c r="AH785">
        <f>VLOOKUP(A:A,[1]android_repos_all_metrics!B:K,9,FALSE)</f>
        <v>1</v>
      </c>
      <c r="AI785">
        <f>VLOOKUP(A:A,[1]android_repos_all_metrics!B:K,10,FALSE)</f>
        <v>7</v>
      </c>
    </row>
    <row r="786" spans="1:35">
      <c r="A786" t="s">
        <v>848</v>
      </c>
      <c r="B786" t="b">
        <v>0</v>
      </c>
      <c r="C786" t="b">
        <v>0</v>
      </c>
      <c r="D786" t="b">
        <v>0</v>
      </c>
      <c r="F786" t="b">
        <v>0</v>
      </c>
      <c r="H786" t="s">
        <v>41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>
        <v>1</v>
      </c>
      <c r="AB786">
        <v>0</v>
      </c>
      <c r="AC786">
        <f>VLOOKUP(A:A,[1]android_repos_all_metrics!B:K,4,FALSE)</f>
        <v>143</v>
      </c>
      <c r="AD786">
        <f>VLOOKUP(A:A,[1]android_repos_all_metrics!B:K,5,FALSE)</f>
        <v>5</v>
      </c>
      <c r="AE786">
        <f>VLOOKUP(A:A,[1]android_repos_all_metrics!B:K,6,FALSE)</f>
        <v>2</v>
      </c>
      <c r="AF786">
        <f>VLOOKUP(A:A,[1]android_repos_all_metrics!B:K,7,FALSE)</f>
        <v>6287</v>
      </c>
      <c r="AG786">
        <f>VLOOKUP(A:A,[1]android_repos_all_metrics!B:K,8,FALSE)</f>
        <v>8</v>
      </c>
      <c r="AH786">
        <f>VLOOKUP(A:A,[1]android_repos_all_metrics!B:K,9,FALSE)</f>
        <v>22</v>
      </c>
      <c r="AI786">
        <f>VLOOKUP(A:A,[1]android_repos_all_metrics!B:K,10,FALSE)</f>
        <v>7</v>
      </c>
    </row>
    <row r="787" spans="1:35">
      <c r="A787" t="s">
        <v>849</v>
      </c>
      <c r="B787" t="b">
        <v>1</v>
      </c>
      <c r="C787" t="b">
        <v>0</v>
      </c>
      <c r="D787" t="b">
        <v>0</v>
      </c>
      <c r="F787" t="b">
        <v>0</v>
      </c>
      <c r="H787" t="s">
        <v>37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>
        <v>1</v>
      </c>
      <c r="AB787">
        <v>0</v>
      </c>
      <c r="AC787">
        <f>VLOOKUP(A:A,[1]android_repos_all_metrics!B:K,4,FALSE)</f>
        <v>255</v>
      </c>
      <c r="AD787">
        <f>VLOOKUP(A:A,[1]android_repos_all_metrics!B:K,5,FALSE)</f>
        <v>72</v>
      </c>
      <c r="AE787">
        <f>VLOOKUP(A:A,[1]android_repos_all_metrics!B:K,6,FALSE)</f>
        <v>32</v>
      </c>
      <c r="AF787">
        <f>VLOOKUP(A:A,[1]android_repos_all_metrics!B:K,7,FALSE)</f>
        <v>4621</v>
      </c>
      <c r="AG787">
        <f>VLOOKUP(A:A,[1]android_repos_all_metrics!B:K,8,FALSE)</f>
        <v>271</v>
      </c>
      <c r="AH787">
        <f>VLOOKUP(A:A,[1]android_repos_all_metrics!B:K,9,FALSE)</f>
        <v>1815</v>
      </c>
      <c r="AI787">
        <f>VLOOKUP(A:A,[1]android_repos_all_metrics!B:K,10,FALSE)</f>
        <v>16</v>
      </c>
    </row>
    <row r="788" spans="1:35">
      <c r="A788" t="s">
        <v>850</v>
      </c>
      <c r="B788" t="b">
        <v>0</v>
      </c>
      <c r="C788" t="b">
        <v>0</v>
      </c>
      <c r="D788" t="b">
        <v>0</v>
      </c>
      <c r="F788" t="b">
        <v>0</v>
      </c>
      <c r="H788" t="s">
        <v>41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>
        <v>1</v>
      </c>
      <c r="AB788">
        <v>0</v>
      </c>
      <c r="AC788">
        <f>VLOOKUP(A:A,[1]android_repos_all_metrics!B:K,4,FALSE)</f>
        <v>767</v>
      </c>
      <c r="AD788">
        <f>VLOOKUP(A:A,[1]android_repos_all_metrics!B:K,5,FALSE)</f>
        <v>21</v>
      </c>
      <c r="AE788">
        <f>VLOOKUP(A:A,[1]android_repos_all_metrics!B:K,6,FALSE)</f>
        <v>6</v>
      </c>
      <c r="AF788">
        <f>VLOOKUP(A:A,[1]android_repos_all_metrics!B:K,7,FALSE)</f>
        <v>16984</v>
      </c>
      <c r="AG788">
        <f>VLOOKUP(A:A,[1]android_repos_all_metrics!B:K,8,FALSE)</f>
        <v>3</v>
      </c>
      <c r="AH788">
        <f>VLOOKUP(A:A,[1]android_repos_all_metrics!B:K,9,FALSE)</f>
        <v>18</v>
      </c>
      <c r="AI788">
        <f>VLOOKUP(A:A,[1]android_repos_all_metrics!B:K,10,FALSE)</f>
        <v>0</v>
      </c>
    </row>
    <row r="789" spans="1:35">
      <c r="A789" t="s">
        <v>851</v>
      </c>
      <c r="B789" t="b">
        <v>0</v>
      </c>
      <c r="C789" t="b">
        <v>0</v>
      </c>
      <c r="D789" t="b">
        <v>0</v>
      </c>
      <c r="F789" t="b">
        <v>0</v>
      </c>
      <c r="H789" t="s">
        <v>41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>
        <v>1</v>
      </c>
      <c r="AB789">
        <v>0</v>
      </c>
      <c r="AC789">
        <f>VLOOKUP(A:A,[1]android_repos_all_metrics!B:K,4,FALSE)</f>
        <v>258</v>
      </c>
      <c r="AD789">
        <f>VLOOKUP(A:A,[1]android_repos_all_metrics!B:K,5,FALSE)</f>
        <v>88</v>
      </c>
      <c r="AE789">
        <f>VLOOKUP(A:A,[1]android_repos_all_metrics!B:K,6,FALSE)</f>
        <v>28</v>
      </c>
      <c r="AF789">
        <f>VLOOKUP(A:A,[1]android_repos_all_metrics!B:K,7,FALSE)</f>
        <v>17003</v>
      </c>
      <c r="AG789">
        <f>VLOOKUP(A:A,[1]android_repos_all_metrics!B:K,8,FALSE)</f>
        <v>271</v>
      </c>
      <c r="AH789">
        <f>VLOOKUP(A:A,[1]android_repos_all_metrics!B:K,9,FALSE)</f>
        <v>939</v>
      </c>
      <c r="AI789">
        <f>VLOOKUP(A:A,[1]android_repos_all_metrics!B:K,10,FALSE)</f>
        <v>60</v>
      </c>
    </row>
    <row r="790" spans="1:35">
      <c r="A790" t="s">
        <v>852</v>
      </c>
      <c r="B790" t="b">
        <v>0</v>
      </c>
      <c r="C790" t="b">
        <v>0</v>
      </c>
      <c r="D790" t="b">
        <v>0</v>
      </c>
      <c r="F790" t="b">
        <v>0</v>
      </c>
      <c r="H790" t="s">
        <v>41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>
        <v>1</v>
      </c>
      <c r="AB790">
        <v>0</v>
      </c>
      <c r="AC790">
        <f>VLOOKUP(A:A,[1]android_repos_all_metrics!B:K,4,FALSE)</f>
        <v>31</v>
      </c>
      <c r="AD790">
        <f>VLOOKUP(A:A,[1]android_repos_all_metrics!B:K,5,FALSE)</f>
        <v>0</v>
      </c>
      <c r="AE790">
        <f>VLOOKUP(A:A,[1]android_repos_all_metrics!B:K,6,FALSE)</f>
        <v>1</v>
      </c>
      <c r="AF790">
        <f>VLOOKUP(A:A,[1]android_repos_all_metrics!B:K,7,FALSE)</f>
        <v>177893</v>
      </c>
      <c r="AG790">
        <f>VLOOKUP(A:A,[1]android_repos_all_metrics!B:K,8,FALSE)</f>
        <v>132</v>
      </c>
      <c r="AH790">
        <f>VLOOKUP(A:A,[1]android_repos_all_metrics!B:K,9,FALSE)</f>
        <v>377</v>
      </c>
      <c r="AI790">
        <f>VLOOKUP(A:A,[1]android_repos_all_metrics!B:K,10,FALSE)</f>
        <v>4</v>
      </c>
    </row>
    <row r="791" spans="1:35">
      <c r="A791" t="s">
        <v>853</v>
      </c>
      <c r="B791" t="b">
        <v>0</v>
      </c>
      <c r="C791" t="b">
        <v>0</v>
      </c>
      <c r="D791" t="b">
        <v>0</v>
      </c>
      <c r="F791" t="b">
        <v>0</v>
      </c>
      <c r="H791" t="s">
        <v>41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>
        <v>1</v>
      </c>
      <c r="AB791">
        <v>0</v>
      </c>
      <c r="AC791">
        <f>VLOOKUP(A:A,[1]android_repos_all_metrics!B:K,4,FALSE)</f>
        <v>47</v>
      </c>
      <c r="AD791">
        <f>VLOOKUP(A:A,[1]android_repos_all_metrics!B:K,5,FALSE)</f>
        <v>12</v>
      </c>
      <c r="AE791">
        <f>VLOOKUP(A:A,[1]android_repos_all_metrics!B:K,6,FALSE)</f>
        <v>1</v>
      </c>
      <c r="AF791">
        <f>VLOOKUP(A:A,[1]android_repos_all_metrics!B:K,7,FALSE)</f>
        <v>206</v>
      </c>
      <c r="AG791">
        <f>VLOOKUP(A:A,[1]android_repos_all_metrics!B:K,8,FALSE)</f>
        <v>20</v>
      </c>
      <c r="AH791">
        <f>VLOOKUP(A:A,[1]android_repos_all_metrics!B:K,9,FALSE)</f>
        <v>169</v>
      </c>
      <c r="AI791">
        <f>VLOOKUP(A:A,[1]android_repos_all_metrics!B:K,10,FALSE)</f>
        <v>0</v>
      </c>
    </row>
    <row r="792" spans="1:35">
      <c r="A792" t="s">
        <v>854</v>
      </c>
      <c r="B792" t="b">
        <v>0</v>
      </c>
      <c r="C792" t="b">
        <v>0</v>
      </c>
      <c r="D792" t="b">
        <v>0</v>
      </c>
      <c r="F792" t="b">
        <v>0</v>
      </c>
      <c r="H792" t="s">
        <v>41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>
        <v>1</v>
      </c>
      <c r="AB792">
        <v>0</v>
      </c>
      <c r="AC792">
        <f>VLOOKUP(A:A,[1]android_repos_all_metrics!B:K,4,FALSE)</f>
        <v>20</v>
      </c>
      <c r="AD792">
        <f>VLOOKUP(A:A,[1]android_repos_all_metrics!B:K,5,FALSE)</f>
        <v>0</v>
      </c>
      <c r="AE792">
        <f>VLOOKUP(A:A,[1]android_repos_all_metrics!B:K,6,FALSE)</f>
        <v>1</v>
      </c>
      <c r="AF792">
        <f>VLOOKUP(A:A,[1]android_repos_all_metrics!B:K,7,FALSE)</f>
        <v>60679</v>
      </c>
      <c r="AG792">
        <f>VLOOKUP(A:A,[1]android_repos_all_metrics!B:K,8,FALSE)</f>
        <v>8</v>
      </c>
      <c r="AH792">
        <f>VLOOKUP(A:A,[1]android_repos_all_metrics!B:K,9,FALSE)</f>
        <v>39</v>
      </c>
      <c r="AI792">
        <f>VLOOKUP(A:A,[1]android_repos_all_metrics!B:K,10,FALSE)</f>
        <v>0</v>
      </c>
    </row>
    <row r="793" spans="1:35">
      <c r="A793" t="s">
        <v>855</v>
      </c>
      <c r="B793" t="b">
        <v>0</v>
      </c>
      <c r="C793" t="b">
        <v>0</v>
      </c>
      <c r="D793" t="b">
        <v>0</v>
      </c>
      <c r="F793" t="b">
        <v>0</v>
      </c>
      <c r="H793" t="s">
        <v>41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>
        <v>1</v>
      </c>
      <c r="AB793">
        <v>0</v>
      </c>
      <c r="AC793">
        <f>VLOOKUP(A:A,[1]android_repos_all_metrics!B:K,4,FALSE)</f>
        <v>6</v>
      </c>
      <c r="AD793">
        <f>VLOOKUP(A:A,[1]android_repos_all_metrics!B:K,5,FALSE)</f>
        <v>2</v>
      </c>
      <c r="AE793">
        <f>VLOOKUP(A:A,[1]android_repos_all_metrics!B:K,6,FALSE)</f>
        <v>1</v>
      </c>
      <c r="AF793">
        <f>VLOOKUP(A:A,[1]android_repos_all_metrics!B:K,7,FALSE)</f>
        <v>116</v>
      </c>
      <c r="AG793">
        <f>VLOOKUP(A:A,[1]android_repos_all_metrics!B:K,8,FALSE)</f>
        <v>6</v>
      </c>
      <c r="AH793">
        <f>VLOOKUP(A:A,[1]android_repos_all_metrics!B:K,9,FALSE)</f>
        <v>22</v>
      </c>
      <c r="AI793">
        <f>VLOOKUP(A:A,[1]android_repos_all_metrics!B:K,10,FALSE)</f>
        <v>0</v>
      </c>
    </row>
    <row r="794" spans="1:35">
      <c r="A794" t="s">
        <v>856</v>
      </c>
      <c r="B794" t="b">
        <v>1</v>
      </c>
      <c r="C794" t="b">
        <v>1</v>
      </c>
      <c r="D794" t="b">
        <v>1</v>
      </c>
      <c r="E794" t="s">
        <v>36</v>
      </c>
      <c r="F794" t="b">
        <v>0</v>
      </c>
      <c r="H794" t="s">
        <v>37</v>
      </c>
      <c r="I794" t="s">
        <v>37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>
        <v>1</v>
      </c>
      <c r="AA794">
        <v>6</v>
      </c>
      <c r="AB794">
        <v>0</v>
      </c>
      <c r="AC794">
        <f>VLOOKUP(A:A,[1]android_repos_all_metrics!B:K,4,FALSE)</f>
        <v>281</v>
      </c>
      <c r="AD794">
        <f>VLOOKUP(A:A,[1]android_repos_all_metrics!B:K,5,FALSE)</f>
        <v>37</v>
      </c>
      <c r="AE794">
        <f>VLOOKUP(A:A,[1]android_repos_all_metrics!B:K,6,FALSE)</f>
        <v>5</v>
      </c>
      <c r="AF794">
        <f>VLOOKUP(A:A,[1]android_repos_all_metrics!B:K,7,FALSE)</f>
        <v>78355</v>
      </c>
      <c r="AG794">
        <f>VLOOKUP(A:A,[1]android_repos_all_metrics!B:K,8,FALSE)</f>
        <v>75</v>
      </c>
      <c r="AH794">
        <f>VLOOKUP(A:A,[1]android_repos_all_metrics!B:K,9,FALSE)</f>
        <v>215</v>
      </c>
      <c r="AI794">
        <f>VLOOKUP(A:A,[1]android_repos_all_metrics!B:K,10,FALSE)</f>
        <v>27</v>
      </c>
    </row>
    <row r="795" spans="1:35">
      <c r="A795" t="s">
        <v>857</v>
      </c>
      <c r="B795" t="b">
        <v>1</v>
      </c>
      <c r="C795" t="b">
        <v>0</v>
      </c>
      <c r="D795" t="b">
        <v>0</v>
      </c>
      <c r="F795" t="b">
        <v>0</v>
      </c>
      <c r="H795" t="s">
        <v>37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>
        <v>1</v>
      </c>
      <c r="AB795">
        <v>0</v>
      </c>
      <c r="AC795">
        <f>VLOOKUP(A:A,[1]android_repos_all_metrics!B:K,4,FALSE)</f>
        <v>104</v>
      </c>
      <c r="AD795">
        <f>VLOOKUP(A:A,[1]android_repos_all_metrics!B:K,5,FALSE)</f>
        <v>11</v>
      </c>
      <c r="AE795">
        <f>VLOOKUP(A:A,[1]android_repos_all_metrics!B:K,6,FALSE)</f>
        <v>5</v>
      </c>
      <c r="AF795">
        <f>VLOOKUP(A:A,[1]android_repos_all_metrics!B:K,7,FALSE)</f>
        <v>6591</v>
      </c>
      <c r="AG795">
        <f>VLOOKUP(A:A,[1]android_repos_all_metrics!B:K,8,FALSE)</f>
        <v>0</v>
      </c>
      <c r="AH795">
        <f>VLOOKUP(A:A,[1]android_repos_all_metrics!B:K,9,FALSE)</f>
        <v>4</v>
      </c>
      <c r="AI795">
        <f>VLOOKUP(A:A,[1]android_repos_all_metrics!B:K,10,FALSE)</f>
        <v>1</v>
      </c>
    </row>
    <row r="796" spans="1:35">
      <c r="A796" t="s">
        <v>858</v>
      </c>
      <c r="B796" t="b">
        <v>1</v>
      </c>
      <c r="C796" t="b">
        <v>0</v>
      </c>
      <c r="D796" t="b">
        <v>0</v>
      </c>
      <c r="F796" t="b">
        <v>0</v>
      </c>
      <c r="H796" t="s">
        <v>41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>
        <v>1</v>
      </c>
      <c r="AB796">
        <v>0</v>
      </c>
      <c r="AC796">
        <f>VLOOKUP(A:A,[1]android_repos_all_metrics!B:K,4,FALSE)</f>
        <v>208</v>
      </c>
      <c r="AD796">
        <f>VLOOKUP(A:A,[1]android_repos_all_metrics!B:K,5,FALSE)</f>
        <v>19</v>
      </c>
      <c r="AE796">
        <f>VLOOKUP(A:A,[1]android_repos_all_metrics!B:K,6,FALSE)</f>
        <v>2</v>
      </c>
      <c r="AF796">
        <f>VLOOKUP(A:A,[1]android_repos_all_metrics!B:K,7,FALSE)</f>
        <v>76905</v>
      </c>
      <c r="AG796">
        <f>VLOOKUP(A:A,[1]android_repos_all_metrics!B:K,8,FALSE)</f>
        <v>109</v>
      </c>
      <c r="AH796">
        <f>VLOOKUP(A:A,[1]android_repos_all_metrics!B:K,9,FALSE)</f>
        <v>569</v>
      </c>
      <c r="AI796">
        <f>VLOOKUP(A:A,[1]android_repos_all_metrics!B:K,10,FALSE)</f>
        <v>0</v>
      </c>
    </row>
    <row r="797" spans="1:35">
      <c r="A797" t="s">
        <v>859</v>
      </c>
      <c r="B797" t="b">
        <v>1</v>
      </c>
      <c r="C797" t="b">
        <v>0</v>
      </c>
      <c r="D797" t="b">
        <v>0</v>
      </c>
      <c r="F797" t="b">
        <v>0</v>
      </c>
      <c r="H797" t="s">
        <v>37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>
        <v>6</v>
      </c>
      <c r="AB797">
        <v>0</v>
      </c>
      <c r="AC797" t="e">
        <f>VLOOKUP(A:A,[1]android_repos_all_metrics!B:K,4,FALSE)</f>
        <v>#N/A</v>
      </c>
      <c r="AD797" t="e">
        <f>VLOOKUP(A:A,[1]android_repos_all_metrics!B:K,5,FALSE)</f>
        <v>#N/A</v>
      </c>
      <c r="AE797" t="e">
        <f>VLOOKUP(A:A,[1]android_repos_all_metrics!B:K,6,FALSE)</f>
        <v>#N/A</v>
      </c>
      <c r="AF797" t="e">
        <f>VLOOKUP(A:A,[1]android_repos_all_metrics!B:K,7,FALSE)</f>
        <v>#N/A</v>
      </c>
      <c r="AG797" t="e">
        <f>VLOOKUP(A:A,[1]android_repos_all_metrics!B:K,8,FALSE)</f>
        <v>#N/A</v>
      </c>
      <c r="AH797" t="e">
        <f>VLOOKUP(A:A,[1]android_repos_all_metrics!B:K,9,FALSE)</f>
        <v>#N/A</v>
      </c>
      <c r="AI797" t="e">
        <f>VLOOKUP(A:A,[1]android_repos_all_metrics!B:K,10,FALSE)</f>
        <v>#N/A</v>
      </c>
    </row>
    <row r="798" spans="1:35">
      <c r="A798" t="s">
        <v>860</v>
      </c>
      <c r="B798" t="b">
        <v>1</v>
      </c>
      <c r="C798" t="b">
        <v>0</v>
      </c>
      <c r="D798" t="b">
        <v>0</v>
      </c>
      <c r="F798" t="b">
        <v>0</v>
      </c>
      <c r="H798" t="s">
        <v>37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>
        <v>1</v>
      </c>
      <c r="AB798">
        <v>0</v>
      </c>
      <c r="AC798">
        <f>VLOOKUP(A:A,[1]android_repos_all_metrics!B:K,4,FALSE)</f>
        <v>294</v>
      </c>
      <c r="AD798">
        <f>VLOOKUP(A:A,[1]android_repos_all_metrics!B:K,5,FALSE)</f>
        <v>7</v>
      </c>
      <c r="AE798">
        <f>VLOOKUP(A:A,[1]android_repos_all_metrics!B:K,6,FALSE)</f>
        <v>3</v>
      </c>
      <c r="AF798">
        <f>VLOOKUP(A:A,[1]android_repos_all_metrics!B:K,7,FALSE)</f>
        <v>924</v>
      </c>
      <c r="AG798">
        <f>VLOOKUP(A:A,[1]android_repos_all_metrics!B:K,8,FALSE)</f>
        <v>4</v>
      </c>
      <c r="AH798">
        <f>VLOOKUP(A:A,[1]android_repos_all_metrics!B:K,9,FALSE)</f>
        <v>13</v>
      </c>
      <c r="AI798">
        <f>VLOOKUP(A:A,[1]android_repos_all_metrics!B:K,10,FALSE)</f>
        <v>13</v>
      </c>
    </row>
    <row r="799" spans="1:35">
      <c r="A799" t="s">
        <v>861</v>
      </c>
      <c r="B799" t="b">
        <v>1</v>
      </c>
      <c r="C799" t="b">
        <v>0</v>
      </c>
      <c r="D799" t="b">
        <v>0</v>
      </c>
      <c r="F799" t="b">
        <v>0</v>
      </c>
      <c r="H799" t="s">
        <v>37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>
        <v>1</v>
      </c>
      <c r="AB799">
        <v>0</v>
      </c>
      <c r="AC799">
        <f>VLOOKUP(A:A,[1]android_repos_all_metrics!B:K,4,FALSE)</f>
        <v>99</v>
      </c>
      <c r="AD799">
        <f>VLOOKUP(A:A,[1]android_repos_all_metrics!B:K,5,FALSE)</f>
        <v>32</v>
      </c>
      <c r="AE799">
        <f>VLOOKUP(A:A,[1]android_repos_all_metrics!B:K,6,FALSE)</f>
        <v>2</v>
      </c>
      <c r="AF799">
        <f>VLOOKUP(A:A,[1]android_repos_all_metrics!B:K,7,FALSE)</f>
        <v>6219</v>
      </c>
      <c r="AG799">
        <f>VLOOKUP(A:A,[1]android_repos_all_metrics!B:K,8,FALSE)</f>
        <v>3</v>
      </c>
      <c r="AH799">
        <f>VLOOKUP(A:A,[1]android_repos_all_metrics!B:K,9,FALSE)</f>
        <v>3</v>
      </c>
      <c r="AI799">
        <f>VLOOKUP(A:A,[1]android_repos_all_metrics!B:K,10,FALSE)</f>
        <v>5</v>
      </c>
    </row>
    <row r="800" spans="1:35">
      <c r="A800" t="s">
        <v>862</v>
      </c>
      <c r="B800" t="b">
        <v>1</v>
      </c>
      <c r="C800" t="b">
        <v>0</v>
      </c>
      <c r="D800" t="b">
        <v>0</v>
      </c>
      <c r="F800" t="b">
        <v>0</v>
      </c>
      <c r="H800" t="s">
        <v>37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>
        <v>1</v>
      </c>
      <c r="AB800">
        <v>0</v>
      </c>
      <c r="AC800">
        <f>VLOOKUP(A:A,[1]android_repos_all_metrics!B:K,4,FALSE)</f>
        <v>451</v>
      </c>
      <c r="AD800">
        <f>VLOOKUP(A:A,[1]android_repos_all_metrics!B:K,5,FALSE)</f>
        <v>12</v>
      </c>
      <c r="AE800">
        <f>VLOOKUP(A:A,[1]android_repos_all_metrics!B:K,6,FALSE)</f>
        <v>11</v>
      </c>
      <c r="AF800">
        <f>VLOOKUP(A:A,[1]android_repos_all_metrics!B:K,7,FALSE)</f>
        <v>22028</v>
      </c>
      <c r="AG800">
        <f>VLOOKUP(A:A,[1]android_repos_all_metrics!B:K,8,FALSE)</f>
        <v>4</v>
      </c>
      <c r="AH800">
        <f>VLOOKUP(A:A,[1]android_repos_all_metrics!B:K,9,FALSE)</f>
        <v>34</v>
      </c>
      <c r="AI800">
        <f>VLOOKUP(A:A,[1]android_repos_all_metrics!B:K,10,FALSE)</f>
        <v>28</v>
      </c>
    </row>
    <row r="801" spans="1:35">
      <c r="A801" t="s">
        <v>863</v>
      </c>
      <c r="B801" t="b">
        <v>1</v>
      </c>
      <c r="C801" t="b">
        <v>0</v>
      </c>
      <c r="D801" t="b">
        <v>0</v>
      </c>
      <c r="F801" t="b">
        <v>0</v>
      </c>
      <c r="H801" t="s">
        <v>37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>
        <v>2</v>
      </c>
      <c r="AB801">
        <v>0</v>
      </c>
      <c r="AC801">
        <f>VLOOKUP(A:A,[1]android_repos_all_metrics!B:K,4,FALSE)</f>
        <v>2433</v>
      </c>
      <c r="AD801">
        <f>VLOOKUP(A:A,[1]android_repos_all_metrics!B:K,5,FALSE)</f>
        <v>52</v>
      </c>
      <c r="AE801">
        <f>VLOOKUP(A:A,[1]android_repos_all_metrics!B:K,6,FALSE)</f>
        <v>72</v>
      </c>
      <c r="AF801">
        <f>VLOOKUP(A:A,[1]android_repos_all_metrics!B:K,7,FALSE)</f>
        <v>9858</v>
      </c>
      <c r="AG801">
        <f>VLOOKUP(A:A,[1]android_repos_all_metrics!B:K,8,FALSE)</f>
        <v>21</v>
      </c>
      <c r="AH801">
        <f>VLOOKUP(A:A,[1]android_repos_all_metrics!B:K,9,FALSE)</f>
        <v>367</v>
      </c>
      <c r="AI801">
        <f>VLOOKUP(A:A,[1]android_repos_all_metrics!B:K,10,FALSE)</f>
        <v>29</v>
      </c>
    </row>
    <row r="802" spans="1:35">
      <c r="A802" t="s">
        <v>864</v>
      </c>
      <c r="B802" t="b">
        <v>0</v>
      </c>
      <c r="C802" t="b">
        <v>0</v>
      </c>
      <c r="D802" t="b">
        <v>0</v>
      </c>
      <c r="F802" t="b">
        <v>0</v>
      </c>
      <c r="H802" t="s">
        <v>41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>
        <v>1</v>
      </c>
      <c r="AB802">
        <v>0</v>
      </c>
      <c r="AC802" t="e">
        <f>VLOOKUP(A:A,[1]android_repos_all_metrics!B:K,4,FALSE)</f>
        <v>#N/A</v>
      </c>
      <c r="AD802" t="e">
        <f>VLOOKUP(A:A,[1]android_repos_all_metrics!B:K,5,FALSE)</f>
        <v>#N/A</v>
      </c>
      <c r="AE802" t="e">
        <f>VLOOKUP(A:A,[1]android_repos_all_metrics!B:K,6,FALSE)</f>
        <v>#N/A</v>
      </c>
      <c r="AF802" t="e">
        <f>VLOOKUP(A:A,[1]android_repos_all_metrics!B:K,7,FALSE)</f>
        <v>#N/A</v>
      </c>
      <c r="AG802" t="e">
        <f>VLOOKUP(A:A,[1]android_repos_all_metrics!B:K,8,FALSE)</f>
        <v>#N/A</v>
      </c>
      <c r="AH802" t="e">
        <f>VLOOKUP(A:A,[1]android_repos_all_metrics!B:K,9,FALSE)</f>
        <v>#N/A</v>
      </c>
      <c r="AI802" t="e">
        <f>VLOOKUP(A:A,[1]android_repos_all_metrics!B:K,10,FALSE)</f>
        <v>#N/A</v>
      </c>
    </row>
    <row r="803" spans="1:35">
      <c r="A803" t="s">
        <v>865</v>
      </c>
      <c r="B803" t="b">
        <v>1</v>
      </c>
      <c r="C803" t="b">
        <v>0</v>
      </c>
      <c r="D803" t="b">
        <v>0</v>
      </c>
      <c r="F803" t="b">
        <v>0</v>
      </c>
      <c r="H803" t="s">
        <v>41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>
        <v>1</v>
      </c>
      <c r="AB803">
        <v>0</v>
      </c>
      <c r="AC803">
        <f>VLOOKUP(A:A,[1]android_repos_all_metrics!B:K,4,FALSE)</f>
        <v>330</v>
      </c>
      <c r="AD803">
        <f>VLOOKUP(A:A,[1]android_repos_all_metrics!B:K,5,FALSE)</f>
        <v>2</v>
      </c>
      <c r="AE803">
        <f>VLOOKUP(A:A,[1]android_repos_all_metrics!B:K,6,FALSE)</f>
        <v>2</v>
      </c>
      <c r="AF803">
        <f>VLOOKUP(A:A,[1]android_repos_all_metrics!B:K,7,FALSE)</f>
        <v>2514</v>
      </c>
      <c r="AG803">
        <f>VLOOKUP(A:A,[1]android_repos_all_metrics!B:K,8,FALSE)</f>
        <v>9</v>
      </c>
      <c r="AH803">
        <f>VLOOKUP(A:A,[1]android_repos_all_metrics!B:K,9,FALSE)</f>
        <v>47</v>
      </c>
      <c r="AI803">
        <f>VLOOKUP(A:A,[1]android_repos_all_metrics!B:K,10,FALSE)</f>
        <v>1</v>
      </c>
    </row>
    <row r="804" spans="1:35">
      <c r="A804" t="s">
        <v>866</v>
      </c>
      <c r="B804" t="b">
        <v>1</v>
      </c>
      <c r="C804" t="b">
        <v>0</v>
      </c>
      <c r="D804" t="b">
        <v>0</v>
      </c>
      <c r="F804" t="b">
        <v>0</v>
      </c>
      <c r="H804" t="s">
        <v>37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>
        <v>2</v>
      </c>
      <c r="AB804">
        <v>0</v>
      </c>
      <c r="AC804">
        <f>VLOOKUP(A:A,[1]android_repos_all_metrics!B:K,4,FALSE)</f>
        <v>363</v>
      </c>
      <c r="AD804">
        <f>VLOOKUP(A:A,[1]android_repos_all_metrics!B:K,5,FALSE)</f>
        <v>20</v>
      </c>
      <c r="AE804">
        <f>VLOOKUP(A:A,[1]android_repos_all_metrics!B:K,6,FALSE)</f>
        <v>4</v>
      </c>
      <c r="AF804">
        <f>VLOOKUP(A:A,[1]android_repos_all_metrics!B:K,7,FALSE)</f>
        <v>209918</v>
      </c>
      <c r="AG804">
        <f>VLOOKUP(A:A,[1]android_repos_all_metrics!B:K,8,FALSE)</f>
        <v>22</v>
      </c>
      <c r="AH804">
        <f>VLOOKUP(A:A,[1]android_repos_all_metrics!B:K,9,FALSE)</f>
        <v>158</v>
      </c>
      <c r="AI804">
        <f>VLOOKUP(A:A,[1]android_repos_all_metrics!B:K,10,FALSE)</f>
        <v>16</v>
      </c>
    </row>
    <row r="805" spans="1:35">
      <c r="A805" t="s">
        <v>867</v>
      </c>
      <c r="B805" t="b">
        <v>1</v>
      </c>
      <c r="C805" t="b">
        <v>0</v>
      </c>
      <c r="D805" t="b">
        <v>0</v>
      </c>
      <c r="F805" t="b">
        <v>0</v>
      </c>
      <c r="H805" t="s">
        <v>41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>
        <v>1</v>
      </c>
      <c r="AB805">
        <v>0</v>
      </c>
      <c r="AC805">
        <f>VLOOKUP(A:A,[1]android_repos_all_metrics!B:K,4,FALSE)</f>
        <v>26</v>
      </c>
      <c r="AD805">
        <f>VLOOKUP(A:A,[1]android_repos_all_metrics!B:K,5,FALSE)</f>
        <v>0</v>
      </c>
      <c r="AE805">
        <f>VLOOKUP(A:A,[1]android_repos_all_metrics!B:K,6,FALSE)</f>
        <v>1</v>
      </c>
      <c r="AF805">
        <f>VLOOKUP(A:A,[1]android_repos_all_metrics!B:K,7,FALSE)</f>
        <v>182</v>
      </c>
      <c r="AG805">
        <f>VLOOKUP(A:A,[1]android_repos_all_metrics!B:K,8,FALSE)</f>
        <v>1</v>
      </c>
      <c r="AH805">
        <f>VLOOKUP(A:A,[1]android_repos_all_metrics!B:K,9,FALSE)</f>
        <v>7</v>
      </c>
      <c r="AI805">
        <f>VLOOKUP(A:A,[1]android_repos_all_metrics!B:K,10,FALSE)</f>
        <v>1</v>
      </c>
    </row>
    <row r="806" spans="1:35">
      <c r="A806" t="s">
        <v>868</v>
      </c>
      <c r="B806" t="b">
        <v>1</v>
      </c>
      <c r="C806" t="b">
        <v>0</v>
      </c>
      <c r="D806" t="b">
        <v>0</v>
      </c>
      <c r="F806" t="b">
        <v>0</v>
      </c>
      <c r="H806" t="s">
        <v>41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>
        <v>1</v>
      </c>
      <c r="AB806">
        <v>0</v>
      </c>
      <c r="AC806">
        <f>VLOOKUP(A:A,[1]android_repos_all_metrics!B:K,4,FALSE)</f>
        <v>17</v>
      </c>
      <c r="AD806">
        <f>VLOOKUP(A:A,[1]android_repos_all_metrics!B:K,5,FALSE)</f>
        <v>5</v>
      </c>
      <c r="AE806">
        <f>VLOOKUP(A:A,[1]android_repos_all_metrics!B:K,6,FALSE)</f>
        <v>1</v>
      </c>
      <c r="AF806">
        <f>VLOOKUP(A:A,[1]android_repos_all_metrics!B:K,7,FALSE)</f>
        <v>962</v>
      </c>
      <c r="AG806">
        <f>VLOOKUP(A:A,[1]android_repos_all_metrics!B:K,8,FALSE)</f>
        <v>4</v>
      </c>
      <c r="AH806">
        <f>VLOOKUP(A:A,[1]android_repos_all_metrics!B:K,9,FALSE)</f>
        <v>14</v>
      </c>
      <c r="AI806">
        <f>VLOOKUP(A:A,[1]android_repos_all_metrics!B:K,10,FALSE)</f>
        <v>4</v>
      </c>
    </row>
    <row r="807" spans="1:35">
      <c r="A807" t="s">
        <v>869</v>
      </c>
      <c r="B807" t="b">
        <v>1</v>
      </c>
      <c r="C807" t="b">
        <v>0</v>
      </c>
      <c r="D807" t="b">
        <v>0</v>
      </c>
      <c r="F807" t="b">
        <v>0</v>
      </c>
      <c r="H807" t="s">
        <v>41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>
        <v>1</v>
      </c>
      <c r="AB807">
        <v>0</v>
      </c>
      <c r="AC807">
        <f>VLOOKUP(A:A,[1]android_repos_all_metrics!B:K,4,FALSE)</f>
        <v>145</v>
      </c>
      <c r="AD807">
        <f>VLOOKUP(A:A,[1]android_repos_all_metrics!B:K,5,FALSE)</f>
        <v>1</v>
      </c>
      <c r="AE807">
        <f>VLOOKUP(A:A,[1]android_repos_all_metrics!B:K,6,FALSE)</f>
        <v>3</v>
      </c>
      <c r="AF807">
        <f>VLOOKUP(A:A,[1]android_repos_all_metrics!B:K,7,FALSE)</f>
        <v>417</v>
      </c>
      <c r="AG807">
        <f>VLOOKUP(A:A,[1]android_repos_all_metrics!B:K,8,FALSE)</f>
        <v>1</v>
      </c>
      <c r="AH807">
        <f>VLOOKUP(A:A,[1]android_repos_all_metrics!B:K,9,FALSE)</f>
        <v>7</v>
      </c>
      <c r="AI807">
        <f>VLOOKUP(A:A,[1]android_repos_all_metrics!B:K,10,FALSE)</f>
        <v>4</v>
      </c>
    </row>
    <row r="808" spans="1:35">
      <c r="A808" t="s">
        <v>870</v>
      </c>
      <c r="B808" t="b">
        <v>1</v>
      </c>
      <c r="C808" t="b">
        <v>0</v>
      </c>
      <c r="D808" t="b">
        <v>0</v>
      </c>
      <c r="F808" t="b">
        <v>0</v>
      </c>
      <c r="H808" t="s">
        <v>37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>
        <v>1</v>
      </c>
      <c r="AB808">
        <v>0</v>
      </c>
      <c r="AC808">
        <f>VLOOKUP(A:A,[1]android_repos_all_metrics!B:K,4,FALSE)</f>
        <v>21</v>
      </c>
      <c r="AD808">
        <f>VLOOKUP(A:A,[1]android_repos_all_metrics!B:K,5,FALSE)</f>
        <v>7</v>
      </c>
      <c r="AE808">
        <f>VLOOKUP(A:A,[1]android_repos_all_metrics!B:K,6,FALSE)</f>
        <v>5</v>
      </c>
      <c r="AF808">
        <f>VLOOKUP(A:A,[1]android_repos_all_metrics!B:K,7,FALSE)</f>
        <v>1818</v>
      </c>
      <c r="AG808">
        <f>VLOOKUP(A:A,[1]android_repos_all_metrics!B:K,8,FALSE)</f>
        <v>17</v>
      </c>
      <c r="AH808">
        <f>VLOOKUP(A:A,[1]android_repos_all_metrics!B:K,9,FALSE)</f>
        <v>10</v>
      </c>
      <c r="AI808">
        <f>VLOOKUP(A:A,[1]android_repos_all_metrics!B:K,10,FALSE)</f>
        <v>4</v>
      </c>
    </row>
    <row r="809" spans="1:35">
      <c r="A809" t="s">
        <v>871</v>
      </c>
      <c r="B809" t="b">
        <v>1</v>
      </c>
      <c r="C809" t="b">
        <v>0</v>
      </c>
      <c r="D809" t="b">
        <v>0</v>
      </c>
      <c r="F809" t="b">
        <v>0</v>
      </c>
      <c r="H809" t="s">
        <v>43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>
        <v>1</v>
      </c>
      <c r="AB809">
        <v>0</v>
      </c>
      <c r="AC809">
        <f>VLOOKUP(A:A,[1]android_repos_all_metrics!B:K,4,FALSE)</f>
        <v>191</v>
      </c>
      <c r="AD809">
        <f>VLOOKUP(A:A,[1]android_repos_all_metrics!B:K,5,FALSE)</f>
        <v>45</v>
      </c>
      <c r="AE809">
        <f>VLOOKUP(A:A,[1]android_repos_all_metrics!B:K,6,FALSE)</f>
        <v>1</v>
      </c>
      <c r="AF809">
        <f>VLOOKUP(A:A,[1]android_repos_all_metrics!B:K,7,FALSE)</f>
        <v>1168</v>
      </c>
      <c r="AG809">
        <f>VLOOKUP(A:A,[1]android_repos_all_metrics!B:K,8,FALSE)</f>
        <v>0</v>
      </c>
      <c r="AH809">
        <f>VLOOKUP(A:A,[1]android_repos_all_metrics!B:K,9,FALSE)</f>
        <v>3</v>
      </c>
      <c r="AI809">
        <f>VLOOKUP(A:A,[1]android_repos_all_metrics!B:K,10,FALSE)</f>
        <v>0</v>
      </c>
    </row>
    <row r="810" spans="1:35">
      <c r="A810" t="s">
        <v>872</v>
      </c>
      <c r="B810" t="b">
        <v>0</v>
      </c>
      <c r="C810" t="b">
        <v>0</v>
      </c>
      <c r="D810" t="b">
        <v>0</v>
      </c>
      <c r="F810" t="b">
        <v>0</v>
      </c>
      <c r="H810" t="s">
        <v>41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>
        <v>1</v>
      </c>
      <c r="AB810">
        <v>0</v>
      </c>
      <c r="AC810">
        <f>VLOOKUP(A:A,[1]android_repos_all_metrics!B:K,4,FALSE)</f>
        <v>106</v>
      </c>
      <c r="AD810">
        <f>VLOOKUP(A:A,[1]android_repos_all_metrics!B:K,5,FALSE)</f>
        <v>52</v>
      </c>
      <c r="AE810">
        <f>VLOOKUP(A:A,[1]android_repos_all_metrics!B:K,6,FALSE)</f>
        <v>1</v>
      </c>
      <c r="AF810">
        <f>VLOOKUP(A:A,[1]android_repos_all_metrics!B:K,7,FALSE)</f>
        <v>3356</v>
      </c>
      <c r="AG810">
        <f>VLOOKUP(A:A,[1]android_repos_all_metrics!B:K,8,FALSE)</f>
        <v>1</v>
      </c>
      <c r="AH810">
        <f>VLOOKUP(A:A,[1]android_repos_all_metrics!B:K,9,FALSE)</f>
        <v>6</v>
      </c>
      <c r="AI810">
        <f>VLOOKUP(A:A,[1]android_repos_all_metrics!B:K,10,FALSE)</f>
        <v>36</v>
      </c>
    </row>
    <row r="811" spans="1:35">
      <c r="A811" t="s">
        <v>873</v>
      </c>
      <c r="B811" t="b">
        <v>1</v>
      </c>
      <c r="C811" t="b">
        <v>0</v>
      </c>
      <c r="D811" t="b">
        <v>0</v>
      </c>
      <c r="F811" t="b">
        <v>0</v>
      </c>
      <c r="H811" t="s">
        <v>41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>
        <v>1</v>
      </c>
      <c r="AB811">
        <v>0</v>
      </c>
      <c r="AC811">
        <f>VLOOKUP(A:A,[1]android_repos_all_metrics!B:K,4,FALSE)</f>
        <v>201</v>
      </c>
      <c r="AD811">
        <f>VLOOKUP(A:A,[1]android_repos_all_metrics!B:K,5,FALSE)</f>
        <v>104</v>
      </c>
      <c r="AE811">
        <f>VLOOKUP(A:A,[1]android_repos_all_metrics!B:K,6,FALSE)</f>
        <v>5</v>
      </c>
      <c r="AF811">
        <f>VLOOKUP(A:A,[1]android_repos_all_metrics!B:K,7,FALSE)</f>
        <v>1067</v>
      </c>
      <c r="AG811">
        <f>VLOOKUP(A:A,[1]android_repos_all_metrics!B:K,8,FALSE)</f>
        <v>45</v>
      </c>
      <c r="AH811">
        <f>VLOOKUP(A:A,[1]android_repos_all_metrics!B:K,9,FALSE)</f>
        <v>17</v>
      </c>
      <c r="AI811">
        <f>VLOOKUP(A:A,[1]android_repos_all_metrics!B:K,10,FALSE)</f>
        <v>72</v>
      </c>
    </row>
    <row r="812" spans="1:35">
      <c r="A812" t="s">
        <v>874</v>
      </c>
      <c r="B812" t="b">
        <v>0</v>
      </c>
      <c r="C812" t="b">
        <v>0</v>
      </c>
      <c r="D812" t="b">
        <v>0</v>
      </c>
      <c r="F812" t="b">
        <v>0</v>
      </c>
      <c r="H812" t="s">
        <v>41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>
        <v>1</v>
      </c>
      <c r="AB812">
        <v>0</v>
      </c>
      <c r="AC812">
        <f>VLOOKUP(A:A,[1]android_repos_all_metrics!B:K,4,FALSE)</f>
        <v>28</v>
      </c>
      <c r="AD812">
        <f>VLOOKUP(A:A,[1]android_repos_all_metrics!B:K,5,FALSE)</f>
        <v>0</v>
      </c>
      <c r="AE812">
        <f>VLOOKUP(A:A,[1]android_repos_all_metrics!B:K,6,FALSE)</f>
        <v>1</v>
      </c>
      <c r="AF812">
        <f>VLOOKUP(A:A,[1]android_repos_all_metrics!B:K,7,FALSE)</f>
        <v>416</v>
      </c>
      <c r="AG812">
        <f>VLOOKUP(A:A,[1]android_repos_all_metrics!B:K,8,FALSE)</f>
        <v>6</v>
      </c>
      <c r="AH812">
        <f>VLOOKUP(A:A,[1]android_repos_all_metrics!B:K,9,FALSE)</f>
        <v>22</v>
      </c>
      <c r="AI812">
        <f>VLOOKUP(A:A,[1]android_repos_all_metrics!B:K,10,FALSE)</f>
        <v>9</v>
      </c>
    </row>
    <row r="813" spans="1:35">
      <c r="A813" t="s">
        <v>875</v>
      </c>
      <c r="B813" t="b">
        <v>0</v>
      </c>
      <c r="C813" t="b">
        <v>0</v>
      </c>
      <c r="D813" t="b">
        <v>0</v>
      </c>
      <c r="F813" t="b">
        <v>0</v>
      </c>
      <c r="H813" t="s">
        <v>41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>
        <v>1</v>
      </c>
      <c r="AB813">
        <v>0</v>
      </c>
      <c r="AC813">
        <f>VLOOKUP(A:A,[1]android_repos_all_metrics!B:K,4,FALSE)</f>
        <v>13</v>
      </c>
      <c r="AD813">
        <f>VLOOKUP(A:A,[1]android_repos_all_metrics!B:K,5,FALSE)</f>
        <v>1</v>
      </c>
      <c r="AE813">
        <f>VLOOKUP(A:A,[1]android_repos_all_metrics!B:K,6,FALSE)</f>
        <v>1</v>
      </c>
      <c r="AF813">
        <f>VLOOKUP(A:A,[1]android_repos_all_metrics!B:K,7,FALSE)</f>
        <v>149</v>
      </c>
      <c r="AG813">
        <f>VLOOKUP(A:A,[1]android_repos_all_metrics!B:K,8,FALSE)</f>
        <v>4</v>
      </c>
      <c r="AH813">
        <f>VLOOKUP(A:A,[1]android_repos_all_metrics!B:K,9,FALSE)</f>
        <v>24</v>
      </c>
      <c r="AI813">
        <f>VLOOKUP(A:A,[1]android_repos_all_metrics!B:K,10,FALSE)</f>
        <v>0</v>
      </c>
    </row>
    <row r="814" spans="1:35">
      <c r="A814" t="s">
        <v>876</v>
      </c>
      <c r="B814" t="b">
        <v>1</v>
      </c>
      <c r="C814" t="b">
        <v>0</v>
      </c>
      <c r="D814" t="b">
        <v>0</v>
      </c>
      <c r="F814" t="b">
        <v>0</v>
      </c>
      <c r="H814" t="s">
        <v>37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>
        <v>2</v>
      </c>
      <c r="AB814">
        <v>0</v>
      </c>
      <c r="AC814">
        <f>VLOOKUP(A:A,[1]android_repos_all_metrics!B:K,4,FALSE)</f>
        <v>189</v>
      </c>
      <c r="AD814">
        <f>VLOOKUP(A:A,[1]android_repos_all_metrics!B:K,5,FALSE)</f>
        <v>9</v>
      </c>
      <c r="AE814">
        <f>VLOOKUP(A:A,[1]android_repos_all_metrics!B:K,6,FALSE)</f>
        <v>1</v>
      </c>
      <c r="AF814">
        <f>VLOOKUP(A:A,[1]android_repos_all_metrics!B:K,7,FALSE)</f>
        <v>458</v>
      </c>
      <c r="AG814">
        <f>VLOOKUP(A:A,[1]android_repos_all_metrics!B:K,8,FALSE)</f>
        <v>0</v>
      </c>
      <c r="AH814">
        <f>VLOOKUP(A:A,[1]android_repos_all_metrics!B:K,9,FALSE)</f>
        <v>1</v>
      </c>
      <c r="AI814">
        <f>VLOOKUP(A:A,[1]android_repos_all_metrics!B:K,10,FALSE)</f>
        <v>3</v>
      </c>
    </row>
    <row r="815" spans="1:35">
      <c r="A815" t="s">
        <v>877</v>
      </c>
      <c r="B815" t="b">
        <v>1</v>
      </c>
      <c r="C815" t="b">
        <v>0</v>
      </c>
      <c r="D815" t="b">
        <v>0</v>
      </c>
      <c r="F815" t="b">
        <v>0</v>
      </c>
      <c r="H815" t="s">
        <v>41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>
        <v>1</v>
      </c>
      <c r="AB815">
        <v>0</v>
      </c>
      <c r="AC815">
        <f>VLOOKUP(A:A,[1]android_repos_all_metrics!B:K,4,FALSE)</f>
        <v>987</v>
      </c>
      <c r="AD815">
        <f>VLOOKUP(A:A,[1]android_repos_all_metrics!B:K,5,FALSE)</f>
        <v>0</v>
      </c>
      <c r="AE815">
        <f>VLOOKUP(A:A,[1]android_repos_all_metrics!B:K,6,FALSE)</f>
        <v>4</v>
      </c>
      <c r="AF815">
        <f>VLOOKUP(A:A,[1]android_repos_all_metrics!B:K,7,FALSE)</f>
        <v>22411</v>
      </c>
      <c r="AG815">
        <f>VLOOKUP(A:A,[1]android_repos_all_metrics!B:K,8,FALSE)</f>
        <v>9</v>
      </c>
      <c r="AH815">
        <f>VLOOKUP(A:A,[1]android_repos_all_metrics!B:K,9,FALSE)</f>
        <v>12</v>
      </c>
      <c r="AI815">
        <f>VLOOKUP(A:A,[1]android_repos_all_metrics!B:K,10,FALSE)</f>
        <v>7</v>
      </c>
    </row>
    <row r="816" spans="1:35">
      <c r="A816" t="s">
        <v>878</v>
      </c>
      <c r="B816" t="b">
        <v>1</v>
      </c>
      <c r="C816" t="b">
        <v>0</v>
      </c>
      <c r="D816" t="b">
        <v>0</v>
      </c>
      <c r="F816" t="b">
        <v>0</v>
      </c>
      <c r="H816" t="s">
        <v>37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>
        <v>1</v>
      </c>
      <c r="AB816">
        <v>0</v>
      </c>
      <c r="AC816">
        <f>VLOOKUP(A:A,[1]android_repos_all_metrics!B:K,4,FALSE)</f>
        <v>68</v>
      </c>
      <c r="AD816">
        <f>VLOOKUP(A:A,[1]android_repos_all_metrics!B:K,5,FALSE)</f>
        <v>13</v>
      </c>
      <c r="AE816">
        <f>VLOOKUP(A:A,[1]android_repos_all_metrics!B:K,6,FALSE)</f>
        <v>6</v>
      </c>
      <c r="AF816">
        <f>VLOOKUP(A:A,[1]android_repos_all_metrics!B:K,7,FALSE)</f>
        <v>4775</v>
      </c>
      <c r="AG816">
        <f>VLOOKUP(A:A,[1]android_repos_all_metrics!B:K,8,FALSE)</f>
        <v>11</v>
      </c>
      <c r="AH816">
        <f>VLOOKUP(A:A,[1]android_repos_all_metrics!B:K,9,FALSE)</f>
        <v>10</v>
      </c>
      <c r="AI816">
        <f>VLOOKUP(A:A,[1]android_repos_all_metrics!B:K,10,FALSE)</f>
        <v>7</v>
      </c>
    </row>
    <row r="817" spans="1:35">
      <c r="A817" t="s">
        <v>879</v>
      </c>
      <c r="B817" t="b">
        <v>0</v>
      </c>
      <c r="C817" t="b">
        <v>0</v>
      </c>
      <c r="D817" t="b">
        <v>0</v>
      </c>
      <c r="F817" t="b">
        <v>0</v>
      </c>
      <c r="H817" t="s">
        <v>41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>
        <v>1</v>
      </c>
      <c r="AB817">
        <v>0</v>
      </c>
      <c r="AC817">
        <f>VLOOKUP(A:A,[1]android_repos_all_metrics!B:K,4,FALSE)</f>
        <v>7</v>
      </c>
      <c r="AD817">
        <f>VLOOKUP(A:A,[1]android_repos_all_metrics!B:K,5,FALSE)</f>
        <v>0</v>
      </c>
      <c r="AE817">
        <f>VLOOKUP(A:A,[1]android_repos_all_metrics!B:K,6,FALSE)</f>
        <v>1</v>
      </c>
      <c r="AF817">
        <f>VLOOKUP(A:A,[1]android_repos_all_metrics!B:K,7,FALSE)</f>
        <v>104</v>
      </c>
      <c r="AG817">
        <f>VLOOKUP(A:A,[1]android_repos_all_metrics!B:K,8,FALSE)</f>
        <v>0</v>
      </c>
      <c r="AH817">
        <f>VLOOKUP(A:A,[1]android_repos_all_metrics!B:K,9,FALSE)</f>
        <v>3</v>
      </c>
      <c r="AI817">
        <f>VLOOKUP(A:A,[1]android_repos_all_metrics!B:K,10,FALSE)</f>
        <v>0</v>
      </c>
    </row>
    <row r="818" spans="1:35">
      <c r="A818" t="s">
        <v>880</v>
      </c>
      <c r="B818" t="b">
        <v>1</v>
      </c>
      <c r="C818" t="b">
        <v>0</v>
      </c>
      <c r="D818" t="b">
        <v>0</v>
      </c>
      <c r="F818" t="b">
        <v>0</v>
      </c>
      <c r="H818" t="s">
        <v>43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>
        <v>1</v>
      </c>
      <c r="AB818">
        <v>0</v>
      </c>
      <c r="AC818">
        <f>VLOOKUP(A:A,[1]android_repos_all_metrics!B:K,4,FALSE)</f>
        <v>472</v>
      </c>
      <c r="AD818">
        <f>VLOOKUP(A:A,[1]android_repos_all_metrics!B:K,5,FALSE)</f>
        <v>62</v>
      </c>
      <c r="AE818">
        <f>VLOOKUP(A:A,[1]android_repos_all_metrics!B:K,6,FALSE)</f>
        <v>1</v>
      </c>
      <c r="AF818">
        <f>VLOOKUP(A:A,[1]android_repos_all_metrics!B:K,7,FALSE)</f>
        <v>1565</v>
      </c>
      <c r="AG818">
        <f>VLOOKUP(A:A,[1]android_repos_all_metrics!B:K,8,FALSE)</f>
        <v>5</v>
      </c>
      <c r="AH818">
        <f>VLOOKUP(A:A,[1]android_repos_all_metrics!B:K,9,FALSE)</f>
        <v>13</v>
      </c>
      <c r="AI818">
        <f>VLOOKUP(A:A,[1]android_repos_all_metrics!B:K,10,FALSE)</f>
        <v>3</v>
      </c>
    </row>
    <row r="819" spans="1:35">
      <c r="A819" t="s">
        <v>881</v>
      </c>
      <c r="B819" t="b">
        <v>1</v>
      </c>
      <c r="C819" t="b">
        <v>0</v>
      </c>
      <c r="D819" t="b">
        <v>0</v>
      </c>
      <c r="F819" t="b">
        <v>0</v>
      </c>
      <c r="H819" t="s">
        <v>41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>
        <v>1</v>
      </c>
      <c r="AB819">
        <v>0</v>
      </c>
      <c r="AC819">
        <f>VLOOKUP(A:A,[1]android_repos_all_metrics!B:K,4,FALSE)</f>
        <v>97</v>
      </c>
      <c r="AD819">
        <f>VLOOKUP(A:A,[1]android_repos_all_metrics!B:K,5,FALSE)</f>
        <v>0</v>
      </c>
      <c r="AE819">
        <f>VLOOKUP(A:A,[1]android_repos_all_metrics!B:K,6,FALSE)</f>
        <v>1</v>
      </c>
      <c r="AF819">
        <f>VLOOKUP(A:A,[1]android_repos_all_metrics!B:K,7,FALSE)</f>
        <v>139948</v>
      </c>
      <c r="AG819">
        <f>VLOOKUP(A:A,[1]android_repos_all_metrics!B:K,8,FALSE)</f>
        <v>0</v>
      </c>
      <c r="AH819">
        <f>VLOOKUP(A:A,[1]android_repos_all_metrics!B:K,9,FALSE)</f>
        <v>4</v>
      </c>
      <c r="AI819">
        <f>VLOOKUP(A:A,[1]android_repos_all_metrics!B:K,10,FALSE)</f>
        <v>0</v>
      </c>
    </row>
    <row r="820" spans="1:35">
      <c r="A820" t="s">
        <v>882</v>
      </c>
      <c r="B820" t="b">
        <v>0</v>
      </c>
      <c r="C820" t="b">
        <v>0</v>
      </c>
      <c r="D820" t="b">
        <v>0</v>
      </c>
      <c r="F820" t="b">
        <v>0</v>
      </c>
      <c r="H820" t="s">
        <v>41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>
        <v>1</v>
      </c>
      <c r="AB820">
        <v>0</v>
      </c>
      <c r="AC820">
        <f>VLOOKUP(A:A,[1]android_repos_all_metrics!B:K,4,FALSE)</f>
        <v>925</v>
      </c>
      <c r="AD820">
        <f>VLOOKUP(A:A,[1]android_repos_all_metrics!B:K,5,FALSE)</f>
        <v>72</v>
      </c>
      <c r="AE820">
        <f>VLOOKUP(A:A,[1]android_repos_all_metrics!B:K,6,FALSE)</f>
        <v>2</v>
      </c>
      <c r="AF820">
        <f>VLOOKUP(A:A,[1]android_repos_all_metrics!B:K,7,FALSE)</f>
        <v>4402</v>
      </c>
      <c r="AG820">
        <f>VLOOKUP(A:A,[1]android_repos_all_metrics!B:K,8,FALSE)</f>
        <v>17</v>
      </c>
      <c r="AH820">
        <f>VLOOKUP(A:A,[1]android_repos_all_metrics!B:K,9,FALSE)</f>
        <v>286</v>
      </c>
      <c r="AI820">
        <f>VLOOKUP(A:A,[1]android_repos_all_metrics!B:K,10,FALSE)</f>
        <v>1</v>
      </c>
    </row>
    <row r="821" spans="1:35">
      <c r="A821" t="s">
        <v>883</v>
      </c>
      <c r="B821" t="b">
        <v>1</v>
      </c>
      <c r="C821" t="b">
        <v>0</v>
      </c>
      <c r="D821" t="b">
        <v>0</v>
      </c>
      <c r="F821" t="b">
        <v>0</v>
      </c>
      <c r="H821" t="s">
        <v>37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>
        <v>1</v>
      </c>
      <c r="AB821">
        <v>0</v>
      </c>
      <c r="AC821">
        <f>VLOOKUP(A:A,[1]android_repos_all_metrics!B:K,4,FALSE)</f>
        <v>27</v>
      </c>
      <c r="AD821">
        <f>VLOOKUP(A:A,[1]android_repos_all_metrics!B:K,5,FALSE)</f>
        <v>7</v>
      </c>
      <c r="AE821">
        <f>VLOOKUP(A:A,[1]android_repos_all_metrics!B:K,6,FALSE)</f>
        <v>2</v>
      </c>
      <c r="AF821">
        <f>VLOOKUP(A:A,[1]android_repos_all_metrics!B:K,7,FALSE)</f>
        <v>1858</v>
      </c>
      <c r="AG821">
        <f>VLOOKUP(A:A,[1]android_repos_all_metrics!B:K,8,FALSE)</f>
        <v>11</v>
      </c>
      <c r="AH821">
        <f>VLOOKUP(A:A,[1]android_repos_all_metrics!B:K,9,FALSE)</f>
        <v>18</v>
      </c>
      <c r="AI821">
        <f>VLOOKUP(A:A,[1]android_repos_all_metrics!B:K,10,FALSE)</f>
        <v>0</v>
      </c>
    </row>
    <row r="822" spans="1:35">
      <c r="A822" t="s">
        <v>884</v>
      </c>
      <c r="B822" t="b">
        <v>0</v>
      </c>
      <c r="C822" t="b">
        <v>0</v>
      </c>
      <c r="D822" t="b">
        <v>0</v>
      </c>
      <c r="F822" t="b">
        <v>0</v>
      </c>
      <c r="H822" t="s">
        <v>41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>
        <v>1</v>
      </c>
      <c r="AB822">
        <v>0</v>
      </c>
      <c r="AC822">
        <f>VLOOKUP(A:A,[1]android_repos_all_metrics!B:K,4,FALSE)</f>
        <v>70</v>
      </c>
      <c r="AD822">
        <f>VLOOKUP(A:A,[1]android_repos_all_metrics!B:K,5,FALSE)</f>
        <v>23</v>
      </c>
      <c r="AE822">
        <f>VLOOKUP(A:A,[1]android_repos_all_metrics!B:K,6,FALSE)</f>
        <v>2</v>
      </c>
      <c r="AF822">
        <f>VLOOKUP(A:A,[1]android_repos_all_metrics!B:K,7,FALSE)</f>
        <v>47914</v>
      </c>
      <c r="AG822">
        <f>VLOOKUP(A:A,[1]android_repos_all_metrics!B:K,8,FALSE)</f>
        <v>10</v>
      </c>
      <c r="AH822">
        <f>VLOOKUP(A:A,[1]android_repos_all_metrics!B:K,9,FALSE)</f>
        <v>36</v>
      </c>
      <c r="AI822">
        <f>VLOOKUP(A:A,[1]android_repos_all_metrics!B:K,10,FALSE)</f>
        <v>7</v>
      </c>
    </row>
    <row r="823" spans="1:35">
      <c r="A823" t="s">
        <v>885</v>
      </c>
      <c r="B823" t="b">
        <v>0</v>
      </c>
      <c r="C823" t="b">
        <v>0</v>
      </c>
      <c r="D823" t="b">
        <v>0</v>
      </c>
      <c r="F823" t="b">
        <v>0</v>
      </c>
      <c r="H823" t="s">
        <v>86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>
        <v>2</v>
      </c>
      <c r="AB823">
        <v>0</v>
      </c>
      <c r="AC823">
        <f>VLOOKUP(A:A,[1]android_repos_all_metrics!B:K,4,FALSE)</f>
        <v>7268</v>
      </c>
      <c r="AD823">
        <f>VLOOKUP(A:A,[1]android_repos_all_metrics!B:K,5,FALSE)</f>
        <v>1027</v>
      </c>
      <c r="AE823">
        <f>VLOOKUP(A:A,[1]android_repos_all_metrics!B:K,6,FALSE)</f>
        <v>71</v>
      </c>
      <c r="AF823">
        <f>VLOOKUP(A:A,[1]android_repos_all_metrics!B:K,7,FALSE)</f>
        <v>29488</v>
      </c>
      <c r="AG823">
        <f>VLOOKUP(A:A,[1]android_repos_all_metrics!B:K,8,FALSE)</f>
        <v>181</v>
      </c>
      <c r="AH823">
        <f>VLOOKUP(A:A,[1]android_repos_all_metrics!B:K,9,FALSE)</f>
        <v>1003</v>
      </c>
      <c r="AI823">
        <f>VLOOKUP(A:A,[1]android_repos_all_metrics!B:K,10,FALSE)</f>
        <v>88</v>
      </c>
    </row>
    <row r="824" spans="1:35">
      <c r="A824" t="s">
        <v>886</v>
      </c>
      <c r="B824" t="b">
        <v>1</v>
      </c>
      <c r="C824" t="b">
        <v>0</v>
      </c>
      <c r="D824" t="b">
        <v>0</v>
      </c>
      <c r="F824" t="b">
        <v>0</v>
      </c>
      <c r="H824" t="s">
        <v>37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>
        <v>1</v>
      </c>
      <c r="AB824">
        <v>0</v>
      </c>
      <c r="AC824">
        <f>VLOOKUP(A:A,[1]android_repos_all_metrics!B:K,4,FALSE)</f>
        <v>51</v>
      </c>
      <c r="AD824">
        <f>VLOOKUP(A:A,[1]android_repos_all_metrics!B:K,5,FALSE)</f>
        <v>17</v>
      </c>
      <c r="AE824">
        <f>VLOOKUP(A:A,[1]android_repos_all_metrics!B:K,6,FALSE)</f>
        <v>3</v>
      </c>
      <c r="AF824">
        <f>VLOOKUP(A:A,[1]android_repos_all_metrics!B:K,7,FALSE)</f>
        <v>1920</v>
      </c>
      <c r="AG824">
        <f>VLOOKUP(A:A,[1]android_repos_all_metrics!B:K,8,FALSE)</f>
        <v>0</v>
      </c>
      <c r="AH824">
        <f>VLOOKUP(A:A,[1]android_repos_all_metrics!B:K,9,FALSE)</f>
        <v>3</v>
      </c>
      <c r="AI824">
        <f>VLOOKUP(A:A,[1]android_repos_all_metrics!B:K,10,FALSE)</f>
        <v>9</v>
      </c>
    </row>
    <row r="825" spans="1:35">
      <c r="A825" t="s">
        <v>887</v>
      </c>
      <c r="B825" t="b">
        <v>1</v>
      </c>
      <c r="C825" t="b">
        <v>0</v>
      </c>
      <c r="D825" t="b">
        <v>0</v>
      </c>
      <c r="F825" t="b">
        <v>0</v>
      </c>
      <c r="H825" t="s">
        <v>37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>
        <v>3</v>
      </c>
      <c r="AB825">
        <v>0</v>
      </c>
      <c r="AC825">
        <f>VLOOKUP(A:A,[1]android_repos_all_metrics!B:K,4,FALSE)</f>
        <v>139</v>
      </c>
      <c r="AD825">
        <f>VLOOKUP(A:A,[1]android_repos_all_metrics!B:K,5,FALSE)</f>
        <v>2</v>
      </c>
      <c r="AE825">
        <f>VLOOKUP(A:A,[1]android_repos_all_metrics!B:K,6,FALSE)</f>
        <v>4</v>
      </c>
      <c r="AF825">
        <f>VLOOKUP(A:A,[1]android_repos_all_metrics!B:K,7,FALSE)</f>
        <v>3648</v>
      </c>
      <c r="AG825">
        <f>VLOOKUP(A:A,[1]android_repos_all_metrics!B:K,8,FALSE)</f>
        <v>2</v>
      </c>
      <c r="AH825">
        <f>VLOOKUP(A:A,[1]android_repos_all_metrics!B:K,9,FALSE)</f>
        <v>85</v>
      </c>
      <c r="AI825">
        <f>VLOOKUP(A:A,[1]android_repos_all_metrics!B:K,10,FALSE)</f>
        <v>2</v>
      </c>
    </row>
    <row r="826" spans="1:35">
      <c r="A826" t="s">
        <v>888</v>
      </c>
      <c r="B826" t="b">
        <v>1</v>
      </c>
      <c r="C826" t="b">
        <v>0</v>
      </c>
      <c r="D826" t="b">
        <v>0</v>
      </c>
      <c r="F826" t="b">
        <v>0</v>
      </c>
      <c r="H826" t="s">
        <v>37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>
        <v>2</v>
      </c>
      <c r="AB826">
        <v>0</v>
      </c>
      <c r="AC826">
        <f>VLOOKUP(A:A,[1]android_repos_all_metrics!B:K,4,FALSE)</f>
        <v>323</v>
      </c>
      <c r="AD826">
        <f>VLOOKUP(A:A,[1]android_repos_all_metrics!B:K,5,FALSE)</f>
        <v>120</v>
      </c>
      <c r="AE826">
        <f>VLOOKUP(A:A,[1]android_repos_all_metrics!B:K,6,FALSE)</f>
        <v>49</v>
      </c>
      <c r="AF826">
        <f>VLOOKUP(A:A,[1]android_repos_all_metrics!B:K,7,FALSE)</f>
        <v>1204</v>
      </c>
      <c r="AG826">
        <f>VLOOKUP(A:A,[1]android_repos_all_metrics!B:K,8,FALSE)</f>
        <v>21</v>
      </c>
      <c r="AH826">
        <f>VLOOKUP(A:A,[1]android_repos_all_metrics!B:K,9,FALSE)</f>
        <v>65</v>
      </c>
      <c r="AI826">
        <f>VLOOKUP(A:A,[1]android_repos_all_metrics!B:K,10,FALSE)</f>
        <v>7</v>
      </c>
    </row>
    <row r="827" spans="1:35">
      <c r="A827" t="s">
        <v>889</v>
      </c>
      <c r="B827" t="b">
        <v>1</v>
      </c>
      <c r="C827" t="b">
        <v>0</v>
      </c>
      <c r="D827" t="b">
        <v>0</v>
      </c>
      <c r="F827" t="b">
        <v>0</v>
      </c>
      <c r="H827" t="s">
        <v>37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>
        <v>2</v>
      </c>
      <c r="AB827">
        <v>0</v>
      </c>
      <c r="AC827">
        <f>VLOOKUP(A:A,[1]android_repos_all_metrics!B:K,4,FALSE)</f>
        <v>194</v>
      </c>
      <c r="AD827">
        <f>VLOOKUP(A:A,[1]android_repos_all_metrics!B:K,5,FALSE)</f>
        <v>33</v>
      </c>
      <c r="AE827">
        <f>VLOOKUP(A:A,[1]android_repos_all_metrics!B:K,6,FALSE)</f>
        <v>2</v>
      </c>
      <c r="AF827">
        <f>VLOOKUP(A:A,[1]android_repos_all_metrics!B:K,7,FALSE)</f>
        <v>1204</v>
      </c>
      <c r="AG827">
        <f>VLOOKUP(A:A,[1]android_repos_all_metrics!B:K,8,FALSE)</f>
        <v>1</v>
      </c>
      <c r="AH827">
        <f>VLOOKUP(A:A,[1]android_repos_all_metrics!B:K,9,FALSE)</f>
        <v>7</v>
      </c>
      <c r="AI827">
        <f>VLOOKUP(A:A,[1]android_repos_all_metrics!B:K,10,FALSE)</f>
        <v>0</v>
      </c>
    </row>
    <row r="828" spans="1:35">
      <c r="A828" t="s">
        <v>890</v>
      </c>
      <c r="B828" t="b">
        <v>0</v>
      </c>
      <c r="C828" t="b">
        <v>0</v>
      </c>
      <c r="D828" t="b">
        <v>0</v>
      </c>
      <c r="F828" t="b">
        <v>0</v>
      </c>
      <c r="H828" t="s">
        <v>43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>
        <v>1</v>
      </c>
      <c r="AB828">
        <v>0</v>
      </c>
      <c r="AC828">
        <f>VLOOKUP(A:A,[1]android_repos_all_metrics!B:K,4,FALSE)</f>
        <v>1405</v>
      </c>
      <c r="AD828">
        <f>VLOOKUP(A:A,[1]android_repos_all_metrics!B:K,5,FALSE)</f>
        <v>148</v>
      </c>
      <c r="AE828">
        <f>VLOOKUP(A:A,[1]android_repos_all_metrics!B:K,6,FALSE)</f>
        <v>4</v>
      </c>
      <c r="AF828">
        <f>VLOOKUP(A:A,[1]android_repos_all_metrics!B:K,7,FALSE)</f>
        <v>7547</v>
      </c>
      <c r="AG828">
        <f>VLOOKUP(A:A,[1]android_repos_all_metrics!B:K,8,FALSE)</f>
        <v>68</v>
      </c>
      <c r="AH828">
        <f>VLOOKUP(A:A,[1]android_repos_all_metrics!B:K,9,FALSE)</f>
        <v>699</v>
      </c>
      <c r="AI828">
        <f>VLOOKUP(A:A,[1]android_repos_all_metrics!B:K,10,FALSE)</f>
        <v>26</v>
      </c>
    </row>
    <row r="829" spans="1:35">
      <c r="A829" t="s">
        <v>891</v>
      </c>
      <c r="B829" t="b">
        <v>1</v>
      </c>
      <c r="C829" t="b">
        <v>0</v>
      </c>
      <c r="D829" t="b">
        <v>0</v>
      </c>
      <c r="F829" t="b">
        <v>0</v>
      </c>
      <c r="H829" t="s">
        <v>37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>
        <v>1</v>
      </c>
      <c r="AB829">
        <v>0</v>
      </c>
      <c r="AC829">
        <f>VLOOKUP(A:A,[1]android_repos_all_metrics!B:K,4,FALSE)</f>
        <v>214</v>
      </c>
      <c r="AD829">
        <f>VLOOKUP(A:A,[1]android_repos_all_metrics!B:K,5,FALSE)</f>
        <v>66</v>
      </c>
      <c r="AE829">
        <f>VLOOKUP(A:A,[1]android_repos_all_metrics!B:K,6,FALSE)</f>
        <v>2</v>
      </c>
      <c r="AF829">
        <f>VLOOKUP(A:A,[1]android_repos_all_metrics!B:K,7,FALSE)</f>
        <v>1415</v>
      </c>
      <c r="AG829">
        <f>VLOOKUP(A:A,[1]android_repos_all_metrics!B:K,8,FALSE)</f>
        <v>1</v>
      </c>
      <c r="AH829">
        <f>VLOOKUP(A:A,[1]android_repos_all_metrics!B:K,9,FALSE)</f>
        <v>5</v>
      </c>
      <c r="AI829">
        <f>VLOOKUP(A:A,[1]android_repos_all_metrics!B:K,10,FALSE)</f>
        <v>15</v>
      </c>
    </row>
    <row r="830" spans="1:35">
      <c r="A830" t="s">
        <v>892</v>
      </c>
      <c r="B830" t="b">
        <v>1</v>
      </c>
      <c r="C830" t="b">
        <v>0</v>
      </c>
      <c r="D830" t="b">
        <v>0</v>
      </c>
      <c r="F830" t="b">
        <v>0</v>
      </c>
      <c r="H830" t="s">
        <v>37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>
        <v>1</v>
      </c>
      <c r="AB830">
        <v>0</v>
      </c>
      <c r="AC830">
        <f>VLOOKUP(A:A,[1]android_repos_all_metrics!B:K,4,FALSE)</f>
        <v>10</v>
      </c>
      <c r="AD830">
        <f>VLOOKUP(A:A,[1]android_repos_all_metrics!B:K,5,FALSE)</f>
        <v>0</v>
      </c>
      <c r="AE830">
        <f>VLOOKUP(A:A,[1]android_repos_all_metrics!B:K,6,FALSE)</f>
        <v>1</v>
      </c>
      <c r="AF830">
        <f>VLOOKUP(A:A,[1]android_repos_all_metrics!B:K,7,FALSE)</f>
        <v>119</v>
      </c>
      <c r="AG830">
        <f>VLOOKUP(A:A,[1]android_repos_all_metrics!B:K,8,FALSE)</f>
        <v>3</v>
      </c>
      <c r="AH830">
        <f>VLOOKUP(A:A,[1]android_repos_all_metrics!B:K,9,FALSE)</f>
        <v>6</v>
      </c>
      <c r="AI830">
        <f>VLOOKUP(A:A,[1]android_repos_all_metrics!B:K,10,FALSE)</f>
        <v>0</v>
      </c>
    </row>
    <row r="831" spans="1:35">
      <c r="A831" t="s">
        <v>893</v>
      </c>
      <c r="B831" t="b">
        <v>1</v>
      </c>
      <c r="C831" t="b">
        <v>0</v>
      </c>
      <c r="D831" t="b">
        <v>0</v>
      </c>
      <c r="F831" t="b">
        <v>0</v>
      </c>
      <c r="H831" t="s">
        <v>37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>
        <v>5</v>
      </c>
      <c r="AB831">
        <v>0</v>
      </c>
      <c r="AC831">
        <f>VLOOKUP(A:A,[1]android_repos_all_metrics!B:K,4,FALSE)</f>
        <v>615</v>
      </c>
      <c r="AD831">
        <f>VLOOKUP(A:A,[1]android_repos_all_metrics!B:K,5,FALSE)</f>
        <v>536</v>
      </c>
      <c r="AE831">
        <f>VLOOKUP(A:A,[1]android_repos_all_metrics!B:K,6,FALSE)</f>
        <v>24</v>
      </c>
      <c r="AF831">
        <f>VLOOKUP(A:A,[1]android_repos_all_metrics!B:K,7,FALSE)</f>
        <v>18951</v>
      </c>
      <c r="AG831">
        <f>VLOOKUP(A:A,[1]android_repos_all_metrics!B:K,8,FALSE)</f>
        <v>111</v>
      </c>
      <c r="AH831">
        <f>VLOOKUP(A:A,[1]android_repos_all_metrics!B:K,9,FALSE)</f>
        <v>767</v>
      </c>
      <c r="AI831">
        <f>VLOOKUP(A:A,[1]android_repos_all_metrics!B:K,10,FALSE)</f>
        <v>13</v>
      </c>
    </row>
    <row r="832" spans="1:35">
      <c r="A832" t="s">
        <v>894</v>
      </c>
      <c r="B832" t="b">
        <v>1</v>
      </c>
      <c r="C832" t="b">
        <v>0</v>
      </c>
      <c r="D832" t="b">
        <v>0</v>
      </c>
      <c r="F832" t="b">
        <v>0</v>
      </c>
      <c r="H832" t="s">
        <v>37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>
        <v>1</v>
      </c>
      <c r="AB832">
        <v>0</v>
      </c>
      <c r="AC832">
        <f>VLOOKUP(A:A,[1]android_repos_all_metrics!B:K,4,FALSE)</f>
        <v>74</v>
      </c>
      <c r="AD832">
        <f>VLOOKUP(A:A,[1]android_repos_all_metrics!B:K,5,FALSE)</f>
        <v>4</v>
      </c>
      <c r="AE832">
        <f>VLOOKUP(A:A,[1]android_repos_all_metrics!B:K,6,FALSE)</f>
        <v>1</v>
      </c>
      <c r="AF832">
        <f>VLOOKUP(A:A,[1]android_repos_all_metrics!B:K,7,FALSE)</f>
        <v>43448</v>
      </c>
      <c r="AG832">
        <f>VLOOKUP(A:A,[1]android_repos_all_metrics!B:K,8,FALSE)</f>
        <v>1</v>
      </c>
      <c r="AH832">
        <f>VLOOKUP(A:A,[1]android_repos_all_metrics!B:K,9,FALSE)</f>
        <v>1</v>
      </c>
      <c r="AI832">
        <f>VLOOKUP(A:A,[1]android_repos_all_metrics!B:K,10,FALSE)</f>
        <v>0</v>
      </c>
    </row>
    <row r="833" spans="1:35">
      <c r="A833" t="s">
        <v>895</v>
      </c>
      <c r="B833" t="b">
        <v>1</v>
      </c>
      <c r="C833" t="b">
        <v>0</v>
      </c>
      <c r="D833" t="b">
        <v>0</v>
      </c>
      <c r="F833" t="b">
        <v>0</v>
      </c>
      <c r="H833" t="s">
        <v>37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>
        <v>1</v>
      </c>
      <c r="AB833">
        <v>0</v>
      </c>
      <c r="AC833">
        <f>VLOOKUP(A:A,[1]android_repos_all_metrics!B:K,4,FALSE)</f>
        <v>19</v>
      </c>
      <c r="AD833">
        <f>VLOOKUP(A:A,[1]android_repos_all_metrics!B:K,5,FALSE)</f>
        <v>4</v>
      </c>
      <c r="AE833">
        <f>VLOOKUP(A:A,[1]android_repos_all_metrics!B:K,6,FALSE)</f>
        <v>2</v>
      </c>
      <c r="AF833">
        <f>VLOOKUP(A:A,[1]android_repos_all_metrics!B:K,7,FALSE)</f>
        <v>170</v>
      </c>
      <c r="AG833">
        <f>VLOOKUP(A:A,[1]android_repos_all_metrics!B:K,8,FALSE)</f>
        <v>38</v>
      </c>
      <c r="AH833">
        <f>VLOOKUP(A:A,[1]android_repos_all_metrics!B:K,9,FALSE)</f>
        <v>135</v>
      </c>
      <c r="AI833">
        <f>VLOOKUP(A:A,[1]android_repos_all_metrics!B:K,10,FALSE)</f>
        <v>3</v>
      </c>
    </row>
    <row r="834" spans="1:35">
      <c r="A834" t="s">
        <v>896</v>
      </c>
      <c r="B834" t="b">
        <v>1</v>
      </c>
      <c r="C834" t="b">
        <v>0</v>
      </c>
      <c r="D834" t="b">
        <v>0</v>
      </c>
      <c r="F834" t="b">
        <v>0</v>
      </c>
      <c r="H834" t="s">
        <v>37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>
        <v>7</v>
      </c>
      <c r="AB834">
        <v>0</v>
      </c>
      <c r="AC834">
        <f>VLOOKUP(A:A,[1]android_repos_all_metrics!B:K,4,FALSE)</f>
        <v>2397</v>
      </c>
      <c r="AD834">
        <f>VLOOKUP(A:A,[1]android_repos_all_metrics!B:K,5,FALSE)</f>
        <v>417</v>
      </c>
      <c r="AE834">
        <f>VLOOKUP(A:A,[1]android_repos_all_metrics!B:K,6,FALSE)</f>
        <v>33</v>
      </c>
      <c r="AF834">
        <f>VLOOKUP(A:A,[1]android_repos_all_metrics!B:K,7,FALSE)</f>
        <v>18169</v>
      </c>
      <c r="AG834">
        <f>VLOOKUP(A:A,[1]android_repos_all_metrics!B:K,8,FALSE)</f>
        <v>203</v>
      </c>
      <c r="AH834">
        <f>VLOOKUP(A:A,[1]android_repos_all_metrics!B:K,9,FALSE)</f>
        <v>4142</v>
      </c>
      <c r="AI834">
        <f>VLOOKUP(A:A,[1]android_repos_all_metrics!B:K,10,FALSE)</f>
        <v>95</v>
      </c>
    </row>
    <row r="835" spans="1:35">
      <c r="A835" t="s">
        <v>897</v>
      </c>
      <c r="B835" t="b">
        <v>1</v>
      </c>
      <c r="C835" t="b">
        <v>1</v>
      </c>
      <c r="D835" t="b">
        <v>0</v>
      </c>
      <c r="F835" t="b">
        <v>1</v>
      </c>
      <c r="G835" t="s">
        <v>39</v>
      </c>
      <c r="H835" t="s">
        <v>41</v>
      </c>
      <c r="I835" t="s">
        <v>41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>
        <v>1</v>
      </c>
      <c r="AB835">
        <v>0</v>
      </c>
      <c r="AC835">
        <f>VLOOKUP(A:A,[1]android_repos_all_metrics!B:K,4,FALSE)</f>
        <v>151</v>
      </c>
      <c r="AD835">
        <f>VLOOKUP(A:A,[1]android_repos_all_metrics!B:K,5,FALSE)</f>
        <v>6</v>
      </c>
      <c r="AE835">
        <f>VLOOKUP(A:A,[1]android_repos_all_metrics!B:K,6,FALSE)</f>
        <v>3</v>
      </c>
      <c r="AF835">
        <f>VLOOKUP(A:A,[1]android_repos_all_metrics!B:K,7,FALSE)</f>
        <v>27086</v>
      </c>
      <c r="AG835">
        <f>VLOOKUP(A:A,[1]android_repos_all_metrics!B:K,8,FALSE)</f>
        <v>14</v>
      </c>
      <c r="AH835">
        <f>VLOOKUP(A:A,[1]android_repos_all_metrics!B:K,9,FALSE)</f>
        <v>52</v>
      </c>
      <c r="AI835">
        <f>VLOOKUP(A:A,[1]android_repos_all_metrics!B:K,10,FALSE)</f>
        <v>15</v>
      </c>
    </row>
    <row r="836" spans="1:35">
      <c r="A836" t="s">
        <v>898</v>
      </c>
      <c r="B836" t="b">
        <v>1</v>
      </c>
      <c r="C836" t="b">
        <v>0</v>
      </c>
      <c r="D836" t="b">
        <v>0</v>
      </c>
      <c r="F836" t="b">
        <v>0</v>
      </c>
      <c r="H836" t="s">
        <v>37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>
        <v>1</v>
      </c>
      <c r="AB836">
        <v>0</v>
      </c>
      <c r="AC836">
        <f>VLOOKUP(A:A,[1]android_repos_all_metrics!B:K,4,FALSE)</f>
        <v>326</v>
      </c>
      <c r="AD836">
        <f>VLOOKUP(A:A,[1]android_repos_all_metrics!B:K,5,FALSE)</f>
        <v>13</v>
      </c>
      <c r="AE836">
        <f>VLOOKUP(A:A,[1]android_repos_all_metrics!B:K,6,FALSE)</f>
        <v>6</v>
      </c>
      <c r="AF836">
        <f>VLOOKUP(A:A,[1]android_repos_all_metrics!B:K,7,FALSE)</f>
        <v>21672</v>
      </c>
      <c r="AG836">
        <f>VLOOKUP(A:A,[1]android_repos_all_metrics!B:K,8,FALSE)</f>
        <v>4</v>
      </c>
      <c r="AH836">
        <f>VLOOKUP(A:A,[1]android_repos_all_metrics!B:K,9,FALSE)</f>
        <v>49</v>
      </c>
      <c r="AI836">
        <f>VLOOKUP(A:A,[1]android_repos_all_metrics!B:K,10,FALSE)</f>
        <v>8</v>
      </c>
    </row>
    <row r="837" spans="1:35">
      <c r="A837" t="s">
        <v>899</v>
      </c>
      <c r="B837" t="b">
        <v>1</v>
      </c>
      <c r="C837" t="b">
        <v>0</v>
      </c>
      <c r="D837" t="b">
        <v>0</v>
      </c>
      <c r="F837" t="b">
        <v>0</v>
      </c>
      <c r="H837" t="s">
        <v>37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>
        <v>1</v>
      </c>
      <c r="AB837">
        <v>0</v>
      </c>
      <c r="AC837">
        <f>VLOOKUP(A:A,[1]android_repos_all_metrics!B:K,4,FALSE)</f>
        <v>125</v>
      </c>
      <c r="AD837">
        <f>VLOOKUP(A:A,[1]android_repos_all_metrics!B:K,5,FALSE)</f>
        <v>0</v>
      </c>
      <c r="AE837">
        <f>VLOOKUP(A:A,[1]android_repos_all_metrics!B:K,6,FALSE)</f>
        <v>1</v>
      </c>
      <c r="AF837">
        <f>VLOOKUP(A:A,[1]android_repos_all_metrics!B:K,7,FALSE)</f>
        <v>26683</v>
      </c>
      <c r="AG837">
        <f>VLOOKUP(A:A,[1]android_repos_all_metrics!B:K,8,FALSE)</f>
        <v>6</v>
      </c>
      <c r="AH837">
        <f>VLOOKUP(A:A,[1]android_repos_all_metrics!B:K,9,FALSE)</f>
        <v>24</v>
      </c>
      <c r="AI837">
        <f>VLOOKUP(A:A,[1]android_repos_all_metrics!B:K,10,FALSE)</f>
        <v>6</v>
      </c>
    </row>
    <row r="838" spans="1:35">
      <c r="A838" t="s">
        <v>900</v>
      </c>
      <c r="B838" t="b">
        <v>0</v>
      </c>
      <c r="C838" t="b">
        <v>0</v>
      </c>
      <c r="D838" t="b">
        <v>0</v>
      </c>
      <c r="F838" t="b">
        <v>0</v>
      </c>
      <c r="H838" t="s">
        <v>41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>
        <v>1</v>
      </c>
      <c r="AB838">
        <v>0</v>
      </c>
      <c r="AC838">
        <f>VLOOKUP(A:A,[1]android_repos_all_metrics!B:K,4,FALSE)</f>
        <v>0</v>
      </c>
      <c r="AD838">
        <f>VLOOKUP(A:A,[1]android_repos_all_metrics!B:K,5,FALSE)</f>
        <v>0</v>
      </c>
      <c r="AE838">
        <f>VLOOKUP(A:A,[1]android_repos_all_metrics!B:K,6,FALSE)</f>
        <v>0</v>
      </c>
      <c r="AF838">
        <f>VLOOKUP(A:A,[1]android_repos_all_metrics!B:K,7,FALSE)</f>
        <v>86</v>
      </c>
      <c r="AG838">
        <f>VLOOKUP(A:A,[1]android_repos_all_metrics!B:K,8,FALSE)</f>
        <v>0</v>
      </c>
      <c r="AH838">
        <f>VLOOKUP(A:A,[1]android_repos_all_metrics!B:K,9,FALSE)</f>
        <v>1</v>
      </c>
      <c r="AI838">
        <f>VLOOKUP(A:A,[1]android_repos_all_metrics!B:K,10,FALSE)</f>
        <v>0</v>
      </c>
    </row>
    <row r="839" spans="1:35">
      <c r="A839" t="s">
        <v>901</v>
      </c>
      <c r="B839" t="b">
        <v>1</v>
      </c>
      <c r="C839" t="b">
        <v>0</v>
      </c>
      <c r="D839" t="b">
        <v>0</v>
      </c>
      <c r="F839" t="b">
        <v>0</v>
      </c>
      <c r="H839" t="s">
        <v>37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>
        <v>5</v>
      </c>
      <c r="AB839">
        <v>0</v>
      </c>
      <c r="AC839">
        <f>VLOOKUP(A:A,[1]android_repos_all_metrics!B:K,4,FALSE)</f>
        <v>104</v>
      </c>
      <c r="AD839">
        <f>VLOOKUP(A:A,[1]android_repos_all_metrics!B:K,5,FALSE)</f>
        <v>10</v>
      </c>
      <c r="AE839">
        <f>VLOOKUP(A:A,[1]android_repos_all_metrics!B:K,6,FALSE)</f>
        <v>2</v>
      </c>
      <c r="AF839">
        <f>VLOOKUP(A:A,[1]android_repos_all_metrics!B:K,7,FALSE)</f>
        <v>2159</v>
      </c>
      <c r="AG839">
        <f>VLOOKUP(A:A,[1]android_repos_all_metrics!B:K,8,FALSE)</f>
        <v>80</v>
      </c>
      <c r="AH839">
        <f>VLOOKUP(A:A,[1]android_repos_all_metrics!B:K,9,FALSE)</f>
        <v>385</v>
      </c>
      <c r="AI839">
        <f>VLOOKUP(A:A,[1]android_repos_all_metrics!B:K,10,FALSE)</f>
        <v>4</v>
      </c>
    </row>
    <row r="840" spans="1:35">
      <c r="A840" t="s">
        <v>902</v>
      </c>
      <c r="B840" t="b">
        <v>1</v>
      </c>
      <c r="C840" t="b">
        <v>0</v>
      </c>
      <c r="D840" t="b">
        <v>0</v>
      </c>
      <c r="F840" t="b">
        <v>0</v>
      </c>
      <c r="H840" t="s">
        <v>37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>
        <v>1</v>
      </c>
      <c r="AB840">
        <v>0</v>
      </c>
      <c r="AC840">
        <f>VLOOKUP(A:A,[1]android_repos_all_metrics!B:K,4,FALSE)</f>
        <v>6</v>
      </c>
      <c r="AD840">
        <f>VLOOKUP(A:A,[1]android_repos_all_metrics!B:K,5,FALSE)</f>
        <v>1</v>
      </c>
      <c r="AE840">
        <f>VLOOKUP(A:A,[1]android_repos_all_metrics!B:K,6,FALSE)</f>
        <v>1</v>
      </c>
      <c r="AF840">
        <f>VLOOKUP(A:A,[1]android_repos_all_metrics!B:K,7,FALSE)</f>
        <v>1377</v>
      </c>
      <c r="AG840">
        <f>VLOOKUP(A:A,[1]android_repos_all_metrics!B:K,8,FALSE)</f>
        <v>0</v>
      </c>
      <c r="AH840">
        <f>VLOOKUP(A:A,[1]android_repos_all_metrics!B:K,9,FALSE)</f>
        <v>2</v>
      </c>
      <c r="AI840">
        <f>VLOOKUP(A:A,[1]android_repos_all_metrics!B:K,10,FALSE)</f>
        <v>1</v>
      </c>
    </row>
    <row r="841" spans="1:35">
      <c r="A841" t="s">
        <v>903</v>
      </c>
      <c r="B841" t="b">
        <v>1</v>
      </c>
      <c r="C841" t="b">
        <v>0</v>
      </c>
      <c r="D841" t="b">
        <v>0</v>
      </c>
      <c r="F841" t="b">
        <v>0</v>
      </c>
      <c r="H841" t="s">
        <v>37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>
        <v>1</v>
      </c>
      <c r="AB841">
        <v>0</v>
      </c>
      <c r="AC841">
        <f>VLOOKUP(A:A,[1]android_repos_all_metrics!B:K,4,FALSE)</f>
        <v>49</v>
      </c>
      <c r="AD841">
        <f>VLOOKUP(A:A,[1]android_repos_all_metrics!B:K,5,FALSE)</f>
        <v>2</v>
      </c>
      <c r="AE841">
        <f>VLOOKUP(A:A,[1]android_repos_all_metrics!B:K,6,FALSE)</f>
        <v>1</v>
      </c>
      <c r="AF841">
        <f>VLOOKUP(A:A,[1]android_repos_all_metrics!B:K,7,FALSE)</f>
        <v>107</v>
      </c>
      <c r="AG841">
        <f>VLOOKUP(A:A,[1]android_repos_all_metrics!B:K,8,FALSE)</f>
        <v>1</v>
      </c>
      <c r="AH841">
        <f>VLOOKUP(A:A,[1]android_repos_all_metrics!B:K,9,FALSE)</f>
        <v>1</v>
      </c>
      <c r="AI841">
        <f>VLOOKUP(A:A,[1]android_repos_all_metrics!B:K,10,FALSE)</f>
        <v>0</v>
      </c>
    </row>
    <row r="842" spans="1:35">
      <c r="A842" t="s">
        <v>904</v>
      </c>
      <c r="B842" t="b">
        <v>1</v>
      </c>
      <c r="C842" t="b">
        <v>0</v>
      </c>
      <c r="D842" t="b">
        <v>0</v>
      </c>
      <c r="F842" t="b">
        <v>0</v>
      </c>
      <c r="H842" t="s">
        <v>37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>
        <v>1</v>
      </c>
      <c r="AB842">
        <v>0</v>
      </c>
      <c r="AC842">
        <f>VLOOKUP(A:A,[1]android_repos_all_metrics!B:K,4,FALSE)</f>
        <v>68</v>
      </c>
      <c r="AD842">
        <f>VLOOKUP(A:A,[1]android_repos_all_metrics!B:K,5,FALSE)</f>
        <v>41</v>
      </c>
      <c r="AE842">
        <f>VLOOKUP(A:A,[1]android_repos_all_metrics!B:K,6,FALSE)</f>
        <v>2</v>
      </c>
      <c r="AF842">
        <f>VLOOKUP(A:A,[1]android_repos_all_metrics!B:K,7,FALSE)</f>
        <v>7676</v>
      </c>
      <c r="AG842">
        <f>VLOOKUP(A:A,[1]android_repos_all_metrics!B:K,8,FALSE)</f>
        <v>0</v>
      </c>
      <c r="AH842">
        <f>VLOOKUP(A:A,[1]android_repos_all_metrics!B:K,9,FALSE)</f>
        <v>1</v>
      </c>
      <c r="AI842">
        <f>VLOOKUP(A:A,[1]android_repos_all_metrics!B:K,10,FALSE)</f>
        <v>0</v>
      </c>
    </row>
    <row r="843" spans="1:35">
      <c r="A843" t="s">
        <v>905</v>
      </c>
      <c r="B843" t="b">
        <v>1</v>
      </c>
      <c r="C843" t="b">
        <v>0</v>
      </c>
      <c r="D843" t="b">
        <v>0</v>
      </c>
      <c r="F843" t="b">
        <v>0</v>
      </c>
      <c r="H843" t="s">
        <v>37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>
        <v>1</v>
      </c>
      <c r="AB843">
        <v>0</v>
      </c>
      <c r="AC843">
        <f>VLOOKUP(A:A,[1]android_repos_all_metrics!B:K,4,FALSE)</f>
        <v>35</v>
      </c>
      <c r="AD843">
        <f>VLOOKUP(A:A,[1]android_repos_all_metrics!B:K,5,FALSE)</f>
        <v>0</v>
      </c>
      <c r="AE843">
        <f>VLOOKUP(A:A,[1]android_repos_all_metrics!B:K,6,FALSE)</f>
        <v>3</v>
      </c>
      <c r="AF843">
        <f>VLOOKUP(A:A,[1]android_repos_all_metrics!B:K,7,FALSE)</f>
        <v>273</v>
      </c>
      <c r="AG843">
        <f>VLOOKUP(A:A,[1]android_repos_all_metrics!B:K,8,FALSE)</f>
        <v>0</v>
      </c>
      <c r="AH843">
        <f>VLOOKUP(A:A,[1]android_repos_all_metrics!B:K,9,FALSE)</f>
        <v>4</v>
      </c>
      <c r="AI843">
        <f>VLOOKUP(A:A,[1]android_repos_all_metrics!B:K,10,FALSE)</f>
        <v>0</v>
      </c>
    </row>
    <row r="844" spans="1:35">
      <c r="A844" t="s">
        <v>906</v>
      </c>
      <c r="B844" t="b">
        <v>1</v>
      </c>
      <c r="C844" t="b">
        <v>0</v>
      </c>
      <c r="D844" t="b">
        <v>0</v>
      </c>
      <c r="F844" t="b">
        <v>0</v>
      </c>
      <c r="H844" t="s">
        <v>41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>
        <v>1</v>
      </c>
      <c r="AB844">
        <v>0</v>
      </c>
      <c r="AC844">
        <f>VLOOKUP(A:A,[1]android_repos_all_metrics!B:K,4,FALSE)</f>
        <v>28</v>
      </c>
      <c r="AD844">
        <f>VLOOKUP(A:A,[1]android_repos_all_metrics!B:K,5,FALSE)</f>
        <v>0</v>
      </c>
      <c r="AE844">
        <f>VLOOKUP(A:A,[1]android_repos_all_metrics!B:K,6,FALSE)</f>
        <v>1</v>
      </c>
      <c r="AF844">
        <f>VLOOKUP(A:A,[1]android_repos_all_metrics!B:K,7,FALSE)</f>
        <v>2481</v>
      </c>
      <c r="AG844">
        <f>VLOOKUP(A:A,[1]android_repos_all_metrics!B:K,8,FALSE)</f>
        <v>5</v>
      </c>
      <c r="AH844">
        <f>VLOOKUP(A:A,[1]android_repos_all_metrics!B:K,9,FALSE)</f>
        <v>9</v>
      </c>
      <c r="AI844">
        <f>VLOOKUP(A:A,[1]android_repos_all_metrics!B:K,10,FALSE)</f>
        <v>0</v>
      </c>
    </row>
    <row r="845" spans="1:35">
      <c r="A845" t="s">
        <v>907</v>
      </c>
      <c r="B845" t="b">
        <v>1</v>
      </c>
      <c r="C845" t="b">
        <v>0</v>
      </c>
      <c r="D845" t="b">
        <v>0</v>
      </c>
      <c r="F845" t="b">
        <v>0</v>
      </c>
      <c r="H845" t="s">
        <v>37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>
        <v>2</v>
      </c>
      <c r="AB845">
        <v>0</v>
      </c>
      <c r="AC845">
        <f>VLOOKUP(A:A,[1]android_repos_all_metrics!B:K,4,FALSE)</f>
        <v>0</v>
      </c>
      <c r="AD845">
        <f>VLOOKUP(A:A,[1]android_repos_all_metrics!B:K,5,FALSE)</f>
        <v>0</v>
      </c>
      <c r="AE845">
        <f>VLOOKUP(A:A,[1]android_repos_all_metrics!B:K,6,FALSE)</f>
        <v>0</v>
      </c>
      <c r="AF845">
        <f>VLOOKUP(A:A,[1]android_repos_all_metrics!B:K,7,FALSE)</f>
        <v>62948</v>
      </c>
      <c r="AG845">
        <f>VLOOKUP(A:A,[1]android_repos_all_metrics!B:K,8,FALSE)</f>
        <v>0</v>
      </c>
      <c r="AH845">
        <f>VLOOKUP(A:A,[1]android_repos_all_metrics!B:K,9,FALSE)</f>
        <v>5</v>
      </c>
      <c r="AI845">
        <f>VLOOKUP(A:A,[1]android_repos_all_metrics!B:K,10,FALSE)</f>
        <v>8</v>
      </c>
    </row>
    <row r="846" spans="1:35">
      <c r="A846" t="s">
        <v>908</v>
      </c>
      <c r="B846" t="b">
        <v>1</v>
      </c>
      <c r="C846" t="b">
        <v>0</v>
      </c>
      <c r="D846" t="b">
        <v>0</v>
      </c>
      <c r="F846" t="b">
        <v>0</v>
      </c>
      <c r="H846" t="s">
        <v>37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>
        <v>1</v>
      </c>
      <c r="AB846">
        <v>0</v>
      </c>
      <c r="AC846">
        <f>VLOOKUP(A:A,[1]android_repos_all_metrics!B:K,4,FALSE)</f>
        <v>30</v>
      </c>
      <c r="AD846">
        <f>VLOOKUP(A:A,[1]android_repos_all_metrics!B:K,5,FALSE)</f>
        <v>0</v>
      </c>
      <c r="AE846">
        <f>VLOOKUP(A:A,[1]android_repos_all_metrics!B:K,6,FALSE)</f>
        <v>1</v>
      </c>
      <c r="AF846">
        <f>VLOOKUP(A:A,[1]android_repos_all_metrics!B:K,7,FALSE)</f>
        <v>28930</v>
      </c>
      <c r="AG846">
        <f>VLOOKUP(A:A,[1]android_repos_all_metrics!B:K,8,FALSE)</f>
        <v>3</v>
      </c>
      <c r="AH846">
        <f>VLOOKUP(A:A,[1]android_repos_all_metrics!B:K,9,FALSE)</f>
        <v>6</v>
      </c>
      <c r="AI846">
        <f>VLOOKUP(A:A,[1]android_repos_all_metrics!B:K,10,FALSE)</f>
        <v>0</v>
      </c>
    </row>
    <row r="847" spans="1:35">
      <c r="A847" t="s">
        <v>909</v>
      </c>
      <c r="B847" t="b">
        <v>0</v>
      </c>
      <c r="C847" t="b">
        <v>0</v>
      </c>
      <c r="D847" t="b">
        <v>0</v>
      </c>
      <c r="F847" t="b">
        <v>0</v>
      </c>
      <c r="H847" t="s">
        <v>37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>
        <v>1</v>
      </c>
      <c r="AB847">
        <v>1</v>
      </c>
      <c r="AC847">
        <f>VLOOKUP(A:A,[1]android_repos_all_metrics!B:K,4,FALSE)</f>
        <v>26</v>
      </c>
      <c r="AD847">
        <f>VLOOKUP(A:A,[1]android_repos_all_metrics!B:K,5,FALSE)</f>
        <v>1</v>
      </c>
      <c r="AE847">
        <f>VLOOKUP(A:A,[1]android_repos_all_metrics!B:K,6,FALSE)</f>
        <v>3</v>
      </c>
      <c r="AF847">
        <f>VLOOKUP(A:A,[1]android_repos_all_metrics!B:K,7,FALSE)</f>
        <v>1974</v>
      </c>
      <c r="AG847">
        <f>VLOOKUP(A:A,[1]android_repos_all_metrics!B:K,8,FALSE)</f>
        <v>69</v>
      </c>
      <c r="AH847">
        <f>VLOOKUP(A:A,[1]android_repos_all_metrics!B:K,9,FALSE)</f>
        <v>260</v>
      </c>
      <c r="AI847">
        <f>VLOOKUP(A:A,[1]android_repos_all_metrics!B:K,10,FALSE)</f>
        <v>4</v>
      </c>
    </row>
    <row r="848" spans="1:35">
      <c r="A848" t="s">
        <v>910</v>
      </c>
      <c r="B848" t="b">
        <v>1</v>
      </c>
      <c r="C848" t="b">
        <v>0</v>
      </c>
      <c r="D848" t="b">
        <v>0</v>
      </c>
      <c r="F848" t="b">
        <v>0</v>
      </c>
      <c r="H848" t="s">
        <v>37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>
        <v>2</v>
      </c>
      <c r="AB848">
        <v>0</v>
      </c>
      <c r="AC848">
        <f>VLOOKUP(A:A,[1]android_repos_all_metrics!B:K,4,FALSE)</f>
        <v>34</v>
      </c>
      <c r="AD848">
        <f>VLOOKUP(A:A,[1]android_repos_all_metrics!B:K,5,FALSE)</f>
        <v>0</v>
      </c>
      <c r="AE848">
        <f>VLOOKUP(A:A,[1]android_repos_all_metrics!B:K,6,FALSE)</f>
        <v>1</v>
      </c>
      <c r="AF848">
        <f>VLOOKUP(A:A,[1]android_repos_all_metrics!B:K,7,FALSE)</f>
        <v>476</v>
      </c>
      <c r="AG848">
        <f>VLOOKUP(A:A,[1]android_repos_all_metrics!B:K,8,FALSE)</f>
        <v>3</v>
      </c>
      <c r="AH848">
        <f>VLOOKUP(A:A,[1]android_repos_all_metrics!B:K,9,FALSE)</f>
        <v>4</v>
      </c>
      <c r="AI848">
        <f>VLOOKUP(A:A,[1]android_repos_all_metrics!B:K,10,FALSE)</f>
        <v>0</v>
      </c>
    </row>
    <row r="849" spans="1:35">
      <c r="A849" t="s">
        <v>911</v>
      </c>
      <c r="B849" t="b">
        <v>1</v>
      </c>
      <c r="C849" t="b">
        <v>0</v>
      </c>
      <c r="D849" t="b">
        <v>0</v>
      </c>
      <c r="F849" t="b">
        <v>0</v>
      </c>
      <c r="H849" t="s">
        <v>37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>
        <v>1</v>
      </c>
      <c r="AB849">
        <v>0</v>
      </c>
      <c r="AC849">
        <f>VLOOKUP(A:A,[1]android_repos_all_metrics!B:K,4,FALSE)</f>
        <v>26</v>
      </c>
      <c r="AD849">
        <f>VLOOKUP(A:A,[1]android_repos_all_metrics!B:K,5,FALSE)</f>
        <v>0</v>
      </c>
      <c r="AE849">
        <f>VLOOKUP(A:A,[1]android_repos_all_metrics!B:K,6,FALSE)</f>
        <v>1</v>
      </c>
      <c r="AF849">
        <f>VLOOKUP(A:A,[1]android_repos_all_metrics!B:K,7,FALSE)</f>
        <v>8887</v>
      </c>
      <c r="AG849">
        <f>VLOOKUP(A:A,[1]android_repos_all_metrics!B:K,8,FALSE)</f>
        <v>0</v>
      </c>
      <c r="AH849">
        <f>VLOOKUP(A:A,[1]android_repos_all_metrics!B:K,9,FALSE)</f>
        <v>1</v>
      </c>
      <c r="AI849">
        <f>VLOOKUP(A:A,[1]android_repos_all_metrics!B:K,10,FALSE)</f>
        <v>0</v>
      </c>
    </row>
    <row r="850" spans="1:35">
      <c r="A850" t="s">
        <v>912</v>
      </c>
      <c r="B850" t="b">
        <v>1</v>
      </c>
      <c r="C850" t="b">
        <v>0</v>
      </c>
      <c r="D850" t="b">
        <v>0</v>
      </c>
      <c r="F850" t="b">
        <v>0</v>
      </c>
      <c r="H850" t="s">
        <v>41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>
        <v>1</v>
      </c>
      <c r="AB850">
        <v>0</v>
      </c>
      <c r="AC850">
        <f>VLOOKUP(A:A,[1]android_repos_all_metrics!B:K,4,FALSE)</f>
        <v>22</v>
      </c>
      <c r="AD850">
        <f>VLOOKUP(A:A,[1]android_repos_all_metrics!B:K,5,FALSE)</f>
        <v>0</v>
      </c>
      <c r="AE850">
        <f>VLOOKUP(A:A,[1]android_repos_all_metrics!B:K,6,FALSE)</f>
        <v>1</v>
      </c>
      <c r="AF850">
        <f>VLOOKUP(A:A,[1]android_repos_all_metrics!B:K,7,FALSE)</f>
        <v>383</v>
      </c>
      <c r="AG850">
        <f>VLOOKUP(A:A,[1]android_repos_all_metrics!B:K,8,FALSE)</f>
        <v>1</v>
      </c>
      <c r="AH850">
        <f>VLOOKUP(A:A,[1]android_repos_all_metrics!B:K,9,FALSE)</f>
        <v>9</v>
      </c>
      <c r="AI850">
        <f>VLOOKUP(A:A,[1]android_repos_all_metrics!B:K,10,FALSE)</f>
        <v>0</v>
      </c>
    </row>
    <row r="851" spans="1:35">
      <c r="A851" t="s">
        <v>913</v>
      </c>
      <c r="B851" t="b">
        <v>1</v>
      </c>
      <c r="C851" t="b">
        <v>0</v>
      </c>
      <c r="D851" t="b">
        <v>0</v>
      </c>
      <c r="F851" t="b">
        <v>0</v>
      </c>
      <c r="H851" t="s">
        <v>37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>
        <v>1</v>
      </c>
      <c r="AB851">
        <v>0</v>
      </c>
      <c r="AC851">
        <f>VLOOKUP(A:A,[1]android_repos_all_metrics!B:K,4,FALSE)</f>
        <v>142</v>
      </c>
      <c r="AD851">
        <f>VLOOKUP(A:A,[1]android_repos_all_metrics!B:K,5,FALSE)</f>
        <v>1</v>
      </c>
      <c r="AE851">
        <f>VLOOKUP(A:A,[1]android_repos_all_metrics!B:K,6,FALSE)</f>
        <v>1</v>
      </c>
      <c r="AF851">
        <f>VLOOKUP(A:A,[1]android_repos_all_metrics!B:K,7,FALSE)</f>
        <v>16502</v>
      </c>
      <c r="AG851">
        <f>VLOOKUP(A:A,[1]android_repos_all_metrics!B:K,8,FALSE)</f>
        <v>40</v>
      </c>
      <c r="AH851">
        <f>VLOOKUP(A:A,[1]android_repos_all_metrics!B:K,9,FALSE)</f>
        <v>200</v>
      </c>
      <c r="AI851">
        <f>VLOOKUP(A:A,[1]android_repos_all_metrics!B:K,10,FALSE)</f>
        <v>1</v>
      </c>
    </row>
    <row r="852" spans="1:35">
      <c r="A852" t="s">
        <v>914</v>
      </c>
      <c r="B852" t="b">
        <v>1</v>
      </c>
      <c r="C852" t="b">
        <v>0</v>
      </c>
      <c r="D852" t="b">
        <v>0</v>
      </c>
      <c r="F852" t="b">
        <v>0</v>
      </c>
      <c r="H852" t="s">
        <v>37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>
        <v>1</v>
      </c>
      <c r="AB852">
        <v>0</v>
      </c>
      <c r="AC852">
        <f>VLOOKUP(A:A,[1]android_repos_all_metrics!B:K,4,FALSE)</f>
        <v>231</v>
      </c>
      <c r="AD852">
        <f>VLOOKUP(A:A,[1]android_repos_all_metrics!B:K,5,FALSE)</f>
        <v>43</v>
      </c>
      <c r="AE852">
        <f>VLOOKUP(A:A,[1]android_repos_all_metrics!B:K,6,FALSE)</f>
        <v>26</v>
      </c>
      <c r="AF852">
        <f>VLOOKUP(A:A,[1]android_repos_all_metrics!B:K,7,FALSE)</f>
        <v>5528</v>
      </c>
      <c r="AG852">
        <f>VLOOKUP(A:A,[1]android_repos_all_metrics!B:K,8,FALSE)</f>
        <v>132</v>
      </c>
      <c r="AH852">
        <f>VLOOKUP(A:A,[1]android_repos_all_metrics!B:K,9,FALSE)</f>
        <v>84</v>
      </c>
      <c r="AI852">
        <f>VLOOKUP(A:A,[1]android_repos_all_metrics!B:K,10,FALSE)</f>
        <v>62</v>
      </c>
    </row>
    <row r="853" spans="1:35">
      <c r="A853" t="s">
        <v>915</v>
      </c>
      <c r="B853" t="b">
        <v>1</v>
      </c>
      <c r="C853" t="b">
        <v>0</v>
      </c>
      <c r="D853" t="b">
        <v>0</v>
      </c>
      <c r="F853" t="b">
        <v>0</v>
      </c>
      <c r="H853" t="s">
        <v>37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>
        <v>1</v>
      </c>
      <c r="AB853">
        <v>0</v>
      </c>
      <c r="AC853">
        <f>VLOOKUP(A:A,[1]android_repos_all_metrics!B:K,4,FALSE)</f>
        <v>33</v>
      </c>
      <c r="AD853">
        <f>VLOOKUP(A:A,[1]android_repos_all_metrics!B:K,5,FALSE)</f>
        <v>0</v>
      </c>
      <c r="AE853">
        <f>VLOOKUP(A:A,[1]android_repos_all_metrics!B:K,6,FALSE)</f>
        <v>2</v>
      </c>
      <c r="AF853">
        <f>VLOOKUP(A:A,[1]android_repos_all_metrics!B:K,7,FALSE)</f>
        <v>21426</v>
      </c>
      <c r="AG853">
        <f>VLOOKUP(A:A,[1]android_repos_all_metrics!B:K,8,FALSE)</f>
        <v>1</v>
      </c>
      <c r="AH853">
        <f>VLOOKUP(A:A,[1]android_repos_all_metrics!B:K,9,FALSE)</f>
        <v>2</v>
      </c>
      <c r="AI853">
        <f>VLOOKUP(A:A,[1]android_repos_all_metrics!B:K,10,FALSE)</f>
        <v>0</v>
      </c>
    </row>
    <row r="854" spans="1:35">
      <c r="A854" t="s">
        <v>916</v>
      </c>
      <c r="B854" t="b">
        <v>1</v>
      </c>
      <c r="C854" t="b">
        <v>0</v>
      </c>
      <c r="D854" t="b">
        <v>0</v>
      </c>
      <c r="F854" t="b">
        <v>0</v>
      </c>
      <c r="H854" t="s">
        <v>37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>
        <v>1</v>
      </c>
      <c r="AB854">
        <v>0</v>
      </c>
      <c r="AC854">
        <f>VLOOKUP(A:A,[1]android_repos_all_metrics!B:K,4,FALSE)</f>
        <v>12</v>
      </c>
      <c r="AD854">
        <f>VLOOKUP(A:A,[1]android_repos_all_metrics!B:K,5,FALSE)</f>
        <v>30</v>
      </c>
      <c r="AE854">
        <f>VLOOKUP(A:A,[1]android_repos_all_metrics!B:K,6,FALSE)</f>
        <v>2</v>
      </c>
      <c r="AF854">
        <f>VLOOKUP(A:A,[1]android_repos_all_metrics!B:K,7,FALSE)</f>
        <v>20965</v>
      </c>
      <c r="AG854">
        <f>VLOOKUP(A:A,[1]android_repos_all_metrics!B:K,8,FALSE)</f>
        <v>8</v>
      </c>
      <c r="AH854">
        <f>VLOOKUP(A:A,[1]android_repos_all_metrics!B:K,9,FALSE)</f>
        <v>31</v>
      </c>
      <c r="AI854">
        <f>VLOOKUP(A:A,[1]android_repos_all_metrics!B:K,10,FALSE)</f>
        <v>18</v>
      </c>
    </row>
    <row r="855" spans="1:35">
      <c r="A855" t="s">
        <v>917</v>
      </c>
      <c r="B855" t="b">
        <v>1</v>
      </c>
      <c r="C855" t="b">
        <v>0</v>
      </c>
      <c r="D855" t="b">
        <v>0</v>
      </c>
      <c r="F855" t="b">
        <v>0</v>
      </c>
      <c r="H855" t="s">
        <v>37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>
        <v>1</v>
      </c>
      <c r="AB855">
        <v>0</v>
      </c>
      <c r="AC855">
        <f>VLOOKUP(A:A,[1]android_repos_all_metrics!B:K,4,FALSE)</f>
        <v>43</v>
      </c>
      <c r="AD855">
        <f>VLOOKUP(A:A,[1]android_repos_all_metrics!B:K,5,FALSE)</f>
        <v>1</v>
      </c>
      <c r="AE855">
        <f>VLOOKUP(A:A,[1]android_repos_all_metrics!B:K,6,FALSE)</f>
        <v>2</v>
      </c>
      <c r="AF855">
        <f>VLOOKUP(A:A,[1]android_repos_all_metrics!B:K,7,FALSE)</f>
        <v>11024</v>
      </c>
      <c r="AG855">
        <f>VLOOKUP(A:A,[1]android_repos_all_metrics!B:K,8,FALSE)</f>
        <v>35</v>
      </c>
      <c r="AH855">
        <f>VLOOKUP(A:A,[1]android_repos_all_metrics!B:K,9,FALSE)</f>
        <v>93</v>
      </c>
      <c r="AI855">
        <f>VLOOKUP(A:A,[1]android_repos_all_metrics!B:K,10,FALSE)</f>
        <v>0</v>
      </c>
    </row>
    <row r="856" spans="1:35">
      <c r="A856" t="s">
        <v>918</v>
      </c>
      <c r="B856" t="b">
        <v>1</v>
      </c>
      <c r="C856" t="b">
        <v>0</v>
      </c>
      <c r="D856" t="b">
        <v>0</v>
      </c>
      <c r="F856" t="b">
        <v>0</v>
      </c>
      <c r="H856" t="s">
        <v>37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>
        <v>1</v>
      </c>
      <c r="AB856">
        <v>0</v>
      </c>
      <c r="AC856">
        <f>VLOOKUP(A:A,[1]android_repos_all_metrics!B:K,4,FALSE)</f>
        <v>37</v>
      </c>
      <c r="AD856">
        <f>VLOOKUP(A:A,[1]android_repos_all_metrics!B:K,5,FALSE)</f>
        <v>8</v>
      </c>
      <c r="AE856">
        <f>VLOOKUP(A:A,[1]android_repos_all_metrics!B:K,6,FALSE)</f>
        <v>1</v>
      </c>
      <c r="AF856">
        <f>VLOOKUP(A:A,[1]android_repos_all_metrics!B:K,7,FALSE)</f>
        <v>113</v>
      </c>
      <c r="AG856">
        <f>VLOOKUP(A:A,[1]android_repos_all_metrics!B:K,8,FALSE)</f>
        <v>1</v>
      </c>
      <c r="AH856">
        <f>VLOOKUP(A:A,[1]android_repos_all_metrics!B:K,9,FALSE)</f>
        <v>2</v>
      </c>
      <c r="AI856">
        <f>VLOOKUP(A:A,[1]android_repos_all_metrics!B:K,10,FALSE)</f>
        <v>0</v>
      </c>
    </row>
    <row r="857" spans="1:35">
      <c r="A857" t="s">
        <v>919</v>
      </c>
      <c r="B857" t="b">
        <v>1</v>
      </c>
      <c r="C857" t="b">
        <v>0</v>
      </c>
      <c r="D857" t="b">
        <v>0</v>
      </c>
      <c r="F857" t="b">
        <v>0</v>
      </c>
      <c r="H857" t="s">
        <v>37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>
        <v>2</v>
      </c>
      <c r="AB857">
        <v>0</v>
      </c>
      <c r="AC857">
        <f>VLOOKUP(A:A,[1]android_repos_all_metrics!B:K,4,FALSE)</f>
        <v>338</v>
      </c>
      <c r="AD857">
        <f>VLOOKUP(A:A,[1]android_repos_all_metrics!B:K,5,FALSE)</f>
        <v>6</v>
      </c>
      <c r="AE857">
        <f>VLOOKUP(A:A,[1]android_repos_all_metrics!B:K,6,FALSE)</f>
        <v>23</v>
      </c>
      <c r="AF857">
        <f>VLOOKUP(A:A,[1]android_repos_all_metrics!B:K,7,FALSE)</f>
        <v>9656</v>
      </c>
      <c r="AG857">
        <f>VLOOKUP(A:A,[1]android_repos_all_metrics!B:K,8,FALSE)</f>
        <v>9</v>
      </c>
      <c r="AH857">
        <f>VLOOKUP(A:A,[1]android_repos_all_metrics!B:K,9,FALSE)</f>
        <v>75</v>
      </c>
      <c r="AI857">
        <f>VLOOKUP(A:A,[1]android_repos_all_metrics!B:K,10,FALSE)</f>
        <v>5</v>
      </c>
    </row>
    <row r="858" spans="1:35">
      <c r="A858" t="s">
        <v>920</v>
      </c>
      <c r="B858" t="b">
        <v>1</v>
      </c>
      <c r="C858" t="b">
        <v>0</v>
      </c>
      <c r="D858" t="b">
        <v>0</v>
      </c>
      <c r="F858" t="b">
        <v>0</v>
      </c>
      <c r="H858" t="s">
        <v>37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>
        <v>1</v>
      </c>
      <c r="AB858">
        <v>0</v>
      </c>
      <c r="AC858">
        <f>VLOOKUP(A:A,[1]android_repos_all_metrics!B:K,4,FALSE)</f>
        <v>512</v>
      </c>
      <c r="AD858">
        <f>VLOOKUP(A:A,[1]android_repos_all_metrics!B:K,5,FALSE)</f>
        <v>13</v>
      </c>
      <c r="AE858">
        <f>VLOOKUP(A:A,[1]android_repos_all_metrics!B:K,6,FALSE)</f>
        <v>11</v>
      </c>
      <c r="AF858">
        <f>VLOOKUP(A:A,[1]android_repos_all_metrics!B:K,7,FALSE)</f>
        <v>17334</v>
      </c>
      <c r="AG858">
        <f>VLOOKUP(A:A,[1]android_repos_all_metrics!B:K,8,FALSE)</f>
        <v>44</v>
      </c>
      <c r="AH858">
        <f>VLOOKUP(A:A,[1]android_repos_all_metrics!B:K,9,FALSE)</f>
        <v>303</v>
      </c>
      <c r="AI858">
        <f>VLOOKUP(A:A,[1]android_repos_all_metrics!B:K,10,FALSE)</f>
        <v>0</v>
      </c>
    </row>
    <row r="859" spans="1:35">
      <c r="A859" t="s">
        <v>921</v>
      </c>
      <c r="B859" t="b">
        <v>1</v>
      </c>
      <c r="C859" t="b">
        <v>0</v>
      </c>
      <c r="D859" t="b">
        <v>0</v>
      </c>
      <c r="F859" t="b">
        <v>0</v>
      </c>
      <c r="H859" t="s">
        <v>41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>
        <v>1</v>
      </c>
      <c r="AB859">
        <v>0</v>
      </c>
      <c r="AC859">
        <f>VLOOKUP(A:A,[1]android_repos_all_metrics!B:K,4,FALSE)</f>
        <v>46</v>
      </c>
      <c r="AD859">
        <f>VLOOKUP(A:A,[1]android_repos_all_metrics!B:K,5,FALSE)</f>
        <v>1</v>
      </c>
      <c r="AE859">
        <f>VLOOKUP(A:A,[1]android_repos_all_metrics!B:K,6,FALSE)</f>
        <v>1</v>
      </c>
      <c r="AF859">
        <f>VLOOKUP(A:A,[1]android_repos_all_metrics!B:K,7,FALSE)</f>
        <v>11541</v>
      </c>
      <c r="AG859">
        <f>VLOOKUP(A:A,[1]android_repos_all_metrics!B:K,8,FALSE)</f>
        <v>4</v>
      </c>
      <c r="AH859">
        <f>VLOOKUP(A:A,[1]android_repos_all_metrics!B:K,9,FALSE)</f>
        <v>7</v>
      </c>
      <c r="AI859">
        <f>VLOOKUP(A:A,[1]android_repos_all_metrics!B:K,10,FALSE)</f>
        <v>0</v>
      </c>
    </row>
    <row r="860" spans="1:35">
      <c r="A860" t="s">
        <v>922</v>
      </c>
      <c r="B860" t="b">
        <v>1</v>
      </c>
      <c r="C860" t="b">
        <v>1</v>
      </c>
      <c r="D860" t="b">
        <v>0</v>
      </c>
      <c r="F860" t="b">
        <v>1</v>
      </c>
      <c r="G860" t="s">
        <v>39</v>
      </c>
      <c r="H860" t="s">
        <v>41</v>
      </c>
      <c r="I860" t="s">
        <v>41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>
        <v>1</v>
      </c>
      <c r="AB860">
        <v>0</v>
      </c>
      <c r="AC860">
        <f>VLOOKUP(A:A,[1]android_repos_all_metrics!B:K,4,FALSE)</f>
        <v>581</v>
      </c>
      <c r="AD860">
        <f>VLOOKUP(A:A,[1]android_repos_all_metrics!B:K,5,FALSE)</f>
        <v>13</v>
      </c>
      <c r="AE860">
        <f>VLOOKUP(A:A,[1]android_repos_all_metrics!B:K,6,FALSE)</f>
        <v>5</v>
      </c>
      <c r="AF860">
        <f>VLOOKUP(A:A,[1]android_repos_all_metrics!B:K,7,FALSE)</f>
        <v>106008</v>
      </c>
      <c r="AG860">
        <f>VLOOKUP(A:A,[1]android_repos_all_metrics!B:K,8,FALSE)</f>
        <v>12</v>
      </c>
      <c r="AH860">
        <f>VLOOKUP(A:A,[1]android_repos_all_metrics!B:K,9,FALSE)</f>
        <v>33</v>
      </c>
      <c r="AI860">
        <f>VLOOKUP(A:A,[1]android_repos_all_metrics!B:K,10,FALSE)</f>
        <v>5</v>
      </c>
    </row>
    <row r="861" spans="1:35">
      <c r="A861" t="s">
        <v>923</v>
      </c>
      <c r="B861" t="b">
        <v>0</v>
      </c>
      <c r="C861" t="b">
        <v>0</v>
      </c>
      <c r="D861" t="b">
        <v>0</v>
      </c>
      <c r="F861" t="b">
        <v>0</v>
      </c>
      <c r="H861" t="s">
        <v>76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>
        <v>1</v>
      </c>
      <c r="AB861">
        <v>0</v>
      </c>
      <c r="AC861">
        <f>VLOOKUP(A:A,[1]android_repos_all_metrics!B:K,4,FALSE)</f>
        <v>81</v>
      </c>
      <c r="AD861">
        <f>VLOOKUP(A:A,[1]android_repos_all_metrics!B:K,5,FALSE)</f>
        <v>1</v>
      </c>
      <c r="AE861">
        <f>VLOOKUP(A:A,[1]android_repos_all_metrics!B:K,6,FALSE)</f>
        <v>2</v>
      </c>
      <c r="AF861">
        <f>VLOOKUP(A:A,[1]android_repos_all_metrics!B:K,7,FALSE)</f>
        <v>603</v>
      </c>
      <c r="AG861">
        <f>VLOOKUP(A:A,[1]android_repos_all_metrics!B:K,8,FALSE)</f>
        <v>1</v>
      </c>
      <c r="AH861">
        <f>VLOOKUP(A:A,[1]android_repos_all_metrics!B:K,9,FALSE)</f>
        <v>9</v>
      </c>
      <c r="AI861">
        <f>VLOOKUP(A:A,[1]android_repos_all_metrics!B:K,10,FALSE)</f>
        <v>1</v>
      </c>
    </row>
    <row r="862" spans="1:35">
      <c r="A862" t="s">
        <v>924</v>
      </c>
      <c r="B862" t="b">
        <v>1</v>
      </c>
      <c r="C862" t="b">
        <v>0</v>
      </c>
      <c r="D862" t="b">
        <v>0</v>
      </c>
      <c r="F862" t="b">
        <v>0</v>
      </c>
      <c r="H862" t="s">
        <v>37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>
        <v>1</v>
      </c>
      <c r="AB862">
        <v>0</v>
      </c>
      <c r="AC862">
        <f>VLOOKUP(A:A,[1]android_repos_all_metrics!B:K,4,FALSE)</f>
        <v>116</v>
      </c>
      <c r="AD862">
        <f>VLOOKUP(A:A,[1]android_repos_all_metrics!B:K,5,FALSE)</f>
        <v>14</v>
      </c>
      <c r="AE862">
        <f>VLOOKUP(A:A,[1]android_repos_all_metrics!B:K,6,FALSE)</f>
        <v>3</v>
      </c>
      <c r="AF862">
        <f>VLOOKUP(A:A,[1]android_repos_all_metrics!B:K,7,FALSE)</f>
        <v>21031</v>
      </c>
      <c r="AG862">
        <f>VLOOKUP(A:A,[1]android_repos_all_metrics!B:K,8,FALSE)</f>
        <v>1</v>
      </c>
      <c r="AH862">
        <f>VLOOKUP(A:A,[1]android_repos_all_metrics!B:K,9,FALSE)</f>
        <v>9</v>
      </c>
      <c r="AI862">
        <f>VLOOKUP(A:A,[1]android_repos_all_metrics!B:K,10,FALSE)</f>
        <v>0</v>
      </c>
    </row>
    <row r="863" spans="1:35">
      <c r="A863" t="s">
        <v>925</v>
      </c>
      <c r="B863" t="b">
        <v>1</v>
      </c>
      <c r="C863" t="b">
        <v>0</v>
      </c>
      <c r="D863" t="b">
        <v>0</v>
      </c>
      <c r="F863" t="b">
        <v>0</v>
      </c>
      <c r="H863" t="s">
        <v>43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>
        <v>1</v>
      </c>
      <c r="AB863">
        <v>0</v>
      </c>
      <c r="AC863">
        <f>VLOOKUP(A:A,[1]android_repos_all_metrics!B:K,4,FALSE)</f>
        <v>393</v>
      </c>
      <c r="AD863">
        <f>VLOOKUP(A:A,[1]android_repos_all_metrics!B:K,5,FALSE)</f>
        <v>0</v>
      </c>
      <c r="AE863">
        <f>VLOOKUP(A:A,[1]android_repos_all_metrics!B:K,6,FALSE)</f>
        <v>1</v>
      </c>
      <c r="AF863">
        <f>VLOOKUP(A:A,[1]android_repos_all_metrics!B:K,7,FALSE)</f>
        <v>6960</v>
      </c>
      <c r="AG863">
        <f>VLOOKUP(A:A,[1]android_repos_all_metrics!B:K,8,FALSE)</f>
        <v>13</v>
      </c>
      <c r="AH863">
        <f>VLOOKUP(A:A,[1]android_repos_all_metrics!B:K,9,FALSE)</f>
        <v>74</v>
      </c>
      <c r="AI863">
        <f>VLOOKUP(A:A,[1]android_repos_all_metrics!B:K,10,FALSE)</f>
        <v>3</v>
      </c>
    </row>
    <row r="864" spans="1:35">
      <c r="A864" t="s">
        <v>926</v>
      </c>
      <c r="B864" t="b">
        <v>1</v>
      </c>
      <c r="C864" t="b">
        <v>0</v>
      </c>
      <c r="D864" t="b">
        <v>0</v>
      </c>
      <c r="F864" t="b">
        <v>0</v>
      </c>
      <c r="H864" t="s">
        <v>37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>
        <v>1</v>
      </c>
      <c r="AB864">
        <v>0</v>
      </c>
      <c r="AC864">
        <f>VLOOKUP(A:A,[1]android_repos_all_metrics!B:K,4,FALSE)</f>
        <v>85</v>
      </c>
      <c r="AD864">
        <f>VLOOKUP(A:A,[1]android_repos_all_metrics!B:K,5,FALSE)</f>
        <v>14</v>
      </c>
      <c r="AE864">
        <f>VLOOKUP(A:A,[1]android_repos_all_metrics!B:K,6,FALSE)</f>
        <v>2</v>
      </c>
      <c r="AF864">
        <f>VLOOKUP(A:A,[1]android_repos_all_metrics!B:K,7,FALSE)</f>
        <v>24791</v>
      </c>
      <c r="AG864">
        <f>VLOOKUP(A:A,[1]android_repos_all_metrics!B:K,8,FALSE)</f>
        <v>0</v>
      </c>
      <c r="AH864">
        <f>VLOOKUP(A:A,[1]android_repos_all_metrics!B:K,9,FALSE)</f>
        <v>3</v>
      </c>
      <c r="AI864">
        <f>VLOOKUP(A:A,[1]android_repos_all_metrics!B:K,10,FALSE)</f>
        <v>0</v>
      </c>
    </row>
    <row r="865" spans="1:35">
      <c r="A865" t="s">
        <v>927</v>
      </c>
      <c r="B865" t="b">
        <v>1</v>
      </c>
      <c r="C865" t="b">
        <v>0</v>
      </c>
      <c r="D865" t="b">
        <v>0</v>
      </c>
      <c r="F865" t="b">
        <v>0</v>
      </c>
      <c r="H865" t="s">
        <v>308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>
        <v>2</v>
      </c>
      <c r="AB865">
        <v>0</v>
      </c>
      <c r="AC865">
        <f>VLOOKUP(A:A,[1]android_repos_all_metrics!B:K,4,FALSE)</f>
        <v>1213</v>
      </c>
      <c r="AD865">
        <f>VLOOKUP(A:A,[1]android_repos_all_metrics!B:K,5,FALSE)</f>
        <v>286</v>
      </c>
      <c r="AE865">
        <f>VLOOKUP(A:A,[1]android_repos_all_metrics!B:K,6,FALSE)</f>
        <v>70</v>
      </c>
      <c r="AF865">
        <f>VLOOKUP(A:A,[1]android_repos_all_metrics!B:K,7,FALSE)</f>
        <v>6829</v>
      </c>
      <c r="AG865">
        <f>VLOOKUP(A:A,[1]android_repos_all_metrics!B:K,8,FALSE)</f>
        <v>329</v>
      </c>
      <c r="AH865">
        <f>VLOOKUP(A:A,[1]android_repos_all_metrics!B:K,9,FALSE)</f>
        <v>799</v>
      </c>
      <c r="AI865">
        <f>VLOOKUP(A:A,[1]android_repos_all_metrics!B:K,10,FALSE)</f>
        <v>121</v>
      </c>
    </row>
    <row r="866" spans="1:35">
      <c r="A866" t="s">
        <v>928</v>
      </c>
      <c r="B866" t="b">
        <v>1</v>
      </c>
      <c r="C866" t="b">
        <v>0</v>
      </c>
      <c r="D866" t="b">
        <v>0</v>
      </c>
      <c r="F866" t="b">
        <v>0</v>
      </c>
      <c r="H866" t="s">
        <v>37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>
        <v>1</v>
      </c>
      <c r="AB866">
        <v>0</v>
      </c>
      <c r="AC866">
        <f>VLOOKUP(A:A,[1]android_repos_all_metrics!B:K,4,FALSE)</f>
        <v>637</v>
      </c>
      <c r="AD866">
        <f>VLOOKUP(A:A,[1]android_repos_all_metrics!B:K,5,FALSE)</f>
        <v>25</v>
      </c>
      <c r="AE866">
        <f>VLOOKUP(A:A,[1]android_repos_all_metrics!B:K,6,FALSE)</f>
        <v>4</v>
      </c>
      <c r="AF866">
        <f>VLOOKUP(A:A,[1]android_repos_all_metrics!B:K,7,FALSE)</f>
        <v>2996</v>
      </c>
      <c r="AG866">
        <f>VLOOKUP(A:A,[1]android_repos_all_metrics!B:K,8,FALSE)</f>
        <v>91</v>
      </c>
      <c r="AH866">
        <f>VLOOKUP(A:A,[1]android_repos_all_metrics!B:K,9,FALSE)</f>
        <v>129</v>
      </c>
      <c r="AI866">
        <f>VLOOKUP(A:A,[1]android_repos_all_metrics!B:K,10,FALSE)</f>
        <v>21</v>
      </c>
    </row>
    <row r="867" spans="1:35">
      <c r="A867" t="s">
        <v>929</v>
      </c>
      <c r="B867" t="b">
        <v>1</v>
      </c>
      <c r="C867" t="b">
        <v>0</v>
      </c>
      <c r="D867" t="b">
        <v>0</v>
      </c>
      <c r="F867" t="b">
        <v>0</v>
      </c>
      <c r="H867" t="s">
        <v>37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>
        <v>1</v>
      </c>
      <c r="AB867">
        <v>0</v>
      </c>
      <c r="AC867">
        <f>VLOOKUP(A:A,[1]android_repos_all_metrics!B:K,4,FALSE)</f>
        <v>585</v>
      </c>
      <c r="AD867">
        <f>VLOOKUP(A:A,[1]android_repos_all_metrics!B:K,5,FALSE)</f>
        <v>23</v>
      </c>
      <c r="AE867">
        <f>VLOOKUP(A:A,[1]android_repos_all_metrics!B:K,6,FALSE)</f>
        <v>11</v>
      </c>
      <c r="AF867">
        <f>VLOOKUP(A:A,[1]android_repos_all_metrics!B:K,7,FALSE)</f>
        <v>5896</v>
      </c>
      <c r="AG867">
        <f>VLOOKUP(A:A,[1]android_repos_all_metrics!B:K,8,FALSE)</f>
        <v>4</v>
      </c>
      <c r="AH867">
        <f>VLOOKUP(A:A,[1]android_repos_all_metrics!B:K,9,FALSE)</f>
        <v>70</v>
      </c>
      <c r="AI867">
        <f>VLOOKUP(A:A,[1]android_repos_all_metrics!B:K,10,FALSE)</f>
        <v>32</v>
      </c>
    </row>
    <row r="868" spans="1:35">
      <c r="A868" t="s">
        <v>930</v>
      </c>
      <c r="B868" t="b">
        <v>1</v>
      </c>
      <c r="C868" t="b">
        <v>0</v>
      </c>
      <c r="D868" t="b">
        <v>0</v>
      </c>
      <c r="F868" t="b">
        <v>0</v>
      </c>
      <c r="H868" t="s">
        <v>37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>
        <v>1</v>
      </c>
      <c r="AB868">
        <v>0</v>
      </c>
      <c r="AC868">
        <f>VLOOKUP(A:A,[1]android_repos_all_metrics!B:K,4,FALSE)</f>
        <v>73</v>
      </c>
      <c r="AD868">
        <f>VLOOKUP(A:A,[1]android_repos_all_metrics!B:K,5,FALSE)</f>
        <v>44</v>
      </c>
      <c r="AE868">
        <f>VLOOKUP(A:A,[1]android_repos_all_metrics!B:K,6,FALSE)</f>
        <v>2</v>
      </c>
      <c r="AF868">
        <f>VLOOKUP(A:A,[1]android_repos_all_metrics!B:K,7,FALSE)</f>
        <v>889</v>
      </c>
      <c r="AG868">
        <f>VLOOKUP(A:A,[1]android_repos_all_metrics!B:K,8,FALSE)</f>
        <v>1</v>
      </c>
      <c r="AH868">
        <f>VLOOKUP(A:A,[1]android_repos_all_metrics!B:K,9,FALSE)</f>
        <v>2</v>
      </c>
      <c r="AI868">
        <f>VLOOKUP(A:A,[1]android_repos_all_metrics!B:K,10,FALSE)</f>
        <v>4</v>
      </c>
    </row>
    <row r="869" spans="1:35">
      <c r="A869" t="s">
        <v>931</v>
      </c>
      <c r="B869" t="b">
        <v>1</v>
      </c>
      <c r="C869" t="b">
        <v>0</v>
      </c>
      <c r="D869" t="b">
        <v>0</v>
      </c>
      <c r="F869" t="b">
        <v>0</v>
      </c>
      <c r="H869" t="s">
        <v>37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>
        <v>3</v>
      </c>
      <c r="AB869">
        <v>0</v>
      </c>
      <c r="AC869">
        <f>VLOOKUP(A:A,[1]android_repos_all_metrics!B:K,4,FALSE)</f>
        <v>97</v>
      </c>
      <c r="AD869">
        <f>VLOOKUP(A:A,[1]android_repos_all_metrics!B:K,5,FALSE)</f>
        <v>2</v>
      </c>
      <c r="AE869">
        <f>VLOOKUP(A:A,[1]android_repos_all_metrics!B:K,6,FALSE)</f>
        <v>1</v>
      </c>
      <c r="AF869">
        <f>VLOOKUP(A:A,[1]android_repos_all_metrics!B:K,7,FALSE)</f>
        <v>9913</v>
      </c>
      <c r="AG869">
        <f>VLOOKUP(A:A,[1]android_repos_all_metrics!B:K,8,FALSE)</f>
        <v>7</v>
      </c>
      <c r="AH869">
        <f>VLOOKUP(A:A,[1]android_repos_all_metrics!B:K,9,FALSE)</f>
        <v>79</v>
      </c>
      <c r="AI869">
        <f>VLOOKUP(A:A,[1]android_repos_all_metrics!B:K,10,FALSE)</f>
        <v>5</v>
      </c>
    </row>
    <row r="870" spans="1:35">
      <c r="A870" t="s">
        <v>932</v>
      </c>
      <c r="B870" t="b">
        <v>1</v>
      </c>
      <c r="C870" t="b">
        <v>1</v>
      </c>
      <c r="D870" t="b">
        <v>0</v>
      </c>
      <c r="F870" t="b">
        <v>1</v>
      </c>
      <c r="G870" t="s">
        <v>39</v>
      </c>
      <c r="H870" t="s">
        <v>86</v>
      </c>
      <c r="I870" t="s">
        <v>41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>
        <v>2</v>
      </c>
      <c r="AB870">
        <v>0</v>
      </c>
      <c r="AC870">
        <f>VLOOKUP(A:A,[1]android_repos_all_metrics!B:K,4,FALSE)</f>
        <v>123</v>
      </c>
      <c r="AD870">
        <f>VLOOKUP(A:A,[1]android_repos_all_metrics!B:K,5,FALSE)</f>
        <v>6</v>
      </c>
      <c r="AE870">
        <f>VLOOKUP(A:A,[1]android_repos_all_metrics!B:K,6,FALSE)</f>
        <v>3</v>
      </c>
      <c r="AF870">
        <f>VLOOKUP(A:A,[1]android_repos_all_metrics!B:K,7,FALSE)</f>
        <v>1535</v>
      </c>
      <c r="AG870">
        <f>VLOOKUP(A:A,[1]android_repos_all_metrics!B:K,8,FALSE)</f>
        <v>11</v>
      </c>
      <c r="AH870">
        <f>VLOOKUP(A:A,[1]android_repos_all_metrics!B:K,9,FALSE)</f>
        <v>8</v>
      </c>
      <c r="AI870">
        <f>VLOOKUP(A:A,[1]android_repos_all_metrics!B:K,10,FALSE)</f>
        <v>12</v>
      </c>
    </row>
    <row r="871" spans="1:35">
      <c r="A871" t="s">
        <v>933</v>
      </c>
      <c r="B871" t="b">
        <v>0</v>
      </c>
      <c r="C871" t="b">
        <v>0</v>
      </c>
      <c r="D871" t="b">
        <v>0</v>
      </c>
      <c r="F871" t="b">
        <v>0</v>
      </c>
      <c r="H871" t="s">
        <v>41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>
        <v>1</v>
      </c>
      <c r="AB871">
        <v>0</v>
      </c>
      <c r="AC871">
        <f>VLOOKUP(A:A,[1]android_repos_all_metrics!B:K,4,FALSE)</f>
        <v>549</v>
      </c>
      <c r="AD871">
        <f>VLOOKUP(A:A,[1]android_repos_all_metrics!B:K,5,FALSE)</f>
        <v>2</v>
      </c>
      <c r="AE871">
        <f>VLOOKUP(A:A,[1]android_repos_all_metrics!B:K,6,FALSE)</f>
        <v>2</v>
      </c>
      <c r="AF871">
        <f>VLOOKUP(A:A,[1]android_repos_all_metrics!B:K,7,FALSE)</f>
        <v>50150</v>
      </c>
      <c r="AG871">
        <f>VLOOKUP(A:A,[1]android_repos_all_metrics!B:K,8,FALSE)</f>
        <v>4</v>
      </c>
      <c r="AH871">
        <f>VLOOKUP(A:A,[1]android_repos_all_metrics!B:K,9,FALSE)</f>
        <v>25</v>
      </c>
      <c r="AI871">
        <f>VLOOKUP(A:A,[1]android_repos_all_metrics!B:K,10,FALSE)</f>
        <v>13</v>
      </c>
    </row>
    <row r="872" spans="1:35">
      <c r="A872" t="s">
        <v>934</v>
      </c>
      <c r="B872" t="b">
        <v>1</v>
      </c>
      <c r="C872" t="b">
        <v>0</v>
      </c>
      <c r="D872" t="b">
        <v>0</v>
      </c>
      <c r="F872" t="b">
        <v>0</v>
      </c>
      <c r="H872" t="s">
        <v>37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>
        <v>1</v>
      </c>
      <c r="AB872">
        <v>0</v>
      </c>
      <c r="AC872">
        <f>VLOOKUP(A:A,[1]android_repos_all_metrics!B:K,4,FALSE)</f>
        <v>100</v>
      </c>
      <c r="AD872">
        <f>VLOOKUP(A:A,[1]android_repos_all_metrics!B:K,5,FALSE)</f>
        <v>1</v>
      </c>
      <c r="AE872">
        <f>VLOOKUP(A:A,[1]android_repos_all_metrics!B:K,6,FALSE)</f>
        <v>4</v>
      </c>
      <c r="AF872">
        <f>VLOOKUP(A:A,[1]android_repos_all_metrics!B:K,7,FALSE)</f>
        <v>30513</v>
      </c>
      <c r="AG872">
        <f>VLOOKUP(A:A,[1]android_repos_all_metrics!B:K,8,FALSE)</f>
        <v>2</v>
      </c>
      <c r="AH872">
        <f>VLOOKUP(A:A,[1]android_repos_all_metrics!B:K,9,FALSE)</f>
        <v>2</v>
      </c>
      <c r="AI872">
        <f>VLOOKUP(A:A,[1]android_repos_all_metrics!B:K,10,FALSE)</f>
        <v>2</v>
      </c>
    </row>
    <row r="873" spans="1:35">
      <c r="A873" t="s">
        <v>935</v>
      </c>
      <c r="B873" t="b">
        <v>1</v>
      </c>
      <c r="C873" t="b">
        <v>0</v>
      </c>
      <c r="D873" t="b">
        <v>0</v>
      </c>
      <c r="F873" t="b">
        <v>0</v>
      </c>
      <c r="H873" t="s">
        <v>37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>
        <v>1</v>
      </c>
      <c r="AB873">
        <v>0</v>
      </c>
      <c r="AC873">
        <f>VLOOKUP(A:A,[1]android_repos_all_metrics!B:K,4,FALSE)</f>
        <v>283</v>
      </c>
      <c r="AD873">
        <f>VLOOKUP(A:A,[1]android_repos_all_metrics!B:K,5,FALSE)</f>
        <v>130</v>
      </c>
      <c r="AE873">
        <f>VLOOKUP(A:A,[1]android_repos_all_metrics!B:K,6,FALSE)</f>
        <v>1</v>
      </c>
      <c r="AF873">
        <f>VLOOKUP(A:A,[1]android_repos_all_metrics!B:K,7,FALSE)</f>
        <v>49005</v>
      </c>
      <c r="AG873">
        <f>VLOOKUP(A:A,[1]android_repos_all_metrics!B:K,8,FALSE)</f>
        <v>121</v>
      </c>
      <c r="AH873">
        <f>VLOOKUP(A:A,[1]android_repos_all_metrics!B:K,9,FALSE)</f>
        <v>514</v>
      </c>
      <c r="AI873">
        <f>VLOOKUP(A:A,[1]android_repos_all_metrics!B:K,10,FALSE)</f>
        <v>2</v>
      </c>
    </row>
    <row r="874" spans="1:35">
      <c r="A874" t="s">
        <v>936</v>
      </c>
      <c r="B874" t="b">
        <v>1</v>
      </c>
      <c r="C874" t="b">
        <v>0</v>
      </c>
      <c r="D874" t="b">
        <v>0</v>
      </c>
      <c r="F874" t="b">
        <v>0</v>
      </c>
      <c r="H874" t="s">
        <v>43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>
        <v>1</v>
      </c>
      <c r="AB874">
        <v>0</v>
      </c>
      <c r="AC874">
        <f>VLOOKUP(A:A,[1]android_repos_all_metrics!B:K,4,FALSE)</f>
        <v>17</v>
      </c>
      <c r="AD874">
        <f>VLOOKUP(A:A,[1]android_repos_all_metrics!B:K,5,FALSE)</f>
        <v>1</v>
      </c>
      <c r="AE874">
        <f>VLOOKUP(A:A,[1]android_repos_all_metrics!B:K,6,FALSE)</f>
        <v>1</v>
      </c>
      <c r="AF874">
        <f>VLOOKUP(A:A,[1]android_repos_all_metrics!B:K,7,FALSE)</f>
        <v>844</v>
      </c>
      <c r="AG874">
        <f>VLOOKUP(A:A,[1]android_repos_all_metrics!B:K,8,FALSE)</f>
        <v>5</v>
      </c>
      <c r="AH874">
        <f>VLOOKUP(A:A,[1]android_repos_all_metrics!B:K,9,FALSE)</f>
        <v>22</v>
      </c>
      <c r="AI874">
        <f>VLOOKUP(A:A,[1]android_repos_all_metrics!B:K,10,FALSE)</f>
        <v>0</v>
      </c>
    </row>
    <row r="875" spans="1:35">
      <c r="A875" t="s">
        <v>937</v>
      </c>
      <c r="B875" t="b">
        <v>0</v>
      </c>
      <c r="C875" t="b">
        <v>0</v>
      </c>
      <c r="D875" t="b">
        <v>0</v>
      </c>
      <c r="F875" t="b">
        <v>0</v>
      </c>
      <c r="H875" t="s">
        <v>41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>
        <v>1</v>
      </c>
      <c r="AB875">
        <v>0</v>
      </c>
      <c r="AC875">
        <f>VLOOKUP(A:A,[1]android_repos_all_metrics!B:K,4,FALSE)</f>
        <v>7</v>
      </c>
      <c r="AD875">
        <f>VLOOKUP(A:A,[1]android_repos_all_metrics!B:K,5,FALSE)</f>
        <v>0</v>
      </c>
      <c r="AE875">
        <f>VLOOKUP(A:A,[1]android_repos_all_metrics!B:K,6,FALSE)</f>
        <v>1</v>
      </c>
      <c r="AF875">
        <f>VLOOKUP(A:A,[1]android_repos_all_metrics!B:K,7,FALSE)</f>
        <v>106</v>
      </c>
      <c r="AG875">
        <f>VLOOKUP(A:A,[1]android_repos_all_metrics!B:K,8,FALSE)</f>
        <v>3</v>
      </c>
      <c r="AH875">
        <f>VLOOKUP(A:A,[1]android_repos_all_metrics!B:K,9,FALSE)</f>
        <v>11</v>
      </c>
      <c r="AI875">
        <f>VLOOKUP(A:A,[1]android_repos_all_metrics!B:K,10,FALSE)</f>
        <v>1</v>
      </c>
    </row>
    <row r="876" spans="1:35">
      <c r="A876" t="s">
        <v>938</v>
      </c>
      <c r="B876" t="b">
        <v>0</v>
      </c>
      <c r="C876" t="b">
        <v>0</v>
      </c>
      <c r="D876" t="b">
        <v>0</v>
      </c>
      <c r="F876" t="b">
        <v>0</v>
      </c>
      <c r="H876" t="s">
        <v>41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>
        <v>1</v>
      </c>
      <c r="AB876">
        <v>0</v>
      </c>
      <c r="AC876">
        <f>VLOOKUP(A:A,[1]android_repos_all_metrics!B:K,4,FALSE)</f>
        <v>190</v>
      </c>
      <c r="AD876">
        <f>VLOOKUP(A:A,[1]android_repos_all_metrics!B:K,5,FALSE)</f>
        <v>88</v>
      </c>
      <c r="AE876">
        <f>VLOOKUP(A:A,[1]android_repos_all_metrics!B:K,6,FALSE)</f>
        <v>26</v>
      </c>
      <c r="AF876">
        <f>VLOOKUP(A:A,[1]android_repos_all_metrics!B:K,7,FALSE)</f>
        <v>1365</v>
      </c>
      <c r="AG876">
        <f>VLOOKUP(A:A,[1]android_repos_all_metrics!B:K,8,FALSE)</f>
        <v>258</v>
      </c>
      <c r="AH876">
        <f>VLOOKUP(A:A,[1]android_repos_all_metrics!B:K,9,FALSE)</f>
        <v>1140</v>
      </c>
      <c r="AI876">
        <f>VLOOKUP(A:A,[1]android_repos_all_metrics!B:K,10,FALSE)</f>
        <v>111</v>
      </c>
    </row>
    <row r="877" spans="1:35">
      <c r="A877" t="s">
        <v>939</v>
      </c>
      <c r="B877" t="b">
        <v>1</v>
      </c>
      <c r="C877" t="b">
        <v>1</v>
      </c>
      <c r="D877" t="b">
        <v>0</v>
      </c>
      <c r="F877" t="b">
        <v>1</v>
      </c>
      <c r="G877" t="s">
        <v>39</v>
      </c>
      <c r="H877" t="s">
        <v>41</v>
      </c>
      <c r="I877" t="s">
        <v>41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>
        <v>1</v>
      </c>
      <c r="AB877">
        <v>0</v>
      </c>
      <c r="AC877">
        <f>VLOOKUP(A:A,[1]android_repos_all_metrics!B:K,4,FALSE)</f>
        <v>211</v>
      </c>
      <c r="AD877">
        <f>VLOOKUP(A:A,[1]android_repos_all_metrics!B:K,5,FALSE)</f>
        <v>130</v>
      </c>
      <c r="AE877">
        <f>VLOOKUP(A:A,[1]android_repos_all_metrics!B:K,6,FALSE)</f>
        <v>7</v>
      </c>
      <c r="AF877">
        <f>VLOOKUP(A:A,[1]android_repos_all_metrics!B:K,7,FALSE)</f>
        <v>971</v>
      </c>
      <c r="AG877">
        <f>VLOOKUP(A:A,[1]android_repos_all_metrics!B:K,8,FALSE)</f>
        <v>17</v>
      </c>
      <c r="AH877">
        <f>VLOOKUP(A:A,[1]android_repos_all_metrics!B:K,9,FALSE)</f>
        <v>83</v>
      </c>
      <c r="AI877">
        <f>VLOOKUP(A:A,[1]android_repos_all_metrics!B:K,10,FALSE)</f>
        <v>15</v>
      </c>
    </row>
    <row r="878" spans="1:35">
      <c r="A878" t="s">
        <v>940</v>
      </c>
      <c r="B878" t="b">
        <v>1</v>
      </c>
      <c r="C878" t="b">
        <v>0</v>
      </c>
      <c r="D878" t="b">
        <v>0</v>
      </c>
      <c r="F878" t="b">
        <v>0</v>
      </c>
      <c r="H878" t="s">
        <v>37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>
        <v>1</v>
      </c>
      <c r="AB878">
        <v>0</v>
      </c>
      <c r="AC878">
        <f>VLOOKUP(A:A,[1]android_repos_all_metrics!B:K,4,FALSE)</f>
        <v>107</v>
      </c>
      <c r="AD878">
        <f>VLOOKUP(A:A,[1]android_repos_all_metrics!B:K,5,FALSE)</f>
        <v>8</v>
      </c>
      <c r="AE878">
        <f>VLOOKUP(A:A,[1]android_repos_all_metrics!B:K,6,FALSE)</f>
        <v>2</v>
      </c>
      <c r="AF878">
        <f>VLOOKUP(A:A,[1]android_repos_all_metrics!B:K,7,FALSE)</f>
        <v>10071</v>
      </c>
      <c r="AG878">
        <f>VLOOKUP(A:A,[1]android_repos_all_metrics!B:K,8,FALSE)</f>
        <v>8</v>
      </c>
      <c r="AH878">
        <f>VLOOKUP(A:A,[1]android_repos_all_metrics!B:K,9,FALSE)</f>
        <v>1</v>
      </c>
      <c r="AI878">
        <f>VLOOKUP(A:A,[1]android_repos_all_metrics!B:K,10,FALSE)</f>
        <v>5</v>
      </c>
    </row>
    <row r="879" spans="1:35">
      <c r="A879" t="s">
        <v>941</v>
      </c>
      <c r="B879" t="b">
        <v>0</v>
      </c>
      <c r="C879" t="b">
        <v>0</v>
      </c>
      <c r="D879" t="b">
        <v>0</v>
      </c>
      <c r="F879" t="b">
        <v>0</v>
      </c>
      <c r="H879" t="s">
        <v>41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>
        <v>1</v>
      </c>
      <c r="AB879">
        <v>0</v>
      </c>
      <c r="AC879">
        <f>VLOOKUP(A:A,[1]android_repos_all_metrics!B:K,4,FALSE)</f>
        <v>5</v>
      </c>
      <c r="AD879">
        <f>VLOOKUP(A:A,[1]android_repos_all_metrics!B:K,5,FALSE)</f>
        <v>0</v>
      </c>
      <c r="AE879">
        <f>VLOOKUP(A:A,[1]android_repos_all_metrics!B:K,6,FALSE)</f>
        <v>1</v>
      </c>
      <c r="AF879">
        <f>VLOOKUP(A:A,[1]android_repos_all_metrics!B:K,7,FALSE)</f>
        <v>165</v>
      </c>
      <c r="AG879">
        <f>VLOOKUP(A:A,[1]android_repos_all_metrics!B:K,8,FALSE)</f>
        <v>0</v>
      </c>
      <c r="AH879">
        <f>VLOOKUP(A:A,[1]android_repos_all_metrics!B:K,9,FALSE)</f>
        <v>1</v>
      </c>
      <c r="AI879">
        <f>VLOOKUP(A:A,[1]android_repos_all_metrics!B:K,10,FALSE)</f>
        <v>0</v>
      </c>
    </row>
    <row r="880" spans="1:35">
      <c r="A880" t="s">
        <v>942</v>
      </c>
      <c r="B880" t="b">
        <v>1</v>
      </c>
      <c r="C880" t="b">
        <v>0</v>
      </c>
      <c r="D880" t="b">
        <v>0</v>
      </c>
      <c r="F880" t="b">
        <v>0</v>
      </c>
      <c r="H880" t="s">
        <v>86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>
        <v>2</v>
      </c>
      <c r="AB880">
        <v>0</v>
      </c>
      <c r="AC880">
        <f>VLOOKUP(A:A,[1]android_repos_all_metrics!B:K,4,FALSE)</f>
        <v>2481</v>
      </c>
      <c r="AD880">
        <f>VLOOKUP(A:A,[1]android_repos_all_metrics!B:K,5,FALSE)</f>
        <v>182</v>
      </c>
      <c r="AE880">
        <f>VLOOKUP(A:A,[1]android_repos_all_metrics!B:K,6,FALSE)</f>
        <v>4</v>
      </c>
      <c r="AF880">
        <f>VLOOKUP(A:A,[1]android_repos_all_metrics!B:K,7,FALSE)</f>
        <v>11440</v>
      </c>
      <c r="AG880">
        <f>VLOOKUP(A:A,[1]android_repos_all_metrics!B:K,8,FALSE)</f>
        <v>18</v>
      </c>
      <c r="AH880">
        <f>VLOOKUP(A:A,[1]android_repos_all_metrics!B:K,9,FALSE)</f>
        <v>171</v>
      </c>
      <c r="AI880">
        <f>VLOOKUP(A:A,[1]android_repos_all_metrics!B:K,10,FALSE)</f>
        <v>33</v>
      </c>
    </row>
    <row r="881" spans="1:35">
      <c r="A881" t="s">
        <v>943</v>
      </c>
      <c r="B881" t="b">
        <v>1</v>
      </c>
      <c r="C881" t="b">
        <v>1</v>
      </c>
      <c r="D881" t="b">
        <v>0</v>
      </c>
      <c r="F881" t="b">
        <v>1</v>
      </c>
      <c r="G881" t="s">
        <v>39</v>
      </c>
      <c r="H881" t="s">
        <v>41</v>
      </c>
      <c r="I881" t="s">
        <v>41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>
        <v>1</v>
      </c>
      <c r="AB881">
        <v>0</v>
      </c>
      <c r="AC881">
        <f>VLOOKUP(A:A,[1]android_repos_all_metrics!B:K,4,FALSE)</f>
        <v>172</v>
      </c>
      <c r="AD881">
        <f>VLOOKUP(A:A,[1]android_repos_all_metrics!B:K,5,FALSE)</f>
        <v>8</v>
      </c>
      <c r="AE881">
        <f>VLOOKUP(A:A,[1]android_repos_all_metrics!B:K,6,FALSE)</f>
        <v>5</v>
      </c>
      <c r="AF881">
        <f>VLOOKUP(A:A,[1]android_repos_all_metrics!B:K,7,FALSE)</f>
        <v>14305</v>
      </c>
      <c r="AG881">
        <f>VLOOKUP(A:A,[1]android_repos_all_metrics!B:K,8,FALSE)</f>
        <v>4</v>
      </c>
      <c r="AH881">
        <f>VLOOKUP(A:A,[1]android_repos_all_metrics!B:K,9,FALSE)</f>
        <v>15</v>
      </c>
      <c r="AI881">
        <f>VLOOKUP(A:A,[1]android_repos_all_metrics!B:K,10,FALSE)</f>
        <v>4</v>
      </c>
    </row>
    <row r="882" spans="1:35">
      <c r="A882" t="s">
        <v>944</v>
      </c>
      <c r="B882" t="b">
        <v>1</v>
      </c>
      <c r="C882" t="b">
        <v>0</v>
      </c>
      <c r="D882" t="b">
        <v>0</v>
      </c>
      <c r="F882" t="b">
        <v>0</v>
      </c>
      <c r="H882" t="s">
        <v>37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>
        <v>1</v>
      </c>
      <c r="AB882">
        <v>0</v>
      </c>
      <c r="AC882">
        <f>VLOOKUP(A:A,[1]android_repos_all_metrics!B:K,4,FALSE)</f>
        <v>138</v>
      </c>
      <c r="AD882">
        <f>VLOOKUP(A:A,[1]android_repos_all_metrics!B:K,5,FALSE)</f>
        <v>1</v>
      </c>
      <c r="AE882">
        <f>VLOOKUP(A:A,[1]android_repos_all_metrics!B:K,6,FALSE)</f>
        <v>1</v>
      </c>
      <c r="AF882">
        <f>VLOOKUP(A:A,[1]android_repos_all_metrics!B:K,7,FALSE)</f>
        <v>287512</v>
      </c>
      <c r="AG882">
        <f>VLOOKUP(A:A,[1]android_repos_all_metrics!B:K,8,FALSE)</f>
        <v>3</v>
      </c>
      <c r="AH882">
        <f>VLOOKUP(A:A,[1]android_repos_all_metrics!B:K,9,FALSE)</f>
        <v>18</v>
      </c>
      <c r="AI882">
        <f>VLOOKUP(A:A,[1]android_repos_all_metrics!B:K,10,FALSE)</f>
        <v>0</v>
      </c>
    </row>
    <row r="883" spans="1:35">
      <c r="A883" t="s">
        <v>945</v>
      </c>
      <c r="B883" t="b">
        <v>1</v>
      </c>
      <c r="C883" t="b">
        <v>1</v>
      </c>
      <c r="D883" t="b">
        <v>0</v>
      </c>
      <c r="F883" t="b">
        <v>1</v>
      </c>
      <c r="G883" t="s">
        <v>39</v>
      </c>
      <c r="H883" t="s">
        <v>41</v>
      </c>
      <c r="I883" t="s">
        <v>41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>
        <v>1</v>
      </c>
      <c r="AB883">
        <v>0</v>
      </c>
      <c r="AC883">
        <f>VLOOKUP(A:A,[1]android_repos_all_metrics!B:K,4,FALSE)</f>
        <v>248</v>
      </c>
      <c r="AD883">
        <f>VLOOKUP(A:A,[1]android_repos_all_metrics!B:K,5,FALSE)</f>
        <v>78</v>
      </c>
      <c r="AE883">
        <f>VLOOKUP(A:A,[1]android_repos_all_metrics!B:K,6,FALSE)</f>
        <v>2</v>
      </c>
      <c r="AF883">
        <f>VLOOKUP(A:A,[1]android_repos_all_metrics!B:K,7,FALSE)</f>
        <v>2878</v>
      </c>
      <c r="AG883">
        <f>VLOOKUP(A:A,[1]android_repos_all_metrics!B:K,8,FALSE)</f>
        <v>16</v>
      </c>
      <c r="AH883">
        <f>VLOOKUP(A:A,[1]android_repos_all_metrics!B:K,9,FALSE)</f>
        <v>17</v>
      </c>
      <c r="AI883">
        <f>VLOOKUP(A:A,[1]android_repos_all_metrics!B:K,10,FALSE)</f>
        <v>16</v>
      </c>
    </row>
    <row r="884" spans="1:35">
      <c r="A884" t="s">
        <v>946</v>
      </c>
      <c r="B884" t="b">
        <v>1</v>
      </c>
      <c r="C884" t="b">
        <v>0</v>
      </c>
      <c r="D884" t="b">
        <v>0</v>
      </c>
      <c r="F884" t="b">
        <v>0</v>
      </c>
      <c r="H884" t="s">
        <v>41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>
        <v>1</v>
      </c>
      <c r="AB884">
        <v>0</v>
      </c>
      <c r="AC884">
        <f>VLOOKUP(A:A,[1]android_repos_all_metrics!B:K,4,FALSE)</f>
        <v>2275</v>
      </c>
      <c r="AD884">
        <f>VLOOKUP(A:A,[1]android_repos_all_metrics!B:K,5,FALSE)</f>
        <v>427</v>
      </c>
      <c r="AE884">
        <f>VLOOKUP(A:A,[1]android_repos_all_metrics!B:K,6,FALSE)</f>
        <v>40</v>
      </c>
      <c r="AF884">
        <f>VLOOKUP(A:A,[1]android_repos_all_metrics!B:K,7,FALSE)</f>
        <v>12475</v>
      </c>
      <c r="AG884">
        <f>VLOOKUP(A:A,[1]android_repos_all_metrics!B:K,8,FALSE)</f>
        <v>169</v>
      </c>
      <c r="AH884">
        <f>VLOOKUP(A:A,[1]android_repos_all_metrics!B:K,9,FALSE)</f>
        <v>264</v>
      </c>
      <c r="AI884">
        <f>VLOOKUP(A:A,[1]android_repos_all_metrics!B:K,10,FALSE)</f>
        <v>35</v>
      </c>
    </row>
    <row r="885" spans="1:35">
      <c r="A885" t="s">
        <v>947</v>
      </c>
      <c r="B885" t="b">
        <v>1</v>
      </c>
      <c r="C885" t="b">
        <v>0</v>
      </c>
      <c r="D885" t="b">
        <v>0</v>
      </c>
      <c r="F885" t="b">
        <v>0</v>
      </c>
      <c r="H885" t="s">
        <v>37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>
        <v>2</v>
      </c>
      <c r="AB885">
        <v>0</v>
      </c>
      <c r="AC885">
        <f>VLOOKUP(A:A,[1]android_repos_all_metrics!B:K,4,FALSE)</f>
        <v>1024</v>
      </c>
      <c r="AD885">
        <f>VLOOKUP(A:A,[1]android_repos_all_metrics!B:K,5,FALSE)</f>
        <v>127</v>
      </c>
      <c r="AE885">
        <f>VLOOKUP(A:A,[1]android_repos_all_metrics!B:K,6,FALSE)</f>
        <v>48</v>
      </c>
      <c r="AF885">
        <f>VLOOKUP(A:A,[1]android_repos_all_metrics!B:K,7,FALSE)</f>
        <v>5045</v>
      </c>
      <c r="AG885">
        <f>VLOOKUP(A:A,[1]android_repos_all_metrics!B:K,8,FALSE)</f>
        <v>59</v>
      </c>
      <c r="AH885">
        <f>VLOOKUP(A:A,[1]android_repos_all_metrics!B:K,9,FALSE)</f>
        <v>1135</v>
      </c>
      <c r="AI885">
        <f>VLOOKUP(A:A,[1]android_repos_all_metrics!B:K,10,FALSE)</f>
        <v>172</v>
      </c>
    </row>
    <row r="886" spans="1:35">
      <c r="A886" t="s">
        <v>948</v>
      </c>
      <c r="B886" t="b">
        <v>1</v>
      </c>
      <c r="C886" t="b">
        <v>0</v>
      </c>
      <c r="D886" t="b">
        <v>0</v>
      </c>
      <c r="F886" t="b">
        <v>0</v>
      </c>
      <c r="H886" t="s">
        <v>37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>
        <v>2</v>
      </c>
      <c r="AB886">
        <v>0</v>
      </c>
      <c r="AC886">
        <f>VLOOKUP(A:A,[1]android_repos_all_metrics!B:K,4,FALSE)</f>
        <v>72</v>
      </c>
      <c r="AD886">
        <f>VLOOKUP(A:A,[1]android_repos_all_metrics!B:K,5,FALSE)</f>
        <v>0</v>
      </c>
      <c r="AE886">
        <f>VLOOKUP(A:A,[1]android_repos_all_metrics!B:K,6,FALSE)</f>
        <v>1</v>
      </c>
      <c r="AF886">
        <f>VLOOKUP(A:A,[1]android_repos_all_metrics!B:K,7,FALSE)</f>
        <v>26239</v>
      </c>
      <c r="AG886">
        <f>VLOOKUP(A:A,[1]android_repos_all_metrics!B:K,8,FALSE)</f>
        <v>6</v>
      </c>
      <c r="AH886">
        <f>VLOOKUP(A:A,[1]android_repos_all_metrics!B:K,9,FALSE)</f>
        <v>46</v>
      </c>
      <c r="AI886">
        <f>VLOOKUP(A:A,[1]android_repos_all_metrics!B:K,10,FALSE)</f>
        <v>0</v>
      </c>
    </row>
    <row r="887" spans="1:35">
      <c r="A887" t="s">
        <v>949</v>
      </c>
      <c r="B887" t="b">
        <v>1</v>
      </c>
      <c r="C887" t="b">
        <v>0</v>
      </c>
      <c r="D887" t="b">
        <v>0</v>
      </c>
      <c r="F887" t="b">
        <v>0</v>
      </c>
      <c r="H887" t="s">
        <v>37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>
        <v>1</v>
      </c>
      <c r="AB887">
        <v>0</v>
      </c>
      <c r="AC887">
        <f>VLOOKUP(A:A,[1]android_repos_all_metrics!B:K,4,FALSE)</f>
        <v>1181</v>
      </c>
      <c r="AD887">
        <f>VLOOKUP(A:A,[1]android_repos_all_metrics!B:K,5,FALSE)</f>
        <v>389</v>
      </c>
      <c r="AE887">
        <f>VLOOKUP(A:A,[1]android_repos_all_metrics!B:K,6,FALSE)</f>
        <v>8</v>
      </c>
      <c r="AF887">
        <f>VLOOKUP(A:A,[1]android_repos_all_metrics!B:K,7,FALSE)</f>
        <v>7272</v>
      </c>
      <c r="AG887">
        <f>VLOOKUP(A:A,[1]android_repos_all_metrics!B:K,8,FALSE)</f>
        <v>86</v>
      </c>
      <c r="AH887">
        <f>VLOOKUP(A:A,[1]android_repos_all_metrics!B:K,9,FALSE)</f>
        <v>932</v>
      </c>
      <c r="AI887">
        <f>VLOOKUP(A:A,[1]android_repos_all_metrics!B:K,10,FALSE)</f>
        <v>172</v>
      </c>
    </row>
    <row r="888" spans="1:35">
      <c r="A888" t="s">
        <v>950</v>
      </c>
      <c r="B888" t="b">
        <v>1</v>
      </c>
      <c r="C888" t="b">
        <v>0</v>
      </c>
      <c r="D888" t="b">
        <v>0</v>
      </c>
      <c r="F888" t="b">
        <v>0</v>
      </c>
      <c r="H888" t="s">
        <v>37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>
        <v>4</v>
      </c>
      <c r="AB888">
        <v>0</v>
      </c>
      <c r="AC888">
        <f>VLOOKUP(A:A,[1]android_repos_all_metrics!B:K,4,FALSE)</f>
        <v>251</v>
      </c>
      <c r="AD888">
        <f>VLOOKUP(A:A,[1]android_repos_all_metrics!B:K,5,FALSE)</f>
        <v>52</v>
      </c>
      <c r="AE888">
        <f>VLOOKUP(A:A,[1]android_repos_all_metrics!B:K,6,FALSE)</f>
        <v>31</v>
      </c>
      <c r="AF888">
        <f>VLOOKUP(A:A,[1]android_repos_all_metrics!B:K,7,FALSE)</f>
        <v>82092</v>
      </c>
      <c r="AG888">
        <f>VLOOKUP(A:A,[1]android_repos_all_metrics!B:K,8,FALSE)</f>
        <v>4</v>
      </c>
      <c r="AH888">
        <f>VLOOKUP(A:A,[1]android_repos_all_metrics!B:K,9,FALSE)</f>
        <v>16</v>
      </c>
      <c r="AI888">
        <f>VLOOKUP(A:A,[1]android_repos_all_metrics!B:K,10,FALSE)</f>
        <v>3</v>
      </c>
    </row>
    <row r="889" spans="1:35">
      <c r="A889" t="s">
        <v>951</v>
      </c>
      <c r="B889" t="b">
        <v>0</v>
      </c>
      <c r="C889" t="b">
        <v>0</v>
      </c>
      <c r="D889" t="b">
        <v>0</v>
      </c>
      <c r="F889" t="b">
        <v>0</v>
      </c>
      <c r="H889" t="s">
        <v>41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>
        <v>1</v>
      </c>
      <c r="AB889">
        <v>0</v>
      </c>
      <c r="AC889">
        <f>VLOOKUP(A:A,[1]android_repos_all_metrics!B:K,4,FALSE)</f>
        <v>88</v>
      </c>
      <c r="AD889">
        <f>VLOOKUP(A:A,[1]android_repos_all_metrics!B:K,5,FALSE)</f>
        <v>4</v>
      </c>
      <c r="AE889">
        <f>VLOOKUP(A:A,[1]android_repos_all_metrics!B:K,6,FALSE)</f>
        <v>5</v>
      </c>
      <c r="AF889">
        <f>VLOOKUP(A:A,[1]android_repos_all_metrics!B:K,7,FALSE)</f>
        <v>26669</v>
      </c>
      <c r="AG889">
        <f>VLOOKUP(A:A,[1]android_repos_all_metrics!B:K,8,FALSE)</f>
        <v>20</v>
      </c>
      <c r="AH889">
        <f>VLOOKUP(A:A,[1]android_repos_all_metrics!B:K,9,FALSE)</f>
        <v>314</v>
      </c>
      <c r="AI889">
        <f>VLOOKUP(A:A,[1]android_repos_all_metrics!B:K,10,FALSE)</f>
        <v>0</v>
      </c>
    </row>
    <row r="890" spans="1:35">
      <c r="A890" t="s">
        <v>952</v>
      </c>
      <c r="B890" t="b">
        <v>1</v>
      </c>
      <c r="C890" t="b">
        <v>1</v>
      </c>
      <c r="D890" t="b">
        <v>0</v>
      </c>
      <c r="F890" t="b">
        <v>1</v>
      </c>
      <c r="G890" t="s">
        <v>39</v>
      </c>
      <c r="H890" t="s">
        <v>41</v>
      </c>
      <c r="I890" t="s">
        <v>41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>
        <v>1</v>
      </c>
      <c r="AB890">
        <v>0</v>
      </c>
      <c r="AC890">
        <f>VLOOKUP(A:A,[1]android_repos_all_metrics!B:K,4,FALSE)</f>
        <v>347</v>
      </c>
      <c r="AD890">
        <f>VLOOKUP(A:A,[1]android_repos_all_metrics!B:K,5,FALSE)</f>
        <v>1</v>
      </c>
      <c r="AE890">
        <f>VLOOKUP(A:A,[1]android_repos_all_metrics!B:K,6,FALSE)</f>
        <v>1</v>
      </c>
      <c r="AF890">
        <f>VLOOKUP(A:A,[1]android_repos_all_metrics!B:K,7,FALSE)</f>
        <v>21328</v>
      </c>
      <c r="AG890">
        <f>VLOOKUP(A:A,[1]android_repos_all_metrics!B:K,8,FALSE)</f>
        <v>1</v>
      </c>
      <c r="AH890">
        <f>VLOOKUP(A:A,[1]android_repos_all_metrics!B:K,9,FALSE)</f>
        <v>3</v>
      </c>
      <c r="AI890">
        <f>VLOOKUP(A:A,[1]android_repos_all_metrics!B:K,10,FALSE)</f>
        <v>4</v>
      </c>
    </row>
    <row r="891" spans="1:35">
      <c r="A891" t="s">
        <v>953</v>
      </c>
      <c r="B891" t="b">
        <v>1</v>
      </c>
      <c r="C891" t="b">
        <v>0</v>
      </c>
      <c r="D891" t="b">
        <v>0</v>
      </c>
      <c r="F891" t="b">
        <v>0</v>
      </c>
      <c r="H891" t="s">
        <v>86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>
        <v>5</v>
      </c>
      <c r="AB891">
        <v>0</v>
      </c>
      <c r="AC891">
        <f>VLOOKUP(A:A,[1]android_repos_all_metrics!B:K,4,FALSE)</f>
        <v>2811</v>
      </c>
      <c r="AD891">
        <f>VLOOKUP(A:A,[1]android_repos_all_metrics!B:K,5,FALSE)</f>
        <v>47</v>
      </c>
      <c r="AE891">
        <f>VLOOKUP(A:A,[1]android_repos_all_metrics!B:K,6,FALSE)</f>
        <v>71</v>
      </c>
      <c r="AF891">
        <f>VLOOKUP(A:A,[1]android_repos_all_metrics!B:K,7,FALSE)</f>
        <v>22012</v>
      </c>
      <c r="AG891">
        <f>VLOOKUP(A:A,[1]android_repos_all_metrics!B:K,8,FALSE)</f>
        <v>23</v>
      </c>
      <c r="AH891">
        <f>VLOOKUP(A:A,[1]android_repos_all_metrics!B:K,9,FALSE)</f>
        <v>200</v>
      </c>
      <c r="AI891">
        <f>VLOOKUP(A:A,[1]android_repos_all_metrics!B:K,10,FALSE)</f>
        <v>182</v>
      </c>
    </row>
    <row r="892" spans="1:35">
      <c r="A892" t="s">
        <v>954</v>
      </c>
      <c r="B892" t="b">
        <v>1</v>
      </c>
      <c r="C892" t="b">
        <v>1</v>
      </c>
      <c r="D892" t="b">
        <v>0</v>
      </c>
      <c r="F892" t="b">
        <v>1</v>
      </c>
      <c r="G892" t="s">
        <v>39</v>
      </c>
      <c r="H892" t="s">
        <v>41</v>
      </c>
      <c r="I892" t="s">
        <v>41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>
        <v>1</v>
      </c>
      <c r="AB892">
        <v>0</v>
      </c>
      <c r="AC892">
        <f>VLOOKUP(A:A,[1]android_repos_all_metrics!B:K,4,FALSE)</f>
        <v>281</v>
      </c>
      <c r="AD892">
        <f>VLOOKUP(A:A,[1]android_repos_all_metrics!B:K,5,FALSE)</f>
        <v>0</v>
      </c>
      <c r="AE892">
        <f>VLOOKUP(A:A,[1]android_repos_all_metrics!B:K,6,FALSE)</f>
        <v>1</v>
      </c>
      <c r="AF892">
        <f>VLOOKUP(A:A,[1]android_repos_all_metrics!B:K,7,FALSE)</f>
        <v>489</v>
      </c>
      <c r="AG892">
        <f>VLOOKUP(A:A,[1]android_repos_all_metrics!B:K,8,FALSE)</f>
        <v>16</v>
      </c>
      <c r="AH892">
        <f>VLOOKUP(A:A,[1]android_repos_all_metrics!B:K,9,FALSE)</f>
        <v>277</v>
      </c>
      <c r="AI892">
        <f>VLOOKUP(A:A,[1]android_repos_all_metrics!B:K,10,FALSE)</f>
        <v>0</v>
      </c>
    </row>
    <row r="893" spans="1:35">
      <c r="A893" t="s">
        <v>955</v>
      </c>
      <c r="B893" t="b">
        <v>0</v>
      </c>
      <c r="C893" t="b">
        <v>0</v>
      </c>
      <c r="D893" t="b">
        <v>0</v>
      </c>
      <c r="F893" t="b">
        <v>0</v>
      </c>
      <c r="H893" t="s">
        <v>41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>
        <v>1</v>
      </c>
      <c r="AB893">
        <v>0</v>
      </c>
      <c r="AC893">
        <f>VLOOKUP(A:A,[1]android_repos_all_metrics!B:K,4,FALSE)</f>
        <v>95</v>
      </c>
      <c r="AD893">
        <f>VLOOKUP(A:A,[1]android_repos_all_metrics!B:K,5,FALSE)</f>
        <v>3</v>
      </c>
      <c r="AE893">
        <f>VLOOKUP(A:A,[1]android_repos_all_metrics!B:K,6,FALSE)</f>
        <v>3</v>
      </c>
      <c r="AF893">
        <f>VLOOKUP(A:A,[1]android_repos_all_metrics!B:K,7,FALSE)</f>
        <v>27694</v>
      </c>
      <c r="AG893">
        <f>VLOOKUP(A:A,[1]android_repos_all_metrics!B:K,8,FALSE)</f>
        <v>40</v>
      </c>
      <c r="AH893">
        <f>VLOOKUP(A:A,[1]android_repos_all_metrics!B:K,9,FALSE)</f>
        <v>90</v>
      </c>
      <c r="AI893">
        <f>VLOOKUP(A:A,[1]android_repos_all_metrics!B:K,10,FALSE)</f>
        <v>17</v>
      </c>
    </row>
    <row r="894" spans="1:35">
      <c r="A894" t="s">
        <v>956</v>
      </c>
      <c r="B894" t="b">
        <v>1</v>
      </c>
      <c r="C894" t="b">
        <v>0</v>
      </c>
      <c r="D894" t="b">
        <v>0</v>
      </c>
      <c r="F894" t="b">
        <v>0</v>
      </c>
      <c r="H894" t="s">
        <v>37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>
        <v>2</v>
      </c>
      <c r="AB894">
        <v>0</v>
      </c>
      <c r="AC894">
        <f>VLOOKUP(A:A,[1]android_repos_all_metrics!B:K,4,FALSE)</f>
        <v>11</v>
      </c>
      <c r="AD894">
        <f>VLOOKUP(A:A,[1]android_repos_all_metrics!B:K,5,FALSE)</f>
        <v>3</v>
      </c>
      <c r="AE894">
        <f>VLOOKUP(A:A,[1]android_repos_all_metrics!B:K,6,FALSE)</f>
        <v>1</v>
      </c>
      <c r="AF894">
        <f>VLOOKUP(A:A,[1]android_repos_all_metrics!B:K,7,FALSE)</f>
        <v>2863</v>
      </c>
      <c r="AG894">
        <f>VLOOKUP(A:A,[1]android_repos_all_metrics!B:K,8,FALSE)</f>
        <v>1</v>
      </c>
      <c r="AH894">
        <f>VLOOKUP(A:A,[1]android_repos_all_metrics!B:K,9,FALSE)</f>
        <v>6</v>
      </c>
      <c r="AI894">
        <f>VLOOKUP(A:A,[1]android_repos_all_metrics!B:K,10,FALSE)</f>
        <v>3</v>
      </c>
    </row>
    <row r="895" spans="1:35">
      <c r="A895" t="s">
        <v>957</v>
      </c>
      <c r="B895" t="b">
        <v>1</v>
      </c>
      <c r="C895" t="b">
        <v>0</v>
      </c>
      <c r="D895" t="b">
        <v>0</v>
      </c>
      <c r="F895" t="b">
        <v>0</v>
      </c>
      <c r="H895" t="s">
        <v>43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>
        <v>1</v>
      </c>
      <c r="AB895">
        <v>1</v>
      </c>
      <c r="AC895">
        <f>VLOOKUP(A:A,[1]android_repos_all_metrics!B:K,4,FALSE)</f>
        <v>227</v>
      </c>
      <c r="AD895">
        <f>VLOOKUP(A:A,[1]android_repos_all_metrics!B:K,5,FALSE)</f>
        <v>54</v>
      </c>
      <c r="AE895">
        <f>VLOOKUP(A:A,[1]android_repos_all_metrics!B:K,6,FALSE)</f>
        <v>1</v>
      </c>
      <c r="AF895">
        <f>VLOOKUP(A:A,[1]android_repos_all_metrics!B:K,7,FALSE)</f>
        <v>12651</v>
      </c>
      <c r="AG895">
        <f>VLOOKUP(A:A,[1]android_repos_all_metrics!B:K,8,FALSE)</f>
        <v>2</v>
      </c>
      <c r="AH895">
        <f>VLOOKUP(A:A,[1]android_repos_all_metrics!B:K,9,FALSE)</f>
        <v>25</v>
      </c>
      <c r="AI895">
        <f>VLOOKUP(A:A,[1]android_repos_all_metrics!B:K,10,FALSE)</f>
        <v>4</v>
      </c>
    </row>
    <row r="896" spans="1:35">
      <c r="A896" t="s">
        <v>958</v>
      </c>
      <c r="B896" t="b">
        <v>1</v>
      </c>
      <c r="C896" t="b">
        <v>0</v>
      </c>
      <c r="D896" t="b">
        <v>0</v>
      </c>
      <c r="F896" t="b">
        <v>0</v>
      </c>
      <c r="H896" t="s">
        <v>37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>
        <v>1</v>
      </c>
      <c r="AB896">
        <v>0</v>
      </c>
      <c r="AC896">
        <f>VLOOKUP(A:A,[1]android_repos_all_metrics!B:K,4,FALSE)</f>
        <v>134</v>
      </c>
      <c r="AD896">
        <f>VLOOKUP(A:A,[1]android_repos_all_metrics!B:K,5,FALSE)</f>
        <v>0</v>
      </c>
      <c r="AE896">
        <f>VLOOKUP(A:A,[1]android_repos_all_metrics!B:K,6,FALSE)</f>
        <v>1</v>
      </c>
      <c r="AF896">
        <f>VLOOKUP(A:A,[1]android_repos_all_metrics!B:K,7,FALSE)</f>
        <v>332</v>
      </c>
      <c r="AG896">
        <f>VLOOKUP(A:A,[1]android_repos_all_metrics!B:K,8,FALSE)</f>
        <v>5</v>
      </c>
      <c r="AH896">
        <f>VLOOKUP(A:A,[1]android_repos_all_metrics!B:K,9,FALSE)</f>
        <v>13</v>
      </c>
      <c r="AI896">
        <f>VLOOKUP(A:A,[1]android_repos_all_metrics!B:K,10,FALSE)</f>
        <v>2</v>
      </c>
    </row>
    <row r="897" spans="1:35">
      <c r="A897" t="s">
        <v>959</v>
      </c>
      <c r="B897" t="b">
        <v>1</v>
      </c>
      <c r="C897" t="b">
        <v>0</v>
      </c>
      <c r="D897" t="b">
        <v>0</v>
      </c>
      <c r="F897" t="b">
        <v>0</v>
      </c>
      <c r="H897" t="s">
        <v>37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>
        <v>1</v>
      </c>
      <c r="AB897">
        <v>0</v>
      </c>
      <c r="AC897">
        <f>VLOOKUP(A:A,[1]android_repos_all_metrics!B:K,4,FALSE)</f>
        <v>160</v>
      </c>
      <c r="AD897">
        <f>VLOOKUP(A:A,[1]android_repos_all_metrics!B:K,5,FALSE)</f>
        <v>62</v>
      </c>
      <c r="AE897">
        <f>VLOOKUP(A:A,[1]android_repos_all_metrics!B:K,6,FALSE)</f>
        <v>7</v>
      </c>
      <c r="AF897">
        <f>VLOOKUP(A:A,[1]android_repos_all_metrics!B:K,7,FALSE)</f>
        <v>113062</v>
      </c>
      <c r="AG897">
        <f>VLOOKUP(A:A,[1]android_repos_all_metrics!B:K,8,FALSE)</f>
        <v>2</v>
      </c>
      <c r="AH897">
        <f>VLOOKUP(A:A,[1]android_repos_all_metrics!B:K,9,FALSE)</f>
        <v>2</v>
      </c>
      <c r="AI897">
        <f>VLOOKUP(A:A,[1]android_repos_all_metrics!B:K,10,FALSE)</f>
        <v>18</v>
      </c>
    </row>
    <row r="898" spans="1:35">
      <c r="A898" t="s">
        <v>960</v>
      </c>
      <c r="B898" t="b">
        <v>1</v>
      </c>
      <c r="C898" t="b">
        <v>0</v>
      </c>
      <c r="D898" t="b">
        <v>0</v>
      </c>
      <c r="F898" t="b">
        <v>0</v>
      </c>
      <c r="H898" t="s">
        <v>37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>
        <v>1</v>
      </c>
      <c r="AB898">
        <v>0</v>
      </c>
      <c r="AC898">
        <f>VLOOKUP(A:A,[1]android_repos_all_metrics!B:K,4,FALSE)</f>
        <v>24</v>
      </c>
      <c r="AD898">
        <f>VLOOKUP(A:A,[1]android_repos_all_metrics!B:K,5,FALSE)</f>
        <v>9</v>
      </c>
      <c r="AE898">
        <f>VLOOKUP(A:A,[1]android_repos_all_metrics!B:K,6,FALSE)</f>
        <v>2</v>
      </c>
      <c r="AF898">
        <f>VLOOKUP(A:A,[1]android_repos_all_metrics!B:K,7,FALSE)</f>
        <v>471</v>
      </c>
      <c r="AG898">
        <f>VLOOKUP(A:A,[1]android_repos_all_metrics!B:K,8,FALSE)</f>
        <v>1</v>
      </c>
      <c r="AH898">
        <f>VLOOKUP(A:A,[1]android_repos_all_metrics!B:K,9,FALSE)</f>
        <v>17</v>
      </c>
      <c r="AI898">
        <f>VLOOKUP(A:A,[1]android_repos_all_metrics!B:K,10,FALSE)</f>
        <v>0</v>
      </c>
    </row>
    <row r="899" spans="1:35">
      <c r="A899" t="s">
        <v>961</v>
      </c>
      <c r="B899" t="b">
        <v>1</v>
      </c>
      <c r="C899" t="b">
        <v>0</v>
      </c>
      <c r="D899" t="b">
        <v>0</v>
      </c>
      <c r="F899" t="b">
        <v>0</v>
      </c>
      <c r="H899" t="s">
        <v>37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>
        <v>1</v>
      </c>
      <c r="AB899">
        <v>0</v>
      </c>
      <c r="AC899">
        <f>VLOOKUP(A:A,[1]android_repos_all_metrics!B:K,4,FALSE)</f>
        <v>37</v>
      </c>
      <c r="AD899">
        <f>VLOOKUP(A:A,[1]android_repos_all_metrics!B:K,5,FALSE)</f>
        <v>2</v>
      </c>
      <c r="AE899">
        <f>VLOOKUP(A:A,[1]android_repos_all_metrics!B:K,6,FALSE)</f>
        <v>6</v>
      </c>
      <c r="AF899">
        <f>VLOOKUP(A:A,[1]android_repos_all_metrics!B:K,7,FALSE)</f>
        <v>2881</v>
      </c>
      <c r="AG899">
        <f>VLOOKUP(A:A,[1]android_repos_all_metrics!B:K,8,FALSE)</f>
        <v>7</v>
      </c>
      <c r="AH899">
        <f>VLOOKUP(A:A,[1]android_repos_all_metrics!B:K,9,FALSE)</f>
        <v>12</v>
      </c>
      <c r="AI899">
        <f>VLOOKUP(A:A,[1]android_repos_all_metrics!B:K,10,FALSE)</f>
        <v>0</v>
      </c>
    </row>
    <row r="900" spans="1:35">
      <c r="A900" t="s">
        <v>962</v>
      </c>
      <c r="B900" t="b">
        <v>1</v>
      </c>
      <c r="C900" t="b">
        <v>0</v>
      </c>
      <c r="D900" t="b">
        <v>0</v>
      </c>
      <c r="F900" t="b">
        <v>0</v>
      </c>
      <c r="H900" t="s">
        <v>37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>
        <v>1</v>
      </c>
      <c r="AB900">
        <v>0</v>
      </c>
      <c r="AC900">
        <f>VLOOKUP(A:A,[1]android_repos_all_metrics!B:K,4,FALSE)</f>
        <v>127</v>
      </c>
      <c r="AD900">
        <f>VLOOKUP(A:A,[1]android_repos_all_metrics!B:K,5,FALSE)</f>
        <v>60</v>
      </c>
      <c r="AE900">
        <f>VLOOKUP(A:A,[1]android_repos_all_metrics!B:K,6,FALSE)</f>
        <v>5</v>
      </c>
      <c r="AF900">
        <f>VLOOKUP(A:A,[1]android_repos_all_metrics!B:K,7,FALSE)</f>
        <v>391</v>
      </c>
      <c r="AG900">
        <f>VLOOKUP(A:A,[1]android_repos_all_metrics!B:K,8,FALSE)</f>
        <v>24</v>
      </c>
      <c r="AH900">
        <f>VLOOKUP(A:A,[1]android_repos_all_metrics!B:K,9,FALSE)</f>
        <v>486</v>
      </c>
      <c r="AI900">
        <f>VLOOKUP(A:A,[1]android_repos_all_metrics!B:K,10,FALSE)</f>
        <v>6</v>
      </c>
    </row>
    <row r="901" spans="1:35">
      <c r="A901" t="s">
        <v>963</v>
      </c>
      <c r="B901" t="b">
        <v>0</v>
      </c>
      <c r="C901" t="b">
        <v>0</v>
      </c>
      <c r="D901" t="b">
        <v>0</v>
      </c>
      <c r="F901" t="b">
        <v>0</v>
      </c>
      <c r="H901" t="s">
        <v>41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>
        <v>1</v>
      </c>
      <c r="AB901">
        <v>0</v>
      </c>
      <c r="AC901">
        <f>VLOOKUP(A:A,[1]android_repos_all_metrics!B:K,4,FALSE)</f>
        <v>67</v>
      </c>
      <c r="AD901">
        <f>VLOOKUP(A:A,[1]android_repos_all_metrics!B:K,5,FALSE)</f>
        <v>9</v>
      </c>
      <c r="AE901">
        <f>VLOOKUP(A:A,[1]android_repos_all_metrics!B:K,6,FALSE)</f>
        <v>4</v>
      </c>
      <c r="AF901">
        <f>VLOOKUP(A:A,[1]android_repos_all_metrics!B:K,7,FALSE)</f>
        <v>26794</v>
      </c>
      <c r="AG901">
        <f>VLOOKUP(A:A,[1]android_repos_all_metrics!B:K,8,FALSE)</f>
        <v>2</v>
      </c>
      <c r="AH901">
        <f>VLOOKUP(A:A,[1]android_repos_all_metrics!B:K,9,FALSE)</f>
        <v>6</v>
      </c>
      <c r="AI901">
        <f>VLOOKUP(A:A,[1]android_repos_all_metrics!B:K,10,FALSE)</f>
        <v>5</v>
      </c>
    </row>
    <row r="902" spans="1:35">
      <c r="A902" t="s">
        <v>964</v>
      </c>
      <c r="B902" t="b">
        <v>1</v>
      </c>
      <c r="C902" t="b">
        <v>0</v>
      </c>
      <c r="D902" t="b">
        <v>0</v>
      </c>
      <c r="F902" t="b">
        <v>0</v>
      </c>
      <c r="H902" t="s">
        <v>37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>
        <v>2</v>
      </c>
      <c r="AB902">
        <v>0</v>
      </c>
      <c r="AC902">
        <f>VLOOKUP(A:A,[1]android_repos_all_metrics!B:K,4,FALSE)</f>
        <v>4</v>
      </c>
      <c r="AD902">
        <f>VLOOKUP(A:A,[1]android_repos_all_metrics!B:K,5,FALSE)</f>
        <v>0</v>
      </c>
      <c r="AE902">
        <f>VLOOKUP(A:A,[1]android_repos_all_metrics!B:K,6,FALSE)</f>
        <v>1</v>
      </c>
      <c r="AF902">
        <f>VLOOKUP(A:A,[1]android_repos_all_metrics!B:K,7,FALSE)</f>
        <v>54923</v>
      </c>
      <c r="AG902">
        <f>VLOOKUP(A:A,[1]android_repos_all_metrics!B:K,8,FALSE)</f>
        <v>0</v>
      </c>
      <c r="AH902">
        <f>VLOOKUP(A:A,[1]android_repos_all_metrics!B:K,9,FALSE)</f>
        <v>13</v>
      </c>
      <c r="AI902">
        <f>VLOOKUP(A:A,[1]android_repos_all_metrics!B:K,10,FALSE)</f>
        <v>0</v>
      </c>
    </row>
    <row r="903" spans="1:35">
      <c r="A903" t="s">
        <v>965</v>
      </c>
      <c r="B903" t="b">
        <v>1</v>
      </c>
      <c r="C903" t="b">
        <v>0</v>
      </c>
      <c r="D903" t="b">
        <v>0</v>
      </c>
      <c r="F903" t="b">
        <v>0</v>
      </c>
      <c r="H903" t="s">
        <v>37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>
        <v>2</v>
      </c>
      <c r="AB903">
        <v>0</v>
      </c>
      <c r="AC903">
        <f>VLOOKUP(A:A,[1]android_repos_all_metrics!B:K,4,FALSE)</f>
        <v>1457</v>
      </c>
      <c r="AD903">
        <f>VLOOKUP(A:A,[1]android_repos_all_metrics!B:K,5,FALSE)</f>
        <v>1</v>
      </c>
      <c r="AE903">
        <f>VLOOKUP(A:A,[1]android_repos_all_metrics!B:K,6,FALSE)</f>
        <v>3</v>
      </c>
      <c r="AF903">
        <f>VLOOKUP(A:A,[1]android_repos_all_metrics!B:K,7,FALSE)</f>
        <v>6246</v>
      </c>
      <c r="AG903">
        <f>VLOOKUP(A:A,[1]android_repos_all_metrics!B:K,8,FALSE)</f>
        <v>5</v>
      </c>
      <c r="AH903">
        <f>VLOOKUP(A:A,[1]android_repos_all_metrics!B:K,9,FALSE)</f>
        <v>37</v>
      </c>
      <c r="AI903">
        <f>VLOOKUP(A:A,[1]android_repos_all_metrics!B:K,10,FALSE)</f>
        <v>6</v>
      </c>
    </row>
    <row r="904" spans="1:35">
      <c r="A904" t="s">
        <v>966</v>
      </c>
      <c r="B904" t="b">
        <v>1</v>
      </c>
      <c r="C904" t="b">
        <v>0</v>
      </c>
      <c r="D904" t="b">
        <v>0</v>
      </c>
      <c r="F904" t="b">
        <v>0</v>
      </c>
      <c r="H904" t="s">
        <v>41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>
        <v>1</v>
      </c>
      <c r="AB904">
        <v>0</v>
      </c>
      <c r="AC904">
        <f>VLOOKUP(A:A,[1]android_repos_all_metrics!B:K,4,FALSE)</f>
        <v>1042</v>
      </c>
      <c r="AD904">
        <f>VLOOKUP(A:A,[1]android_repos_all_metrics!B:K,5,FALSE)</f>
        <v>23</v>
      </c>
      <c r="AE904">
        <f>VLOOKUP(A:A,[1]android_repos_all_metrics!B:K,6,FALSE)</f>
        <v>7</v>
      </c>
      <c r="AF904">
        <f>VLOOKUP(A:A,[1]android_repos_all_metrics!B:K,7,FALSE)</f>
        <v>4517</v>
      </c>
      <c r="AG904">
        <f>VLOOKUP(A:A,[1]android_repos_all_metrics!B:K,8,FALSE)</f>
        <v>11</v>
      </c>
      <c r="AH904">
        <f>VLOOKUP(A:A,[1]android_repos_all_metrics!B:K,9,FALSE)</f>
        <v>70</v>
      </c>
      <c r="AI904">
        <f>VLOOKUP(A:A,[1]android_repos_all_metrics!B:K,10,FALSE)</f>
        <v>8</v>
      </c>
    </row>
    <row r="905" spans="1:35">
      <c r="A905" t="s">
        <v>967</v>
      </c>
      <c r="B905" t="b">
        <v>1</v>
      </c>
      <c r="C905" t="b">
        <v>0</v>
      </c>
      <c r="D905" t="b">
        <v>0</v>
      </c>
      <c r="F905" t="b">
        <v>0</v>
      </c>
      <c r="H905" t="s">
        <v>37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>
        <v>1</v>
      </c>
      <c r="AB905">
        <v>0</v>
      </c>
      <c r="AC905">
        <f>VLOOKUP(A:A,[1]android_repos_all_metrics!B:K,4,FALSE)</f>
        <v>2166</v>
      </c>
      <c r="AD905">
        <f>VLOOKUP(A:A,[1]android_repos_all_metrics!B:K,5,FALSE)</f>
        <v>62</v>
      </c>
      <c r="AE905">
        <f>VLOOKUP(A:A,[1]android_repos_all_metrics!B:K,6,FALSE)</f>
        <v>52</v>
      </c>
      <c r="AF905">
        <f>VLOOKUP(A:A,[1]android_repos_all_metrics!B:K,7,FALSE)</f>
        <v>22770</v>
      </c>
      <c r="AG905">
        <f>VLOOKUP(A:A,[1]android_repos_all_metrics!B:K,8,FALSE)</f>
        <v>38</v>
      </c>
      <c r="AH905">
        <f>VLOOKUP(A:A,[1]android_repos_all_metrics!B:K,9,FALSE)</f>
        <v>498</v>
      </c>
      <c r="AI905">
        <f>VLOOKUP(A:A,[1]android_repos_all_metrics!B:K,10,FALSE)</f>
        <v>97</v>
      </c>
    </row>
    <row r="906" spans="1:35">
      <c r="A906" t="s">
        <v>968</v>
      </c>
      <c r="B906" t="b">
        <v>1</v>
      </c>
      <c r="C906" t="b">
        <v>0</v>
      </c>
      <c r="D906" t="b">
        <v>0</v>
      </c>
      <c r="F906" t="b">
        <v>0</v>
      </c>
      <c r="H906" t="s">
        <v>37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>
        <v>1</v>
      </c>
      <c r="AB906">
        <v>0</v>
      </c>
      <c r="AC906">
        <f>VLOOKUP(A:A,[1]android_repos_all_metrics!B:K,4,FALSE)</f>
        <v>84</v>
      </c>
      <c r="AD906">
        <f>VLOOKUP(A:A,[1]android_repos_all_metrics!B:K,5,FALSE)</f>
        <v>28</v>
      </c>
      <c r="AE906">
        <f>VLOOKUP(A:A,[1]android_repos_all_metrics!B:K,6,FALSE)</f>
        <v>17</v>
      </c>
      <c r="AF906">
        <f>VLOOKUP(A:A,[1]android_repos_all_metrics!B:K,7,FALSE)</f>
        <v>8937</v>
      </c>
      <c r="AG906">
        <f>VLOOKUP(A:A,[1]android_repos_all_metrics!B:K,8,FALSE)</f>
        <v>15</v>
      </c>
      <c r="AH906">
        <f>VLOOKUP(A:A,[1]android_repos_all_metrics!B:K,9,FALSE)</f>
        <v>5</v>
      </c>
      <c r="AI906">
        <f>VLOOKUP(A:A,[1]android_repos_all_metrics!B:K,10,FALSE)</f>
        <v>4</v>
      </c>
    </row>
    <row r="907" spans="1:35">
      <c r="A907" t="s">
        <v>969</v>
      </c>
      <c r="B907" t="b">
        <v>1</v>
      </c>
      <c r="C907" t="b">
        <v>0</v>
      </c>
      <c r="D907" t="b">
        <v>0</v>
      </c>
      <c r="F907" t="b">
        <v>0</v>
      </c>
      <c r="H907" t="s">
        <v>37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>
        <v>3</v>
      </c>
      <c r="AB907">
        <v>0</v>
      </c>
      <c r="AC907">
        <f>VLOOKUP(A:A,[1]android_repos_all_metrics!B:K,4,FALSE)</f>
        <v>508</v>
      </c>
      <c r="AD907">
        <f>VLOOKUP(A:A,[1]android_repos_all_metrics!B:K,5,FALSE)</f>
        <v>53</v>
      </c>
      <c r="AE907">
        <f>VLOOKUP(A:A,[1]android_repos_all_metrics!B:K,6,FALSE)</f>
        <v>1</v>
      </c>
      <c r="AF907">
        <f>VLOOKUP(A:A,[1]android_repos_all_metrics!B:K,7,FALSE)</f>
        <v>27899</v>
      </c>
      <c r="AG907">
        <f>VLOOKUP(A:A,[1]android_repos_all_metrics!B:K,8,FALSE)</f>
        <v>8</v>
      </c>
      <c r="AH907">
        <f>VLOOKUP(A:A,[1]android_repos_all_metrics!B:K,9,FALSE)</f>
        <v>27</v>
      </c>
      <c r="AI907">
        <f>VLOOKUP(A:A,[1]android_repos_all_metrics!B:K,10,FALSE)</f>
        <v>1</v>
      </c>
    </row>
    <row r="908" spans="1:35">
      <c r="A908" t="s">
        <v>970</v>
      </c>
      <c r="B908" t="b">
        <v>0</v>
      </c>
      <c r="C908" t="b">
        <v>0</v>
      </c>
      <c r="D908" t="b">
        <v>0</v>
      </c>
      <c r="F908" t="b">
        <v>0</v>
      </c>
      <c r="H908" t="s">
        <v>41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>
        <v>1</v>
      </c>
      <c r="AB908">
        <v>0</v>
      </c>
      <c r="AC908">
        <f>VLOOKUP(A:A,[1]android_repos_all_metrics!B:K,4,FALSE)</f>
        <v>369</v>
      </c>
      <c r="AD908">
        <f>VLOOKUP(A:A,[1]android_repos_all_metrics!B:K,5,FALSE)</f>
        <v>6</v>
      </c>
      <c r="AE908">
        <f>VLOOKUP(A:A,[1]android_repos_all_metrics!B:K,6,FALSE)</f>
        <v>3</v>
      </c>
      <c r="AF908">
        <f>VLOOKUP(A:A,[1]android_repos_all_metrics!B:K,7,FALSE)</f>
        <v>1782</v>
      </c>
      <c r="AG908">
        <f>VLOOKUP(A:A,[1]android_repos_all_metrics!B:K,8,FALSE)</f>
        <v>2</v>
      </c>
      <c r="AH908">
        <f>VLOOKUP(A:A,[1]android_repos_all_metrics!B:K,9,FALSE)</f>
        <v>3</v>
      </c>
      <c r="AI908">
        <f>VLOOKUP(A:A,[1]android_repos_all_metrics!B:K,10,FALSE)</f>
        <v>3</v>
      </c>
    </row>
    <row r="909" spans="1:35">
      <c r="A909" t="s">
        <v>971</v>
      </c>
      <c r="B909" t="b">
        <v>1</v>
      </c>
      <c r="C909" t="b">
        <v>0</v>
      </c>
      <c r="D909" t="b">
        <v>0</v>
      </c>
      <c r="F909" t="b">
        <v>0</v>
      </c>
      <c r="H909" t="s">
        <v>37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>
        <v>1</v>
      </c>
      <c r="AB909">
        <v>0</v>
      </c>
      <c r="AC909">
        <f>VLOOKUP(A:A,[1]android_repos_all_metrics!B:K,4,FALSE)</f>
        <v>431</v>
      </c>
      <c r="AD909">
        <f>VLOOKUP(A:A,[1]android_repos_all_metrics!B:K,5,FALSE)</f>
        <v>100</v>
      </c>
      <c r="AE909">
        <f>VLOOKUP(A:A,[1]android_repos_all_metrics!B:K,6,FALSE)</f>
        <v>15</v>
      </c>
      <c r="AF909">
        <f>VLOOKUP(A:A,[1]android_repos_all_metrics!B:K,7,FALSE)</f>
        <v>986612</v>
      </c>
      <c r="AG909">
        <f>VLOOKUP(A:A,[1]android_repos_all_metrics!B:K,8,FALSE)</f>
        <v>184</v>
      </c>
      <c r="AH909">
        <f>VLOOKUP(A:A,[1]android_repos_all_metrics!B:K,9,FALSE)</f>
        <v>2015</v>
      </c>
      <c r="AI909">
        <f>VLOOKUP(A:A,[1]android_repos_all_metrics!B:K,10,FALSE)</f>
        <v>284</v>
      </c>
    </row>
    <row r="910" spans="1:35">
      <c r="A910" t="s">
        <v>972</v>
      </c>
      <c r="B910" t="b">
        <v>1</v>
      </c>
      <c r="C910" t="b">
        <v>0</v>
      </c>
      <c r="D910" t="b">
        <v>0</v>
      </c>
      <c r="F910" t="b">
        <v>0</v>
      </c>
      <c r="H910" t="s">
        <v>110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>
        <v>2</v>
      </c>
      <c r="AB910">
        <v>0</v>
      </c>
      <c r="AC910">
        <f>VLOOKUP(A:A,[1]android_repos_all_metrics!B:K,4,FALSE)</f>
        <v>145</v>
      </c>
      <c r="AD910">
        <f>VLOOKUP(A:A,[1]android_repos_all_metrics!B:K,5,FALSE)</f>
        <v>2</v>
      </c>
      <c r="AE910">
        <f>VLOOKUP(A:A,[1]android_repos_all_metrics!B:K,6,FALSE)</f>
        <v>5</v>
      </c>
      <c r="AF910">
        <f>VLOOKUP(A:A,[1]android_repos_all_metrics!B:K,7,FALSE)</f>
        <v>29763</v>
      </c>
      <c r="AG910">
        <f>VLOOKUP(A:A,[1]android_repos_all_metrics!B:K,8,FALSE)</f>
        <v>1</v>
      </c>
      <c r="AH910">
        <f>VLOOKUP(A:A,[1]android_repos_all_metrics!B:K,9,FALSE)</f>
        <v>1</v>
      </c>
      <c r="AI910">
        <f>VLOOKUP(A:A,[1]android_repos_all_metrics!B:K,10,FALSE)</f>
        <v>0</v>
      </c>
    </row>
    <row r="911" spans="1:35">
      <c r="A911" t="s">
        <v>973</v>
      </c>
      <c r="B911" t="b">
        <v>1</v>
      </c>
      <c r="C911" t="b">
        <v>0</v>
      </c>
      <c r="D911" t="b">
        <v>0</v>
      </c>
      <c r="F911" t="b">
        <v>0</v>
      </c>
      <c r="H911" t="s">
        <v>37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>
        <v>1</v>
      </c>
      <c r="AB911">
        <v>0</v>
      </c>
      <c r="AC911">
        <f>VLOOKUP(A:A,[1]android_repos_all_metrics!B:K,4,FALSE)</f>
        <v>13</v>
      </c>
      <c r="AD911">
        <f>VLOOKUP(A:A,[1]android_repos_all_metrics!B:K,5,FALSE)</f>
        <v>0</v>
      </c>
      <c r="AE911">
        <f>VLOOKUP(A:A,[1]android_repos_all_metrics!B:K,6,FALSE)</f>
        <v>1</v>
      </c>
      <c r="AF911">
        <f>VLOOKUP(A:A,[1]android_repos_all_metrics!B:K,7,FALSE)</f>
        <v>2721</v>
      </c>
      <c r="AG911">
        <f>VLOOKUP(A:A,[1]android_repos_all_metrics!B:K,8,FALSE)</f>
        <v>4</v>
      </c>
      <c r="AH911">
        <f>VLOOKUP(A:A,[1]android_repos_all_metrics!B:K,9,FALSE)</f>
        <v>38</v>
      </c>
      <c r="AI911">
        <f>VLOOKUP(A:A,[1]android_repos_all_metrics!B:K,10,FALSE)</f>
        <v>0</v>
      </c>
    </row>
    <row r="912" spans="1:35">
      <c r="A912" t="s">
        <v>974</v>
      </c>
      <c r="B912" t="b">
        <v>1</v>
      </c>
      <c r="C912" t="b">
        <v>0</v>
      </c>
      <c r="D912" t="b">
        <v>0</v>
      </c>
      <c r="F912" t="b">
        <v>0</v>
      </c>
      <c r="H912" t="s">
        <v>41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>
        <v>1</v>
      </c>
      <c r="AB912">
        <v>0</v>
      </c>
      <c r="AC912">
        <f>VLOOKUP(A:A,[1]android_repos_all_metrics!B:K,4,FALSE)</f>
        <v>2320</v>
      </c>
      <c r="AD912">
        <f>VLOOKUP(A:A,[1]android_repos_all_metrics!B:K,5,FALSE)</f>
        <v>18</v>
      </c>
      <c r="AE912">
        <f>VLOOKUP(A:A,[1]android_repos_all_metrics!B:K,6,FALSE)</f>
        <v>55</v>
      </c>
      <c r="AF912">
        <f>VLOOKUP(A:A,[1]android_repos_all_metrics!B:K,7,FALSE)</f>
        <v>24100</v>
      </c>
      <c r="AG912">
        <f>VLOOKUP(A:A,[1]android_repos_all_metrics!B:K,8,FALSE)</f>
        <v>18</v>
      </c>
      <c r="AH912">
        <f>VLOOKUP(A:A,[1]android_repos_all_metrics!B:K,9,FALSE)</f>
        <v>45</v>
      </c>
      <c r="AI912">
        <f>VLOOKUP(A:A,[1]android_repos_all_metrics!B:K,10,FALSE)</f>
        <v>61</v>
      </c>
    </row>
    <row r="913" spans="1:35">
      <c r="A913" t="s">
        <v>975</v>
      </c>
      <c r="B913" t="b">
        <v>1</v>
      </c>
      <c r="C913" t="b">
        <v>0</v>
      </c>
      <c r="D913" t="b">
        <v>0</v>
      </c>
      <c r="F913" t="b">
        <v>0</v>
      </c>
      <c r="H913" t="s">
        <v>37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>
        <v>5</v>
      </c>
      <c r="AB913">
        <v>0</v>
      </c>
      <c r="AC913">
        <f>VLOOKUP(A:A,[1]android_repos_all_metrics!B:K,4,FALSE)</f>
        <v>61</v>
      </c>
      <c r="AD913">
        <f>VLOOKUP(A:A,[1]android_repos_all_metrics!B:K,5,FALSE)</f>
        <v>0</v>
      </c>
      <c r="AE913">
        <f>VLOOKUP(A:A,[1]android_repos_all_metrics!B:K,6,FALSE)</f>
        <v>1</v>
      </c>
      <c r="AF913">
        <f>VLOOKUP(A:A,[1]android_repos_all_metrics!B:K,7,FALSE)</f>
        <v>415</v>
      </c>
      <c r="AG913">
        <f>VLOOKUP(A:A,[1]android_repos_all_metrics!B:K,8,FALSE)</f>
        <v>1</v>
      </c>
      <c r="AH913">
        <f>VLOOKUP(A:A,[1]android_repos_all_metrics!B:K,9,FALSE)</f>
        <v>2</v>
      </c>
      <c r="AI913">
        <f>VLOOKUP(A:A,[1]android_repos_all_metrics!B:K,10,FALSE)</f>
        <v>0</v>
      </c>
    </row>
    <row r="914" spans="1:35">
      <c r="A914" t="s">
        <v>976</v>
      </c>
      <c r="B914" t="b">
        <v>1</v>
      </c>
      <c r="C914" t="b">
        <v>0</v>
      </c>
      <c r="D914" t="b">
        <v>0</v>
      </c>
      <c r="F914" t="b">
        <v>0</v>
      </c>
      <c r="H914" t="s">
        <v>37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>
        <v>1</v>
      </c>
      <c r="AB914">
        <v>0</v>
      </c>
      <c r="AC914">
        <f>VLOOKUP(A:A,[1]android_repos_all_metrics!B:K,4,FALSE)</f>
        <v>285</v>
      </c>
      <c r="AD914">
        <f>VLOOKUP(A:A,[1]android_repos_all_metrics!B:K,5,FALSE)</f>
        <v>41</v>
      </c>
      <c r="AE914">
        <f>VLOOKUP(A:A,[1]android_repos_all_metrics!B:K,6,FALSE)</f>
        <v>2</v>
      </c>
      <c r="AF914">
        <f>VLOOKUP(A:A,[1]android_repos_all_metrics!B:K,7,FALSE)</f>
        <v>892</v>
      </c>
      <c r="AG914">
        <f>VLOOKUP(A:A,[1]android_repos_all_metrics!B:K,8,FALSE)</f>
        <v>1</v>
      </c>
      <c r="AH914">
        <f>VLOOKUP(A:A,[1]android_repos_all_metrics!B:K,9,FALSE)</f>
        <v>1</v>
      </c>
      <c r="AI914">
        <f>VLOOKUP(A:A,[1]android_repos_all_metrics!B:K,10,FALSE)</f>
        <v>0</v>
      </c>
    </row>
    <row r="915" spans="1:35">
      <c r="A915" t="s">
        <v>977</v>
      </c>
      <c r="B915" t="b">
        <v>1</v>
      </c>
      <c r="C915" t="b">
        <v>1</v>
      </c>
      <c r="D915" t="b">
        <v>0</v>
      </c>
      <c r="F915" t="b">
        <v>1</v>
      </c>
      <c r="G915" t="s">
        <v>129</v>
      </c>
      <c r="H915" t="s">
        <v>76</v>
      </c>
      <c r="I915" t="s">
        <v>76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>
        <v>1</v>
      </c>
      <c r="AB915">
        <v>0</v>
      </c>
      <c r="AC915" t="e">
        <f>VLOOKUP(A:A,[1]android_repos_all_metrics!B:K,4,FALSE)</f>
        <v>#N/A</v>
      </c>
      <c r="AD915" t="e">
        <f>VLOOKUP(A:A,[1]android_repos_all_metrics!B:K,5,FALSE)</f>
        <v>#N/A</v>
      </c>
      <c r="AE915" t="e">
        <f>VLOOKUP(A:A,[1]android_repos_all_metrics!B:K,6,FALSE)</f>
        <v>#N/A</v>
      </c>
      <c r="AF915" t="e">
        <f>VLOOKUP(A:A,[1]android_repos_all_metrics!B:K,7,FALSE)</f>
        <v>#N/A</v>
      </c>
      <c r="AG915" t="e">
        <f>VLOOKUP(A:A,[1]android_repos_all_metrics!B:K,8,FALSE)</f>
        <v>#N/A</v>
      </c>
      <c r="AH915" t="e">
        <f>VLOOKUP(A:A,[1]android_repos_all_metrics!B:K,9,FALSE)</f>
        <v>#N/A</v>
      </c>
      <c r="AI915" t="e">
        <f>VLOOKUP(A:A,[1]android_repos_all_metrics!B:K,10,FALSE)</f>
        <v>#N/A</v>
      </c>
    </row>
    <row r="916" spans="1:35">
      <c r="A916" t="s">
        <v>978</v>
      </c>
      <c r="B916" t="b">
        <v>1</v>
      </c>
      <c r="C916" t="b">
        <v>0</v>
      </c>
      <c r="D916" t="b">
        <v>0</v>
      </c>
      <c r="F916" t="b">
        <v>0</v>
      </c>
      <c r="H916" t="s">
        <v>37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>
        <v>1</v>
      </c>
      <c r="AB916">
        <v>0</v>
      </c>
      <c r="AC916">
        <f>VLOOKUP(A:A,[1]android_repos_all_metrics!B:K,4,FALSE)</f>
        <v>196</v>
      </c>
      <c r="AD916">
        <f>VLOOKUP(A:A,[1]android_repos_all_metrics!B:K,5,FALSE)</f>
        <v>1</v>
      </c>
      <c r="AE916">
        <f>VLOOKUP(A:A,[1]android_repos_all_metrics!B:K,6,FALSE)</f>
        <v>1</v>
      </c>
      <c r="AF916">
        <f>VLOOKUP(A:A,[1]android_repos_all_metrics!B:K,7,FALSE)</f>
        <v>877</v>
      </c>
      <c r="AG916">
        <f>VLOOKUP(A:A,[1]android_repos_all_metrics!B:K,8,FALSE)</f>
        <v>0</v>
      </c>
      <c r="AH916">
        <f>VLOOKUP(A:A,[1]android_repos_all_metrics!B:K,9,FALSE)</f>
        <v>5</v>
      </c>
      <c r="AI916">
        <f>VLOOKUP(A:A,[1]android_repos_all_metrics!B:K,10,FALSE)</f>
        <v>2</v>
      </c>
    </row>
    <row r="917" spans="1:35">
      <c r="A917" t="s">
        <v>979</v>
      </c>
      <c r="B917" t="b">
        <v>1</v>
      </c>
      <c r="C917" t="b">
        <v>0</v>
      </c>
      <c r="D917" t="b">
        <v>0</v>
      </c>
      <c r="F917" t="b">
        <v>0</v>
      </c>
      <c r="H917" t="s">
        <v>37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>
        <v>3</v>
      </c>
      <c r="AB917">
        <v>0</v>
      </c>
      <c r="AC917">
        <f>VLOOKUP(A:A,[1]android_repos_all_metrics!B:K,4,FALSE)</f>
        <v>88</v>
      </c>
      <c r="AD917">
        <f>VLOOKUP(A:A,[1]android_repos_all_metrics!B:K,5,FALSE)</f>
        <v>16</v>
      </c>
      <c r="AE917">
        <f>VLOOKUP(A:A,[1]android_repos_all_metrics!B:K,6,FALSE)</f>
        <v>3</v>
      </c>
      <c r="AF917">
        <f>VLOOKUP(A:A,[1]android_repos_all_metrics!B:K,7,FALSE)</f>
        <v>34925</v>
      </c>
      <c r="AG917">
        <f>VLOOKUP(A:A,[1]android_repos_all_metrics!B:K,8,FALSE)</f>
        <v>2</v>
      </c>
      <c r="AH917">
        <f>VLOOKUP(A:A,[1]android_repos_all_metrics!B:K,9,FALSE)</f>
        <v>24</v>
      </c>
      <c r="AI917">
        <f>VLOOKUP(A:A,[1]android_repos_all_metrics!B:K,10,FALSE)</f>
        <v>0</v>
      </c>
    </row>
    <row r="918" spans="1:35">
      <c r="A918" t="s">
        <v>980</v>
      </c>
      <c r="B918" t="b">
        <v>1</v>
      </c>
      <c r="C918" t="b">
        <v>0</v>
      </c>
      <c r="D918" t="b">
        <v>0</v>
      </c>
      <c r="F918" t="b">
        <v>0</v>
      </c>
      <c r="H918" t="s">
        <v>37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>
        <v>7</v>
      </c>
      <c r="AB918">
        <v>0</v>
      </c>
      <c r="AC918">
        <f>VLOOKUP(A:A,[1]android_repos_all_metrics!B:K,4,FALSE)</f>
        <v>576</v>
      </c>
      <c r="AD918">
        <f>VLOOKUP(A:A,[1]android_repos_all_metrics!B:K,5,FALSE)</f>
        <v>287</v>
      </c>
      <c r="AE918">
        <f>VLOOKUP(A:A,[1]android_repos_all_metrics!B:K,6,FALSE)</f>
        <v>7</v>
      </c>
      <c r="AF918">
        <f>VLOOKUP(A:A,[1]android_repos_all_metrics!B:K,7,FALSE)</f>
        <v>8842</v>
      </c>
      <c r="AG918">
        <f>VLOOKUP(A:A,[1]android_repos_all_metrics!B:K,8,FALSE)</f>
        <v>7</v>
      </c>
      <c r="AH918">
        <f>VLOOKUP(A:A,[1]android_repos_all_metrics!B:K,9,FALSE)</f>
        <v>105</v>
      </c>
      <c r="AI918">
        <f>VLOOKUP(A:A,[1]android_repos_all_metrics!B:K,10,FALSE)</f>
        <v>7</v>
      </c>
    </row>
    <row r="919" spans="1:35">
      <c r="A919" t="s">
        <v>981</v>
      </c>
      <c r="B919" t="b">
        <v>0</v>
      </c>
      <c r="C919" t="b">
        <v>0</v>
      </c>
      <c r="D919" t="b">
        <v>0</v>
      </c>
      <c r="F919" t="b">
        <v>0</v>
      </c>
      <c r="H919" t="s">
        <v>41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>
        <v>1</v>
      </c>
      <c r="AB919">
        <v>0</v>
      </c>
      <c r="AC919">
        <f>VLOOKUP(A:A,[1]android_repos_all_metrics!B:K,4,FALSE)</f>
        <v>81</v>
      </c>
      <c r="AD919">
        <f>VLOOKUP(A:A,[1]android_repos_all_metrics!B:K,5,FALSE)</f>
        <v>28</v>
      </c>
      <c r="AE919">
        <f>VLOOKUP(A:A,[1]android_repos_all_metrics!B:K,6,FALSE)</f>
        <v>10</v>
      </c>
      <c r="AF919">
        <f>VLOOKUP(A:A,[1]android_repos_all_metrics!B:K,7,FALSE)</f>
        <v>4450</v>
      </c>
      <c r="AG919">
        <f>VLOOKUP(A:A,[1]android_repos_all_metrics!B:K,8,FALSE)</f>
        <v>276</v>
      </c>
      <c r="AH919">
        <f>VLOOKUP(A:A,[1]android_repos_all_metrics!B:K,9,FALSE)</f>
        <v>1149</v>
      </c>
      <c r="AI919">
        <f>VLOOKUP(A:A,[1]android_repos_all_metrics!B:K,10,FALSE)</f>
        <v>11</v>
      </c>
    </row>
    <row r="920" spans="1:35">
      <c r="A920" t="s">
        <v>982</v>
      </c>
      <c r="B920" t="b">
        <v>1</v>
      </c>
      <c r="C920" t="b">
        <v>0</v>
      </c>
      <c r="D920" t="b">
        <v>0</v>
      </c>
      <c r="F920" t="b">
        <v>0</v>
      </c>
      <c r="H920" t="s">
        <v>37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>
        <v>1</v>
      </c>
      <c r="AB920">
        <v>0</v>
      </c>
      <c r="AC920">
        <f>VLOOKUP(A:A,[1]android_repos_all_metrics!B:K,4,FALSE)</f>
        <v>105</v>
      </c>
      <c r="AD920">
        <f>VLOOKUP(A:A,[1]android_repos_all_metrics!B:K,5,FALSE)</f>
        <v>32</v>
      </c>
      <c r="AE920">
        <f>VLOOKUP(A:A,[1]android_repos_all_metrics!B:K,6,FALSE)</f>
        <v>2</v>
      </c>
      <c r="AF920">
        <f>VLOOKUP(A:A,[1]android_repos_all_metrics!B:K,7,FALSE)</f>
        <v>26484</v>
      </c>
      <c r="AG920">
        <f>VLOOKUP(A:A,[1]android_repos_all_metrics!B:K,8,FALSE)</f>
        <v>4</v>
      </c>
      <c r="AH920">
        <f>VLOOKUP(A:A,[1]android_repos_all_metrics!B:K,9,FALSE)</f>
        <v>40</v>
      </c>
      <c r="AI920">
        <f>VLOOKUP(A:A,[1]android_repos_all_metrics!B:K,10,FALSE)</f>
        <v>3</v>
      </c>
    </row>
    <row r="921" spans="1:35">
      <c r="A921" t="s">
        <v>983</v>
      </c>
      <c r="B921" t="b">
        <v>1</v>
      </c>
      <c r="C921" t="b">
        <v>0</v>
      </c>
      <c r="D921" t="b">
        <v>0</v>
      </c>
      <c r="F921" t="b">
        <v>0</v>
      </c>
      <c r="H921" t="s">
        <v>41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>
        <v>1</v>
      </c>
      <c r="AB921">
        <v>0</v>
      </c>
      <c r="AC921">
        <f>VLOOKUP(A:A,[1]android_repos_all_metrics!B:K,4,FALSE)</f>
        <v>127</v>
      </c>
      <c r="AD921">
        <f>VLOOKUP(A:A,[1]android_repos_all_metrics!B:K,5,FALSE)</f>
        <v>42</v>
      </c>
      <c r="AE921">
        <f>VLOOKUP(A:A,[1]android_repos_all_metrics!B:K,6,FALSE)</f>
        <v>2</v>
      </c>
      <c r="AF921">
        <f>VLOOKUP(A:A,[1]android_repos_all_metrics!B:K,7,FALSE)</f>
        <v>3450</v>
      </c>
      <c r="AG921">
        <f>VLOOKUP(A:A,[1]android_repos_all_metrics!B:K,8,FALSE)</f>
        <v>8</v>
      </c>
      <c r="AH921">
        <f>VLOOKUP(A:A,[1]android_repos_all_metrics!B:K,9,FALSE)</f>
        <v>12</v>
      </c>
      <c r="AI921">
        <f>VLOOKUP(A:A,[1]android_repos_all_metrics!B:K,10,FALSE)</f>
        <v>1</v>
      </c>
    </row>
    <row r="922" spans="1:35">
      <c r="A922" t="s">
        <v>984</v>
      </c>
      <c r="B922" t="b">
        <v>1</v>
      </c>
      <c r="C922" t="b">
        <v>0</v>
      </c>
      <c r="D922" t="b">
        <v>0</v>
      </c>
      <c r="F922" t="b">
        <v>0</v>
      </c>
      <c r="H922" t="s">
        <v>37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>
        <v>2</v>
      </c>
      <c r="AB922">
        <v>0</v>
      </c>
      <c r="AC922">
        <f>VLOOKUP(A:A,[1]android_repos_all_metrics!B:K,4,FALSE)</f>
        <v>1107</v>
      </c>
      <c r="AD922">
        <f>VLOOKUP(A:A,[1]android_repos_all_metrics!B:K,5,FALSE)</f>
        <v>221</v>
      </c>
      <c r="AE922">
        <f>VLOOKUP(A:A,[1]android_repos_all_metrics!B:K,6,FALSE)</f>
        <v>77</v>
      </c>
      <c r="AF922">
        <f>VLOOKUP(A:A,[1]android_repos_all_metrics!B:K,7,FALSE)</f>
        <v>10571</v>
      </c>
      <c r="AG922">
        <f>VLOOKUP(A:A,[1]android_repos_all_metrics!B:K,8,FALSE)</f>
        <v>92</v>
      </c>
      <c r="AH922">
        <f>VLOOKUP(A:A,[1]android_repos_all_metrics!B:K,9,FALSE)</f>
        <v>75</v>
      </c>
      <c r="AI922">
        <f>VLOOKUP(A:A,[1]android_repos_all_metrics!B:K,10,FALSE)</f>
        <v>24</v>
      </c>
    </row>
    <row r="923" spans="1:35">
      <c r="A923" t="s">
        <v>985</v>
      </c>
      <c r="B923" t="b">
        <v>1</v>
      </c>
      <c r="C923" t="b">
        <v>0</v>
      </c>
      <c r="D923" t="b">
        <v>0</v>
      </c>
      <c r="F923" t="b">
        <v>0</v>
      </c>
      <c r="H923" t="s">
        <v>41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>
        <v>1</v>
      </c>
      <c r="AB923">
        <v>0</v>
      </c>
      <c r="AC923">
        <f>VLOOKUP(A:A,[1]android_repos_all_metrics!B:K,4,FALSE)</f>
        <v>730</v>
      </c>
      <c r="AD923">
        <f>VLOOKUP(A:A,[1]android_repos_all_metrics!B:K,5,FALSE)</f>
        <v>551</v>
      </c>
      <c r="AE923">
        <f>VLOOKUP(A:A,[1]android_repos_all_metrics!B:K,6,FALSE)</f>
        <v>99</v>
      </c>
      <c r="AF923">
        <f>VLOOKUP(A:A,[1]android_repos_all_metrics!B:K,7,FALSE)</f>
        <v>6286</v>
      </c>
      <c r="AG923">
        <f>VLOOKUP(A:A,[1]android_repos_all_metrics!B:K,8,FALSE)</f>
        <v>827</v>
      </c>
      <c r="AH923">
        <f>VLOOKUP(A:A,[1]android_repos_all_metrics!B:K,9,FALSE)</f>
        <v>4641</v>
      </c>
      <c r="AI923">
        <f>VLOOKUP(A:A,[1]android_repos_all_metrics!B:K,10,FALSE)</f>
        <v>141</v>
      </c>
    </row>
    <row r="924" spans="1:35">
      <c r="A924" t="s">
        <v>986</v>
      </c>
      <c r="B924" t="b">
        <v>1</v>
      </c>
      <c r="C924" t="b">
        <v>0</v>
      </c>
      <c r="D924" t="b">
        <v>0</v>
      </c>
      <c r="F924" t="b">
        <v>0</v>
      </c>
      <c r="H924" t="s">
        <v>37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>
        <v>1</v>
      </c>
      <c r="AB924">
        <v>0</v>
      </c>
      <c r="AC924">
        <f>VLOOKUP(A:A,[1]android_repos_all_metrics!B:K,4,FALSE)</f>
        <v>1078</v>
      </c>
      <c r="AD924">
        <f>VLOOKUP(A:A,[1]android_repos_all_metrics!B:K,5,FALSE)</f>
        <v>86</v>
      </c>
      <c r="AE924">
        <f>VLOOKUP(A:A,[1]android_repos_all_metrics!B:K,6,FALSE)</f>
        <v>29</v>
      </c>
      <c r="AF924">
        <f>VLOOKUP(A:A,[1]android_repos_all_metrics!B:K,7,FALSE)</f>
        <v>13066</v>
      </c>
      <c r="AG924">
        <f>VLOOKUP(A:A,[1]android_repos_all_metrics!B:K,8,FALSE)</f>
        <v>129</v>
      </c>
      <c r="AH924">
        <f>VLOOKUP(A:A,[1]android_repos_all_metrics!B:K,9,FALSE)</f>
        <v>1391</v>
      </c>
      <c r="AI924">
        <f>VLOOKUP(A:A,[1]android_repos_all_metrics!B:K,10,FALSE)</f>
        <v>79</v>
      </c>
    </row>
    <row r="925" spans="1:35">
      <c r="A925" t="s">
        <v>987</v>
      </c>
      <c r="B925" t="b">
        <v>1</v>
      </c>
      <c r="C925" t="b">
        <v>0</v>
      </c>
      <c r="D925" t="b">
        <v>0</v>
      </c>
      <c r="F925" t="b">
        <v>0</v>
      </c>
      <c r="H925" t="s">
        <v>37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>
        <v>1</v>
      </c>
      <c r="AB925">
        <v>0</v>
      </c>
      <c r="AC925">
        <f>VLOOKUP(A:A,[1]android_repos_all_metrics!B:K,4,FALSE)</f>
        <v>36</v>
      </c>
      <c r="AD925">
        <f>VLOOKUP(A:A,[1]android_repos_all_metrics!B:K,5,FALSE)</f>
        <v>58</v>
      </c>
      <c r="AE925">
        <f>VLOOKUP(A:A,[1]android_repos_all_metrics!B:K,6,FALSE)</f>
        <v>2</v>
      </c>
      <c r="AF925">
        <f>VLOOKUP(A:A,[1]android_repos_all_metrics!B:K,7,FALSE)</f>
        <v>3612</v>
      </c>
      <c r="AG925">
        <f>VLOOKUP(A:A,[1]android_repos_all_metrics!B:K,8,FALSE)</f>
        <v>22</v>
      </c>
      <c r="AH925">
        <f>VLOOKUP(A:A,[1]android_repos_all_metrics!B:K,9,FALSE)</f>
        <v>127</v>
      </c>
      <c r="AI925">
        <f>VLOOKUP(A:A,[1]android_repos_all_metrics!B:K,10,FALSE)</f>
        <v>6</v>
      </c>
    </row>
    <row r="926" spans="1:35">
      <c r="A926" t="s">
        <v>988</v>
      </c>
      <c r="B926" t="b">
        <v>0</v>
      </c>
      <c r="C926" t="b">
        <v>0</v>
      </c>
      <c r="D926" t="b">
        <v>0</v>
      </c>
      <c r="F926" t="b">
        <v>0</v>
      </c>
      <c r="H926" t="s">
        <v>41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>
        <v>1</v>
      </c>
      <c r="AB926">
        <v>0</v>
      </c>
      <c r="AC926">
        <f>VLOOKUP(A:A,[1]android_repos_all_metrics!B:K,4,FALSE)</f>
        <v>27</v>
      </c>
      <c r="AD926">
        <f>VLOOKUP(A:A,[1]android_repos_all_metrics!B:K,5,FALSE)</f>
        <v>0</v>
      </c>
      <c r="AE926">
        <f>VLOOKUP(A:A,[1]android_repos_all_metrics!B:K,6,FALSE)</f>
        <v>1</v>
      </c>
      <c r="AF926">
        <f>VLOOKUP(A:A,[1]android_repos_all_metrics!B:K,7,FALSE)</f>
        <v>10508</v>
      </c>
      <c r="AG926">
        <f>VLOOKUP(A:A,[1]android_repos_all_metrics!B:K,8,FALSE)</f>
        <v>24</v>
      </c>
      <c r="AH926">
        <f>VLOOKUP(A:A,[1]android_repos_all_metrics!B:K,9,FALSE)</f>
        <v>106</v>
      </c>
      <c r="AI926">
        <f>VLOOKUP(A:A,[1]android_repos_all_metrics!B:K,10,FALSE)</f>
        <v>1</v>
      </c>
    </row>
    <row r="927" spans="1:35">
      <c r="A927" t="s">
        <v>989</v>
      </c>
      <c r="B927" t="b">
        <v>1</v>
      </c>
      <c r="C927" t="b">
        <v>0</v>
      </c>
      <c r="D927" t="b">
        <v>0</v>
      </c>
      <c r="F927" t="b">
        <v>0</v>
      </c>
      <c r="H927" t="s">
        <v>41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>
        <v>1</v>
      </c>
      <c r="AB927">
        <v>0</v>
      </c>
      <c r="AC927">
        <f>VLOOKUP(A:A,[1]android_repos_all_metrics!B:K,4,FALSE)</f>
        <v>196</v>
      </c>
      <c r="AD927">
        <f>VLOOKUP(A:A,[1]android_repos_all_metrics!B:K,5,FALSE)</f>
        <v>35</v>
      </c>
      <c r="AE927">
        <f>VLOOKUP(A:A,[1]android_repos_all_metrics!B:K,6,FALSE)</f>
        <v>2</v>
      </c>
      <c r="AF927">
        <f>VLOOKUP(A:A,[1]android_repos_all_metrics!B:K,7,FALSE)</f>
        <v>636</v>
      </c>
      <c r="AG927">
        <f>VLOOKUP(A:A,[1]android_repos_all_metrics!B:K,8,FALSE)</f>
        <v>1</v>
      </c>
      <c r="AH927">
        <f>VLOOKUP(A:A,[1]android_repos_all_metrics!B:K,9,FALSE)</f>
        <v>7</v>
      </c>
      <c r="AI927">
        <f>VLOOKUP(A:A,[1]android_repos_all_metrics!B:K,10,FALSE)</f>
        <v>3</v>
      </c>
    </row>
    <row r="928" spans="1:35">
      <c r="A928" t="s">
        <v>990</v>
      </c>
      <c r="B928" t="b">
        <v>1</v>
      </c>
      <c r="C928" t="b">
        <v>0</v>
      </c>
      <c r="D928" t="b">
        <v>0</v>
      </c>
      <c r="F928" t="b">
        <v>0</v>
      </c>
      <c r="H928" t="s">
        <v>37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>
        <v>2</v>
      </c>
      <c r="AB928">
        <v>0</v>
      </c>
      <c r="AC928">
        <f>VLOOKUP(A:A,[1]android_repos_all_metrics!B:K,4,FALSE)</f>
        <v>95</v>
      </c>
      <c r="AD928">
        <f>VLOOKUP(A:A,[1]android_repos_all_metrics!B:K,5,FALSE)</f>
        <v>41</v>
      </c>
      <c r="AE928">
        <f>VLOOKUP(A:A,[1]android_repos_all_metrics!B:K,6,FALSE)</f>
        <v>18</v>
      </c>
      <c r="AF928">
        <f>VLOOKUP(A:A,[1]android_repos_all_metrics!B:K,7,FALSE)</f>
        <v>1494</v>
      </c>
      <c r="AG928">
        <f>VLOOKUP(A:A,[1]android_repos_all_metrics!B:K,8,FALSE)</f>
        <v>19</v>
      </c>
      <c r="AH928">
        <f>VLOOKUP(A:A,[1]android_repos_all_metrics!B:K,9,FALSE)</f>
        <v>14</v>
      </c>
      <c r="AI928">
        <f>VLOOKUP(A:A,[1]android_repos_all_metrics!B:K,10,FALSE)</f>
        <v>8</v>
      </c>
    </row>
    <row r="929" spans="1:35">
      <c r="A929" t="s">
        <v>991</v>
      </c>
      <c r="B929" t="b">
        <v>1</v>
      </c>
      <c r="C929" t="b">
        <v>0</v>
      </c>
      <c r="D929" t="b">
        <v>0</v>
      </c>
      <c r="F929" t="b">
        <v>0</v>
      </c>
      <c r="H929" t="s">
        <v>37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>
        <v>1</v>
      </c>
      <c r="AB929">
        <v>0</v>
      </c>
      <c r="AC929">
        <f>VLOOKUP(A:A,[1]android_repos_all_metrics!B:K,4,FALSE)</f>
        <v>83</v>
      </c>
      <c r="AD929">
        <f>VLOOKUP(A:A,[1]android_repos_all_metrics!B:K,5,FALSE)</f>
        <v>4</v>
      </c>
      <c r="AE929">
        <f>VLOOKUP(A:A,[1]android_repos_all_metrics!B:K,6,FALSE)</f>
        <v>2</v>
      </c>
      <c r="AF929">
        <f>VLOOKUP(A:A,[1]android_repos_all_metrics!B:K,7,FALSE)</f>
        <v>900</v>
      </c>
      <c r="AG929">
        <f>VLOOKUP(A:A,[1]android_repos_all_metrics!B:K,8,FALSE)</f>
        <v>0</v>
      </c>
      <c r="AH929">
        <f>VLOOKUP(A:A,[1]android_repos_all_metrics!B:K,9,FALSE)</f>
        <v>2</v>
      </c>
      <c r="AI929">
        <f>VLOOKUP(A:A,[1]android_repos_all_metrics!B:K,10,FALSE)</f>
        <v>0</v>
      </c>
    </row>
    <row r="930" spans="1:35">
      <c r="A930" t="s">
        <v>992</v>
      </c>
      <c r="B930" t="b">
        <v>1</v>
      </c>
      <c r="C930" t="b">
        <v>0</v>
      </c>
      <c r="D930" t="b">
        <v>0</v>
      </c>
      <c r="F930" t="b">
        <v>0</v>
      </c>
      <c r="H930" t="s">
        <v>37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>
        <v>3</v>
      </c>
      <c r="AB930">
        <v>0</v>
      </c>
      <c r="AC930">
        <f>VLOOKUP(A:A,[1]android_repos_all_metrics!B:K,4,FALSE)</f>
        <v>221</v>
      </c>
      <c r="AD930">
        <f>VLOOKUP(A:A,[1]android_repos_all_metrics!B:K,5,FALSE)</f>
        <v>10</v>
      </c>
      <c r="AE930">
        <f>VLOOKUP(A:A,[1]android_repos_all_metrics!B:K,6,FALSE)</f>
        <v>4</v>
      </c>
      <c r="AF930">
        <f>VLOOKUP(A:A,[1]android_repos_all_metrics!B:K,7,FALSE)</f>
        <v>19631</v>
      </c>
      <c r="AG930">
        <f>VLOOKUP(A:A,[1]android_repos_all_metrics!B:K,8,FALSE)</f>
        <v>56</v>
      </c>
      <c r="AH930">
        <f>VLOOKUP(A:A,[1]android_repos_all_metrics!B:K,9,FALSE)</f>
        <v>680</v>
      </c>
      <c r="AI930">
        <f>VLOOKUP(A:A,[1]android_repos_all_metrics!B:K,10,FALSE)</f>
        <v>1</v>
      </c>
    </row>
    <row r="931" spans="1:35">
      <c r="A931" t="s">
        <v>993</v>
      </c>
      <c r="B931" t="b">
        <v>0</v>
      </c>
      <c r="C931" t="b">
        <v>0</v>
      </c>
      <c r="D931" t="b">
        <v>0</v>
      </c>
      <c r="F931" t="b">
        <v>0</v>
      </c>
      <c r="H931" t="s">
        <v>41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>
        <v>1</v>
      </c>
      <c r="AB931">
        <v>0</v>
      </c>
      <c r="AC931">
        <f>VLOOKUP(A:A,[1]android_repos_all_metrics!B:K,4,FALSE)</f>
        <v>98</v>
      </c>
      <c r="AD931">
        <f>VLOOKUP(A:A,[1]android_repos_all_metrics!B:K,5,FALSE)</f>
        <v>3</v>
      </c>
      <c r="AE931">
        <f>VLOOKUP(A:A,[1]android_repos_all_metrics!B:K,6,FALSE)</f>
        <v>1</v>
      </c>
      <c r="AF931">
        <f>VLOOKUP(A:A,[1]android_repos_all_metrics!B:K,7,FALSE)</f>
        <v>410</v>
      </c>
      <c r="AG931">
        <f>VLOOKUP(A:A,[1]android_repos_all_metrics!B:K,8,FALSE)</f>
        <v>1</v>
      </c>
      <c r="AH931">
        <f>VLOOKUP(A:A,[1]android_repos_all_metrics!B:K,9,FALSE)</f>
        <v>3</v>
      </c>
      <c r="AI931">
        <f>VLOOKUP(A:A,[1]android_repos_all_metrics!B:K,10,FALSE)</f>
        <v>2</v>
      </c>
    </row>
    <row r="932" spans="1:35">
      <c r="A932" t="s">
        <v>994</v>
      </c>
      <c r="B932" t="b">
        <v>1</v>
      </c>
      <c r="C932" t="b">
        <v>0</v>
      </c>
      <c r="D932" t="b">
        <v>0</v>
      </c>
      <c r="F932" t="b">
        <v>0</v>
      </c>
      <c r="H932" t="s">
        <v>37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>
        <v>2</v>
      </c>
      <c r="AB932">
        <v>0</v>
      </c>
      <c r="AC932">
        <f>VLOOKUP(A:A,[1]android_repos_all_metrics!B:K,4,FALSE)</f>
        <v>656</v>
      </c>
      <c r="AD932">
        <f>VLOOKUP(A:A,[1]android_repos_all_metrics!B:K,5,FALSE)</f>
        <v>9</v>
      </c>
      <c r="AE932">
        <f>VLOOKUP(A:A,[1]android_repos_all_metrics!B:K,6,FALSE)</f>
        <v>6</v>
      </c>
      <c r="AF932">
        <f>VLOOKUP(A:A,[1]android_repos_all_metrics!B:K,7,FALSE)</f>
        <v>25631</v>
      </c>
      <c r="AG932">
        <f>VLOOKUP(A:A,[1]android_repos_all_metrics!B:K,8,FALSE)</f>
        <v>17</v>
      </c>
      <c r="AH932">
        <f>VLOOKUP(A:A,[1]android_repos_all_metrics!B:K,9,FALSE)</f>
        <v>296</v>
      </c>
      <c r="AI932">
        <f>VLOOKUP(A:A,[1]android_repos_all_metrics!B:K,10,FALSE)</f>
        <v>29</v>
      </c>
    </row>
    <row r="933" spans="1:35">
      <c r="A933" t="s">
        <v>995</v>
      </c>
      <c r="B933" t="b">
        <v>1</v>
      </c>
      <c r="C933" t="b">
        <v>0</v>
      </c>
      <c r="D933" t="b">
        <v>0</v>
      </c>
      <c r="F933" t="b">
        <v>0</v>
      </c>
      <c r="H933" t="s">
        <v>37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>
        <v>2</v>
      </c>
      <c r="AB933">
        <v>0</v>
      </c>
      <c r="AC933">
        <f>VLOOKUP(A:A,[1]android_repos_all_metrics!B:K,4,FALSE)</f>
        <v>109</v>
      </c>
      <c r="AD933">
        <f>VLOOKUP(A:A,[1]android_repos_all_metrics!B:K,5,FALSE)</f>
        <v>11</v>
      </c>
      <c r="AE933">
        <f>VLOOKUP(A:A,[1]android_repos_all_metrics!B:K,6,FALSE)</f>
        <v>11</v>
      </c>
      <c r="AF933">
        <f>VLOOKUP(A:A,[1]android_repos_all_metrics!B:K,7,FALSE)</f>
        <v>1240</v>
      </c>
      <c r="AG933">
        <f>VLOOKUP(A:A,[1]android_repos_all_metrics!B:K,8,FALSE)</f>
        <v>6</v>
      </c>
      <c r="AH933">
        <f>VLOOKUP(A:A,[1]android_repos_all_metrics!B:K,9,FALSE)</f>
        <v>133</v>
      </c>
      <c r="AI933">
        <f>VLOOKUP(A:A,[1]android_repos_all_metrics!B:K,10,FALSE)</f>
        <v>6</v>
      </c>
    </row>
    <row r="934" spans="1:35">
      <c r="A934" t="s">
        <v>996</v>
      </c>
      <c r="B934" t="b">
        <v>1</v>
      </c>
      <c r="C934" t="b">
        <v>0</v>
      </c>
      <c r="D934" t="b">
        <v>0</v>
      </c>
      <c r="F934" t="b">
        <v>0</v>
      </c>
      <c r="H934" t="s">
        <v>41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>
        <v>1</v>
      </c>
      <c r="AB934">
        <v>0</v>
      </c>
      <c r="AC934">
        <f>VLOOKUP(A:A,[1]android_repos_all_metrics!B:K,4,FALSE)</f>
        <v>22</v>
      </c>
      <c r="AD934">
        <f>VLOOKUP(A:A,[1]android_repos_all_metrics!B:K,5,FALSE)</f>
        <v>33</v>
      </c>
      <c r="AE934">
        <f>VLOOKUP(A:A,[1]android_repos_all_metrics!B:K,6,FALSE)</f>
        <v>2</v>
      </c>
      <c r="AF934">
        <f>VLOOKUP(A:A,[1]android_repos_all_metrics!B:K,7,FALSE)</f>
        <v>303</v>
      </c>
      <c r="AG934">
        <f>VLOOKUP(A:A,[1]android_repos_all_metrics!B:K,8,FALSE)</f>
        <v>24</v>
      </c>
      <c r="AH934">
        <f>VLOOKUP(A:A,[1]android_repos_all_metrics!B:K,9,FALSE)</f>
        <v>58</v>
      </c>
      <c r="AI934">
        <f>VLOOKUP(A:A,[1]android_repos_all_metrics!B:K,10,FALSE)</f>
        <v>10</v>
      </c>
    </row>
    <row r="935" spans="1:35">
      <c r="A935" t="s">
        <v>997</v>
      </c>
      <c r="B935" t="b">
        <v>1</v>
      </c>
      <c r="C935" t="b">
        <v>0</v>
      </c>
      <c r="D935" t="b">
        <v>0</v>
      </c>
      <c r="F935" t="b">
        <v>0</v>
      </c>
      <c r="H935" t="s">
        <v>41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>
        <v>1</v>
      </c>
      <c r="AB935">
        <v>0</v>
      </c>
      <c r="AC935">
        <f>VLOOKUP(A:A,[1]android_repos_all_metrics!B:K,4,FALSE)</f>
        <v>403</v>
      </c>
      <c r="AD935">
        <f>VLOOKUP(A:A,[1]android_repos_all_metrics!B:K,5,FALSE)</f>
        <v>20</v>
      </c>
      <c r="AE935">
        <f>VLOOKUP(A:A,[1]android_repos_all_metrics!B:K,6,FALSE)</f>
        <v>1</v>
      </c>
      <c r="AF935">
        <f>VLOOKUP(A:A,[1]android_repos_all_metrics!B:K,7,FALSE)</f>
        <v>2585</v>
      </c>
      <c r="AG935">
        <f>VLOOKUP(A:A,[1]android_repos_all_metrics!B:K,8,FALSE)</f>
        <v>0</v>
      </c>
      <c r="AH935">
        <f>VLOOKUP(A:A,[1]android_repos_all_metrics!B:K,9,FALSE)</f>
        <v>1</v>
      </c>
      <c r="AI935">
        <f>VLOOKUP(A:A,[1]android_repos_all_metrics!B:K,10,FALSE)</f>
        <v>10</v>
      </c>
    </row>
    <row r="936" spans="1:35">
      <c r="A936" t="s">
        <v>998</v>
      </c>
      <c r="B936" t="b">
        <v>1</v>
      </c>
      <c r="C936" t="b">
        <v>0</v>
      </c>
      <c r="D936" t="b">
        <v>0</v>
      </c>
      <c r="F936" t="b">
        <v>0</v>
      </c>
      <c r="H936" t="s">
        <v>41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>
        <v>1</v>
      </c>
      <c r="AB936">
        <v>0</v>
      </c>
      <c r="AC936">
        <f>VLOOKUP(A:A,[1]android_repos_all_metrics!B:K,4,FALSE)</f>
        <v>1166</v>
      </c>
      <c r="AD936">
        <f>VLOOKUP(A:A,[1]android_repos_all_metrics!B:K,5,FALSE)</f>
        <v>174</v>
      </c>
      <c r="AE936">
        <f>VLOOKUP(A:A,[1]android_repos_all_metrics!B:K,6,FALSE)</f>
        <v>31</v>
      </c>
      <c r="AF936">
        <f>VLOOKUP(A:A,[1]android_repos_all_metrics!B:K,7,FALSE)</f>
        <v>32732</v>
      </c>
      <c r="AG936">
        <f>VLOOKUP(A:A,[1]android_repos_all_metrics!B:K,8,FALSE)</f>
        <v>166</v>
      </c>
      <c r="AH936">
        <f>VLOOKUP(A:A,[1]android_repos_all_metrics!B:K,9,FALSE)</f>
        <v>335</v>
      </c>
      <c r="AI936">
        <f>VLOOKUP(A:A,[1]android_repos_all_metrics!B:K,10,FALSE)</f>
        <v>82</v>
      </c>
    </row>
    <row r="937" spans="1:35">
      <c r="A937" t="s">
        <v>999</v>
      </c>
      <c r="B937" t="b">
        <v>1</v>
      </c>
      <c r="C937" t="b">
        <v>0</v>
      </c>
      <c r="D937" t="b">
        <v>0</v>
      </c>
      <c r="F937" t="b">
        <v>0</v>
      </c>
      <c r="H937" t="s">
        <v>37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>
        <v>2</v>
      </c>
      <c r="AB937">
        <v>0</v>
      </c>
      <c r="AC937">
        <f>VLOOKUP(A:A,[1]android_repos_all_metrics!B:K,4,FALSE)</f>
        <v>118</v>
      </c>
      <c r="AD937">
        <f>VLOOKUP(A:A,[1]android_repos_all_metrics!B:K,5,FALSE)</f>
        <v>1</v>
      </c>
      <c r="AE937">
        <f>VLOOKUP(A:A,[1]android_repos_all_metrics!B:K,6,FALSE)</f>
        <v>1</v>
      </c>
      <c r="AF937">
        <f>VLOOKUP(A:A,[1]android_repos_all_metrics!B:K,7,FALSE)</f>
        <v>1197</v>
      </c>
      <c r="AG937">
        <f>VLOOKUP(A:A,[1]android_repos_all_metrics!B:K,8,FALSE)</f>
        <v>5</v>
      </c>
      <c r="AH937">
        <f>VLOOKUP(A:A,[1]android_repos_all_metrics!B:K,9,FALSE)</f>
        <v>14</v>
      </c>
      <c r="AI937">
        <f>VLOOKUP(A:A,[1]android_repos_all_metrics!B:K,10,FALSE)</f>
        <v>0</v>
      </c>
    </row>
    <row r="938" spans="1:35">
      <c r="A938" t="s">
        <v>1000</v>
      </c>
      <c r="B938" t="b">
        <v>1</v>
      </c>
      <c r="C938" t="b">
        <v>1</v>
      </c>
      <c r="D938" t="b">
        <v>0</v>
      </c>
      <c r="F938" t="b">
        <v>1</v>
      </c>
      <c r="G938" t="s">
        <v>39</v>
      </c>
      <c r="H938" t="s">
        <v>41</v>
      </c>
      <c r="I938" t="s">
        <v>41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>
        <v>1</v>
      </c>
      <c r="AB938">
        <v>0</v>
      </c>
      <c r="AC938">
        <f>VLOOKUP(A:A,[1]android_repos_all_metrics!B:K,4,FALSE)</f>
        <v>1730</v>
      </c>
      <c r="AD938">
        <f>VLOOKUP(A:A,[1]android_repos_all_metrics!B:K,5,FALSE)</f>
        <v>340</v>
      </c>
      <c r="AE938">
        <f>VLOOKUP(A:A,[1]android_repos_all_metrics!B:K,6,FALSE)</f>
        <v>42</v>
      </c>
      <c r="AF938">
        <f>VLOOKUP(A:A,[1]android_repos_all_metrics!B:K,7,FALSE)</f>
        <v>20716</v>
      </c>
      <c r="AG938">
        <f>VLOOKUP(A:A,[1]android_repos_all_metrics!B:K,8,FALSE)</f>
        <v>532</v>
      </c>
      <c r="AH938">
        <f>VLOOKUP(A:A,[1]android_repos_all_metrics!B:K,9,FALSE)</f>
        <v>1182</v>
      </c>
      <c r="AI938">
        <f>VLOOKUP(A:A,[1]android_repos_all_metrics!B:K,10,FALSE)</f>
        <v>165</v>
      </c>
    </row>
    <row r="939" spans="1:35">
      <c r="A939" t="s">
        <v>1001</v>
      </c>
      <c r="B939" t="b">
        <v>1</v>
      </c>
      <c r="C939" t="b">
        <v>1</v>
      </c>
      <c r="D939" t="b">
        <v>0</v>
      </c>
      <c r="F939" t="b">
        <v>1</v>
      </c>
      <c r="G939" t="s">
        <v>39</v>
      </c>
      <c r="H939" t="s">
        <v>41</v>
      </c>
      <c r="I939" t="s">
        <v>41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>
        <v>1</v>
      </c>
      <c r="AB939">
        <v>0</v>
      </c>
      <c r="AC939">
        <f>VLOOKUP(A:A,[1]android_repos_all_metrics!B:K,4,FALSE)</f>
        <v>64</v>
      </c>
      <c r="AD939">
        <f>VLOOKUP(A:A,[1]android_repos_all_metrics!B:K,5,FALSE)</f>
        <v>0</v>
      </c>
      <c r="AE939">
        <f>VLOOKUP(A:A,[1]android_repos_all_metrics!B:K,6,FALSE)</f>
        <v>1</v>
      </c>
      <c r="AF939">
        <f>VLOOKUP(A:A,[1]android_repos_all_metrics!B:K,7,FALSE)</f>
        <v>9360</v>
      </c>
      <c r="AG939">
        <f>VLOOKUP(A:A,[1]android_repos_all_metrics!B:K,8,FALSE)</f>
        <v>2</v>
      </c>
      <c r="AH939">
        <f>VLOOKUP(A:A,[1]android_repos_all_metrics!B:K,9,FALSE)</f>
        <v>3</v>
      </c>
      <c r="AI939">
        <f>VLOOKUP(A:A,[1]android_repos_all_metrics!B:K,10,FALSE)</f>
        <v>0</v>
      </c>
    </row>
    <row r="940" spans="1:35">
      <c r="A940" t="s">
        <v>1002</v>
      </c>
      <c r="B940" t="b">
        <v>1</v>
      </c>
      <c r="C940" t="b">
        <v>0</v>
      </c>
      <c r="D940" t="b">
        <v>0</v>
      </c>
      <c r="F940" t="b">
        <v>0</v>
      </c>
      <c r="H940" t="s">
        <v>37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>
        <v>1</v>
      </c>
      <c r="AB940">
        <v>0</v>
      </c>
      <c r="AC940">
        <f>VLOOKUP(A:A,[1]android_repos_all_metrics!B:K,4,FALSE)</f>
        <v>2046</v>
      </c>
      <c r="AD940">
        <f>VLOOKUP(A:A,[1]android_repos_all_metrics!B:K,5,FALSE)</f>
        <v>48</v>
      </c>
      <c r="AE940">
        <f>VLOOKUP(A:A,[1]android_repos_all_metrics!B:K,6,FALSE)</f>
        <v>10</v>
      </c>
      <c r="AF940">
        <f>VLOOKUP(A:A,[1]android_repos_all_metrics!B:K,7,FALSE)</f>
        <v>14650</v>
      </c>
      <c r="AG940">
        <f>VLOOKUP(A:A,[1]android_repos_all_metrics!B:K,8,FALSE)</f>
        <v>67</v>
      </c>
      <c r="AH940">
        <f>VLOOKUP(A:A,[1]android_repos_all_metrics!B:K,9,FALSE)</f>
        <v>206</v>
      </c>
      <c r="AI940">
        <f>VLOOKUP(A:A,[1]android_repos_all_metrics!B:K,10,FALSE)</f>
        <v>68</v>
      </c>
    </row>
    <row r="941" spans="1:35">
      <c r="A941" t="s">
        <v>1003</v>
      </c>
      <c r="B941" t="b">
        <v>0</v>
      </c>
      <c r="C941" t="b">
        <v>0</v>
      </c>
      <c r="D941" t="b">
        <v>0</v>
      </c>
      <c r="F941" t="b">
        <v>0</v>
      </c>
      <c r="H941" t="s">
        <v>41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>
        <v>1</v>
      </c>
      <c r="AB941">
        <v>0</v>
      </c>
      <c r="AC941">
        <f>VLOOKUP(A:A,[1]android_repos_all_metrics!B:K,4,FALSE)</f>
        <v>129</v>
      </c>
      <c r="AD941">
        <f>VLOOKUP(A:A,[1]android_repos_all_metrics!B:K,5,FALSE)</f>
        <v>0</v>
      </c>
      <c r="AE941">
        <f>VLOOKUP(A:A,[1]android_repos_all_metrics!B:K,6,FALSE)</f>
        <v>8</v>
      </c>
      <c r="AF941">
        <f>VLOOKUP(A:A,[1]android_repos_all_metrics!B:K,7,FALSE)</f>
        <v>132795</v>
      </c>
      <c r="AG941">
        <f>VLOOKUP(A:A,[1]android_repos_all_metrics!B:K,8,FALSE)</f>
        <v>0</v>
      </c>
      <c r="AH941">
        <f>VLOOKUP(A:A,[1]android_repos_all_metrics!B:K,9,FALSE)</f>
        <v>2</v>
      </c>
      <c r="AI941">
        <f>VLOOKUP(A:A,[1]android_repos_all_metrics!B:K,10,FALSE)</f>
        <v>0</v>
      </c>
    </row>
    <row r="942" spans="1:35">
      <c r="A942" t="s">
        <v>1004</v>
      </c>
      <c r="B942" t="b">
        <v>1</v>
      </c>
      <c r="C942" t="b">
        <v>0</v>
      </c>
      <c r="D942" t="b">
        <v>0</v>
      </c>
      <c r="F942" t="b">
        <v>0</v>
      </c>
      <c r="H942" t="s">
        <v>37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>
        <v>1</v>
      </c>
      <c r="AB942">
        <v>0</v>
      </c>
      <c r="AC942">
        <f>VLOOKUP(A:A,[1]android_repos_all_metrics!B:K,4,FALSE)</f>
        <v>50</v>
      </c>
      <c r="AD942">
        <f>VLOOKUP(A:A,[1]android_repos_all_metrics!B:K,5,FALSE)</f>
        <v>8</v>
      </c>
      <c r="AE942">
        <f>VLOOKUP(A:A,[1]android_repos_all_metrics!B:K,6,FALSE)</f>
        <v>1</v>
      </c>
      <c r="AF942">
        <f>VLOOKUP(A:A,[1]android_repos_all_metrics!B:K,7,FALSE)</f>
        <v>15251</v>
      </c>
      <c r="AG942">
        <f>VLOOKUP(A:A,[1]android_repos_all_metrics!B:K,8,FALSE)</f>
        <v>7</v>
      </c>
      <c r="AH942">
        <f>VLOOKUP(A:A,[1]android_repos_all_metrics!B:K,9,FALSE)</f>
        <v>11</v>
      </c>
      <c r="AI942">
        <f>VLOOKUP(A:A,[1]android_repos_all_metrics!B:K,10,FALSE)</f>
        <v>0</v>
      </c>
    </row>
    <row r="943" spans="1:35">
      <c r="A943" t="s">
        <v>1005</v>
      </c>
      <c r="B943" t="b">
        <v>1</v>
      </c>
      <c r="C943" t="b">
        <v>0</v>
      </c>
      <c r="D943" t="b">
        <v>0</v>
      </c>
      <c r="F943" t="b">
        <v>0</v>
      </c>
      <c r="H943" t="s">
        <v>37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>
        <v>9</v>
      </c>
      <c r="AB943">
        <v>0</v>
      </c>
      <c r="AC943">
        <f>VLOOKUP(A:A,[1]android_repos_all_metrics!B:K,4,FALSE)</f>
        <v>54581</v>
      </c>
      <c r="AD943">
        <f>VLOOKUP(A:A,[1]android_repos_all_metrics!B:K,5,FALSE)</f>
        <v>33927</v>
      </c>
      <c r="AE943">
        <f>VLOOKUP(A:A,[1]android_repos_all_metrics!B:K,6,FALSE)</f>
        <v>462</v>
      </c>
      <c r="AF943">
        <f>VLOOKUP(A:A,[1]android_repos_all_metrics!B:K,7,FALSE)</f>
        <v>1317005</v>
      </c>
      <c r="AG943">
        <f>VLOOKUP(A:A,[1]android_repos_all_metrics!B:K,8,FALSE)</f>
        <v>12445</v>
      </c>
      <c r="AH943">
        <f>VLOOKUP(A:A,[1]android_repos_all_metrics!B:K,9,FALSE)</f>
        <v>62422</v>
      </c>
      <c r="AI943">
        <f>VLOOKUP(A:A,[1]android_repos_all_metrics!B:K,10,FALSE)</f>
        <v>9709</v>
      </c>
    </row>
    <row r="944" spans="1:35">
      <c r="A944" t="s">
        <v>1006</v>
      </c>
      <c r="B944" t="b">
        <v>0</v>
      </c>
      <c r="C944" t="b">
        <v>0</v>
      </c>
      <c r="D944" t="b">
        <v>0</v>
      </c>
      <c r="F944" t="b">
        <v>0</v>
      </c>
      <c r="H944" t="s">
        <v>41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>
        <v>1</v>
      </c>
      <c r="AB944">
        <v>0</v>
      </c>
      <c r="AC944">
        <f>VLOOKUP(A:A,[1]android_repos_all_metrics!B:K,4,FALSE)</f>
        <v>45</v>
      </c>
      <c r="AD944">
        <f>VLOOKUP(A:A,[1]android_repos_all_metrics!B:K,5,FALSE)</f>
        <v>3</v>
      </c>
      <c r="AE944">
        <f>VLOOKUP(A:A,[1]android_repos_all_metrics!B:K,6,FALSE)</f>
        <v>3</v>
      </c>
      <c r="AF944">
        <f>VLOOKUP(A:A,[1]android_repos_all_metrics!B:K,7,FALSE)</f>
        <v>775</v>
      </c>
      <c r="AG944">
        <f>VLOOKUP(A:A,[1]android_repos_all_metrics!B:K,8,FALSE)</f>
        <v>7</v>
      </c>
      <c r="AH944">
        <f>VLOOKUP(A:A,[1]android_repos_all_metrics!B:K,9,FALSE)</f>
        <v>21</v>
      </c>
      <c r="AI944">
        <f>VLOOKUP(A:A,[1]android_repos_all_metrics!B:K,10,FALSE)</f>
        <v>0</v>
      </c>
    </row>
    <row r="945" spans="1:35">
      <c r="A945" t="s">
        <v>1007</v>
      </c>
      <c r="B945" t="b">
        <v>1</v>
      </c>
      <c r="C945" t="b">
        <v>0</v>
      </c>
      <c r="D945" t="b">
        <v>0</v>
      </c>
      <c r="F945" t="b">
        <v>0</v>
      </c>
      <c r="H945" t="s">
        <v>37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>
        <v>1</v>
      </c>
      <c r="AB945">
        <v>0</v>
      </c>
      <c r="AC945">
        <f>VLOOKUP(A:A,[1]android_repos_all_metrics!B:K,4,FALSE)</f>
        <v>30</v>
      </c>
      <c r="AD945">
        <f>VLOOKUP(A:A,[1]android_repos_all_metrics!B:K,5,FALSE)</f>
        <v>1</v>
      </c>
      <c r="AE945">
        <f>VLOOKUP(A:A,[1]android_repos_all_metrics!B:K,6,FALSE)</f>
        <v>1</v>
      </c>
      <c r="AF945">
        <f>VLOOKUP(A:A,[1]android_repos_all_metrics!B:K,7,FALSE)</f>
        <v>41180</v>
      </c>
      <c r="AG945">
        <f>VLOOKUP(A:A,[1]android_repos_all_metrics!B:K,8,FALSE)</f>
        <v>0</v>
      </c>
      <c r="AH945">
        <f>VLOOKUP(A:A,[1]android_repos_all_metrics!B:K,9,FALSE)</f>
        <v>2</v>
      </c>
      <c r="AI945">
        <f>VLOOKUP(A:A,[1]android_repos_all_metrics!B:K,10,FALSE)</f>
        <v>0</v>
      </c>
    </row>
    <row r="946" spans="1:35">
      <c r="A946" t="s">
        <v>1008</v>
      </c>
      <c r="B946" t="b">
        <v>1</v>
      </c>
      <c r="C946" t="b">
        <v>1</v>
      </c>
      <c r="D946" t="b">
        <v>1</v>
      </c>
      <c r="E946" t="s">
        <v>1009</v>
      </c>
      <c r="F946" t="b">
        <v>0</v>
      </c>
      <c r="H946" t="s">
        <v>37</v>
      </c>
      <c r="I946" t="s">
        <v>37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>
        <v>4</v>
      </c>
      <c r="AB946">
        <v>0</v>
      </c>
      <c r="AC946">
        <f>VLOOKUP(A:A,[1]android_repos_all_metrics!B:K,4,FALSE)</f>
        <v>328</v>
      </c>
      <c r="AD946">
        <f>VLOOKUP(A:A,[1]android_repos_all_metrics!B:K,5,FALSE)</f>
        <v>97</v>
      </c>
      <c r="AE946">
        <f>VLOOKUP(A:A,[1]android_repos_all_metrics!B:K,6,FALSE)</f>
        <v>13</v>
      </c>
      <c r="AF946">
        <f>VLOOKUP(A:A,[1]android_repos_all_metrics!B:K,7,FALSE)</f>
        <v>4468</v>
      </c>
      <c r="AG946">
        <f>VLOOKUP(A:A,[1]android_repos_all_metrics!B:K,8,FALSE)</f>
        <v>64</v>
      </c>
      <c r="AH946">
        <f>VLOOKUP(A:A,[1]android_repos_all_metrics!B:K,9,FALSE)</f>
        <v>262</v>
      </c>
      <c r="AI946">
        <f>VLOOKUP(A:A,[1]android_repos_all_metrics!B:K,10,FALSE)</f>
        <v>39</v>
      </c>
    </row>
    <row r="947" spans="1:35">
      <c r="A947" t="s">
        <v>1010</v>
      </c>
      <c r="B947" t="b">
        <v>0</v>
      </c>
      <c r="C947" t="b">
        <v>0</v>
      </c>
      <c r="D947" t="b">
        <v>0</v>
      </c>
      <c r="F947" t="b">
        <v>0</v>
      </c>
      <c r="H947" t="s">
        <v>41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>
        <v>1</v>
      </c>
      <c r="AB947">
        <v>0</v>
      </c>
      <c r="AC947">
        <f>VLOOKUP(A:A,[1]android_repos_all_metrics!B:K,4,FALSE)</f>
        <v>799</v>
      </c>
      <c r="AD947">
        <f>VLOOKUP(A:A,[1]android_repos_all_metrics!B:K,5,FALSE)</f>
        <v>21</v>
      </c>
      <c r="AE947">
        <f>VLOOKUP(A:A,[1]android_repos_all_metrics!B:K,6,FALSE)</f>
        <v>40</v>
      </c>
      <c r="AF947">
        <f>VLOOKUP(A:A,[1]android_repos_all_metrics!B:K,7,FALSE)</f>
        <v>7975</v>
      </c>
      <c r="AG947">
        <f>VLOOKUP(A:A,[1]android_repos_all_metrics!B:K,8,FALSE)</f>
        <v>96</v>
      </c>
      <c r="AH947">
        <f>VLOOKUP(A:A,[1]android_repos_all_metrics!B:K,9,FALSE)</f>
        <v>230</v>
      </c>
      <c r="AI947">
        <f>VLOOKUP(A:A,[1]android_repos_all_metrics!B:K,10,FALSE)</f>
        <v>46</v>
      </c>
    </row>
    <row r="948" spans="1:35">
      <c r="A948" t="s">
        <v>1011</v>
      </c>
      <c r="B948" t="b">
        <v>1</v>
      </c>
      <c r="C948" t="b">
        <v>0</v>
      </c>
      <c r="D948" t="b">
        <v>0</v>
      </c>
      <c r="F948" t="b">
        <v>0</v>
      </c>
      <c r="H948" t="s">
        <v>37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>
        <v>1</v>
      </c>
      <c r="AB948">
        <v>0</v>
      </c>
      <c r="AC948">
        <f>VLOOKUP(A:A,[1]android_repos_all_metrics!B:K,4,FALSE)</f>
        <v>77</v>
      </c>
      <c r="AD948">
        <f>VLOOKUP(A:A,[1]android_repos_all_metrics!B:K,5,FALSE)</f>
        <v>8</v>
      </c>
      <c r="AE948">
        <f>VLOOKUP(A:A,[1]android_repos_all_metrics!B:K,6,FALSE)</f>
        <v>2</v>
      </c>
      <c r="AF948">
        <f>VLOOKUP(A:A,[1]android_repos_all_metrics!B:K,7,FALSE)</f>
        <v>181</v>
      </c>
      <c r="AG948">
        <f>VLOOKUP(A:A,[1]android_repos_all_metrics!B:K,8,FALSE)</f>
        <v>8</v>
      </c>
      <c r="AH948">
        <f>VLOOKUP(A:A,[1]android_repos_all_metrics!B:K,9,FALSE)</f>
        <v>9</v>
      </c>
      <c r="AI948">
        <f>VLOOKUP(A:A,[1]android_repos_all_metrics!B:K,10,FALSE)</f>
        <v>4</v>
      </c>
    </row>
    <row r="949" spans="1:35">
      <c r="A949" t="s">
        <v>1012</v>
      </c>
      <c r="B949" t="b">
        <v>1</v>
      </c>
      <c r="C949" t="b">
        <v>0</v>
      </c>
      <c r="D949" t="b">
        <v>0</v>
      </c>
      <c r="F949" t="b">
        <v>0</v>
      </c>
      <c r="H949" t="s">
        <v>37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>
        <v>1</v>
      </c>
      <c r="AB949">
        <v>0</v>
      </c>
      <c r="AC949">
        <f>VLOOKUP(A:A,[1]android_repos_all_metrics!B:K,4,FALSE)</f>
        <v>89</v>
      </c>
      <c r="AD949">
        <f>VLOOKUP(A:A,[1]android_repos_all_metrics!B:K,5,FALSE)</f>
        <v>26</v>
      </c>
      <c r="AE949">
        <f>VLOOKUP(A:A,[1]android_repos_all_metrics!B:K,6,FALSE)</f>
        <v>1</v>
      </c>
      <c r="AF949">
        <f>VLOOKUP(A:A,[1]android_repos_all_metrics!B:K,7,FALSE)</f>
        <v>25464</v>
      </c>
      <c r="AG949">
        <f>VLOOKUP(A:A,[1]android_repos_all_metrics!B:K,8,FALSE)</f>
        <v>4</v>
      </c>
      <c r="AH949">
        <f>VLOOKUP(A:A,[1]android_repos_all_metrics!B:K,9,FALSE)</f>
        <v>5</v>
      </c>
      <c r="AI949">
        <f>VLOOKUP(A:A,[1]android_repos_all_metrics!B:K,10,FALSE)</f>
        <v>13</v>
      </c>
    </row>
    <row r="950" spans="1:35">
      <c r="A950" t="s">
        <v>1013</v>
      </c>
      <c r="B950" t="b">
        <v>0</v>
      </c>
      <c r="C950" t="b">
        <v>0</v>
      </c>
      <c r="D950" t="b">
        <v>0</v>
      </c>
      <c r="F950" t="b">
        <v>0</v>
      </c>
      <c r="H950" t="s">
        <v>41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>
        <v>1</v>
      </c>
      <c r="AB950">
        <v>0</v>
      </c>
      <c r="AC950">
        <f>VLOOKUP(A:A,[1]android_repos_all_metrics!B:K,4,FALSE)</f>
        <v>46</v>
      </c>
      <c r="AD950">
        <f>VLOOKUP(A:A,[1]android_repos_all_metrics!B:K,5,FALSE)</f>
        <v>3</v>
      </c>
      <c r="AE950">
        <f>VLOOKUP(A:A,[1]android_repos_all_metrics!B:K,6,FALSE)</f>
        <v>3</v>
      </c>
      <c r="AF950">
        <f>VLOOKUP(A:A,[1]android_repos_all_metrics!B:K,7,FALSE)</f>
        <v>9178</v>
      </c>
      <c r="AG950">
        <f>VLOOKUP(A:A,[1]android_repos_all_metrics!B:K,8,FALSE)</f>
        <v>14</v>
      </c>
      <c r="AH950">
        <f>VLOOKUP(A:A,[1]android_repos_all_metrics!B:K,9,FALSE)</f>
        <v>26</v>
      </c>
      <c r="AI950">
        <f>VLOOKUP(A:A,[1]android_repos_all_metrics!B:K,10,FALSE)</f>
        <v>1</v>
      </c>
    </row>
    <row r="951" spans="1:35">
      <c r="A951" t="s">
        <v>1014</v>
      </c>
      <c r="B951" t="b">
        <v>1</v>
      </c>
      <c r="C951" t="b">
        <v>0</v>
      </c>
      <c r="D951" t="b">
        <v>0</v>
      </c>
      <c r="F951" t="b">
        <v>0</v>
      </c>
      <c r="H951" t="s">
        <v>37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>
        <v>2</v>
      </c>
      <c r="AB951">
        <v>0</v>
      </c>
      <c r="AC951">
        <f>VLOOKUP(A:A,[1]android_repos_all_metrics!B:K,4,FALSE)</f>
        <v>2788</v>
      </c>
      <c r="AD951">
        <f>VLOOKUP(A:A,[1]android_repos_all_metrics!B:K,5,FALSE)</f>
        <v>210</v>
      </c>
      <c r="AE951">
        <f>VLOOKUP(A:A,[1]android_repos_all_metrics!B:K,6,FALSE)</f>
        <v>115</v>
      </c>
      <c r="AF951">
        <f>VLOOKUP(A:A,[1]android_repos_all_metrics!B:K,7,FALSE)</f>
        <v>31815</v>
      </c>
      <c r="AG951">
        <f>VLOOKUP(A:A,[1]android_repos_all_metrics!B:K,8,FALSE)</f>
        <v>585</v>
      </c>
      <c r="AH951">
        <f>VLOOKUP(A:A,[1]android_repos_all_metrics!B:K,9,FALSE)</f>
        <v>1691</v>
      </c>
      <c r="AI951">
        <f>VLOOKUP(A:A,[1]android_repos_all_metrics!B:K,10,FALSE)</f>
        <v>144</v>
      </c>
    </row>
    <row r="952" spans="1:35">
      <c r="A952" t="s">
        <v>1015</v>
      </c>
      <c r="B952" t="b">
        <v>1</v>
      </c>
      <c r="C952" t="b">
        <v>0</v>
      </c>
      <c r="D952" t="b">
        <v>0</v>
      </c>
      <c r="F952" t="b">
        <v>0</v>
      </c>
      <c r="H952" t="s">
        <v>37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>
        <v>1</v>
      </c>
      <c r="AB952">
        <v>0</v>
      </c>
      <c r="AC952">
        <f>VLOOKUP(A:A,[1]android_repos_all_metrics!B:K,4,FALSE)</f>
        <v>15</v>
      </c>
      <c r="AD952">
        <f>VLOOKUP(A:A,[1]android_repos_all_metrics!B:K,5,FALSE)</f>
        <v>0</v>
      </c>
      <c r="AE952">
        <f>VLOOKUP(A:A,[1]android_repos_all_metrics!B:K,6,FALSE)</f>
        <v>3</v>
      </c>
      <c r="AF952">
        <f>VLOOKUP(A:A,[1]android_repos_all_metrics!B:K,7,FALSE)</f>
        <v>604</v>
      </c>
      <c r="AG952">
        <f>VLOOKUP(A:A,[1]android_repos_all_metrics!B:K,8,FALSE)</f>
        <v>1</v>
      </c>
      <c r="AH952">
        <f>VLOOKUP(A:A,[1]android_repos_all_metrics!B:K,9,FALSE)</f>
        <v>79</v>
      </c>
      <c r="AI952">
        <f>VLOOKUP(A:A,[1]android_repos_all_metrics!B:K,10,FALSE)</f>
        <v>1</v>
      </c>
    </row>
    <row r="953" spans="1:35">
      <c r="A953" t="s">
        <v>1016</v>
      </c>
      <c r="B953" t="b">
        <v>1</v>
      </c>
      <c r="C953" t="b">
        <v>0</v>
      </c>
      <c r="D953" t="b">
        <v>0</v>
      </c>
      <c r="F953" t="b">
        <v>0</v>
      </c>
      <c r="H953" t="s">
        <v>41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>
        <v>1</v>
      </c>
      <c r="AB953">
        <v>0</v>
      </c>
      <c r="AC953">
        <f>VLOOKUP(A:A,[1]android_repos_all_metrics!B:K,4,FALSE)</f>
        <v>116</v>
      </c>
      <c r="AD953">
        <f>VLOOKUP(A:A,[1]android_repos_all_metrics!B:K,5,FALSE)</f>
        <v>0</v>
      </c>
      <c r="AE953">
        <f>VLOOKUP(A:A,[1]android_repos_all_metrics!B:K,6,FALSE)</f>
        <v>1</v>
      </c>
      <c r="AF953">
        <f>VLOOKUP(A:A,[1]android_repos_all_metrics!B:K,7,FALSE)</f>
        <v>13704</v>
      </c>
      <c r="AG953">
        <f>VLOOKUP(A:A,[1]android_repos_all_metrics!B:K,8,FALSE)</f>
        <v>130</v>
      </c>
      <c r="AH953">
        <f>VLOOKUP(A:A,[1]android_repos_all_metrics!B:K,9,FALSE)</f>
        <v>456</v>
      </c>
      <c r="AI953">
        <f>VLOOKUP(A:A,[1]android_repos_all_metrics!B:K,10,FALSE)</f>
        <v>1</v>
      </c>
    </row>
    <row r="954" spans="1:35">
      <c r="A954" t="s">
        <v>1017</v>
      </c>
      <c r="B954" t="b">
        <v>1</v>
      </c>
      <c r="C954" t="b">
        <v>0</v>
      </c>
      <c r="D954" t="b">
        <v>0</v>
      </c>
      <c r="F954" t="b">
        <v>0</v>
      </c>
      <c r="H954" t="s">
        <v>37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>
        <v>2</v>
      </c>
      <c r="AB954">
        <v>0</v>
      </c>
      <c r="AC954">
        <f>VLOOKUP(A:A,[1]android_repos_all_metrics!B:K,4,FALSE)</f>
        <v>41</v>
      </c>
      <c r="AD954">
        <f>VLOOKUP(A:A,[1]android_repos_all_metrics!B:K,5,FALSE)</f>
        <v>20</v>
      </c>
      <c r="AE954">
        <f>VLOOKUP(A:A,[1]android_repos_all_metrics!B:K,6,FALSE)</f>
        <v>6</v>
      </c>
      <c r="AF954">
        <f>VLOOKUP(A:A,[1]android_repos_all_metrics!B:K,7,FALSE)</f>
        <v>5656</v>
      </c>
      <c r="AG954">
        <f>VLOOKUP(A:A,[1]android_repos_all_metrics!B:K,8,FALSE)</f>
        <v>1</v>
      </c>
      <c r="AH954">
        <f>VLOOKUP(A:A,[1]android_repos_all_metrics!B:K,9,FALSE)</f>
        <v>7</v>
      </c>
      <c r="AI954">
        <f>VLOOKUP(A:A,[1]android_repos_all_metrics!B:K,10,FALSE)</f>
        <v>3</v>
      </c>
    </row>
    <row r="955" spans="1:35">
      <c r="A955" t="s">
        <v>1018</v>
      </c>
      <c r="B955" t="b">
        <v>1</v>
      </c>
      <c r="C955" t="b">
        <v>0</v>
      </c>
      <c r="D955" t="b">
        <v>0</v>
      </c>
      <c r="F955" t="b">
        <v>0</v>
      </c>
      <c r="H955" t="s">
        <v>37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>
        <v>2</v>
      </c>
      <c r="AB955">
        <v>0</v>
      </c>
      <c r="AC955">
        <f>VLOOKUP(A:A,[1]android_repos_all_metrics!B:K,4,FALSE)</f>
        <v>252</v>
      </c>
      <c r="AD955">
        <f>VLOOKUP(A:A,[1]android_repos_all_metrics!B:K,5,FALSE)</f>
        <v>7</v>
      </c>
      <c r="AE955">
        <f>VLOOKUP(A:A,[1]android_repos_all_metrics!B:K,6,FALSE)</f>
        <v>4</v>
      </c>
      <c r="AF955">
        <f>VLOOKUP(A:A,[1]android_repos_all_metrics!B:K,7,FALSE)</f>
        <v>7003</v>
      </c>
      <c r="AG955">
        <f>VLOOKUP(A:A,[1]android_repos_all_metrics!B:K,8,FALSE)</f>
        <v>60</v>
      </c>
      <c r="AH955">
        <f>VLOOKUP(A:A,[1]android_repos_all_metrics!B:K,9,FALSE)</f>
        <v>169</v>
      </c>
      <c r="AI955">
        <f>VLOOKUP(A:A,[1]android_repos_all_metrics!B:K,10,FALSE)</f>
        <v>8</v>
      </c>
    </row>
    <row r="956" spans="1:35">
      <c r="A956" t="s">
        <v>1019</v>
      </c>
      <c r="B956" t="b">
        <v>1</v>
      </c>
      <c r="C956" t="b">
        <v>0</v>
      </c>
      <c r="D956" t="b">
        <v>0</v>
      </c>
      <c r="F956" t="b">
        <v>0</v>
      </c>
      <c r="H956" t="s">
        <v>40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>
        <v>2</v>
      </c>
      <c r="AB956">
        <v>0</v>
      </c>
      <c r="AC956">
        <f>VLOOKUP(A:A,[1]android_repos_all_metrics!B:K,4,FALSE)</f>
        <v>1565</v>
      </c>
      <c r="AD956">
        <f>VLOOKUP(A:A,[1]android_repos_all_metrics!B:K,5,FALSE)</f>
        <v>11</v>
      </c>
      <c r="AE956">
        <f>VLOOKUP(A:A,[1]android_repos_all_metrics!B:K,6,FALSE)</f>
        <v>16</v>
      </c>
      <c r="AF956">
        <f>VLOOKUP(A:A,[1]android_repos_all_metrics!B:K,7,FALSE)</f>
        <v>24567</v>
      </c>
      <c r="AG956">
        <f>VLOOKUP(A:A,[1]android_repos_all_metrics!B:K,8,FALSE)</f>
        <v>66</v>
      </c>
      <c r="AH956">
        <f>VLOOKUP(A:A,[1]android_repos_all_metrics!B:K,9,FALSE)</f>
        <v>134</v>
      </c>
      <c r="AI956">
        <f>VLOOKUP(A:A,[1]android_repos_all_metrics!B:K,10,FALSE)</f>
        <v>44</v>
      </c>
    </row>
    <row r="957" spans="1:35">
      <c r="A957" t="s">
        <v>1020</v>
      </c>
      <c r="B957" t="b">
        <v>1</v>
      </c>
      <c r="C957" t="b">
        <v>1</v>
      </c>
      <c r="D957" t="b">
        <v>0</v>
      </c>
      <c r="F957" t="b">
        <v>1</v>
      </c>
      <c r="G957" t="s">
        <v>270</v>
      </c>
      <c r="H957" t="s">
        <v>308</v>
      </c>
      <c r="I957" t="s">
        <v>43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>
        <v>2</v>
      </c>
      <c r="AB957">
        <v>0</v>
      </c>
      <c r="AC957">
        <f>VLOOKUP(A:A,[1]android_repos_all_metrics!B:K,4,FALSE)</f>
        <v>241</v>
      </c>
      <c r="AD957">
        <f>VLOOKUP(A:A,[1]android_repos_all_metrics!B:K,5,FALSE)</f>
        <v>43</v>
      </c>
      <c r="AE957">
        <f>VLOOKUP(A:A,[1]android_repos_all_metrics!B:K,6,FALSE)</f>
        <v>1</v>
      </c>
      <c r="AF957">
        <f>VLOOKUP(A:A,[1]android_repos_all_metrics!B:K,7,FALSE)</f>
        <v>5736</v>
      </c>
      <c r="AG957">
        <f>VLOOKUP(A:A,[1]android_repos_all_metrics!B:K,8,FALSE)</f>
        <v>0</v>
      </c>
      <c r="AH957">
        <f>VLOOKUP(A:A,[1]android_repos_all_metrics!B:K,9,FALSE)</f>
        <v>2</v>
      </c>
      <c r="AI957">
        <f>VLOOKUP(A:A,[1]android_repos_all_metrics!B:K,10,FALSE)</f>
        <v>1</v>
      </c>
    </row>
    <row r="958" spans="1:35">
      <c r="A958" t="s">
        <v>1021</v>
      </c>
      <c r="B958" t="b">
        <v>1</v>
      </c>
      <c r="C958" t="b">
        <v>1</v>
      </c>
      <c r="D958" t="b">
        <v>1</v>
      </c>
      <c r="E958" t="s">
        <v>36</v>
      </c>
      <c r="F958" t="b">
        <v>0</v>
      </c>
      <c r="H958" t="s">
        <v>37</v>
      </c>
      <c r="I958" t="s">
        <v>37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  <c r="Z958">
        <v>1</v>
      </c>
      <c r="AA958">
        <v>4</v>
      </c>
      <c r="AB958">
        <v>0</v>
      </c>
      <c r="AC958">
        <f>VLOOKUP(A:A,[1]android_repos_all_metrics!B:K,4,FALSE)</f>
        <v>243</v>
      </c>
      <c r="AD958">
        <f>VLOOKUP(A:A,[1]android_repos_all_metrics!B:K,5,FALSE)</f>
        <v>110</v>
      </c>
      <c r="AE958">
        <f>VLOOKUP(A:A,[1]android_repos_all_metrics!B:K,6,FALSE)</f>
        <v>2</v>
      </c>
      <c r="AF958">
        <f>VLOOKUP(A:A,[1]android_repos_all_metrics!B:K,7,FALSE)</f>
        <v>9423</v>
      </c>
      <c r="AG958">
        <f>VLOOKUP(A:A,[1]android_repos_all_metrics!B:K,8,FALSE)</f>
        <v>2</v>
      </c>
      <c r="AH958">
        <f>VLOOKUP(A:A,[1]android_repos_all_metrics!B:K,9,FALSE)</f>
        <v>34</v>
      </c>
      <c r="AI958">
        <f>VLOOKUP(A:A,[1]android_repos_all_metrics!B:K,10,FALSE)</f>
        <v>11</v>
      </c>
    </row>
    <row r="959" spans="1:35">
      <c r="A959" t="s">
        <v>1022</v>
      </c>
      <c r="B959" t="b">
        <v>1</v>
      </c>
      <c r="C959" t="b">
        <v>0</v>
      </c>
      <c r="D959" t="b">
        <v>0</v>
      </c>
      <c r="F959" t="b">
        <v>0</v>
      </c>
      <c r="H959" t="s">
        <v>37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>
        <v>2</v>
      </c>
      <c r="AB959">
        <v>0</v>
      </c>
      <c r="AC959">
        <f>VLOOKUP(A:A,[1]android_repos_all_metrics!B:K,4,FALSE)</f>
        <v>137</v>
      </c>
      <c r="AD959">
        <f>VLOOKUP(A:A,[1]android_repos_all_metrics!B:K,5,FALSE)</f>
        <v>12</v>
      </c>
      <c r="AE959">
        <f>VLOOKUP(A:A,[1]android_repos_all_metrics!B:K,6,FALSE)</f>
        <v>13</v>
      </c>
      <c r="AF959">
        <f>VLOOKUP(A:A,[1]android_repos_all_metrics!B:K,7,FALSE)</f>
        <v>7054</v>
      </c>
      <c r="AG959">
        <f>VLOOKUP(A:A,[1]android_repos_all_metrics!B:K,8,FALSE)</f>
        <v>10</v>
      </c>
      <c r="AH959">
        <f>VLOOKUP(A:A,[1]android_repos_all_metrics!B:K,9,FALSE)</f>
        <v>132</v>
      </c>
      <c r="AI959">
        <f>VLOOKUP(A:A,[1]android_repos_all_metrics!B:K,10,FALSE)</f>
        <v>1</v>
      </c>
    </row>
    <row r="960" spans="1:35">
      <c r="A960" t="s">
        <v>1023</v>
      </c>
      <c r="B960" t="b">
        <v>1</v>
      </c>
      <c r="C960" t="b">
        <v>0</v>
      </c>
      <c r="D960" t="b">
        <v>0</v>
      </c>
      <c r="F960" t="b">
        <v>0</v>
      </c>
      <c r="H960" t="s">
        <v>37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>
        <v>2</v>
      </c>
      <c r="AB960">
        <v>0</v>
      </c>
      <c r="AC960">
        <f>VLOOKUP(A:A,[1]android_repos_all_metrics!B:K,4,FALSE)</f>
        <v>65</v>
      </c>
      <c r="AD960">
        <f>VLOOKUP(A:A,[1]android_repos_all_metrics!B:K,5,FALSE)</f>
        <v>0</v>
      </c>
      <c r="AE960">
        <f>VLOOKUP(A:A,[1]android_repos_all_metrics!B:K,6,FALSE)</f>
        <v>1</v>
      </c>
      <c r="AF960">
        <f>VLOOKUP(A:A,[1]android_repos_all_metrics!B:K,7,FALSE)</f>
        <v>2145</v>
      </c>
      <c r="AG960">
        <f>VLOOKUP(A:A,[1]android_repos_all_metrics!B:K,8,FALSE)</f>
        <v>0</v>
      </c>
      <c r="AH960">
        <f>VLOOKUP(A:A,[1]android_repos_all_metrics!B:K,9,FALSE)</f>
        <v>10</v>
      </c>
      <c r="AI960">
        <f>VLOOKUP(A:A,[1]android_repos_all_metrics!B:K,10,FALSE)</f>
        <v>0</v>
      </c>
    </row>
    <row r="961" spans="1:35">
      <c r="A961" t="s">
        <v>1024</v>
      </c>
      <c r="B961" t="b">
        <v>1</v>
      </c>
      <c r="C961" t="b">
        <v>0</v>
      </c>
      <c r="D961" t="b">
        <v>0</v>
      </c>
      <c r="F961" t="b">
        <v>0</v>
      </c>
      <c r="H961" t="s">
        <v>37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>
        <v>1</v>
      </c>
      <c r="AB961">
        <v>0</v>
      </c>
      <c r="AC961">
        <f>VLOOKUP(A:A,[1]android_repos_all_metrics!B:K,4,FALSE)</f>
        <v>4099</v>
      </c>
      <c r="AD961">
        <f>VLOOKUP(A:A,[1]android_repos_all_metrics!B:K,5,FALSE)</f>
        <v>224</v>
      </c>
      <c r="AE961">
        <f>VLOOKUP(A:A,[1]android_repos_all_metrics!B:K,6,FALSE)</f>
        <v>26</v>
      </c>
      <c r="AF961">
        <f>VLOOKUP(A:A,[1]android_repos_all_metrics!B:K,7,FALSE)</f>
        <v>42326</v>
      </c>
      <c r="AG961">
        <f>VLOOKUP(A:A,[1]android_repos_all_metrics!B:K,8,FALSE)</f>
        <v>60</v>
      </c>
      <c r="AH961">
        <f>VLOOKUP(A:A,[1]android_repos_all_metrics!B:K,9,FALSE)</f>
        <v>555</v>
      </c>
      <c r="AI961">
        <f>VLOOKUP(A:A,[1]android_repos_all_metrics!B:K,10,FALSE)</f>
        <v>49</v>
      </c>
    </row>
    <row r="962" spans="1:35">
      <c r="A962" t="s">
        <v>1025</v>
      </c>
      <c r="B962" t="b">
        <v>1</v>
      </c>
      <c r="C962" t="b">
        <v>1</v>
      </c>
      <c r="D962" t="b">
        <v>0</v>
      </c>
      <c r="F962" t="b">
        <v>1</v>
      </c>
      <c r="G962" t="s">
        <v>39</v>
      </c>
      <c r="H962" t="s">
        <v>41</v>
      </c>
      <c r="I962" t="s">
        <v>41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>
        <v>1</v>
      </c>
      <c r="AB962">
        <v>0</v>
      </c>
      <c r="AC962">
        <f>VLOOKUP(A:A,[1]android_repos_all_metrics!B:K,4,FALSE)</f>
        <v>356</v>
      </c>
      <c r="AD962">
        <f>VLOOKUP(A:A,[1]android_repos_all_metrics!B:K,5,FALSE)</f>
        <v>63</v>
      </c>
      <c r="AE962">
        <f>VLOOKUP(A:A,[1]android_repos_all_metrics!B:K,6,FALSE)</f>
        <v>7</v>
      </c>
      <c r="AF962">
        <f>VLOOKUP(A:A,[1]android_repos_all_metrics!B:K,7,FALSE)</f>
        <v>4781</v>
      </c>
      <c r="AG962">
        <f>VLOOKUP(A:A,[1]android_repos_all_metrics!B:K,8,FALSE)</f>
        <v>4</v>
      </c>
      <c r="AH962">
        <f>VLOOKUP(A:A,[1]android_repos_all_metrics!B:K,9,FALSE)</f>
        <v>2</v>
      </c>
      <c r="AI962">
        <f>VLOOKUP(A:A,[1]android_repos_all_metrics!B:K,10,FALSE)</f>
        <v>0</v>
      </c>
    </row>
    <row r="963" spans="1:35">
      <c r="A963" t="s">
        <v>1026</v>
      </c>
      <c r="B963" t="b">
        <v>0</v>
      </c>
      <c r="C963" t="b">
        <v>0</v>
      </c>
      <c r="D963" t="b">
        <v>0</v>
      </c>
      <c r="F963" t="b">
        <v>0</v>
      </c>
      <c r="H963" t="s">
        <v>41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>
        <v>1</v>
      </c>
      <c r="AB963">
        <v>0</v>
      </c>
      <c r="AC963">
        <f>VLOOKUP(A:A,[1]android_repos_all_metrics!B:K,4,FALSE)</f>
        <v>112</v>
      </c>
      <c r="AD963">
        <f>VLOOKUP(A:A,[1]android_repos_all_metrics!B:K,5,FALSE)</f>
        <v>9</v>
      </c>
      <c r="AE963">
        <f>VLOOKUP(A:A,[1]android_repos_all_metrics!B:K,6,FALSE)</f>
        <v>5</v>
      </c>
      <c r="AF963">
        <f>VLOOKUP(A:A,[1]android_repos_all_metrics!B:K,7,FALSE)</f>
        <v>14640</v>
      </c>
      <c r="AG963">
        <f>VLOOKUP(A:A,[1]android_repos_all_metrics!B:K,8,FALSE)</f>
        <v>3</v>
      </c>
      <c r="AH963">
        <f>VLOOKUP(A:A,[1]android_repos_all_metrics!B:K,9,FALSE)</f>
        <v>4</v>
      </c>
      <c r="AI963">
        <f>VLOOKUP(A:A,[1]android_repos_all_metrics!B:K,10,FALSE)</f>
        <v>0</v>
      </c>
    </row>
    <row r="964" spans="1:35">
      <c r="A964" t="s">
        <v>1027</v>
      </c>
      <c r="B964" t="b">
        <v>1</v>
      </c>
      <c r="C964" t="b">
        <v>0</v>
      </c>
      <c r="D964" t="b">
        <v>0</v>
      </c>
      <c r="F964" t="b">
        <v>0</v>
      </c>
      <c r="H964" t="s">
        <v>37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>
        <v>1</v>
      </c>
      <c r="AB964">
        <v>0</v>
      </c>
      <c r="AC964">
        <f>VLOOKUP(A:A,[1]android_repos_all_metrics!B:K,4,FALSE)</f>
        <v>933</v>
      </c>
      <c r="AD964">
        <f>VLOOKUP(A:A,[1]android_repos_all_metrics!B:K,5,FALSE)</f>
        <v>22</v>
      </c>
      <c r="AE964">
        <f>VLOOKUP(A:A,[1]android_repos_all_metrics!B:K,6,FALSE)</f>
        <v>8</v>
      </c>
      <c r="AF964">
        <f>VLOOKUP(A:A,[1]android_repos_all_metrics!B:K,7,FALSE)</f>
        <v>35970</v>
      </c>
      <c r="AG964">
        <f>VLOOKUP(A:A,[1]android_repos_all_metrics!B:K,8,FALSE)</f>
        <v>2435</v>
      </c>
      <c r="AH964">
        <f>VLOOKUP(A:A,[1]android_repos_all_metrics!B:K,9,FALSE)</f>
        <v>13821</v>
      </c>
      <c r="AI964">
        <f>VLOOKUP(A:A,[1]android_repos_all_metrics!B:K,10,FALSE)</f>
        <v>5</v>
      </c>
    </row>
    <row r="965" spans="1:35">
      <c r="A965" t="s">
        <v>1028</v>
      </c>
      <c r="B965" t="b">
        <v>0</v>
      </c>
      <c r="C965" t="b">
        <v>0</v>
      </c>
      <c r="D965" t="b">
        <v>0</v>
      </c>
      <c r="F965" t="b">
        <v>0</v>
      </c>
      <c r="H965" t="s">
        <v>41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>
        <v>1</v>
      </c>
      <c r="AB965">
        <v>0</v>
      </c>
      <c r="AC965">
        <f>VLOOKUP(A:A,[1]android_repos_all_metrics!B:K,4,FALSE)</f>
        <v>152</v>
      </c>
      <c r="AD965">
        <f>VLOOKUP(A:A,[1]android_repos_all_metrics!B:K,5,FALSE)</f>
        <v>2</v>
      </c>
      <c r="AE965">
        <f>VLOOKUP(A:A,[1]android_repos_all_metrics!B:K,6,FALSE)</f>
        <v>2</v>
      </c>
      <c r="AF965">
        <f>VLOOKUP(A:A,[1]android_repos_all_metrics!B:K,7,FALSE)</f>
        <v>3147</v>
      </c>
      <c r="AG965">
        <f>VLOOKUP(A:A,[1]android_repos_all_metrics!B:K,8,FALSE)</f>
        <v>99</v>
      </c>
      <c r="AH965">
        <f>VLOOKUP(A:A,[1]android_repos_all_metrics!B:K,9,FALSE)</f>
        <v>691</v>
      </c>
      <c r="AI965">
        <f>VLOOKUP(A:A,[1]android_repos_all_metrics!B:K,10,FALSE)</f>
        <v>13</v>
      </c>
    </row>
    <row r="966" spans="1:35">
      <c r="A966" t="s">
        <v>1029</v>
      </c>
      <c r="B966" t="b">
        <v>1</v>
      </c>
      <c r="C966" t="b">
        <v>0</v>
      </c>
      <c r="D966" t="b">
        <v>0</v>
      </c>
      <c r="F966" t="b">
        <v>0</v>
      </c>
      <c r="H966" t="s">
        <v>37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>
        <v>2</v>
      </c>
      <c r="AB966">
        <v>0</v>
      </c>
      <c r="AC966">
        <f>VLOOKUP(A:A,[1]android_repos_all_metrics!B:K,4,FALSE)</f>
        <v>1493</v>
      </c>
      <c r="AD966">
        <f>VLOOKUP(A:A,[1]android_repos_all_metrics!B:K,5,FALSE)</f>
        <v>56</v>
      </c>
      <c r="AE966">
        <f>VLOOKUP(A:A,[1]android_repos_all_metrics!B:K,6,FALSE)</f>
        <v>22</v>
      </c>
      <c r="AF966">
        <f>VLOOKUP(A:A,[1]android_repos_all_metrics!B:K,7,FALSE)</f>
        <v>333392</v>
      </c>
      <c r="AG966">
        <f>VLOOKUP(A:A,[1]android_repos_all_metrics!B:K,8,FALSE)</f>
        <v>4003</v>
      </c>
      <c r="AH966">
        <f>VLOOKUP(A:A,[1]android_repos_all_metrics!B:K,9,FALSE)</f>
        <v>18344</v>
      </c>
      <c r="AI966">
        <f>VLOOKUP(A:A,[1]android_repos_all_metrics!B:K,10,FALSE)</f>
        <v>18</v>
      </c>
    </row>
    <row r="967" spans="1:35">
      <c r="A967" t="s">
        <v>1030</v>
      </c>
      <c r="B967" t="b">
        <v>1</v>
      </c>
      <c r="C967" t="b">
        <v>0</v>
      </c>
      <c r="D967" t="b">
        <v>0</v>
      </c>
      <c r="F967" t="b">
        <v>0</v>
      </c>
      <c r="H967" t="s">
        <v>41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>
        <v>1</v>
      </c>
      <c r="AB967">
        <v>0</v>
      </c>
      <c r="AC967">
        <f>VLOOKUP(A:A,[1]android_repos_all_metrics!B:K,4,FALSE)</f>
        <v>261</v>
      </c>
      <c r="AD967">
        <f>VLOOKUP(A:A,[1]android_repos_all_metrics!B:K,5,FALSE)</f>
        <v>31</v>
      </c>
      <c r="AE967">
        <f>VLOOKUP(A:A,[1]android_repos_all_metrics!B:K,6,FALSE)</f>
        <v>4</v>
      </c>
      <c r="AF967">
        <f>VLOOKUP(A:A,[1]android_repos_all_metrics!B:K,7,FALSE)</f>
        <v>44494</v>
      </c>
      <c r="AG967">
        <f>VLOOKUP(A:A,[1]android_repos_all_metrics!B:K,8,FALSE)</f>
        <v>4</v>
      </c>
      <c r="AH967">
        <f>VLOOKUP(A:A,[1]android_repos_all_metrics!B:K,9,FALSE)</f>
        <v>9</v>
      </c>
      <c r="AI967">
        <f>VLOOKUP(A:A,[1]android_repos_all_metrics!B:K,10,FALSE)</f>
        <v>18</v>
      </c>
    </row>
    <row r="968" spans="1:35">
      <c r="A968" t="s">
        <v>1031</v>
      </c>
      <c r="B968" t="b">
        <v>0</v>
      </c>
      <c r="C968" t="b">
        <v>0</v>
      </c>
      <c r="D968" t="b">
        <v>0</v>
      </c>
      <c r="F968" t="b">
        <v>0</v>
      </c>
      <c r="H968" t="s">
        <v>41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>
        <v>1</v>
      </c>
      <c r="AB968">
        <v>0</v>
      </c>
      <c r="AC968">
        <f>VLOOKUP(A:A,[1]android_repos_all_metrics!B:K,4,FALSE)</f>
        <v>138</v>
      </c>
      <c r="AD968">
        <f>VLOOKUP(A:A,[1]android_repos_all_metrics!B:K,5,FALSE)</f>
        <v>1</v>
      </c>
      <c r="AE968">
        <f>VLOOKUP(A:A,[1]android_repos_all_metrics!B:K,6,FALSE)</f>
        <v>1</v>
      </c>
      <c r="AF968">
        <f>VLOOKUP(A:A,[1]android_repos_all_metrics!B:K,7,FALSE)</f>
        <v>7922</v>
      </c>
      <c r="AG968">
        <f>VLOOKUP(A:A,[1]android_repos_all_metrics!B:K,8,FALSE)</f>
        <v>18</v>
      </c>
      <c r="AH968">
        <f>VLOOKUP(A:A,[1]android_repos_all_metrics!B:K,9,FALSE)</f>
        <v>19</v>
      </c>
      <c r="AI968">
        <f>VLOOKUP(A:A,[1]android_repos_all_metrics!B:K,10,FALSE)</f>
        <v>8</v>
      </c>
    </row>
    <row r="969" spans="1:35">
      <c r="A969" t="s">
        <v>1032</v>
      </c>
      <c r="B969" t="b">
        <v>1</v>
      </c>
      <c r="C969" t="b">
        <v>0</v>
      </c>
      <c r="D969" t="b">
        <v>0</v>
      </c>
      <c r="F969" t="b">
        <v>0</v>
      </c>
      <c r="H969" t="s">
        <v>37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>
        <v>2</v>
      </c>
      <c r="AB969">
        <v>0</v>
      </c>
      <c r="AC969">
        <f>VLOOKUP(A:A,[1]android_repos_all_metrics!B:K,4,FALSE)</f>
        <v>214</v>
      </c>
      <c r="AD969">
        <f>VLOOKUP(A:A,[1]android_repos_all_metrics!B:K,5,FALSE)</f>
        <v>11</v>
      </c>
      <c r="AE969">
        <f>VLOOKUP(A:A,[1]android_repos_all_metrics!B:K,6,FALSE)</f>
        <v>8</v>
      </c>
      <c r="AF969">
        <f>VLOOKUP(A:A,[1]android_repos_all_metrics!B:K,7,FALSE)</f>
        <v>6418</v>
      </c>
      <c r="AG969">
        <f>VLOOKUP(A:A,[1]android_repos_all_metrics!B:K,8,FALSE)</f>
        <v>10</v>
      </c>
      <c r="AH969">
        <f>VLOOKUP(A:A,[1]android_repos_all_metrics!B:K,9,FALSE)</f>
        <v>33</v>
      </c>
      <c r="AI969">
        <f>VLOOKUP(A:A,[1]android_repos_all_metrics!B:K,10,FALSE)</f>
        <v>1</v>
      </c>
    </row>
    <row r="970" spans="1:35">
      <c r="A970" t="s">
        <v>1033</v>
      </c>
      <c r="B970" t="b">
        <v>0</v>
      </c>
      <c r="C970" t="b">
        <v>0</v>
      </c>
      <c r="D970" t="b">
        <v>0</v>
      </c>
      <c r="F970" t="b">
        <v>0</v>
      </c>
      <c r="H970" t="s">
        <v>37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>
        <v>1</v>
      </c>
      <c r="AB970">
        <v>0</v>
      </c>
      <c r="AC970">
        <f>VLOOKUP(A:A,[1]android_repos_all_metrics!B:K,4,FALSE)</f>
        <v>251</v>
      </c>
      <c r="AD970">
        <f>VLOOKUP(A:A,[1]android_repos_all_metrics!B:K,5,FALSE)</f>
        <v>2</v>
      </c>
      <c r="AE970">
        <f>VLOOKUP(A:A,[1]android_repos_all_metrics!B:K,6,FALSE)</f>
        <v>5</v>
      </c>
      <c r="AF970">
        <f>VLOOKUP(A:A,[1]android_repos_all_metrics!B:K,7,FALSE)</f>
        <v>142399</v>
      </c>
      <c r="AG970">
        <f>VLOOKUP(A:A,[1]android_repos_all_metrics!B:K,8,FALSE)</f>
        <v>1</v>
      </c>
      <c r="AH970">
        <f>VLOOKUP(A:A,[1]android_repos_all_metrics!B:K,9,FALSE)</f>
        <v>2</v>
      </c>
      <c r="AI970">
        <f>VLOOKUP(A:A,[1]android_repos_all_metrics!B:K,10,FALSE)</f>
        <v>0</v>
      </c>
    </row>
    <row r="971" spans="1:35">
      <c r="A971" t="s">
        <v>1034</v>
      </c>
      <c r="B971" t="b">
        <v>0</v>
      </c>
      <c r="C971" t="b">
        <v>0</v>
      </c>
      <c r="D971" t="b">
        <v>0</v>
      </c>
      <c r="F971" t="b">
        <v>0</v>
      </c>
      <c r="H971" t="s">
        <v>43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>
        <v>1</v>
      </c>
      <c r="AB971">
        <v>0</v>
      </c>
      <c r="AC971">
        <f>VLOOKUP(A:A,[1]android_repos_all_metrics!B:K,4,FALSE)</f>
        <v>2198</v>
      </c>
      <c r="AD971">
        <f>VLOOKUP(A:A,[1]android_repos_all_metrics!B:K,5,FALSE)</f>
        <v>0</v>
      </c>
      <c r="AE971">
        <f>VLOOKUP(A:A,[1]android_repos_all_metrics!B:K,6,FALSE)</f>
        <v>5</v>
      </c>
      <c r="AF971">
        <f>VLOOKUP(A:A,[1]android_repos_all_metrics!B:K,7,FALSE)</f>
        <v>11131</v>
      </c>
      <c r="AG971">
        <f>VLOOKUP(A:A,[1]android_repos_all_metrics!B:K,8,FALSE)</f>
        <v>1</v>
      </c>
      <c r="AH971">
        <f>VLOOKUP(A:A,[1]android_repos_all_metrics!B:K,9,FALSE)</f>
        <v>7</v>
      </c>
      <c r="AI971">
        <f>VLOOKUP(A:A,[1]android_repos_all_metrics!B:K,10,FALSE)</f>
        <v>0</v>
      </c>
    </row>
    <row r="972" spans="1:35">
      <c r="A972" t="s">
        <v>1035</v>
      </c>
      <c r="B972" t="b">
        <v>1</v>
      </c>
      <c r="C972" t="b">
        <v>1</v>
      </c>
      <c r="D972" t="b">
        <v>0</v>
      </c>
      <c r="F972" t="b">
        <v>1</v>
      </c>
      <c r="G972" t="s">
        <v>39</v>
      </c>
      <c r="H972" t="s">
        <v>41</v>
      </c>
      <c r="I972" t="s">
        <v>41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>
        <v>1</v>
      </c>
      <c r="AB972">
        <v>1</v>
      </c>
      <c r="AC972">
        <f>VLOOKUP(A:A,[1]android_repos_all_metrics!B:K,4,FALSE)</f>
        <v>2355</v>
      </c>
      <c r="AD972">
        <f>VLOOKUP(A:A,[1]android_repos_all_metrics!B:K,5,FALSE)</f>
        <v>94</v>
      </c>
      <c r="AE972">
        <f>VLOOKUP(A:A,[1]android_repos_all_metrics!B:K,6,FALSE)</f>
        <v>6</v>
      </c>
      <c r="AF972">
        <f>VLOOKUP(A:A,[1]android_repos_all_metrics!B:K,7,FALSE)</f>
        <v>42769</v>
      </c>
      <c r="AG972">
        <f>VLOOKUP(A:A,[1]android_repos_all_metrics!B:K,8,FALSE)</f>
        <v>6</v>
      </c>
      <c r="AH972">
        <f>VLOOKUP(A:A,[1]android_repos_all_metrics!B:K,9,FALSE)</f>
        <v>9</v>
      </c>
      <c r="AI972">
        <f>VLOOKUP(A:A,[1]android_repos_all_metrics!B:K,10,FALSE)</f>
        <v>28</v>
      </c>
    </row>
    <row r="973" spans="1:35">
      <c r="A973" t="s">
        <v>1036</v>
      </c>
      <c r="B973" t="b">
        <v>1</v>
      </c>
      <c r="C973" t="b">
        <v>0</v>
      </c>
      <c r="D973" t="b">
        <v>0</v>
      </c>
      <c r="F973" t="b">
        <v>0</v>
      </c>
      <c r="H973" t="s">
        <v>37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>
        <v>1</v>
      </c>
      <c r="AB973">
        <v>0</v>
      </c>
      <c r="AC973">
        <f>VLOOKUP(A:A,[1]android_repos_all_metrics!B:K,4,FALSE)</f>
        <v>751</v>
      </c>
      <c r="AD973">
        <f>VLOOKUP(A:A,[1]android_repos_all_metrics!B:K,5,FALSE)</f>
        <v>262</v>
      </c>
      <c r="AE973">
        <f>VLOOKUP(A:A,[1]android_repos_all_metrics!B:K,6,FALSE)</f>
        <v>4</v>
      </c>
      <c r="AF973">
        <f>VLOOKUP(A:A,[1]android_repos_all_metrics!B:K,7,FALSE)</f>
        <v>2888</v>
      </c>
      <c r="AG973">
        <f>VLOOKUP(A:A,[1]android_repos_all_metrics!B:K,8,FALSE)</f>
        <v>0</v>
      </c>
      <c r="AH973">
        <f>VLOOKUP(A:A,[1]android_repos_all_metrics!B:K,9,FALSE)</f>
        <v>5</v>
      </c>
      <c r="AI973">
        <f>VLOOKUP(A:A,[1]android_repos_all_metrics!B:K,10,FALSE)</f>
        <v>13</v>
      </c>
    </row>
    <row r="974" spans="1:35">
      <c r="A974" t="s">
        <v>1037</v>
      </c>
      <c r="B974" t="b">
        <v>1</v>
      </c>
      <c r="C974" t="b">
        <v>0</v>
      </c>
      <c r="D974" t="b">
        <v>0</v>
      </c>
      <c r="F974" t="b">
        <v>0</v>
      </c>
      <c r="H974" t="s">
        <v>37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>
        <v>1</v>
      </c>
      <c r="AB974">
        <v>0</v>
      </c>
      <c r="AC974">
        <f>VLOOKUP(A:A,[1]android_repos_all_metrics!B:K,4,FALSE)</f>
        <v>202</v>
      </c>
      <c r="AD974">
        <f>VLOOKUP(A:A,[1]android_repos_all_metrics!B:K,5,FALSE)</f>
        <v>11</v>
      </c>
      <c r="AE974">
        <f>VLOOKUP(A:A,[1]android_repos_all_metrics!B:K,6,FALSE)</f>
        <v>4</v>
      </c>
      <c r="AF974">
        <f>VLOOKUP(A:A,[1]android_repos_all_metrics!B:K,7,FALSE)</f>
        <v>35757</v>
      </c>
      <c r="AG974">
        <f>VLOOKUP(A:A,[1]android_repos_all_metrics!B:K,8,FALSE)</f>
        <v>1</v>
      </c>
      <c r="AH974">
        <f>VLOOKUP(A:A,[1]android_repos_all_metrics!B:K,9,FALSE)</f>
        <v>3</v>
      </c>
      <c r="AI974">
        <f>VLOOKUP(A:A,[1]android_repos_all_metrics!B:K,10,FALSE)</f>
        <v>0</v>
      </c>
    </row>
    <row r="975" spans="1:35">
      <c r="A975" t="s">
        <v>1038</v>
      </c>
      <c r="B975" t="b">
        <v>0</v>
      </c>
      <c r="C975" t="b">
        <v>0</v>
      </c>
      <c r="D975" t="b">
        <v>0</v>
      </c>
      <c r="F975" t="b">
        <v>0</v>
      </c>
      <c r="H975" t="s">
        <v>41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>
        <v>1</v>
      </c>
      <c r="AB975">
        <v>0</v>
      </c>
      <c r="AC975">
        <f>VLOOKUP(A:A,[1]android_repos_all_metrics!B:K,4,FALSE)</f>
        <v>72</v>
      </c>
      <c r="AD975">
        <f>VLOOKUP(A:A,[1]android_repos_all_metrics!B:K,5,FALSE)</f>
        <v>2</v>
      </c>
      <c r="AE975">
        <f>VLOOKUP(A:A,[1]android_repos_all_metrics!B:K,6,FALSE)</f>
        <v>3</v>
      </c>
      <c r="AF975">
        <f>VLOOKUP(A:A,[1]android_repos_all_metrics!B:K,7,FALSE)</f>
        <v>4071</v>
      </c>
      <c r="AG975">
        <f>VLOOKUP(A:A,[1]android_repos_all_metrics!B:K,8,FALSE)</f>
        <v>2</v>
      </c>
      <c r="AH975">
        <f>VLOOKUP(A:A,[1]android_repos_all_metrics!B:K,9,FALSE)</f>
        <v>7</v>
      </c>
      <c r="AI975">
        <f>VLOOKUP(A:A,[1]android_repos_all_metrics!B:K,10,FALSE)</f>
        <v>0</v>
      </c>
    </row>
    <row r="976" spans="1:35">
      <c r="A976" t="s">
        <v>1039</v>
      </c>
      <c r="B976" t="b">
        <v>1</v>
      </c>
      <c r="C976" t="b">
        <v>0</v>
      </c>
      <c r="D976" t="b">
        <v>0</v>
      </c>
      <c r="F976" t="b">
        <v>0</v>
      </c>
      <c r="H976" t="s">
        <v>37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>
        <v>1</v>
      </c>
      <c r="AB976">
        <v>0</v>
      </c>
      <c r="AC976">
        <f>VLOOKUP(A:A,[1]android_repos_all_metrics!B:K,4,FALSE)</f>
        <v>787</v>
      </c>
      <c r="AD976">
        <f>VLOOKUP(A:A,[1]android_repos_all_metrics!B:K,5,FALSE)</f>
        <v>24</v>
      </c>
      <c r="AE976">
        <f>VLOOKUP(A:A,[1]android_repos_all_metrics!B:K,6,FALSE)</f>
        <v>6</v>
      </c>
      <c r="AF976">
        <f>VLOOKUP(A:A,[1]android_repos_all_metrics!B:K,7,FALSE)</f>
        <v>1518</v>
      </c>
      <c r="AG976">
        <f>VLOOKUP(A:A,[1]android_repos_all_metrics!B:K,8,FALSE)</f>
        <v>4</v>
      </c>
      <c r="AH976">
        <f>VLOOKUP(A:A,[1]android_repos_all_metrics!B:K,9,FALSE)</f>
        <v>4</v>
      </c>
      <c r="AI976">
        <f>VLOOKUP(A:A,[1]android_repos_all_metrics!B:K,10,FALSE)</f>
        <v>17</v>
      </c>
    </row>
    <row r="977" spans="1:35">
      <c r="A977" t="s">
        <v>1040</v>
      </c>
      <c r="B977" t="b">
        <v>1</v>
      </c>
      <c r="C977" t="b">
        <v>0</v>
      </c>
      <c r="D977" t="b">
        <v>0</v>
      </c>
      <c r="F977" t="b">
        <v>0</v>
      </c>
      <c r="H977" t="s">
        <v>37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>
        <v>1</v>
      </c>
      <c r="AB977">
        <v>0</v>
      </c>
      <c r="AC977">
        <f>VLOOKUP(A:A,[1]android_repos_all_metrics!B:K,4,FALSE)</f>
        <v>106</v>
      </c>
      <c r="AD977">
        <f>VLOOKUP(A:A,[1]android_repos_all_metrics!B:K,5,FALSE)</f>
        <v>22</v>
      </c>
      <c r="AE977">
        <f>VLOOKUP(A:A,[1]android_repos_all_metrics!B:K,6,FALSE)</f>
        <v>8</v>
      </c>
      <c r="AF977">
        <f>VLOOKUP(A:A,[1]android_repos_all_metrics!B:K,7,FALSE)</f>
        <v>6642</v>
      </c>
      <c r="AG977">
        <f>VLOOKUP(A:A,[1]android_repos_all_metrics!B:K,8,FALSE)</f>
        <v>635</v>
      </c>
      <c r="AH977">
        <f>VLOOKUP(A:A,[1]android_repos_all_metrics!B:K,9,FALSE)</f>
        <v>3624</v>
      </c>
      <c r="AI977">
        <f>VLOOKUP(A:A,[1]android_repos_all_metrics!B:K,10,FALSE)</f>
        <v>10</v>
      </c>
    </row>
    <row r="978" spans="1:35">
      <c r="A978" t="s">
        <v>1041</v>
      </c>
      <c r="B978" t="b">
        <v>1</v>
      </c>
      <c r="C978" t="b">
        <v>0</v>
      </c>
      <c r="D978" t="b">
        <v>0</v>
      </c>
      <c r="F978" t="b">
        <v>0</v>
      </c>
      <c r="H978" t="s">
        <v>37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>
        <v>2</v>
      </c>
      <c r="AB978">
        <v>0</v>
      </c>
      <c r="AC978">
        <f>VLOOKUP(A:A,[1]android_repos_all_metrics!B:K,4,FALSE)</f>
        <v>450</v>
      </c>
      <c r="AD978">
        <f>VLOOKUP(A:A,[1]android_repos_all_metrics!B:K,5,FALSE)</f>
        <v>167</v>
      </c>
      <c r="AE978">
        <f>VLOOKUP(A:A,[1]android_repos_all_metrics!B:K,6,FALSE)</f>
        <v>2</v>
      </c>
      <c r="AF978">
        <f>VLOOKUP(A:A,[1]android_repos_all_metrics!B:K,7,FALSE)</f>
        <v>30420</v>
      </c>
      <c r="AG978">
        <f>VLOOKUP(A:A,[1]android_repos_all_metrics!B:K,8,FALSE)</f>
        <v>53</v>
      </c>
      <c r="AH978">
        <f>VLOOKUP(A:A,[1]android_repos_all_metrics!B:K,9,FALSE)</f>
        <v>523</v>
      </c>
      <c r="AI978">
        <f>VLOOKUP(A:A,[1]android_repos_all_metrics!B:K,10,FALSE)</f>
        <v>7</v>
      </c>
    </row>
    <row r="979" spans="1:35">
      <c r="A979" t="s">
        <v>1042</v>
      </c>
      <c r="B979" t="b">
        <v>1</v>
      </c>
      <c r="C979" t="b">
        <v>0</v>
      </c>
      <c r="D979" t="b">
        <v>0</v>
      </c>
      <c r="F979" t="b">
        <v>0</v>
      </c>
      <c r="H979" t="s">
        <v>76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>
        <v>1</v>
      </c>
      <c r="AB979">
        <v>0</v>
      </c>
      <c r="AC979" t="e">
        <f>VLOOKUP(A:A,[1]android_repos_all_metrics!B:K,4,FALSE)</f>
        <v>#N/A</v>
      </c>
      <c r="AD979" t="e">
        <f>VLOOKUP(A:A,[1]android_repos_all_metrics!B:K,5,FALSE)</f>
        <v>#N/A</v>
      </c>
      <c r="AE979" t="e">
        <f>VLOOKUP(A:A,[1]android_repos_all_metrics!B:K,6,FALSE)</f>
        <v>#N/A</v>
      </c>
      <c r="AF979" t="e">
        <f>VLOOKUP(A:A,[1]android_repos_all_metrics!B:K,7,FALSE)</f>
        <v>#N/A</v>
      </c>
      <c r="AG979" t="e">
        <f>VLOOKUP(A:A,[1]android_repos_all_metrics!B:K,8,FALSE)</f>
        <v>#N/A</v>
      </c>
      <c r="AH979" t="e">
        <f>VLOOKUP(A:A,[1]android_repos_all_metrics!B:K,9,FALSE)</f>
        <v>#N/A</v>
      </c>
      <c r="AI979" t="e">
        <f>VLOOKUP(A:A,[1]android_repos_all_metrics!B:K,10,FALSE)</f>
        <v>#N/A</v>
      </c>
    </row>
    <row r="980" spans="1:35">
      <c r="A980" t="s">
        <v>1043</v>
      </c>
      <c r="B980" t="b">
        <v>1</v>
      </c>
      <c r="C980" t="b">
        <v>0</v>
      </c>
      <c r="D980" t="b">
        <v>0</v>
      </c>
      <c r="F980" t="b">
        <v>0</v>
      </c>
      <c r="H980" t="s">
        <v>407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>
        <v>1</v>
      </c>
      <c r="AB980">
        <v>0</v>
      </c>
      <c r="AC980" t="e">
        <f>VLOOKUP(A:A,[1]android_repos_all_metrics!B:K,4,FALSE)</f>
        <v>#N/A</v>
      </c>
      <c r="AD980" t="e">
        <f>VLOOKUP(A:A,[1]android_repos_all_metrics!B:K,5,FALSE)</f>
        <v>#N/A</v>
      </c>
      <c r="AE980" t="e">
        <f>VLOOKUP(A:A,[1]android_repos_all_metrics!B:K,6,FALSE)</f>
        <v>#N/A</v>
      </c>
      <c r="AF980" t="e">
        <f>VLOOKUP(A:A,[1]android_repos_all_metrics!B:K,7,FALSE)</f>
        <v>#N/A</v>
      </c>
      <c r="AG980" t="e">
        <f>VLOOKUP(A:A,[1]android_repos_all_metrics!B:K,8,FALSE)</f>
        <v>#N/A</v>
      </c>
      <c r="AH980" t="e">
        <f>VLOOKUP(A:A,[1]android_repos_all_metrics!B:K,9,FALSE)</f>
        <v>#N/A</v>
      </c>
      <c r="AI980" t="e">
        <f>VLOOKUP(A:A,[1]android_repos_all_metrics!B:K,10,FALSE)</f>
        <v>#N/A</v>
      </c>
    </row>
    <row r="981" spans="1:35">
      <c r="A981" t="s">
        <v>1044</v>
      </c>
      <c r="B981" t="b">
        <v>1</v>
      </c>
      <c r="C981" t="b">
        <v>0</v>
      </c>
      <c r="D981" t="b">
        <v>0</v>
      </c>
      <c r="F981" t="b">
        <v>0</v>
      </c>
      <c r="H981" t="s">
        <v>37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>
        <v>1</v>
      </c>
      <c r="AB981">
        <v>0</v>
      </c>
      <c r="AC981">
        <f>VLOOKUP(A:A,[1]android_repos_all_metrics!B:K,4,FALSE)</f>
        <v>354</v>
      </c>
      <c r="AD981">
        <f>VLOOKUP(A:A,[1]android_repos_all_metrics!B:K,5,FALSE)</f>
        <v>47</v>
      </c>
      <c r="AE981">
        <f>VLOOKUP(A:A,[1]android_repos_all_metrics!B:K,6,FALSE)</f>
        <v>66</v>
      </c>
      <c r="AF981">
        <f>VLOOKUP(A:A,[1]android_repos_all_metrics!B:K,7,FALSE)</f>
        <v>1957</v>
      </c>
      <c r="AG981">
        <f>VLOOKUP(A:A,[1]android_repos_all_metrics!B:K,8,FALSE)</f>
        <v>35</v>
      </c>
      <c r="AH981">
        <f>VLOOKUP(A:A,[1]android_repos_all_metrics!B:K,9,FALSE)</f>
        <v>542</v>
      </c>
      <c r="AI981">
        <f>VLOOKUP(A:A,[1]android_repos_all_metrics!B:K,10,FALSE)</f>
        <v>9</v>
      </c>
    </row>
    <row r="982" spans="1:35">
      <c r="A982" t="s">
        <v>1045</v>
      </c>
      <c r="B982" t="b">
        <v>1</v>
      </c>
      <c r="C982" t="b">
        <v>0</v>
      </c>
      <c r="D982" t="b">
        <v>0</v>
      </c>
      <c r="F982" t="b">
        <v>0</v>
      </c>
      <c r="H982" t="s">
        <v>41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>
        <v>1</v>
      </c>
      <c r="AB982">
        <v>0</v>
      </c>
      <c r="AC982">
        <f>VLOOKUP(A:A,[1]android_repos_all_metrics!B:K,4,FALSE)</f>
        <v>33</v>
      </c>
      <c r="AD982">
        <f>VLOOKUP(A:A,[1]android_repos_all_metrics!B:K,5,FALSE)</f>
        <v>2</v>
      </c>
      <c r="AE982">
        <f>VLOOKUP(A:A,[1]android_repos_all_metrics!B:K,6,FALSE)</f>
        <v>2</v>
      </c>
      <c r="AF982">
        <f>VLOOKUP(A:A,[1]android_repos_all_metrics!B:K,7,FALSE)</f>
        <v>272011</v>
      </c>
      <c r="AG982">
        <f>VLOOKUP(A:A,[1]android_repos_all_metrics!B:K,8,FALSE)</f>
        <v>66</v>
      </c>
      <c r="AH982">
        <f>VLOOKUP(A:A,[1]android_repos_all_metrics!B:K,9,FALSE)</f>
        <v>227</v>
      </c>
      <c r="AI982">
        <f>VLOOKUP(A:A,[1]android_repos_all_metrics!B:K,10,FALSE)</f>
        <v>3</v>
      </c>
    </row>
    <row r="983" spans="1:35">
      <c r="A983" t="s">
        <v>1046</v>
      </c>
      <c r="B983" t="b">
        <v>1</v>
      </c>
      <c r="C983" t="b">
        <v>0</v>
      </c>
      <c r="D983" t="b">
        <v>0</v>
      </c>
      <c r="F983" t="b">
        <v>0</v>
      </c>
      <c r="H983" t="s">
        <v>244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>
        <v>2</v>
      </c>
      <c r="AB983">
        <v>0</v>
      </c>
      <c r="AC983">
        <f>VLOOKUP(A:A,[1]android_repos_all_metrics!B:K,4,FALSE)</f>
        <v>191</v>
      </c>
      <c r="AD983">
        <f>VLOOKUP(A:A,[1]android_repos_all_metrics!B:K,5,FALSE)</f>
        <v>2</v>
      </c>
      <c r="AE983">
        <f>VLOOKUP(A:A,[1]android_repos_all_metrics!B:K,6,FALSE)</f>
        <v>1</v>
      </c>
      <c r="AF983">
        <f>VLOOKUP(A:A,[1]android_repos_all_metrics!B:K,7,FALSE)</f>
        <v>27438</v>
      </c>
      <c r="AG983">
        <f>VLOOKUP(A:A,[1]android_repos_all_metrics!B:K,8,FALSE)</f>
        <v>3</v>
      </c>
      <c r="AH983">
        <f>VLOOKUP(A:A,[1]android_repos_all_metrics!B:K,9,FALSE)</f>
        <v>3</v>
      </c>
      <c r="AI983">
        <f>VLOOKUP(A:A,[1]android_repos_all_metrics!B:K,10,FALSE)</f>
        <v>25</v>
      </c>
    </row>
    <row r="984" spans="1:35">
      <c r="A984" t="s">
        <v>1047</v>
      </c>
      <c r="B984" t="b">
        <v>1</v>
      </c>
      <c r="C984" t="b">
        <v>0</v>
      </c>
      <c r="D984" t="b">
        <v>0</v>
      </c>
      <c r="F984" t="b">
        <v>0</v>
      </c>
      <c r="H984" t="s">
        <v>37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>
        <v>1</v>
      </c>
      <c r="AB984">
        <v>0</v>
      </c>
      <c r="AC984">
        <f>VLOOKUP(A:A,[1]android_repos_all_metrics!B:K,4,FALSE)</f>
        <v>106</v>
      </c>
      <c r="AD984">
        <f>VLOOKUP(A:A,[1]android_repos_all_metrics!B:K,5,FALSE)</f>
        <v>19</v>
      </c>
      <c r="AE984">
        <f>VLOOKUP(A:A,[1]android_repos_all_metrics!B:K,6,FALSE)</f>
        <v>1</v>
      </c>
      <c r="AF984">
        <f>VLOOKUP(A:A,[1]android_repos_all_metrics!B:K,7,FALSE)</f>
        <v>912</v>
      </c>
      <c r="AG984">
        <f>VLOOKUP(A:A,[1]android_repos_all_metrics!B:K,8,FALSE)</f>
        <v>1</v>
      </c>
      <c r="AH984">
        <f>VLOOKUP(A:A,[1]android_repos_all_metrics!B:K,9,FALSE)</f>
        <v>22</v>
      </c>
      <c r="AI984">
        <f>VLOOKUP(A:A,[1]android_repos_all_metrics!B:K,10,FALSE)</f>
        <v>3</v>
      </c>
    </row>
    <row r="985" spans="1:35">
      <c r="A985" t="s">
        <v>1048</v>
      </c>
      <c r="B985" t="b">
        <v>1</v>
      </c>
      <c r="C985" t="b">
        <v>0</v>
      </c>
      <c r="D985" t="b">
        <v>0</v>
      </c>
      <c r="F985" t="b">
        <v>0</v>
      </c>
      <c r="H985" t="s">
        <v>37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>
        <v>4</v>
      </c>
      <c r="AB985">
        <v>0</v>
      </c>
      <c r="AC985">
        <f>VLOOKUP(A:A,[1]android_repos_all_metrics!B:K,4,FALSE)</f>
        <v>240</v>
      </c>
      <c r="AD985">
        <f>VLOOKUP(A:A,[1]android_repos_all_metrics!B:K,5,FALSE)</f>
        <v>59</v>
      </c>
      <c r="AE985">
        <f>VLOOKUP(A:A,[1]android_repos_all_metrics!B:K,6,FALSE)</f>
        <v>21</v>
      </c>
      <c r="AF985">
        <f>VLOOKUP(A:A,[1]android_repos_all_metrics!B:K,7,FALSE)</f>
        <v>32660</v>
      </c>
      <c r="AG985">
        <f>VLOOKUP(A:A,[1]android_repos_all_metrics!B:K,8,FALSE)</f>
        <v>11</v>
      </c>
      <c r="AH985">
        <f>VLOOKUP(A:A,[1]android_repos_all_metrics!B:K,9,FALSE)</f>
        <v>26</v>
      </c>
      <c r="AI985">
        <f>VLOOKUP(A:A,[1]android_repos_all_metrics!B:K,10,FALSE)</f>
        <v>6</v>
      </c>
    </row>
    <row r="986" spans="1:35">
      <c r="A986" t="s">
        <v>1049</v>
      </c>
      <c r="B986" t="b">
        <v>1</v>
      </c>
      <c r="C986" t="b">
        <v>0</v>
      </c>
      <c r="D986" t="b">
        <v>0</v>
      </c>
      <c r="F986" t="b">
        <v>0</v>
      </c>
      <c r="H986" t="s">
        <v>37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>
        <v>1</v>
      </c>
      <c r="AB986">
        <v>0</v>
      </c>
      <c r="AC986">
        <f>VLOOKUP(A:A,[1]android_repos_all_metrics!B:K,4,FALSE)</f>
        <v>161</v>
      </c>
      <c r="AD986">
        <f>VLOOKUP(A:A,[1]android_repos_all_metrics!B:K,5,FALSE)</f>
        <v>9</v>
      </c>
      <c r="AE986">
        <f>VLOOKUP(A:A,[1]android_repos_all_metrics!B:K,6,FALSE)</f>
        <v>1</v>
      </c>
      <c r="AF986">
        <f>VLOOKUP(A:A,[1]android_repos_all_metrics!B:K,7,FALSE)</f>
        <v>8529</v>
      </c>
      <c r="AG986">
        <f>VLOOKUP(A:A,[1]android_repos_all_metrics!B:K,8,FALSE)</f>
        <v>33</v>
      </c>
      <c r="AH986">
        <f>VLOOKUP(A:A,[1]android_repos_all_metrics!B:K,9,FALSE)</f>
        <v>102</v>
      </c>
      <c r="AI986">
        <f>VLOOKUP(A:A,[1]android_repos_all_metrics!B:K,10,FALSE)</f>
        <v>5</v>
      </c>
    </row>
    <row r="987" spans="1:35">
      <c r="A987" t="s">
        <v>1050</v>
      </c>
      <c r="B987" t="b">
        <v>1</v>
      </c>
      <c r="C987" t="b">
        <v>0</v>
      </c>
      <c r="D987" t="b">
        <v>0</v>
      </c>
      <c r="F987" t="b">
        <v>0</v>
      </c>
      <c r="H987" t="s">
        <v>37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>
        <v>1</v>
      </c>
      <c r="AB987">
        <v>0</v>
      </c>
      <c r="AC987">
        <f>VLOOKUP(A:A,[1]android_repos_all_metrics!B:K,4,FALSE)</f>
        <v>107</v>
      </c>
      <c r="AD987">
        <f>VLOOKUP(A:A,[1]android_repos_all_metrics!B:K,5,FALSE)</f>
        <v>49</v>
      </c>
      <c r="AE987">
        <f>VLOOKUP(A:A,[1]android_repos_all_metrics!B:K,6,FALSE)</f>
        <v>3</v>
      </c>
      <c r="AF987">
        <f>VLOOKUP(A:A,[1]android_repos_all_metrics!B:K,7,FALSE)</f>
        <v>51428</v>
      </c>
      <c r="AG987">
        <f>VLOOKUP(A:A,[1]android_repos_all_metrics!B:K,8,FALSE)</f>
        <v>0</v>
      </c>
      <c r="AH987">
        <f>VLOOKUP(A:A,[1]android_repos_all_metrics!B:K,9,FALSE)</f>
        <v>3</v>
      </c>
      <c r="AI987">
        <f>VLOOKUP(A:A,[1]android_repos_all_metrics!B:K,10,FALSE)</f>
        <v>2</v>
      </c>
    </row>
    <row r="988" spans="1:35">
      <c r="A988" t="s">
        <v>1051</v>
      </c>
      <c r="B988" t="b">
        <v>1</v>
      </c>
      <c r="C988" t="b">
        <v>0</v>
      </c>
      <c r="D988" t="b">
        <v>0</v>
      </c>
      <c r="F988" t="b">
        <v>0</v>
      </c>
      <c r="H988" t="s">
        <v>37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>
        <v>1</v>
      </c>
      <c r="AB988">
        <v>0</v>
      </c>
      <c r="AC988">
        <f>VLOOKUP(A:A,[1]android_repos_all_metrics!B:K,4,FALSE)</f>
        <v>119</v>
      </c>
      <c r="AD988">
        <f>VLOOKUP(A:A,[1]android_repos_all_metrics!B:K,5,FALSE)</f>
        <v>4</v>
      </c>
      <c r="AE988">
        <f>VLOOKUP(A:A,[1]android_repos_all_metrics!B:K,6,FALSE)</f>
        <v>2</v>
      </c>
      <c r="AF988">
        <f>VLOOKUP(A:A,[1]android_repos_all_metrics!B:K,7,FALSE)</f>
        <v>4490</v>
      </c>
      <c r="AG988">
        <f>VLOOKUP(A:A,[1]android_repos_all_metrics!B:K,8,FALSE)</f>
        <v>106</v>
      </c>
      <c r="AH988">
        <f>VLOOKUP(A:A,[1]android_repos_all_metrics!B:K,9,FALSE)</f>
        <v>678</v>
      </c>
      <c r="AI988">
        <f>VLOOKUP(A:A,[1]android_repos_all_metrics!B:K,10,FALSE)</f>
        <v>8</v>
      </c>
    </row>
    <row r="989" spans="1:35">
      <c r="A989" t="s">
        <v>1052</v>
      </c>
      <c r="B989" t="b">
        <v>1</v>
      </c>
      <c r="C989" t="b">
        <v>0</v>
      </c>
      <c r="D989" t="b">
        <v>0</v>
      </c>
      <c r="F989" t="b">
        <v>0</v>
      </c>
      <c r="H989" t="s">
        <v>41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>
        <v>1</v>
      </c>
      <c r="AB989">
        <v>0</v>
      </c>
      <c r="AC989">
        <f>VLOOKUP(A:A,[1]android_repos_all_metrics!B:K,4,FALSE)</f>
        <v>683</v>
      </c>
      <c r="AD989">
        <f>VLOOKUP(A:A,[1]android_repos_all_metrics!B:K,5,FALSE)</f>
        <v>153</v>
      </c>
      <c r="AE989">
        <f>VLOOKUP(A:A,[1]android_repos_all_metrics!B:K,6,FALSE)</f>
        <v>4</v>
      </c>
      <c r="AF989">
        <f>VLOOKUP(A:A,[1]android_repos_all_metrics!B:K,7,FALSE)</f>
        <v>20426</v>
      </c>
      <c r="AG989">
        <f>VLOOKUP(A:A,[1]android_repos_all_metrics!B:K,8,FALSE)</f>
        <v>4</v>
      </c>
      <c r="AH989">
        <f>VLOOKUP(A:A,[1]android_repos_all_metrics!B:K,9,FALSE)</f>
        <v>13</v>
      </c>
      <c r="AI989">
        <f>VLOOKUP(A:A,[1]android_repos_all_metrics!B:K,10,FALSE)</f>
        <v>24</v>
      </c>
    </row>
    <row r="990" spans="1:35">
      <c r="A990" t="s">
        <v>1053</v>
      </c>
      <c r="B990" t="b">
        <v>1</v>
      </c>
      <c r="C990" t="b">
        <v>1</v>
      </c>
      <c r="D990" t="b">
        <v>0</v>
      </c>
      <c r="F990" t="b">
        <v>1</v>
      </c>
      <c r="G990" t="s">
        <v>109</v>
      </c>
      <c r="H990" t="s">
        <v>1054</v>
      </c>
      <c r="I990" t="s">
        <v>43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>
        <v>3</v>
      </c>
      <c r="AB990">
        <v>0</v>
      </c>
      <c r="AC990">
        <f>VLOOKUP(A:A,[1]android_repos_all_metrics!B:K,4,FALSE)</f>
        <v>114</v>
      </c>
      <c r="AD990">
        <f>VLOOKUP(A:A,[1]android_repos_all_metrics!B:K,5,FALSE)</f>
        <v>36</v>
      </c>
      <c r="AE990">
        <f>VLOOKUP(A:A,[1]android_repos_all_metrics!B:K,6,FALSE)</f>
        <v>1</v>
      </c>
      <c r="AF990">
        <f>VLOOKUP(A:A,[1]android_repos_all_metrics!B:K,7,FALSE)</f>
        <v>609</v>
      </c>
      <c r="AG990">
        <f>VLOOKUP(A:A,[1]android_repos_all_metrics!B:K,8,FALSE)</f>
        <v>6</v>
      </c>
      <c r="AH990">
        <f>VLOOKUP(A:A,[1]android_repos_all_metrics!B:K,9,FALSE)</f>
        <v>70</v>
      </c>
      <c r="AI990">
        <f>VLOOKUP(A:A,[1]android_repos_all_metrics!B:K,10,FALSE)</f>
        <v>1</v>
      </c>
    </row>
    <row r="991" spans="1:35">
      <c r="A991" t="s">
        <v>1055</v>
      </c>
      <c r="B991" t="b">
        <v>1</v>
      </c>
      <c r="C991" t="b">
        <v>1</v>
      </c>
      <c r="D991" t="b">
        <v>1</v>
      </c>
      <c r="E991" t="s">
        <v>36</v>
      </c>
      <c r="F991" t="b">
        <v>0</v>
      </c>
      <c r="H991" t="s">
        <v>37</v>
      </c>
      <c r="I991" t="s">
        <v>37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>
        <v>1</v>
      </c>
      <c r="AA991">
        <v>2</v>
      </c>
      <c r="AB991">
        <v>0</v>
      </c>
      <c r="AC991">
        <f>VLOOKUP(A:A,[1]android_repos_all_metrics!B:K,4,FALSE)</f>
        <v>328</v>
      </c>
      <c r="AD991">
        <f>VLOOKUP(A:A,[1]android_repos_all_metrics!B:K,5,FALSE)</f>
        <v>96</v>
      </c>
      <c r="AE991">
        <f>VLOOKUP(A:A,[1]android_repos_all_metrics!B:K,6,FALSE)</f>
        <v>10</v>
      </c>
      <c r="AF991">
        <f>VLOOKUP(A:A,[1]android_repos_all_metrics!B:K,7,FALSE)</f>
        <v>27719</v>
      </c>
      <c r="AG991">
        <f>VLOOKUP(A:A,[1]android_repos_all_metrics!B:K,8,FALSE)</f>
        <v>35</v>
      </c>
      <c r="AH991">
        <f>VLOOKUP(A:A,[1]android_repos_all_metrics!B:K,9,FALSE)</f>
        <v>93</v>
      </c>
      <c r="AI991">
        <f>VLOOKUP(A:A,[1]android_repos_all_metrics!B:K,10,FALSE)</f>
        <v>19</v>
      </c>
    </row>
    <row r="992" spans="1:35">
      <c r="A992" t="s">
        <v>1056</v>
      </c>
      <c r="B992" t="b">
        <v>1</v>
      </c>
      <c r="C992" t="b">
        <v>0</v>
      </c>
      <c r="D992" t="b">
        <v>0</v>
      </c>
      <c r="F992" t="b">
        <v>0</v>
      </c>
      <c r="H992" t="s">
        <v>37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>
        <v>1</v>
      </c>
      <c r="AB992">
        <v>0</v>
      </c>
      <c r="AC992">
        <f>VLOOKUP(A:A,[1]android_repos_all_metrics!B:K,4,FALSE)</f>
        <v>15</v>
      </c>
      <c r="AD992">
        <f>VLOOKUP(A:A,[1]android_repos_all_metrics!B:K,5,FALSE)</f>
        <v>1</v>
      </c>
      <c r="AE992">
        <f>VLOOKUP(A:A,[1]android_repos_all_metrics!B:K,6,FALSE)</f>
        <v>2</v>
      </c>
      <c r="AF992">
        <f>VLOOKUP(A:A,[1]android_repos_all_metrics!B:K,7,FALSE)</f>
        <v>2654</v>
      </c>
      <c r="AG992">
        <f>VLOOKUP(A:A,[1]android_repos_all_metrics!B:K,8,FALSE)</f>
        <v>2</v>
      </c>
      <c r="AH992">
        <f>VLOOKUP(A:A,[1]android_repos_all_metrics!B:K,9,FALSE)</f>
        <v>8</v>
      </c>
      <c r="AI992">
        <f>VLOOKUP(A:A,[1]android_repos_all_metrics!B:K,10,FALSE)</f>
        <v>0</v>
      </c>
    </row>
    <row r="993" spans="1:35">
      <c r="A993" t="s">
        <v>1057</v>
      </c>
      <c r="B993" t="b">
        <v>1</v>
      </c>
      <c r="C993" t="b">
        <v>1</v>
      </c>
      <c r="D993" t="b">
        <v>0</v>
      </c>
      <c r="F993" t="b">
        <v>1</v>
      </c>
      <c r="G993" t="s">
        <v>39</v>
      </c>
      <c r="H993" t="s">
        <v>41</v>
      </c>
      <c r="I993" t="s">
        <v>41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>
        <v>1</v>
      </c>
      <c r="AB993">
        <v>0</v>
      </c>
      <c r="AC993">
        <f>VLOOKUP(A:A,[1]android_repos_all_metrics!B:K,4,FALSE)</f>
        <v>97</v>
      </c>
      <c r="AD993">
        <f>VLOOKUP(A:A,[1]android_repos_all_metrics!B:K,5,FALSE)</f>
        <v>4</v>
      </c>
      <c r="AE993">
        <f>VLOOKUP(A:A,[1]android_repos_all_metrics!B:K,6,FALSE)</f>
        <v>4</v>
      </c>
      <c r="AF993">
        <f>VLOOKUP(A:A,[1]android_repos_all_metrics!B:K,7,FALSE)</f>
        <v>1991</v>
      </c>
      <c r="AG993">
        <f>VLOOKUP(A:A,[1]android_repos_all_metrics!B:K,8,FALSE)</f>
        <v>3</v>
      </c>
      <c r="AH993">
        <f>VLOOKUP(A:A,[1]android_repos_all_metrics!B:K,9,FALSE)</f>
        <v>15</v>
      </c>
      <c r="AI993">
        <f>VLOOKUP(A:A,[1]android_repos_all_metrics!B:K,10,FALSE)</f>
        <v>2</v>
      </c>
    </row>
    <row r="994" spans="1:35">
      <c r="A994" t="s">
        <v>1058</v>
      </c>
      <c r="B994" t="b">
        <v>1</v>
      </c>
      <c r="C994" t="b">
        <v>0</v>
      </c>
      <c r="D994" t="b">
        <v>0</v>
      </c>
      <c r="F994" t="b">
        <v>0</v>
      </c>
      <c r="H994" t="s">
        <v>37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>
        <v>1</v>
      </c>
      <c r="AB994">
        <v>0</v>
      </c>
      <c r="AC994">
        <f>VLOOKUP(A:A,[1]android_repos_all_metrics!B:K,4,FALSE)</f>
        <v>494</v>
      </c>
      <c r="AD994">
        <f>VLOOKUP(A:A,[1]android_repos_all_metrics!B:K,5,FALSE)</f>
        <v>214</v>
      </c>
      <c r="AE994">
        <f>VLOOKUP(A:A,[1]android_repos_all_metrics!B:K,6,FALSE)</f>
        <v>11</v>
      </c>
      <c r="AF994">
        <f>VLOOKUP(A:A,[1]android_repos_all_metrics!B:K,7,FALSE)</f>
        <v>3940</v>
      </c>
      <c r="AG994">
        <f>VLOOKUP(A:A,[1]android_repos_all_metrics!B:K,8,FALSE)</f>
        <v>19</v>
      </c>
      <c r="AH994">
        <f>VLOOKUP(A:A,[1]android_repos_all_metrics!B:K,9,FALSE)</f>
        <v>18</v>
      </c>
      <c r="AI994">
        <f>VLOOKUP(A:A,[1]android_repos_all_metrics!B:K,10,FALSE)</f>
        <v>50</v>
      </c>
    </row>
    <row r="995" spans="1:35">
      <c r="A995" t="s">
        <v>1059</v>
      </c>
      <c r="B995" t="b">
        <v>0</v>
      </c>
      <c r="C995" t="b">
        <v>0</v>
      </c>
      <c r="D995" t="b">
        <v>0</v>
      </c>
      <c r="F995" t="b">
        <v>0</v>
      </c>
      <c r="H995" t="s">
        <v>41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>
        <v>1</v>
      </c>
      <c r="AB995">
        <v>0</v>
      </c>
      <c r="AC995">
        <f>VLOOKUP(A:A,[1]android_repos_all_metrics!B:K,4,FALSE)</f>
        <v>44</v>
      </c>
      <c r="AD995">
        <f>VLOOKUP(A:A,[1]android_repos_all_metrics!B:K,5,FALSE)</f>
        <v>0</v>
      </c>
      <c r="AE995">
        <f>VLOOKUP(A:A,[1]android_repos_all_metrics!B:K,6,FALSE)</f>
        <v>1</v>
      </c>
      <c r="AF995">
        <f>VLOOKUP(A:A,[1]android_repos_all_metrics!B:K,7,FALSE)</f>
        <v>141</v>
      </c>
      <c r="AG995">
        <f>VLOOKUP(A:A,[1]android_repos_all_metrics!B:K,8,FALSE)</f>
        <v>0</v>
      </c>
      <c r="AH995">
        <f>VLOOKUP(A:A,[1]android_repos_all_metrics!B:K,9,FALSE)</f>
        <v>1</v>
      </c>
      <c r="AI995">
        <f>VLOOKUP(A:A,[1]android_repos_all_metrics!B:K,10,FALSE)</f>
        <v>1</v>
      </c>
    </row>
    <row r="996" spans="1:35">
      <c r="A996" t="s">
        <v>1060</v>
      </c>
      <c r="B996" t="b">
        <v>1</v>
      </c>
      <c r="C996" t="b">
        <v>1</v>
      </c>
      <c r="D996" t="b">
        <v>1</v>
      </c>
      <c r="E996" t="s">
        <v>104</v>
      </c>
      <c r="F996" t="b">
        <v>0</v>
      </c>
      <c r="H996" t="s">
        <v>37</v>
      </c>
      <c r="I996" t="s">
        <v>37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>
        <v>3</v>
      </c>
      <c r="AB996">
        <v>0</v>
      </c>
      <c r="AC996">
        <f>VLOOKUP(A:A,[1]android_repos_all_metrics!B:K,4,FALSE)</f>
        <v>510</v>
      </c>
      <c r="AD996">
        <f>VLOOKUP(A:A,[1]android_repos_all_metrics!B:K,5,FALSE)</f>
        <v>27</v>
      </c>
      <c r="AE996">
        <f>VLOOKUP(A:A,[1]android_repos_all_metrics!B:K,6,FALSE)</f>
        <v>2</v>
      </c>
      <c r="AF996">
        <f>VLOOKUP(A:A,[1]android_repos_all_metrics!B:K,7,FALSE)</f>
        <v>5836</v>
      </c>
      <c r="AG996">
        <f>VLOOKUP(A:A,[1]android_repos_all_metrics!B:K,8,FALSE)</f>
        <v>1</v>
      </c>
      <c r="AH996">
        <f>VLOOKUP(A:A,[1]android_repos_all_metrics!B:K,9,FALSE)</f>
        <v>8</v>
      </c>
      <c r="AI996">
        <f>VLOOKUP(A:A,[1]android_repos_all_metrics!B:K,10,FALSE)</f>
        <v>8</v>
      </c>
    </row>
    <row r="997" spans="1:35">
      <c r="A997" t="s">
        <v>1061</v>
      </c>
      <c r="B997" t="b">
        <v>1</v>
      </c>
      <c r="C997" t="b">
        <v>0</v>
      </c>
      <c r="D997" t="b">
        <v>0</v>
      </c>
      <c r="F997" t="b">
        <v>0</v>
      </c>
      <c r="H997" t="s">
        <v>41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>
        <v>1</v>
      </c>
      <c r="AB997">
        <v>0</v>
      </c>
      <c r="AC997">
        <f>VLOOKUP(A:A,[1]android_repos_all_metrics!B:K,4,FALSE)</f>
        <v>9</v>
      </c>
      <c r="AD997">
        <f>VLOOKUP(A:A,[1]android_repos_all_metrics!B:K,5,FALSE)</f>
        <v>0</v>
      </c>
      <c r="AE997">
        <f>VLOOKUP(A:A,[1]android_repos_all_metrics!B:K,6,FALSE)</f>
        <v>1</v>
      </c>
      <c r="AF997">
        <f>VLOOKUP(A:A,[1]android_repos_all_metrics!B:K,7,FALSE)</f>
        <v>971</v>
      </c>
      <c r="AG997">
        <f>VLOOKUP(A:A,[1]android_repos_all_metrics!B:K,8,FALSE)</f>
        <v>7</v>
      </c>
      <c r="AH997">
        <f>VLOOKUP(A:A,[1]android_repos_all_metrics!B:K,9,FALSE)</f>
        <v>11</v>
      </c>
      <c r="AI997">
        <f>VLOOKUP(A:A,[1]android_repos_all_metrics!B:K,10,FALSE)</f>
        <v>3</v>
      </c>
    </row>
    <row r="998" spans="1:35">
      <c r="A998" t="s">
        <v>1062</v>
      </c>
      <c r="B998" t="b">
        <v>1</v>
      </c>
      <c r="C998" t="b">
        <v>0</v>
      </c>
      <c r="D998" t="b">
        <v>0</v>
      </c>
      <c r="F998" t="b">
        <v>0</v>
      </c>
      <c r="H998" t="s">
        <v>37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>
        <v>1</v>
      </c>
      <c r="AB998">
        <v>0</v>
      </c>
      <c r="AC998">
        <f>VLOOKUP(A:A,[1]android_repos_all_metrics!B:K,4,FALSE)</f>
        <v>105</v>
      </c>
      <c r="AD998">
        <f>VLOOKUP(A:A,[1]android_repos_all_metrics!B:K,5,FALSE)</f>
        <v>23</v>
      </c>
      <c r="AE998">
        <f>VLOOKUP(A:A,[1]android_repos_all_metrics!B:K,6,FALSE)</f>
        <v>7</v>
      </c>
      <c r="AF998">
        <f>VLOOKUP(A:A,[1]android_repos_all_metrics!B:K,7,FALSE)</f>
        <v>727</v>
      </c>
      <c r="AG998">
        <f>VLOOKUP(A:A,[1]android_repos_all_metrics!B:K,8,FALSE)</f>
        <v>10</v>
      </c>
      <c r="AH998">
        <f>VLOOKUP(A:A,[1]android_repos_all_metrics!B:K,9,FALSE)</f>
        <v>55</v>
      </c>
      <c r="AI998">
        <f>VLOOKUP(A:A,[1]android_repos_all_metrics!B:K,10,FALSE)</f>
        <v>4</v>
      </c>
    </row>
    <row r="999" spans="1:35">
      <c r="A999" t="s">
        <v>1063</v>
      </c>
      <c r="B999" t="b">
        <v>1</v>
      </c>
      <c r="C999" t="b">
        <v>0</v>
      </c>
      <c r="D999" t="b">
        <v>0</v>
      </c>
      <c r="F999" t="b">
        <v>0</v>
      </c>
      <c r="H999" t="s">
        <v>37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>
        <v>1</v>
      </c>
      <c r="AB999">
        <v>0</v>
      </c>
      <c r="AC999">
        <f>VLOOKUP(A:A,[1]android_repos_all_metrics!B:K,4,FALSE)</f>
        <v>21</v>
      </c>
      <c r="AD999">
        <f>VLOOKUP(A:A,[1]android_repos_all_metrics!B:K,5,FALSE)</f>
        <v>0</v>
      </c>
      <c r="AE999">
        <f>VLOOKUP(A:A,[1]android_repos_all_metrics!B:K,6,FALSE)</f>
        <v>2</v>
      </c>
      <c r="AF999">
        <f>VLOOKUP(A:A,[1]android_repos_all_metrics!B:K,7,FALSE)</f>
        <v>13222</v>
      </c>
      <c r="AG999">
        <f>VLOOKUP(A:A,[1]android_repos_all_metrics!B:K,8,FALSE)</f>
        <v>0</v>
      </c>
      <c r="AH999">
        <f>VLOOKUP(A:A,[1]android_repos_all_metrics!B:K,9,FALSE)</f>
        <v>3</v>
      </c>
      <c r="AI999">
        <f>VLOOKUP(A:A,[1]android_repos_all_metrics!B:K,10,FALSE)</f>
        <v>0</v>
      </c>
    </row>
    <row r="1000" spans="1:35">
      <c r="A1000" t="s">
        <v>1064</v>
      </c>
      <c r="B1000" t="b">
        <v>1</v>
      </c>
      <c r="C1000" t="b">
        <v>0</v>
      </c>
      <c r="D1000" t="b">
        <v>0</v>
      </c>
      <c r="F1000" t="b">
        <v>0</v>
      </c>
      <c r="H1000" t="s">
        <v>325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>
        <v>2</v>
      </c>
      <c r="AB1000">
        <v>0</v>
      </c>
      <c r="AC1000">
        <f>VLOOKUP(A:A,[1]android_repos_all_metrics!B:K,4,FALSE)</f>
        <v>1899</v>
      </c>
      <c r="AD1000">
        <f>VLOOKUP(A:A,[1]android_repos_all_metrics!B:K,5,FALSE)</f>
        <v>23</v>
      </c>
      <c r="AE1000">
        <f>VLOOKUP(A:A,[1]android_repos_all_metrics!B:K,6,FALSE)</f>
        <v>10</v>
      </c>
      <c r="AF1000">
        <f>VLOOKUP(A:A,[1]android_repos_all_metrics!B:K,7,FALSE)</f>
        <v>48953</v>
      </c>
      <c r="AG1000">
        <f>VLOOKUP(A:A,[1]android_repos_all_metrics!B:K,8,FALSE)</f>
        <v>111</v>
      </c>
      <c r="AH1000">
        <f>VLOOKUP(A:A,[1]android_repos_all_metrics!B:K,9,FALSE)</f>
        <v>2714</v>
      </c>
      <c r="AI1000">
        <f>VLOOKUP(A:A,[1]android_repos_all_metrics!B:K,10,FALSE)</f>
        <v>61</v>
      </c>
    </row>
    <row r="1001" spans="1:35">
      <c r="A1001" t="s">
        <v>1065</v>
      </c>
      <c r="B1001" t="b">
        <v>1</v>
      </c>
      <c r="C1001" t="b">
        <v>0</v>
      </c>
      <c r="D1001" t="b">
        <v>0</v>
      </c>
      <c r="F1001" t="b">
        <v>0</v>
      </c>
      <c r="H1001" t="s">
        <v>37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>
        <v>1</v>
      </c>
      <c r="AB1001">
        <v>0</v>
      </c>
      <c r="AC1001">
        <f>VLOOKUP(A:A,[1]android_repos_all_metrics!B:K,4,FALSE)</f>
        <v>269</v>
      </c>
      <c r="AD1001">
        <f>VLOOKUP(A:A,[1]android_repos_all_metrics!B:K,5,FALSE)</f>
        <v>111</v>
      </c>
      <c r="AE1001">
        <f>VLOOKUP(A:A,[1]android_repos_all_metrics!B:K,6,FALSE)</f>
        <v>3</v>
      </c>
      <c r="AF1001">
        <f>VLOOKUP(A:A,[1]android_repos_all_metrics!B:K,7,FALSE)</f>
        <v>362</v>
      </c>
      <c r="AG1001">
        <f>VLOOKUP(A:A,[1]android_repos_all_metrics!B:K,8,FALSE)</f>
        <v>0</v>
      </c>
      <c r="AH1001">
        <f>VLOOKUP(A:A,[1]android_repos_all_metrics!B:K,9,FALSE)</f>
        <v>2</v>
      </c>
      <c r="AI1001">
        <f>VLOOKUP(A:A,[1]android_repos_all_metrics!B:K,10,FALSE)</f>
        <v>8</v>
      </c>
    </row>
    <row r="1002" spans="1:35">
      <c r="A1002" t="s">
        <v>1066</v>
      </c>
      <c r="B1002" t="b">
        <v>1</v>
      </c>
      <c r="C1002" t="b">
        <v>0</v>
      </c>
      <c r="D1002" t="b">
        <v>0</v>
      </c>
      <c r="F1002" t="b">
        <v>0</v>
      </c>
      <c r="H1002" t="s">
        <v>37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>
        <v>3</v>
      </c>
      <c r="AB1002">
        <v>0</v>
      </c>
      <c r="AC1002">
        <f>VLOOKUP(A:A,[1]android_repos_all_metrics!B:K,4,FALSE)</f>
        <v>48</v>
      </c>
      <c r="AD1002">
        <f>VLOOKUP(A:A,[1]android_repos_all_metrics!B:K,5,FALSE)</f>
        <v>3</v>
      </c>
      <c r="AE1002">
        <f>VLOOKUP(A:A,[1]android_repos_all_metrics!B:K,6,FALSE)</f>
        <v>1</v>
      </c>
      <c r="AF1002">
        <f>VLOOKUP(A:A,[1]android_repos_all_metrics!B:K,7,FALSE)</f>
        <v>844</v>
      </c>
      <c r="AG1002">
        <f>VLOOKUP(A:A,[1]android_repos_all_metrics!B:K,8,FALSE)</f>
        <v>38</v>
      </c>
      <c r="AH1002">
        <f>VLOOKUP(A:A,[1]android_repos_all_metrics!B:K,9,FALSE)</f>
        <v>20</v>
      </c>
      <c r="AI1002">
        <f>VLOOKUP(A:A,[1]android_repos_all_metrics!B:K,10,FALSE)</f>
        <v>0</v>
      </c>
    </row>
    <row r="1003" spans="1:35">
      <c r="A1003" t="s">
        <v>1067</v>
      </c>
      <c r="B1003" t="b">
        <v>1</v>
      </c>
      <c r="C1003" t="b">
        <v>0</v>
      </c>
      <c r="D1003" t="b">
        <v>0</v>
      </c>
      <c r="F1003" t="b">
        <v>0</v>
      </c>
      <c r="H1003" t="s">
        <v>37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>
        <v>3</v>
      </c>
      <c r="AB1003">
        <v>0</v>
      </c>
      <c r="AC1003">
        <f>VLOOKUP(A:A,[1]android_repos_all_metrics!B:K,4,FALSE)</f>
        <v>196</v>
      </c>
      <c r="AD1003">
        <f>VLOOKUP(A:A,[1]android_repos_all_metrics!B:K,5,FALSE)</f>
        <v>34</v>
      </c>
      <c r="AE1003">
        <f>VLOOKUP(A:A,[1]android_repos_all_metrics!B:K,6,FALSE)</f>
        <v>1</v>
      </c>
      <c r="AF1003">
        <f>VLOOKUP(A:A,[1]android_repos_all_metrics!B:K,7,FALSE)</f>
        <v>366</v>
      </c>
      <c r="AG1003">
        <f>VLOOKUP(A:A,[1]android_repos_all_metrics!B:K,8,FALSE)</f>
        <v>0</v>
      </c>
      <c r="AH1003">
        <f>VLOOKUP(A:A,[1]android_repos_all_metrics!B:K,9,FALSE)</f>
        <v>1</v>
      </c>
      <c r="AI1003">
        <f>VLOOKUP(A:A,[1]android_repos_all_metrics!B:K,10,FALSE)</f>
        <v>3</v>
      </c>
    </row>
    <row r="1004" spans="1:35">
      <c r="A1004" t="s">
        <v>1068</v>
      </c>
      <c r="B1004" t="b">
        <v>1</v>
      </c>
      <c r="C1004" t="b">
        <v>0</v>
      </c>
      <c r="D1004" t="b">
        <v>0</v>
      </c>
      <c r="F1004" t="b">
        <v>0</v>
      </c>
      <c r="H1004" t="s">
        <v>41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>
        <v>1</v>
      </c>
      <c r="AB1004">
        <v>0</v>
      </c>
      <c r="AC1004">
        <f>VLOOKUP(A:A,[1]android_repos_all_metrics!B:K,4,FALSE)</f>
        <v>102</v>
      </c>
      <c r="AD1004">
        <f>VLOOKUP(A:A,[1]android_repos_all_metrics!B:K,5,FALSE)</f>
        <v>6</v>
      </c>
      <c r="AE1004">
        <f>VLOOKUP(A:A,[1]android_repos_all_metrics!B:K,6,FALSE)</f>
        <v>1</v>
      </c>
      <c r="AF1004">
        <f>VLOOKUP(A:A,[1]android_repos_all_metrics!B:K,7,FALSE)</f>
        <v>10228</v>
      </c>
      <c r="AG1004">
        <f>VLOOKUP(A:A,[1]android_repos_all_metrics!B:K,8,FALSE)</f>
        <v>7</v>
      </c>
      <c r="AH1004">
        <f>VLOOKUP(A:A,[1]android_repos_all_metrics!B:K,9,FALSE)</f>
        <v>28</v>
      </c>
      <c r="AI1004">
        <f>VLOOKUP(A:A,[1]android_repos_all_metrics!B:K,10,FALSE)</f>
        <v>10</v>
      </c>
    </row>
    <row r="1005" spans="1:35">
      <c r="A1005" t="s">
        <v>1069</v>
      </c>
      <c r="B1005" t="b">
        <v>1</v>
      </c>
      <c r="C1005" t="b">
        <v>0</v>
      </c>
      <c r="D1005" t="b">
        <v>0</v>
      </c>
      <c r="F1005" t="b">
        <v>0</v>
      </c>
      <c r="H1005" t="s">
        <v>37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>
        <v>3</v>
      </c>
      <c r="AB1005">
        <v>0</v>
      </c>
      <c r="AC1005">
        <f>VLOOKUP(A:A,[1]android_repos_all_metrics!B:K,4,FALSE)</f>
        <v>659</v>
      </c>
      <c r="AD1005">
        <f>VLOOKUP(A:A,[1]android_repos_all_metrics!B:K,5,FALSE)</f>
        <v>52</v>
      </c>
      <c r="AE1005">
        <f>VLOOKUP(A:A,[1]android_repos_all_metrics!B:K,6,FALSE)</f>
        <v>20</v>
      </c>
      <c r="AF1005">
        <f>VLOOKUP(A:A,[1]android_repos_all_metrics!B:K,7,FALSE)</f>
        <v>16357</v>
      </c>
      <c r="AG1005">
        <f>VLOOKUP(A:A,[1]android_repos_all_metrics!B:K,8,FALSE)</f>
        <v>22</v>
      </c>
      <c r="AH1005">
        <f>VLOOKUP(A:A,[1]android_repos_all_metrics!B:K,9,FALSE)</f>
        <v>94</v>
      </c>
      <c r="AI1005">
        <f>VLOOKUP(A:A,[1]android_repos_all_metrics!B:K,10,FALSE)</f>
        <v>0</v>
      </c>
    </row>
    <row r="1006" spans="1:35">
      <c r="A1006" t="s">
        <v>1070</v>
      </c>
      <c r="B1006" t="b">
        <v>1</v>
      </c>
      <c r="C1006" t="b">
        <v>1</v>
      </c>
      <c r="D1006" t="b">
        <v>0</v>
      </c>
      <c r="F1006" t="b">
        <v>1</v>
      </c>
      <c r="G1006" t="s">
        <v>39</v>
      </c>
      <c r="H1006" t="s">
        <v>86</v>
      </c>
      <c r="I1006" t="s">
        <v>41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>
        <v>2</v>
      </c>
      <c r="AB1006">
        <v>0</v>
      </c>
      <c r="AC1006">
        <f>VLOOKUP(A:A,[1]android_repos_all_metrics!B:K,4,FALSE)</f>
        <v>1618</v>
      </c>
      <c r="AD1006">
        <f>VLOOKUP(A:A,[1]android_repos_all_metrics!B:K,5,FALSE)</f>
        <v>54</v>
      </c>
      <c r="AE1006">
        <f>VLOOKUP(A:A,[1]android_repos_all_metrics!B:K,6,FALSE)</f>
        <v>25</v>
      </c>
      <c r="AF1006">
        <f>VLOOKUP(A:A,[1]android_repos_all_metrics!B:K,7,FALSE)</f>
        <v>6050</v>
      </c>
      <c r="AG1006">
        <f>VLOOKUP(A:A,[1]android_repos_all_metrics!B:K,8,FALSE)</f>
        <v>22</v>
      </c>
      <c r="AH1006">
        <f>VLOOKUP(A:A,[1]android_repos_all_metrics!B:K,9,FALSE)</f>
        <v>62</v>
      </c>
      <c r="AI1006">
        <f>VLOOKUP(A:A,[1]android_repos_all_metrics!B:K,10,FALSE)</f>
        <v>16</v>
      </c>
    </row>
    <row r="1007" spans="1:35">
      <c r="A1007" t="s">
        <v>1071</v>
      </c>
      <c r="B1007" t="b">
        <v>1</v>
      </c>
      <c r="C1007" t="b">
        <v>0</v>
      </c>
      <c r="D1007" t="b">
        <v>0</v>
      </c>
      <c r="F1007" t="b">
        <v>0</v>
      </c>
      <c r="H1007" t="s">
        <v>37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>
        <v>3</v>
      </c>
      <c r="AB1007">
        <v>0</v>
      </c>
      <c r="AC1007">
        <f>VLOOKUP(A:A,[1]android_repos_all_metrics!B:K,4,FALSE)</f>
        <v>401</v>
      </c>
      <c r="AD1007">
        <f>VLOOKUP(A:A,[1]android_repos_all_metrics!B:K,5,FALSE)</f>
        <v>73</v>
      </c>
      <c r="AE1007">
        <f>VLOOKUP(A:A,[1]android_repos_all_metrics!B:K,6,FALSE)</f>
        <v>5</v>
      </c>
      <c r="AF1007">
        <f>VLOOKUP(A:A,[1]android_repos_all_metrics!B:K,7,FALSE)</f>
        <v>3495</v>
      </c>
      <c r="AG1007">
        <f>VLOOKUP(A:A,[1]android_repos_all_metrics!B:K,8,FALSE)</f>
        <v>1</v>
      </c>
      <c r="AH1007">
        <f>VLOOKUP(A:A,[1]android_repos_all_metrics!B:K,9,FALSE)</f>
        <v>6</v>
      </c>
      <c r="AI1007">
        <f>VLOOKUP(A:A,[1]android_repos_all_metrics!B:K,10,FALSE)</f>
        <v>3</v>
      </c>
    </row>
    <row r="1008" spans="1:35">
      <c r="A1008" t="s">
        <v>1072</v>
      </c>
      <c r="B1008" t="b">
        <v>1</v>
      </c>
      <c r="C1008" t="b">
        <v>1</v>
      </c>
      <c r="D1008" t="b">
        <v>1</v>
      </c>
      <c r="E1008" t="s">
        <v>36</v>
      </c>
      <c r="F1008" t="b">
        <v>0</v>
      </c>
      <c r="H1008" t="s">
        <v>37</v>
      </c>
      <c r="I1008" t="s">
        <v>37</v>
      </c>
      <c r="J1008" t="b">
        <v>0</v>
      </c>
      <c r="K1008" t="b">
        <v>0</v>
      </c>
      <c r="L1008" t="b">
        <v>1</v>
      </c>
      <c r="M1008" t="b">
        <v>0</v>
      </c>
      <c r="N1008" t="b">
        <v>1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1</v>
      </c>
      <c r="U1008" t="b">
        <v>1</v>
      </c>
      <c r="V1008" t="b">
        <v>1</v>
      </c>
      <c r="W1008" t="b">
        <v>0</v>
      </c>
      <c r="X1008" t="b">
        <v>0</v>
      </c>
      <c r="Y1008" t="b">
        <v>0</v>
      </c>
      <c r="Z1008">
        <v>6</v>
      </c>
      <c r="AA1008">
        <v>1</v>
      </c>
      <c r="AB1008">
        <v>0</v>
      </c>
      <c r="AC1008">
        <f>VLOOKUP(A:A,[1]android_repos_all_metrics!B:K,4,FALSE)</f>
        <v>34</v>
      </c>
      <c r="AD1008">
        <f>VLOOKUP(A:A,[1]android_repos_all_metrics!B:K,5,FALSE)</f>
        <v>0</v>
      </c>
      <c r="AE1008">
        <f>VLOOKUP(A:A,[1]android_repos_all_metrics!B:K,6,FALSE)</f>
        <v>1</v>
      </c>
      <c r="AF1008">
        <f>VLOOKUP(A:A,[1]android_repos_all_metrics!B:K,7,FALSE)</f>
        <v>265</v>
      </c>
      <c r="AG1008">
        <f>VLOOKUP(A:A,[1]android_repos_all_metrics!B:K,8,FALSE)</f>
        <v>0</v>
      </c>
      <c r="AH1008">
        <f>VLOOKUP(A:A,[1]android_repos_all_metrics!B:K,9,FALSE)</f>
        <v>2</v>
      </c>
      <c r="AI1008">
        <f>VLOOKUP(A:A,[1]android_repos_all_metrics!B:K,10,FALSE)</f>
        <v>0</v>
      </c>
    </row>
    <row r="1009" spans="1:35">
      <c r="A1009" t="s">
        <v>1073</v>
      </c>
      <c r="B1009" t="b">
        <v>1</v>
      </c>
      <c r="C1009" t="b">
        <v>0</v>
      </c>
      <c r="D1009" t="b">
        <v>0</v>
      </c>
      <c r="F1009" t="b">
        <v>0</v>
      </c>
      <c r="H1009" t="s">
        <v>37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>
        <v>2</v>
      </c>
      <c r="AB1009">
        <v>0</v>
      </c>
      <c r="AC1009">
        <f>VLOOKUP(A:A,[1]android_repos_all_metrics!B:K,4,FALSE)</f>
        <v>248</v>
      </c>
      <c r="AD1009">
        <f>VLOOKUP(A:A,[1]android_repos_all_metrics!B:K,5,FALSE)</f>
        <v>3</v>
      </c>
      <c r="AE1009">
        <f>VLOOKUP(A:A,[1]android_repos_all_metrics!B:K,6,FALSE)</f>
        <v>1</v>
      </c>
      <c r="AF1009">
        <f>VLOOKUP(A:A,[1]android_repos_all_metrics!B:K,7,FALSE)</f>
        <v>8225</v>
      </c>
      <c r="AG1009">
        <f>VLOOKUP(A:A,[1]android_repos_all_metrics!B:K,8,FALSE)</f>
        <v>28</v>
      </c>
      <c r="AH1009">
        <f>VLOOKUP(A:A,[1]android_repos_all_metrics!B:K,9,FALSE)</f>
        <v>157</v>
      </c>
      <c r="AI1009">
        <f>VLOOKUP(A:A,[1]android_repos_all_metrics!B:K,10,FALSE)</f>
        <v>0</v>
      </c>
    </row>
    <row r="1010" spans="1:35">
      <c r="A1010" t="s">
        <v>1074</v>
      </c>
      <c r="B1010" t="b">
        <v>0</v>
      </c>
      <c r="C1010" t="b">
        <v>0</v>
      </c>
      <c r="D1010" t="b">
        <v>0</v>
      </c>
      <c r="F1010" t="b">
        <v>0</v>
      </c>
      <c r="H1010" t="s">
        <v>41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>
        <v>1</v>
      </c>
      <c r="AB1010">
        <v>0</v>
      </c>
      <c r="AC1010">
        <f>VLOOKUP(A:A,[1]android_repos_all_metrics!B:K,4,FALSE)</f>
        <v>571</v>
      </c>
      <c r="AD1010">
        <f>VLOOKUP(A:A,[1]android_repos_all_metrics!B:K,5,FALSE)</f>
        <v>8</v>
      </c>
      <c r="AE1010">
        <f>VLOOKUP(A:A,[1]android_repos_all_metrics!B:K,6,FALSE)</f>
        <v>3</v>
      </c>
      <c r="AF1010">
        <f>VLOOKUP(A:A,[1]android_repos_all_metrics!B:K,7,FALSE)</f>
        <v>10236</v>
      </c>
      <c r="AG1010">
        <f>VLOOKUP(A:A,[1]android_repos_all_metrics!B:K,8,FALSE)</f>
        <v>1</v>
      </c>
      <c r="AH1010">
        <f>VLOOKUP(A:A,[1]android_repos_all_metrics!B:K,9,FALSE)</f>
        <v>1</v>
      </c>
      <c r="AI1010">
        <f>VLOOKUP(A:A,[1]android_repos_all_metrics!B:K,10,FALSE)</f>
        <v>14</v>
      </c>
    </row>
    <row r="1011" spans="1:35">
      <c r="A1011" t="s">
        <v>1075</v>
      </c>
      <c r="B1011" t="b">
        <v>1</v>
      </c>
      <c r="C1011" t="b">
        <v>0</v>
      </c>
      <c r="D1011" t="b">
        <v>0</v>
      </c>
      <c r="F1011" t="b">
        <v>0</v>
      </c>
      <c r="H1011" t="s">
        <v>37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>
        <v>1</v>
      </c>
      <c r="AB1011">
        <v>0</v>
      </c>
      <c r="AC1011">
        <f>VLOOKUP(A:A,[1]android_repos_all_metrics!B:K,4,FALSE)</f>
        <v>51</v>
      </c>
      <c r="AD1011">
        <f>VLOOKUP(A:A,[1]android_repos_all_metrics!B:K,5,FALSE)</f>
        <v>7</v>
      </c>
      <c r="AE1011">
        <f>VLOOKUP(A:A,[1]android_repos_all_metrics!B:K,6,FALSE)</f>
        <v>1</v>
      </c>
      <c r="AF1011">
        <f>VLOOKUP(A:A,[1]android_repos_all_metrics!B:K,7,FALSE)</f>
        <v>269</v>
      </c>
      <c r="AG1011">
        <f>VLOOKUP(A:A,[1]android_repos_all_metrics!B:K,8,FALSE)</f>
        <v>1</v>
      </c>
      <c r="AH1011">
        <f>VLOOKUP(A:A,[1]android_repos_all_metrics!B:K,9,FALSE)</f>
        <v>2</v>
      </c>
      <c r="AI1011">
        <f>VLOOKUP(A:A,[1]android_repos_all_metrics!B:K,10,FALSE)</f>
        <v>1</v>
      </c>
    </row>
    <row r="1012" spans="1:35">
      <c r="A1012" t="s">
        <v>1076</v>
      </c>
      <c r="B1012" t="b">
        <v>0</v>
      </c>
      <c r="C1012" t="b">
        <v>0</v>
      </c>
      <c r="D1012" t="b">
        <v>0</v>
      </c>
      <c r="F1012" t="b">
        <v>0</v>
      </c>
      <c r="H1012" t="s">
        <v>41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>
        <v>1</v>
      </c>
      <c r="AB1012">
        <v>0</v>
      </c>
      <c r="AC1012">
        <f>VLOOKUP(A:A,[1]android_repos_all_metrics!B:K,4,FALSE)</f>
        <v>90</v>
      </c>
      <c r="AD1012">
        <f>VLOOKUP(A:A,[1]android_repos_all_metrics!B:K,5,FALSE)</f>
        <v>4</v>
      </c>
      <c r="AE1012">
        <f>VLOOKUP(A:A,[1]android_repos_all_metrics!B:K,6,FALSE)</f>
        <v>3</v>
      </c>
      <c r="AF1012">
        <f>VLOOKUP(A:A,[1]android_repos_all_metrics!B:K,7,FALSE)</f>
        <v>515</v>
      </c>
      <c r="AG1012">
        <f>VLOOKUP(A:A,[1]android_repos_all_metrics!B:K,8,FALSE)</f>
        <v>4</v>
      </c>
      <c r="AH1012">
        <f>VLOOKUP(A:A,[1]android_repos_all_metrics!B:K,9,FALSE)</f>
        <v>12</v>
      </c>
      <c r="AI1012">
        <f>VLOOKUP(A:A,[1]android_repos_all_metrics!B:K,10,FALSE)</f>
        <v>10</v>
      </c>
    </row>
    <row r="1013" spans="1:35">
      <c r="A1013" t="s">
        <v>1077</v>
      </c>
      <c r="B1013" t="b">
        <v>1</v>
      </c>
      <c r="C1013" t="b">
        <v>0</v>
      </c>
      <c r="D1013" t="b">
        <v>0</v>
      </c>
      <c r="F1013" t="b">
        <v>0</v>
      </c>
      <c r="H1013" t="s">
        <v>37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>
        <v>1</v>
      </c>
      <c r="AB1013">
        <v>0</v>
      </c>
      <c r="AC1013">
        <f>VLOOKUP(A:A,[1]android_repos_all_metrics!B:K,4,FALSE)</f>
        <v>17</v>
      </c>
      <c r="AD1013">
        <f>VLOOKUP(A:A,[1]android_repos_all_metrics!B:K,5,FALSE)</f>
        <v>7</v>
      </c>
      <c r="AE1013">
        <f>VLOOKUP(A:A,[1]android_repos_all_metrics!B:K,6,FALSE)</f>
        <v>1</v>
      </c>
      <c r="AF1013">
        <f>VLOOKUP(A:A,[1]android_repos_all_metrics!B:K,7,FALSE)</f>
        <v>733</v>
      </c>
      <c r="AG1013">
        <f>VLOOKUP(A:A,[1]android_repos_all_metrics!B:K,8,FALSE)</f>
        <v>0</v>
      </c>
      <c r="AH1013">
        <f>VLOOKUP(A:A,[1]android_repos_all_metrics!B:K,9,FALSE)</f>
        <v>2</v>
      </c>
      <c r="AI1013">
        <f>VLOOKUP(A:A,[1]android_repos_all_metrics!B:K,10,FALSE)</f>
        <v>0</v>
      </c>
    </row>
    <row r="1014" spans="1:35">
      <c r="A1014" t="s">
        <v>1078</v>
      </c>
      <c r="B1014" t="b">
        <v>0</v>
      </c>
      <c r="C1014" t="b">
        <v>0</v>
      </c>
      <c r="D1014" t="b">
        <v>0</v>
      </c>
      <c r="F1014" t="b">
        <v>0</v>
      </c>
      <c r="H1014" t="s">
        <v>41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>
        <v>1</v>
      </c>
      <c r="AB1014">
        <v>0</v>
      </c>
      <c r="AC1014">
        <f>VLOOKUP(A:A,[1]android_repos_all_metrics!B:K,4,FALSE)</f>
        <v>5</v>
      </c>
      <c r="AD1014">
        <f>VLOOKUP(A:A,[1]android_repos_all_metrics!B:K,5,FALSE)</f>
        <v>0</v>
      </c>
      <c r="AE1014">
        <f>VLOOKUP(A:A,[1]android_repos_all_metrics!B:K,6,FALSE)</f>
        <v>1</v>
      </c>
      <c r="AF1014">
        <f>VLOOKUP(A:A,[1]android_repos_all_metrics!B:K,7,FALSE)</f>
        <v>307</v>
      </c>
      <c r="AG1014">
        <f>VLOOKUP(A:A,[1]android_repos_all_metrics!B:K,8,FALSE)</f>
        <v>1</v>
      </c>
      <c r="AH1014">
        <f>VLOOKUP(A:A,[1]android_repos_all_metrics!B:K,9,FALSE)</f>
        <v>1</v>
      </c>
      <c r="AI1014">
        <f>VLOOKUP(A:A,[1]android_repos_all_metrics!B:K,10,FALSE)</f>
        <v>0</v>
      </c>
    </row>
    <row r="1015" spans="1:35">
      <c r="A1015" t="s">
        <v>1079</v>
      </c>
      <c r="B1015" t="b">
        <v>1</v>
      </c>
      <c r="C1015" t="b">
        <v>1</v>
      </c>
      <c r="D1015" t="b">
        <v>0</v>
      </c>
      <c r="F1015" t="b">
        <v>1</v>
      </c>
      <c r="G1015" t="s">
        <v>109</v>
      </c>
      <c r="H1015" t="s">
        <v>43</v>
      </c>
      <c r="I1015" t="s">
        <v>43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>
        <v>1</v>
      </c>
      <c r="AB1015">
        <v>0</v>
      </c>
      <c r="AC1015">
        <f>VLOOKUP(A:A,[1]android_repos_all_metrics!B:K,4,FALSE)</f>
        <v>18</v>
      </c>
      <c r="AD1015">
        <f>VLOOKUP(A:A,[1]android_repos_all_metrics!B:K,5,FALSE)</f>
        <v>6</v>
      </c>
      <c r="AE1015">
        <f>VLOOKUP(A:A,[1]android_repos_all_metrics!B:K,6,FALSE)</f>
        <v>1</v>
      </c>
      <c r="AF1015">
        <f>VLOOKUP(A:A,[1]android_repos_all_metrics!B:K,7,FALSE)</f>
        <v>249</v>
      </c>
      <c r="AG1015">
        <f>VLOOKUP(A:A,[1]android_repos_all_metrics!B:K,8,FALSE)</f>
        <v>0</v>
      </c>
      <c r="AH1015">
        <f>VLOOKUP(A:A,[1]android_repos_all_metrics!B:K,9,FALSE)</f>
        <v>4</v>
      </c>
      <c r="AI1015">
        <f>VLOOKUP(A:A,[1]android_repos_all_metrics!B:K,10,FALSE)</f>
        <v>0</v>
      </c>
    </row>
    <row r="1016" spans="1:35">
      <c r="A1016" t="s">
        <v>1080</v>
      </c>
      <c r="B1016" t="b">
        <v>1</v>
      </c>
      <c r="C1016" t="b">
        <v>0</v>
      </c>
      <c r="D1016" t="b">
        <v>0</v>
      </c>
      <c r="F1016" t="b">
        <v>0</v>
      </c>
      <c r="H1016" t="s">
        <v>37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>
        <v>1</v>
      </c>
      <c r="AB1016">
        <v>0</v>
      </c>
      <c r="AC1016">
        <f>VLOOKUP(A:A,[1]android_repos_all_metrics!B:K,4,FALSE)</f>
        <v>70</v>
      </c>
      <c r="AD1016">
        <f>VLOOKUP(A:A,[1]android_repos_all_metrics!B:K,5,FALSE)</f>
        <v>21</v>
      </c>
      <c r="AE1016">
        <f>VLOOKUP(A:A,[1]android_repos_all_metrics!B:K,6,FALSE)</f>
        <v>6</v>
      </c>
      <c r="AF1016">
        <f>VLOOKUP(A:A,[1]android_repos_all_metrics!B:K,7,FALSE)</f>
        <v>1663</v>
      </c>
      <c r="AG1016">
        <f>VLOOKUP(A:A,[1]android_repos_all_metrics!B:K,8,FALSE)</f>
        <v>5</v>
      </c>
      <c r="AH1016">
        <f>VLOOKUP(A:A,[1]android_repos_all_metrics!B:K,9,FALSE)</f>
        <v>3</v>
      </c>
      <c r="AI1016">
        <f>VLOOKUP(A:A,[1]android_repos_all_metrics!B:K,10,FALSE)</f>
        <v>0</v>
      </c>
    </row>
    <row r="1017" spans="1:35">
      <c r="A1017" t="s">
        <v>1081</v>
      </c>
      <c r="B1017" t="b">
        <v>1</v>
      </c>
      <c r="C1017" t="b">
        <v>0</v>
      </c>
      <c r="D1017" t="b">
        <v>0</v>
      </c>
      <c r="F1017" t="b">
        <v>0</v>
      </c>
      <c r="H1017" t="s">
        <v>37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>
        <v>1</v>
      </c>
      <c r="AB1017">
        <v>0</v>
      </c>
      <c r="AC1017">
        <f>VLOOKUP(A:A,[1]android_repos_all_metrics!B:K,4,FALSE)</f>
        <v>2672</v>
      </c>
      <c r="AD1017">
        <f>VLOOKUP(A:A,[1]android_repos_all_metrics!B:K,5,FALSE)</f>
        <v>621</v>
      </c>
      <c r="AE1017">
        <f>VLOOKUP(A:A,[1]android_repos_all_metrics!B:K,6,FALSE)</f>
        <v>4</v>
      </c>
      <c r="AF1017">
        <f>VLOOKUP(A:A,[1]android_repos_all_metrics!B:K,7,FALSE)</f>
        <v>438462</v>
      </c>
      <c r="AG1017">
        <f>VLOOKUP(A:A,[1]android_repos_all_metrics!B:K,8,FALSE)</f>
        <v>5</v>
      </c>
      <c r="AH1017">
        <f>VLOOKUP(A:A,[1]android_repos_all_metrics!B:K,9,FALSE)</f>
        <v>7</v>
      </c>
      <c r="AI1017">
        <f>VLOOKUP(A:A,[1]android_repos_all_metrics!B:K,10,FALSE)</f>
        <v>15</v>
      </c>
    </row>
    <row r="1018" spans="1:35">
      <c r="A1018" t="s">
        <v>1082</v>
      </c>
      <c r="B1018" t="b">
        <v>1</v>
      </c>
      <c r="C1018" t="b">
        <v>0</v>
      </c>
      <c r="D1018" t="b">
        <v>0</v>
      </c>
      <c r="F1018" t="b">
        <v>0</v>
      </c>
      <c r="H1018" t="s">
        <v>41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>
        <v>1</v>
      </c>
      <c r="AB1018">
        <v>0</v>
      </c>
      <c r="AC1018">
        <f>VLOOKUP(A:A,[1]android_repos_all_metrics!B:K,4,FALSE)</f>
        <v>271</v>
      </c>
      <c r="AD1018">
        <f>VLOOKUP(A:A,[1]android_repos_all_metrics!B:K,5,FALSE)</f>
        <v>5</v>
      </c>
      <c r="AE1018">
        <f>VLOOKUP(A:A,[1]android_repos_all_metrics!B:K,6,FALSE)</f>
        <v>7</v>
      </c>
      <c r="AF1018">
        <f>VLOOKUP(A:A,[1]android_repos_all_metrics!B:K,7,FALSE)</f>
        <v>19371</v>
      </c>
      <c r="AG1018">
        <f>VLOOKUP(A:A,[1]android_repos_all_metrics!B:K,8,FALSE)</f>
        <v>1</v>
      </c>
      <c r="AH1018">
        <f>VLOOKUP(A:A,[1]android_repos_all_metrics!B:K,9,FALSE)</f>
        <v>1</v>
      </c>
      <c r="AI1018">
        <f>VLOOKUP(A:A,[1]android_repos_all_metrics!B:K,10,FALSE)</f>
        <v>40</v>
      </c>
    </row>
    <row r="1019" spans="1:35">
      <c r="A1019" t="s">
        <v>1083</v>
      </c>
      <c r="B1019" t="b">
        <v>1</v>
      </c>
      <c r="C1019" t="b">
        <v>0</v>
      </c>
      <c r="D1019" t="b">
        <v>0</v>
      </c>
      <c r="F1019" t="b">
        <v>0</v>
      </c>
      <c r="H1019" t="s">
        <v>37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>
        <v>1</v>
      </c>
      <c r="AB1019">
        <v>0</v>
      </c>
      <c r="AC1019">
        <f>VLOOKUP(A:A,[1]android_repos_all_metrics!B:K,4,FALSE)</f>
        <v>25</v>
      </c>
      <c r="AD1019">
        <f>VLOOKUP(A:A,[1]android_repos_all_metrics!B:K,5,FALSE)</f>
        <v>6</v>
      </c>
      <c r="AE1019">
        <f>VLOOKUP(A:A,[1]android_repos_all_metrics!B:K,6,FALSE)</f>
        <v>3</v>
      </c>
      <c r="AF1019">
        <f>VLOOKUP(A:A,[1]android_repos_all_metrics!B:K,7,FALSE)</f>
        <v>8081</v>
      </c>
      <c r="AG1019">
        <f>VLOOKUP(A:A,[1]android_repos_all_metrics!B:K,8,FALSE)</f>
        <v>0</v>
      </c>
      <c r="AH1019">
        <f>VLOOKUP(A:A,[1]android_repos_all_metrics!B:K,9,FALSE)</f>
        <v>1</v>
      </c>
      <c r="AI1019">
        <f>VLOOKUP(A:A,[1]android_repos_all_metrics!B:K,10,FALSE)</f>
        <v>4</v>
      </c>
    </row>
    <row r="1020" spans="1:35">
      <c r="A1020" t="s">
        <v>1084</v>
      </c>
      <c r="B1020" t="b">
        <v>1</v>
      </c>
      <c r="C1020" t="b">
        <v>0</v>
      </c>
      <c r="D1020" t="b">
        <v>0</v>
      </c>
      <c r="F1020" t="b">
        <v>0</v>
      </c>
      <c r="H1020" t="s">
        <v>41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>
        <v>1</v>
      </c>
      <c r="AB1020">
        <v>0</v>
      </c>
      <c r="AC1020">
        <f>VLOOKUP(A:A,[1]android_repos_all_metrics!B:K,4,FALSE)</f>
        <v>313</v>
      </c>
      <c r="AD1020">
        <f>VLOOKUP(A:A,[1]android_repos_all_metrics!B:K,5,FALSE)</f>
        <v>4</v>
      </c>
      <c r="AE1020">
        <f>VLOOKUP(A:A,[1]android_repos_all_metrics!B:K,6,FALSE)</f>
        <v>2</v>
      </c>
      <c r="AF1020">
        <f>VLOOKUP(A:A,[1]android_repos_all_metrics!B:K,7,FALSE)</f>
        <v>28680</v>
      </c>
      <c r="AG1020">
        <f>VLOOKUP(A:A,[1]android_repos_all_metrics!B:K,8,FALSE)</f>
        <v>2</v>
      </c>
      <c r="AH1020">
        <f>VLOOKUP(A:A,[1]android_repos_all_metrics!B:K,9,FALSE)</f>
        <v>20</v>
      </c>
      <c r="AI1020">
        <f>VLOOKUP(A:A,[1]android_repos_all_metrics!B:K,10,FALSE)</f>
        <v>40</v>
      </c>
    </row>
    <row r="1021" spans="1:35">
      <c r="A1021" t="s">
        <v>1085</v>
      </c>
      <c r="B1021" t="b">
        <v>1</v>
      </c>
      <c r="C1021" t="b">
        <v>0</v>
      </c>
      <c r="D1021" t="b">
        <v>0</v>
      </c>
      <c r="F1021" t="b">
        <v>0</v>
      </c>
      <c r="H1021" t="s">
        <v>37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>
        <v>1</v>
      </c>
      <c r="AB1021">
        <v>0</v>
      </c>
      <c r="AC1021">
        <f>VLOOKUP(A:A,[1]android_repos_all_metrics!B:K,4,FALSE)</f>
        <v>2226</v>
      </c>
      <c r="AD1021">
        <f>VLOOKUP(A:A,[1]android_repos_all_metrics!B:K,5,FALSE)</f>
        <v>75</v>
      </c>
      <c r="AE1021">
        <f>VLOOKUP(A:A,[1]android_repos_all_metrics!B:K,6,FALSE)</f>
        <v>13</v>
      </c>
      <c r="AF1021">
        <f>VLOOKUP(A:A,[1]android_repos_all_metrics!B:K,7,FALSE)</f>
        <v>17502</v>
      </c>
      <c r="AG1021">
        <f>VLOOKUP(A:A,[1]android_repos_all_metrics!B:K,8,FALSE)</f>
        <v>94</v>
      </c>
      <c r="AH1021">
        <f>VLOOKUP(A:A,[1]android_repos_all_metrics!B:K,9,FALSE)</f>
        <v>666</v>
      </c>
      <c r="AI1021">
        <f>VLOOKUP(A:A,[1]android_repos_all_metrics!B:K,10,FALSE)</f>
        <v>35</v>
      </c>
    </row>
    <row r="1022" spans="1:35">
      <c r="A1022" t="s">
        <v>1086</v>
      </c>
      <c r="B1022" t="b">
        <v>1</v>
      </c>
      <c r="C1022" t="b">
        <v>0</v>
      </c>
      <c r="D1022" t="b">
        <v>0</v>
      </c>
      <c r="F1022" t="b">
        <v>0</v>
      </c>
      <c r="H1022" t="s">
        <v>37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>
        <v>1</v>
      </c>
      <c r="AB1022">
        <v>0</v>
      </c>
      <c r="AC1022">
        <f>VLOOKUP(A:A,[1]android_repos_all_metrics!B:K,4,FALSE)</f>
        <v>121</v>
      </c>
      <c r="AD1022">
        <f>VLOOKUP(A:A,[1]android_repos_all_metrics!B:K,5,FALSE)</f>
        <v>58</v>
      </c>
      <c r="AE1022">
        <f>VLOOKUP(A:A,[1]android_repos_all_metrics!B:K,6,FALSE)</f>
        <v>1</v>
      </c>
      <c r="AF1022">
        <f>VLOOKUP(A:A,[1]android_repos_all_metrics!B:K,7,FALSE)</f>
        <v>2087</v>
      </c>
      <c r="AG1022">
        <f>VLOOKUP(A:A,[1]android_repos_all_metrics!B:K,8,FALSE)</f>
        <v>0</v>
      </c>
      <c r="AH1022">
        <f>VLOOKUP(A:A,[1]android_repos_all_metrics!B:K,9,FALSE)</f>
        <v>5</v>
      </c>
      <c r="AI1022">
        <f>VLOOKUP(A:A,[1]android_repos_all_metrics!B:K,10,FALSE)</f>
        <v>1</v>
      </c>
    </row>
    <row r="1023" spans="1:35">
      <c r="A1023" t="s">
        <v>1087</v>
      </c>
      <c r="B1023" t="b">
        <v>1</v>
      </c>
      <c r="C1023" t="b">
        <v>0</v>
      </c>
      <c r="D1023" t="b">
        <v>0</v>
      </c>
      <c r="F1023" t="b">
        <v>0</v>
      </c>
      <c r="H1023" t="s">
        <v>37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>
        <v>2</v>
      </c>
      <c r="AB1023">
        <v>0</v>
      </c>
      <c r="AC1023">
        <f>VLOOKUP(A:A,[1]android_repos_all_metrics!B:K,4,FALSE)</f>
        <v>83</v>
      </c>
      <c r="AD1023">
        <f>VLOOKUP(A:A,[1]android_repos_all_metrics!B:K,5,FALSE)</f>
        <v>4</v>
      </c>
      <c r="AE1023">
        <f>VLOOKUP(A:A,[1]android_repos_all_metrics!B:K,6,FALSE)</f>
        <v>1</v>
      </c>
      <c r="AF1023">
        <f>VLOOKUP(A:A,[1]android_repos_all_metrics!B:K,7,FALSE)</f>
        <v>11698</v>
      </c>
      <c r="AG1023">
        <f>VLOOKUP(A:A,[1]android_repos_all_metrics!B:K,8,FALSE)</f>
        <v>0</v>
      </c>
      <c r="AH1023">
        <f>VLOOKUP(A:A,[1]android_repos_all_metrics!B:K,9,FALSE)</f>
        <v>1</v>
      </c>
      <c r="AI1023">
        <f>VLOOKUP(A:A,[1]android_repos_all_metrics!B:K,10,FALSE)</f>
        <v>0</v>
      </c>
    </row>
    <row r="1024" spans="1:35">
      <c r="A1024" t="s">
        <v>1088</v>
      </c>
      <c r="B1024" t="b">
        <v>1</v>
      </c>
      <c r="C1024" t="b">
        <v>0</v>
      </c>
      <c r="D1024" t="b">
        <v>0</v>
      </c>
      <c r="F1024" t="b">
        <v>0</v>
      </c>
      <c r="H1024" t="s">
        <v>37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>
        <v>1</v>
      </c>
      <c r="AB1024">
        <v>0</v>
      </c>
      <c r="AC1024">
        <f>VLOOKUP(A:A,[1]android_repos_all_metrics!B:K,4,FALSE)</f>
        <v>34</v>
      </c>
      <c r="AD1024">
        <f>VLOOKUP(A:A,[1]android_repos_all_metrics!B:K,5,FALSE)</f>
        <v>1</v>
      </c>
      <c r="AE1024">
        <f>VLOOKUP(A:A,[1]android_repos_all_metrics!B:K,6,FALSE)</f>
        <v>1</v>
      </c>
      <c r="AF1024">
        <f>VLOOKUP(A:A,[1]android_repos_all_metrics!B:K,7,FALSE)</f>
        <v>181</v>
      </c>
      <c r="AG1024">
        <f>VLOOKUP(A:A,[1]android_repos_all_metrics!B:K,8,FALSE)</f>
        <v>2</v>
      </c>
      <c r="AH1024">
        <f>VLOOKUP(A:A,[1]android_repos_all_metrics!B:K,9,FALSE)</f>
        <v>8</v>
      </c>
      <c r="AI1024">
        <f>VLOOKUP(A:A,[1]android_repos_all_metrics!B:K,10,FALSE)</f>
        <v>1</v>
      </c>
    </row>
    <row r="1025" spans="1:35">
      <c r="A1025" t="s">
        <v>1089</v>
      </c>
      <c r="B1025" t="b">
        <v>1</v>
      </c>
      <c r="C1025" t="b">
        <v>1</v>
      </c>
      <c r="D1025" t="b">
        <v>0</v>
      </c>
      <c r="F1025" t="b">
        <v>1</v>
      </c>
      <c r="G1025" t="s">
        <v>39</v>
      </c>
      <c r="H1025" t="s">
        <v>41</v>
      </c>
      <c r="I1025" t="s">
        <v>41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>
        <v>1</v>
      </c>
      <c r="AB1025">
        <v>0</v>
      </c>
      <c r="AC1025">
        <f>VLOOKUP(A:A,[1]android_repos_all_metrics!B:K,4,FALSE)</f>
        <v>17</v>
      </c>
      <c r="AD1025">
        <f>VLOOKUP(A:A,[1]android_repos_all_metrics!B:K,5,FALSE)</f>
        <v>3</v>
      </c>
      <c r="AE1025">
        <f>VLOOKUP(A:A,[1]android_repos_all_metrics!B:K,6,FALSE)</f>
        <v>3</v>
      </c>
      <c r="AF1025">
        <f>VLOOKUP(A:A,[1]android_repos_all_metrics!B:K,7,FALSE)</f>
        <v>531</v>
      </c>
      <c r="AG1025">
        <f>VLOOKUP(A:A,[1]android_repos_all_metrics!B:K,8,FALSE)</f>
        <v>1</v>
      </c>
      <c r="AH1025">
        <f>VLOOKUP(A:A,[1]android_repos_all_metrics!B:K,9,FALSE)</f>
        <v>3</v>
      </c>
      <c r="AI1025">
        <f>VLOOKUP(A:A,[1]android_repos_all_metrics!B:K,10,FALSE)</f>
        <v>0</v>
      </c>
    </row>
    <row r="1026" spans="1:35">
      <c r="A1026" t="s">
        <v>1090</v>
      </c>
      <c r="B1026" t="b">
        <v>1</v>
      </c>
      <c r="C1026" t="b">
        <v>0</v>
      </c>
      <c r="D1026" t="b">
        <v>0</v>
      </c>
      <c r="F1026" t="b">
        <v>0</v>
      </c>
      <c r="H1026" t="s">
        <v>37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>
        <v>1</v>
      </c>
      <c r="AB1026">
        <v>0</v>
      </c>
      <c r="AC1026">
        <f>VLOOKUP(A:A,[1]android_repos_all_metrics!B:K,4,FALSE)</f>
        <v>34</v>
      </c>
      <c r="AD1026">
        <f>VLOOKUP(A:A,[1]android_repos_all_metrics!B:K,5,FALSE)</f>
        <v>34</v>
      </c>
      <c r="AE1026">
        <f>VLOOKUP(A:A,[1]android_repos_all_metrics!B:K,6,FALSE)</f>
        <v>1</v>
      </c>
      <c r="AF1026">
        <f>VLOOKUP(A:A,[1]android_repos_all_metrics!B:K,7,FALSE)</f>
        <v>12268</v>
      </c>
      <c r="AG1026">
        <f>VLOOKUP(A:A,[1]android_repos_all_metrics!B:K,8,FALSE)</f>
        <v>0</v>
      </c>
      <c r="AH1026">
        <f>VLOOKUP(A:A,[1]android_repos_all_metrics!B:K,9,FALSE)</f>
        <v>5</v>
      </c>
      <c r="AI1026">
        <f>VLOOKUP(A:A,[1]android_repos_all_metrics!B:K,10,FALSE)</f>
        <v>0</v>
      </c>
    </row>
    <row r="1027" spans="1:35">
      <c r="A1027" t="s">
        <v>1091</v>
      </c>
      <c r="B1027" t="b">
        <v>1</v>
      </c>
      <c r="C1027" t="b">
        <v>0</v>
      </c>
      <c r="D1027" t="b">
        <v>0</v>
      </c>
      <c r="F1027" t="b">
        <v>0</v>
      </c>
      <c r="H1027" t="s">
        <v>37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>
        <v>1</v>
      </c>
      <c r="AB1027">
        <v>0</v>
      </c>
      <c r="AC1027">
        <f>VLOOKUP(A:A,[1]android_repos_all_metrics!B:K,4,FALSE)</f>
        <v>2962</v>
      </c>
      <c r="AD1027">
        <f>VLOOKUP(A:A,[1]android_repos_all_metrics!B:K,5,FALSE)</f>
        <v>625</v>
      </c>
      <c r="AE1027">
        <f>VLOOKUP(A:A,[1]android_repos_all_metrics!B:K,6,FALSE)</f>
        <v>45</v>
      </c>
      <c r="AF1027">
        <f>VLOOKUP(A:A,[1]android_repos_all_metrics!B:K,7,FALSE)</f>
        <v>12397</v>
      </c>
      <c r="AG1027">
        <f>VLOOKUP(A:A,[1]android_repos_all_metrics!B:K,8,FALSE)</f>
        <v>12</v>
      </c>
      <c r="AH1027">
        <f>VLOOKUP(A:A,[1]android_repos_all_metrics!B:K,9,FALSE)</f>
        <v>20</v>
      </c>
      <c r="AI1027">
        <f>VLOOKUP(A:A,[1]android_repos_all_metrics!B:K,10,FALSE)</f>
        <v>18</v>
      </c>
    </row>
    <row r="1028" spans="1:35">
      <c r="A1028" t="s">
        <v>1092</v>
      </c>
      <c r="B1028" t="b">
        <v>1</v>
      </c>
      <c r="C1028" t="b">
        <v>0</v>
      </c>
      <c r="D1028" t="b">
        <v>0</v>
      </c>
      <c r="F1028" t="b">
        <v>0</v>
      </c>
      <c r="H1028" t="s">
        <v>76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>
        <v>1</v>
      </c>
      <c r="AB1028">
        <v>0</v>
      </c>
      <c r="AC1028">
        <f>VLOOKUP(A:A,[1]android_repos_all_metrics!B:K,4,FALSE)</f>
        <v>225</v>
      </c>
      <c r="AD1028">
        <f>VLOOKUP(A:A,[1]android_repos_all_metrics!B:K,5,FALSE)</f>
        <v>14</v>
      </c>
      <c r="AE1028">
        <f>VLOOKUP(A:A,[1]android_repos_all_metrics!B:K,6,FALSE)</f>
        <v>23</v>
      </c>
      <c r="AF1028">
        <f>VLOOKUP(A:A,[1]android_repos_all_metrics!B:K,7,FALSE)</f>
        <v>3491</v>
      </c>
      <c r="AG1028">
        <f>VLOOKUP(A:A,[1]android_repos_all_metrics!B:K,8,FALSE)</f>
        <v>27</v>
      </c>
      <c r="AH1028">
        <f>VLOOKUP(A:A,[1]android_repos_all_metrics!B:K,9,FALSE)</f>
        <v>233</v>
      </c>
      <c r="AI1028">
        <f>VLOOKUP(A:A,[1]android_repos_all_metrics!B:K,10,FALSE)</f>
        <v>8</v>
      </c>
    </row>
    <row r="1029" spans="1:35">
      <c r="A1029" t="s">
        <v>1093</v>
      </c>
      <c r="B1029" t="b">
        <v>1</v>
      </c>
      <c r="C1029" t="b">
        <v>1</v>
      </c>
      <c r="D1029" t="b">
        <v>1</v>
      </c>
      <c r="E1029" t="s">
        <v>36</v>
      </c>
      <c r="F1029" t="b">
        <v>0</v>
      </c>
      <c r="H1029" t="s">
        <v>86</v>
      </c>
      <c r="I1029" t="s">
        <v>37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>
        <v>1</v>
      </c>
      <c r="AA1029">
        <v>3</v>
      </c>
      <c r="AB1029">
        <v>0</v>
      </c>
      <c r="AC1029">
        <f>VLOOKUP(A:A,[1]android_repos_all_metrics!B:K,4,FALSE)</f>
        <v>9914</v>
      </c>
      <c r="AD1029">
        <f>VLOOKUP(A:A,[1]android_repos_all_metrics!B:K,5,FALSE)</f>
        <v>230</v>
      </c>
      <c r="AE1029">
        <f>VLOOKUP(A:A,[1]android_repos_all_metrics!B:K,6,FALSE)</f>
        <v>20</v>
      </c>
      <c r="AF1029">
        <f>VLOOKUP(A:A,[1]android_repos_all_metrics!B:K,7,FALSE)</f>
        <v>126341</v>
      </c>
      <c r="AG1029">
        <f>VLOOKUP(A:A,[1]android_repos_all_metrics!B:K,8,FALSE)</f>
        <v>57</v>
      </c>
      <c r="AH1029">
        <f>VLOOKUP(A:A,[1]android_repos_all_metrics!B:K,9,FALSE)</f>
        <v>458</v>
      </c>
      <c r="AI1029">
        <f>VLOOKUP(A:A,[1]android_repos_all_metrics!B:K,10,FALSE)</f>
        <v>53</v>
      </c>
    </row>
    <row r="1030" spans="1:35">
      <c r="A1030" t="s">
        <v>1094</v>
      </c>
      <c r="B1030" t="b">
        <v>1</v>
      </c>
      <c r="C1030" t="b">
        <v>0</v>
      </c>
      <c r="D1030" t="b">
        <v>0</v>
      </c>
      <c r="F1030" t="b">
        <v>0</v>
      </c>
      <c r="H1030" t="s">
        <v>37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>
        <v>1</v>
      </c>
      <c r="AB1030">
        <v>0</v>
      </c>
      <c r="AC1030">
        <f>VLOOKUP(A:A,[1]android_repos_all_metrics!B:K,4,FALSE)</f>
        <v>3</v>
      </c>
      <c r="AD1030">
        <f>VLOOKUP(A:A,[1]android_repos_all_metrics!B:K,5,FALSE)</f>
        <v>1</v>
      </c>
      <c r="AE1030">
        <f>VLOOKUP(A:A,[1]android_repos_all_metrics!B:K,6,FALSE)</f>
        <v>2</v>
      </c>
      <c r="AF1030">
        <f>VLOOKUP(A:A,[1]android_repos_all_metrics!B:K,7,FALSE)</f>
        <v>772</v>
      </c>
      <c r="AG1030">
        <f>VLOOKUP(A:A,[1]android_repos_all_metrics!B:K,8,FALSE)</f>
        <v>1</v>
      </c>
      <c r="AH1030">
        <f>VLOOKUP(A:A,[1]android_repos_all_metrics!B:K,9,FALSE)</f>
        <v>12</v>
      </c>
      <c r="AI1030">
        <f>VLOOKUP(A:A,[1]android_repos_all_metrics!B:K,10,FALSE)</f>
        <v>0</v>
      </c>
    </row>
    <row r="1031" spans="1:35">
      <c r="A1031" t="s">
        <v>1095</v>
      </c>
      <c r="B1031" t="b">
        <v>1</v>
      </c>
      <c r="C1031" t="b">
        <v>0</v>
      </c>
      <c r="D1031" t="b">
        <v>0</v>
      </c>
      <c r="F1031" t="b">
        <v>0</v>
      </c>
      <c r="H1031" t="s">
        <v>37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>
        <v>1</v>
      </c>
      <c r="AB1031">
        <v>0</v>
      </c>
      <c r="AC1031">
        <f>VLOOKUP(A:A,[1]android_repos_all_metrics!B:K,4,FALSE)</f>
        <v>143</v>
      </c>
      <c r="AD1031">
        <f>VLOOKUP(A:A,[1]android_repos_all_metrics!B:K,5,FALSE)</f>
        <v>12</v>
      </c>
      <c r="AE1031">
        <f>VLOOKUP(A:A,[1]android_repos_all_metrics!B:K,6,FALSE)</f>
        <v>5</v>
      </c>
      <c r="AF1031">
        <f>VLOOKUP(A:A,[1]android_repos_all_metrics!B:K,7,FALSE)</f>
        <v>1217</v>
      </c>
      <c r="AG1031">
        <f>VLOOKUP(A:A,[1]android_repos_all_metrics!B:K,8,FALSE)</f>
        <v>15</v>
      </c>
      <c r="AH1031">
        <f>VLOOKUP(A:A,[1]android_repos_all_metrics!B:K,9,FALSE)</f>
        <v>108</v>
      </c>
      <c r="AI1031">
        <f>VLOOKUP(A:A,[1]android_repos_all_metrics!B:K,10,FALSE)</f>
        <v>15</v>
      </c>
    </row>
    <row r="1032" spans="1:35">
      <c r="A1032" t="s">
        <v>1096</v>
      </c>
      <c r="B1032" t="b">
        <v>1</v>
      </c>
      <c r="C1032" t="b">
        <v>0</v>
      </c>
      <c r="D1032" t="b">
        <v>0</v>
      </c>
      <c r="F1032" t="b">
        <v>0</v>
      </c>
      <c r="H1032" t="s">
        <v>37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>
        <v>2</v>
      </c>
      <c r="AB1032">
        <v>0</v>
      </c>
      <c r="AC1032">
        <f>VLOOKUP(A:A,[1]android_repos_all_metrics!B:K,4,FALSE)</f>
        <v>37</v>
      </c>
      <c r="AD1032">
        <f>VLOOKUP(A:A,[1]android_repos_all_metrics!B:K,5,FALSE)</f>
        <v>15</v>
      </c>
      <c r="AE1032">
        <f>VLOOKUP(A:A,[1]android_repos_all_metrics!B:K,6,FALSE)</f>
        <v>8</v>
      </c>
      <c r="AF1032">
        <f>VLOOKUP(A:A,[1]android_repos_all_metrics!B:K,7,FALSE)</f>
        <v>211</v>
      </c>
      <c r="AG1032">
        <f>VLOOKUP(A:A,[1]android_repos_all_metrics!B:K,8,FALSE)</f>
        <v>29</v>
      </c>
      <c r="AH1032">
        <f>VLOOKUP(A:A,[1]android_repos_all_metrics!B:K,9,FALSE)</f>
        <v>94</v>
      </c>
      <c r="AI1032">
        <f>VLOOKUP(A:A,[1]android_repos_all_metrics!B:K,10,FALSE)</f>
        <v>21</v>
      </c>
    </row>
    <row r="1033" spans="1:35">
      <c r="A1033" t="s">
        <v>1097</v>
      </c>
      <c r="B1033" t="b">
        <v>1</v>
      </c>
      <c r="C1033" t="b">
        <v>1</v>
      </c>
      <c r="D1033" t="b">
        <v>0</v>
      </c>
      <c r="F1033" t="b">
        <v>1</v>
      </c>
      <c r="G1033" t="s">
        <v>39</v>
      </c>
      <c r="H1033" t="s">
        <v>41</v>
      </c>
      <c r="I1033" t="s">
        <v>41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>
        <v>1</v>
      </c>
      <c r="AB1033">
        <v>0</v>
      </c>
      <c r="AC1033">
        <f>VLOOKUP(A:A,[1]android_repos_all_metrics!B:K,4,FALSE)</f>
        <v>38</v>
      </c>
      <c r="AD1033">
        <f>VLOOKUP(A:A,[1]android_repos_all_metrics!B:K,5,FALSE)</f>
        <v>0</v>
      </c>
      <c r="AE1033">
        <f>VLOOKUP(A:A,[1]android_repos_all_metrics!B:K,6,FALSE)</f>
        <v>1</v>
      </c>
      <c r="AF1033">
        <f>VLOOKUP(A:A,[1]android_repos_all_metrics!B:K,7,FALSE)</f>
        <v>333</v>
      </c>
      <c r="AG1033">
        <f>VLOOKUP(A:A,[1]android_repos_all_metrics!B:K,8,FALSE)</f>
        <v>1</v>
      </c>
      <c r="AH1033">
        <f>VLOOKUP(A:A,[1]android_repos_all_metrics!B:K,9,FALSE)</f>
        <v>12</v>
      </c>
      <c r="AI1033">
        <f>VLOOKUP(A:A,[1]android_repos_all_metrics!B:K,10,FALSE)</f>
        <v>0</v>
      </c>
    </row>
    <row r="1034" spans="1:35">
      <c r="A1034" t="s">
        <v>1098</v>
      </c>
      <c r="B1034" t="b">
        <v>1</v>
      </c>
      <c r="C1034" t="b">
        <v>0</v>
      </c>
      <c r="D1034" t="b">
        <v>0</v>
      </c>
      <c r="F1034" t="b">
        <v>0</v>
      </c>
      <c r="H1034" t="s">
        <v>37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>
        <v>1</v>
      </c>
      <c r="AB1034">
        <v>0</v>
      </c>
      <c r="AC1034">
        <f>VLOOKUP(A:A,[1]android_repos_all_metrics!B:K,4,FALSE)</f>
        <v>1659</v>
      </c>
      <c r="AD1034">
        <f>VLOOKUP(A:A,[1]android_repos_all_metrics!B:K,5,FALSE)</f>
        <v>69</v>
      </c>
      <c r="AE1034">
        <f>VLOOKUP(A:A,[1]android_repos_all_metrics!B:K,6,FALSE)</f>
        <v>25</v>
      </c>
      <c r="AF1034">
        <f>VLOOKUP(A:A,[1]android_repos_all_metrics!B:K,7,FALSE)</f>
        <v>57482</v>
      </c>
      <c r="AG1034">
        <f>VLOOKUP(A:A,[1]android_repos_all_metrics!B:K,8,FALSE)</f>
        <v>26</v>
      </c>
      <c r="AH1034">
        <f>VLOOKUP(A:A,[1]android_repos_all_metrics!B:K,9,FALSE)</f>
        <v>442</v>
      </c>
      <c r="AI1034">
        <f>VLOOKUP(A:A,[1]android_repos_all_metrics!B:K,10,FALSE)</f>
        <v>5</v>
      </c>
    </row>
    <row r="1035" spans="1:35">
      <c r="A1035" t="s">
        <v>1099</v>
      </c>
      <c r="B1035" t="b">
        <v>0</v>
      </c>
      <c r="C1035" t="b">
        <v>0</v>
      </c>
      <c r="D1035" t="b">
        <v>0</v>
      </c>
      <c r="F1035" t="b">
        <v>0</v>
      </c>
      <c r="H1035" t="s">
        <v>41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>
        <v>1</v>
      </c>
      <c r="AB1035">
        <v>0</v>
      </c>
      <c r="AC1035">
        <f>VLOOKUP(A:A,[1]android_repos_all_metrics!B:K,4,FALSE)</f>
        <v>1005</v>
      </c>
      <c r="AD1035">
        <f>VLOOKUP(A:A,[1]android_repos_all_metrics!B:K,5,FALSE)</f>
        <v>5</v>
      </c>
      <c r="AE1035">
        <f>VLOOKUP(A:A,[1]android_repos_all_metrics!B:K,6,FALSE)</f>
        <v>6</v>
      </c>
      <c r="AF1035">
        <f>VLOOKUP(A:A,[1]android_repos_all_metrics!B:K,7,FALSE)</f>
        <v>69975</v>
      </c>
      <c r="AG1035">
        <f>VLOOKUP(A:A,[1]android_repos_all_metrics!B:K,8,FALSE)</f>
        <v>132</v>
      </c>
      <c r="AH1035">
        <f>VLOOKUP(A:A,[1]android_repos_all_metrics!B:K,9,FALSE)</f>
        <v>333</v>
      </c>
      <c r="AI1035">
        <f>VLOOKUP(A:A,[1]android_repos_all_metrics!B:K,10,FALSE)</f>
        <v>48</v>
      </c>
    </row>
    <row r="1036" spans="1:35">
      <c r="A1036" t="s">
        <v>1100</v>
      </c>
      <c r="B1036" t="b">
        <v>1</v>
      </c>
      <c r="C1036" t="b">
        <v>0</v>
      </c>
      <c r="D1036" t="b">
        <v>0</v>
      </c>
      <c r="F1036" t="b">
        <v>0</v>
      </c>
      <c r="H1036" t="s">
        <v>86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>
        <v>2</v>
      </c>
      <c r="AB1036">
        <v>0</v>
      </c>
      <c r="AC1036">
        <f>VLOOKUP(A:A,[1]android_repos_all_metrics!B:K,4,FALSE)</f>
        <v>1867</v>
      </c>
      <c r="AD1036">
        <f>VLOOKUP(A:A,[1]android_repos_all_metrics!B:K,5,FALSE)</f>
        <v>80</v>
      </c>
      <c r="AE1036">
        <f>VLOOKUP(A:A,[1]android_repos_all_metrics!B:K,6,FALSE)</f>
        <v>32</v>
      </c>
      <c r="AF1036">
        <f>VLOOKUP(A:A,[1]android_repos_all_metrics!B:K,7,FALSE)</f>
        <v>54205</v>
      </c>
      <c r="AG1036">
        <f>VLOOKUP(A:A,[1]android_repos_all_metrics!B:K,8,FALSE)</f>
        <v>1093</v>
      </c>
      <c r="AH1036">
        <f>VLOOKUP(A:A,[1]android_repos_all_metrics!B:K,9,FALSE)</f>
        <v>2781</v>
      </c>
      <c r="AI1036">
        <f>VLOOKUP(A:A,[1]android_repos_all_metrics!B:K,10,FALSE)</f>
        <v>37</v>
      </c>
    </row>
    <row r="1037" spans="1:35">
      <c r="A1037" t="s">
        <v>1101</v>
      </c>
      <c r="B1037" t="b">
        <v>1</v>
      </c>
      <c r="C1037" t="b">
        <v>1</v>
      </c>
      <c r="D1037" t="b">
        <v>1</v>
      </c>
      <c r="E1037" t="s">
        <v>104</v>
      </c>
      <c r="F1037" t="b">
        <v>0</v>
      </c>
      <c r="H1037" t="s">
        <v>37</v>
      </c>
      <c r="I1037" t="s">
        <v>37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  <c r="W1037" t="b">
        <v>0</v>
      </c>
      <c r="X1037" t="b">
        <v>0</v>
      </c>
      <c r="Y1037" t="b">
        <v>0</v>
      </c>
      <c r="Z1037">
        <v>1</v>
      </c>
      <c r="AA1037">
        <v>4</v>
      </c>
      <c r="AB1037">
        <v>0</v>
      </c>
      <c r="AC1037">
        <f>VLOOKUP(A:A,[1]android_repos_all_metrics!B:K,4,FALSE)</f>
        <v>331</v>
      </c>
      <c r="AD1037">
        <f>VLOOKUP(A:A,[1]android_repos_all_metrics!B:K,5,FALSE)</f>
        <v>48</v>
      </c>
      <c r="AE1037">
        <f>VLOOKUP(A:A,[1]android_repos_all_metrics!B:K,6,FALSE)</f>
        <v>7</v>
      </c>
      <c r="AF1037">
        <f>VLOOKUP(A:A,[1]android_repos_all_metrics!B:K,7,FALSE)</f>
        <v>1453</v>
      </c>
      <c r="AG1037">
        <f>VLOOKUP(A:A,[1]android_repos_all_metrics!B:K,8,FALSE)</f>
        <v>7</v>
      </c>
      <c r="AH1037">
        <f>VLOOKUP(A:A,[1]android_repos_all_metrics!B:K,9,FALSE)</f>
        <v>93</v>
      </c>
      <c r="AI1037">
        <f>VLOOKUP(A:A,[1]android_repos_all_metrics!B:K,10,FALSE)</f>
        <v>9</v>
      </c>
    </row>
    <row r="1038" spans="1:35">
      <c r="A1038" t="s">
        <v>1102</v>
      </c>
      <c r="B1038" t="b">
        <v>1</v>
      </c>
      <c r="C1038" t="b">
        <v>0</v>
      </c>
      <c r="D1038" t="b">
        <v>0</v>
      </c>
      <c r="F1038" t="b">
        <v>0</v>
      </c>
      <c r="H1038" t="s">
        <v>41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>
        <v>1</v>
      </c>
      <c r="AB1038">
        <v>0</v>
      </c>
      <c r="AC1038">
        <f>VLOOKUP(A:A,[1]android_repos_all_metrics!B:K,4,FALSE)</f>
        <v>499</v>
      </c>
      <c r="AD1038">
        <f>VLOOKUP(A:A,[1]android_repos_all_metrics!B:K,5,FALSE)</f>
        <v>60</v>
      </c>
      <c r="AE1038">
        <f>VLOOKUP(A:A,[1]android_repos_all_metrics!B:K,6,FALSE)</f>
        <v>1</v>
      </c>
      <c r="AF1038">
        <f>VLOOKUP(A:A,[1]android_repos_all_metrics!B:K,7,FALSE)</f>
        <v>8032</v>
      </c>
      <c r="AG1038">
        <f>VLOOKUP(A:A,[1]android_repos_all_metrics!B:K,8,FALSE)</f>
        <v>8</v>
      </c>
      <c r="AH1038">
        <f>VLOOKUP(A:A,[1]android_repos_all_metrics!B:K,9,FALSE)</f>
        <v>50</v>
      </c>
      <c r="AI1038">
        <f>VLOOKUP(A:A,[1]android_repos_all_metrics!B:K,10,FALSE)</f>
        <v>27</v>
      </c>
    </row>
    <row r="1039" spans="1:35">
      <c r="A1039" t="s">
        <v>1103</v>
      </c>
      <c r="B1039" t="b">
        <v>1</v>
      </c>
      <c r="C1039" t="b">
        <v>1</v>
      </c>
      <c r="D1039" t="b">
        <v>0</v>
      </c>
      <c r="F1039" t="b">
        <v>1</v>
      </c>
      <c r="G1039" t="s">
        <v>39</v>
      </c>
      <c r="H1039" t="s">
        <v>41</v>
      </c>
      <c r="I1039" t="s">
        <v>41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>
        <v>1</v>
      </c>
      <c r="AB1039">
        <v>0</v>
      </c>
      <c r="AC1039">
        <f>VLOOKUP(A:A,[1]android_repos_all_metrics!B:K,4,FALSE)</f>
        <v>170</v>
      </c>
      <c r="AD1039">
        <f>VLOOKUP(A:A,[1]android_repos_all_metrics!B:K,5,FALSE)</f>
        <v>30</v>
      </c>
      <c r="AE1039">
        <f>VLOOKUP(A:A,[1]android_repos_all_metrics!B:K,6,FALSE)</f>
        <v>10</v>
      </c>
      <c r="AF1039">
        <f>VLOOKUP(A:A,[1]android_repos_all_metrics!B:K,7,FALSE)</f>
        <v>5610</v>
      </c>
      <c r="AG1039">
        <f>VLOOKUP(A:A,[1]android_repos_all_metrics!B:K,8,FALSE)</f>
        <v>23</v>
      </c>
      <c r="AH1039">
        <f>VLOOKUP(A:A,[1]android_repos_all_metrics!B:K,9,FALSE)</f>
        <v>37</v>
      </c>
      <c r="AI1039">
        <f>VLOOKUP(A:A,[1]android_repos_all_metrics!B:K,10,FALSE)</f>
        <v>34</v>
      </c>
    </row>
    <row r="1040" spans="1:35">
      <c r="A1040" t="s">
        <v>1104</v>
      </c>
      <c r="B1040" t="b">
        <v>1</v>
      </c>
      <c r="C1040" t="b">
        <v>0</v>
      </c>
      <c r="D1040" t="b">
        <v>0</v>
      </c>
      <c r="F1040" t="b">
        <v>0</v>
      </c>
      <c r="H1040" t="s">
        <v>43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>
        <v>1</v>
      </c>
      <c r="AB1040">
        <v>0</v>
      </c>
      <c r="AC1040">
        <f>VLOOKUP(A:A,[1]android_repos_all_metrics!B:K,4,FALSE)</f>
        <v>130</v>
      </c>
      <c r="AD1040">
        <f>VLOOKUP(A:A,[1]android_repos_all_metrics!B:K,5,FALSE)</f>
        <v>9</v>
      </c>
      <c r="AE1040">
        <f>VLOOKUP(A:A,[1]android_repos_all_metrics!B:K,6,FALSE)</f>
        <v>1</v>
      </c>
      <c r="AF1040">
        <f>VLOOKUP(A:A,[1]android_repos_all_metrics!B:K,7,FALSE)</f>
        <v>533</v>
      </c>
      <c r="AG1040">
        <f>VLOOKUP(A:A,[1]android_repos_all_metrics!B:K,8,FALSE)</f>
        <v>2</v>
      </c>
      <c r="AH1040">
        <f>VLOOKUP(A:A,[1]android_repos_all_metrics!B:K,9,FALSE)</f>
        <v>1</v>
      </c>
      <c r="AI1040">
        <f>VLOOKUP(A:A,[1]android_repos_all_metrics!B:K,10,FALSE)</f>
        <v>1</v>
      </c>
    </row>
    <row r="1041" spans="1:35">
      <c r="A1041" t="s">
        <v>1105</v>
      </c>
      <c r="B1041" t="b">
        <v>1</v>
      </c>
      <c r="C1041" t="b">
        <v>0</v>
      </c>
      <c r="D1041" t="b">
        <v>0</v>
      </c>
      <c r="F1041" t="b">
        <v>0</v>
      </c>
      <c r="H1041" t="s">
        <v>37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>
        <v>4</v>
      </c>
      <c r="AB1041">
        <v>0</v>
      </c>
      <c r="AC1041">
        <f>VLOOKUP(A:A,[1]android_repos_all_metrics!B:K,4,FALSE)</f>
        <v>375</v>
      </c>
      <c r="AD1041">
        <f>VLOOKUP(A:A,[1]android_repos_all_metrics!B:K,5,FALSE)</f>
        <v>4</v>
      </c>
      <c r="AE1041">
        <f>VLOOKUP(A:A,[1]android_repos_all_metrics!B:K,6,FALSE)</f>
        <v>3</v>
      </c>
      <c r="AF1041">
        <f>VLOOKUP(A:A,[1]android_repos_all_metrics!B:K,7,FALSE)</f>
        <v>2483</v>
      </c>
      <c r="AG1041">
        <f>VLOOKUP(A:A,[1]android_repos_all_metrics!B:K,8,FALSE)</f>
        <v>0</v>
      </c>
      <c r="AH1041">
        <f>VLOOKUP(A:A,[1]android_repos_all_metrics!B:K,9,FALSE)</f>
        <v>1</v>
      </c>
      <c r="AI1041">
        <f>VLOOKUP(A:A,[1]android_repos_all_metrics!B:K,10,FALSE)</f>
        <v>1</v>
      </c>
    </row>
    <row r="1042" spans="1:35">
      <c r="A1042" t="s">
        <v>1106</v>
      </c>
      <c r="B1042" t="b">
        <v>0</v>
      </c>
      <c r="C1042" t="b">
        <v>0</v>
      </c>
      <c r="D1042" t="b">
        <v>0</v>
      </c>
      <c r="F1042" t="b">
        <v>0</v>
      </c>
      <c r="H1042" t="s">
        <v>37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>
        <v>1</v>
      </c>
      <c r="AB1042">
        <v>0</v>
      </c>
      <c r="AC1042">
        <f>VLOOKUP(A:A,[1]android_repos_all_metrics!B:K,4,FALSE)</f>
        <v>189</v>
      </c>
      <c r="AD1042">
        <f>VLOOKUP(A:A,[1]android_repos_all_metrics!B:K,5,FALSE)</f>
        <v>38</v>
      </c>
      <c r="AE1042">
        <f>VLOOKUP(A:A,[1]android_repos_all_metrics!B:K,6,FALSE)</f>
        <v>4</v>
      </c>
      <c r="AF1042">
        <f>VLOOKUP(A:A,[1]android_repos_all_metrics!B:K,7,FALSE)</f>
        <v>1474</v>
      </c>
      <c r="AG1042">
        <f>VLOOKUP(A:A,[1]android_repos_all_metrics!B:K,8,FALSE)</f>
        <v>7</v>
      </c>
      <c r="AH1042">
        <f>VLOOKUP(A:A,[1]android_repos_all_metrics!B:K,9,FALSE)</f>
        <v>7</v>
      </c>
      <c r="AI1042">
        <f>VLOOKUP(A:A,[1]android_repos_all_metrics!B:K,10,FALSE)</f>
        <v>3</v>
      </c>
    </row>
    <row r="1043" spans="1:35">
      <c r="A1043" t="s">
        <v>1107</v>
      </c>
      <c r="B1043" t="b">
        <v>1</v>
      </c>
      <c r="C1043" t="b">
        <v>0</v>
      </c>
      <c r="D1043" t="b">
        <v>0</v>
      </c>
      <c r="F1043" t="b">
        <v>0</v>
      </c>
      <c r="H1043" t="s">
        <v>41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>
        <v>1</v>
      </c>
      <c r="AB1043">
        <v>0</v>
      </c>
      <c r="AC1043">
        <f>VLOOKUP(A:A,[1]android_repos_all_metrics!B:K,4,FALSE)</f>
        <v>40</v>
      </c>
      <c r="AD1043">
        <f>VLOOKUP(A:A,[1]android_repos_all_metrics!B:K,5,FALSE)</f>
        <v>0</v>
      </c>
      <c r="AE1043">
        <f>VLOOKUP(A:A,[1]android_repos_all_metrics!B:K,6,FALSE)</f>
        <v>1</v>
      </c>
      <c r="AF1043">
        <f>VLOOKUP(A:A,[1]android_repos_all_metrics!B:K,7,FALSE)</f>
        <v>309</v>
      </c>
      <c r="AG1043">
        <f>VLOOKUP(A:A,[1]android_repos_all_metrics!B:K,8,FALSE)</f>
        <v>0</v>
      </c>
      <c r="AH1043">
        <f>VLOOKUP(A:A,[1]android_repos_all_metrics!B:K,9,FALSE)</f>
        <v>1</v>
      </c>
      <c r="AI1043">
        <f>VLOOKUP(A:A,[1]android_repos_all_metrics!B:K,10,FALSE)</f>
        <v>0</v>
      </c>
    </row>
    <row r="1044" spans="1:35">
      <c r="A1044" t="s">
        <v>1108</v>
      </c>
      <c r="B1044" t="b">
        <v>1</v>
      </c>
      <c r="C1044" t="b">
        <v>0</v>
      </c>
      <c r="D1044" t="b">
        <v>0</v>
      </c>
      <c r="F1044" t="b">
        <v>0</v>
      </c>
      <c r="H1044" t="s">
        <v>37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>
        <v>3</v>
      </c>
      <c r="AB1044">
        <v>0</v>
      </c>
      <c r="AC1044">
        <f>VLOOKUP(A:A,[1]android_repos_all_metrics!B:K,4,FALSE)</f>
        <v>668</v>
      </c>
      <c r="AD1044">
        <f>VLOOKUP(A:A,[1]android_repos_all_metrics!B:K,5,FALSE)</f>
        <v>260</v>
      </c>
      <c r="AE1044">
        <f>VLOOKUP(A:A,[1]android_repos_all_metrics!B:K,6,FALSE)</f>
        <v>19</v>
      </c>
      <c r="AF1044">
        <f>VLOOKUP(A:A,[1]android_repos_all_metrics!B:K,7,FALSE)</f>
        <v>9791</v>
      </c>
      <c r="AG1044">
        <f>VLOOKUP(A:A,[1]android_repos_all_metrics!B:K,8,FALSE)</f>
        <v>45</v>
      </c>
      <c r="AH1044">
        <f>VLOOKUP(A:A,[1]android_repos_all_metrics!B:K,9,FALSE)</f>
        <v>19</v>
      </c>
      <c r="AI1044">
        <f>VLOOKUP(A:A,[1]android_repos_all_metrics!B:K,10,FALSE)</f>
        <v>23</v>
      </c>
    </row>
    <row r="1045" spans="1:35">
      <c r="A1045" t="s">
        <v>1109</v>
      </c>
      <c r="B1045" t="b">
        <v>1</v>
      </c>
      <c r="C1045" t="b">
        <v>0</v>
      </c>
      <c r="D1045" t="b">
        <v>0</v>
      </c>
      <c r="F1045" t="b">
        <v>0</v>
      </c>
      <c r="H1045" t="s">
        <v>136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>
        <v>2</v>
      </c>
      <c r="AB1045">
        <v>0</v>
      </c>
      <c r="AC1045">
        <f>VLOOKUP(A:A,[1]android_repos_all_metrics!B:K,4,FALSE)</f>
        <v>240</v>
      </c>
      <c r="AD1045">
        <f>VLOOKUP(A:A,[1]android_repos_all_metrics!B:K,5,FALSE)</f>
        <v>417</v>
      </c>
      <c r="AE1045">
        <f>VLOOKUP(A:A,[1]android_repos_all_metrics!B:K,6,FALSE)</f>
        <v>22</v>
      </c>
      <c r="AF1045">
        <f>VLOOKUP(A:A,[1]android_repos_all_metrics!B:K,7,FALSE)</f>
        <v>1524</v>
      </c>
      <c r="AG1045">
        <f>VLOOKUP(A:A,[1]android_repos_all_metrics!B:K,8,FALSE)</f>
        <v>53</v>
      </c>
      <c r="AH1045">
        <f>VLOOKUP(A:A,[1]android_repos_all_metrics!B:K,9,FALSE)</f>
        <v>22</v>
      </c>
      <c r="AI1045">
        <f>VLOOKUP(A:A,[1]android_repos_all_metrics!B:K,10,FALSE)</f>
        <v>21</v>
      </c>
    </row>
    <row r="1046" spans="1:35">
      <c r="A1046" t="s">
        <v>1110</v>
      </c>
      <c r="B1046" t="b">
        <v>1</v>
      </c>
      <c r="C1046" t="b">
        <v>0</v>
      </c>
      <c r="D1046" t="b">
        <v>0</v>
      </c>
      <c r="F1046" t="b">
        <v>0</v>
      </c>
      <c r="H1046" t="s">
        <v>37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>
        <v>1</v>
      </c>
      <c r="AB1046">
        <v>0</v>
      </c>
      <c r="AC1046">
        <f>VLOOKUP(A:A,[1]android_repos_all_metrics!B:K,4,FALSE)</f>
        <v>126</v>
      </c>
      <c r="AD1046">
        <f>VLOOKUP(A:A,[1]android_repos_all_metrics!B:K,5,FALSE)</f>
        <v>29</v>
      </c>
      <c r="AE1046">
        <f>VLOOKUP(A:A,[1]android_repos_all_metrics!B:K,6,FALSE)</f>
        <v>2</v>
      </c>
      <c r="AF1046">
        <f>VLOOKUP(A:A,[1]android_repos_all_metrics!B:K,7,FALSE)</f>
        <v>537</v>
      </c>
      <c r="AG1046">
        <f>VLOOKUP(A:A,[1]android_repos_all_metrics!B:K,8,FALSE)</f>
        <v>0</v>
      </c>
      <c r="AH1046">
        <f>VLOOKUP(A:A,[1]android_repos_all_metrics!B:K,9,FALSE)</f>
        <v>3</v>
      </c>
      <c r="AI1046">
        <f>VLOOKUP(A:A,[1]android_repos_all_metrics!B:K,10,FALSE)</f>
        <v>0</v>
      </c>
    </row>
    <row r="1047" spans="1:35">
      <c r="A1047" t="s">
        <v>1111</v>
      </c>
      <c r="B1047" t="b">
        <v>1</v>
      </c>
      <c r="C1047" t="b">
        <v>0</v>
      </c>
      <c r="D1047" t="b">
        <v>0</v>
      </c>
      <c r="F1047" t="b">
        <v>0</v>
      </c>
      <c r="H1047" t="s">
        <v>41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>
        <v>1</v>
      </c>
      <c r="AB1047">
        <v>0</v>
      </c>
      <c r="AC1047">
        <f>VLOOKUP(A:A,[1]android_repos_all_metrics!B:K,4,FALSE)</f>
        <v>1</v>
      </c>
      <c r="AD1047">
        <f>VLOOKUP(A:A,[1]android_repos_all_metrics!B:K,5,FALSE)</f>
        <v>5</v>
      </c>
      <c r="AE1047">
        <f>VLOOKUP(A:A,[1]android_repos_all_metrics!B:K,6,FALSE)</f>
        <v>4</v>
      </c>
      <c r="AF1047">
        <f>VLOOKUP(A:A,[1]android_repos_all_metrics!B:K,7,FALSE)</f>
        <v>12651</v>
      </c>
      <c r="AG1047">
        <f>VLOOKUP(A:A,[1]android_repos_all_metrics!B:K,8,FALSE)</f>
        <v>0</v>
      </c>
      <c r="AH1047">
        <f>VLOOKUP(A:A,[1]android_repos_all_metrics!B:K,9,FALSE)</f>
        <v>5</v>
      </c>
      <c r="AI1047">
        <f>VLOOKUP(A:A,[1]android_repos_all_metrics!B:K,10,FALSE)</f>
        <v>4</v>
      </c>
    </row>
    <row r="1048" spans="1:35">
      <c r="A1048" t="s">
        <v>1112</v>
      </c>
      <c r="B1048" t="b">
        <v>0</v>
      </c>
      <c r="C1048" t="b">
        <v>0</v>
      </c>
      <c r="D1048" t="b">
        <v>0</v>
      </c>
      <c r="F1048" t="b">
        <v>0</v>
      </c>
      <c r="H1048" t="s">
        <v>41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>
        <v>1</v>
      </c>
      <c r="AB1048">
        <v>0</v>
      </c>
      <c r="AC1048">
        <f>VLOOKUP(A:A,[1]android_repos_all_metrics!B:K,4,FALSE)</f>
        <v>34</v>
      </c>
      <c r="AD1048">
        <f>VLOOKUP(A:A,[1]android_repos_all_metrics!B:K,5,FALSE)</f>
        <v>1</v>
      </c>
      <c r="AE1048">
        <f>VLOOKUP(A:A,[1]android_repos_all_metrics!B:K,6,FALSE)</f>
        <v>2</v>
      </c>
      <c r="AF1048">
        <f>VLOOKUP(A:A,[1]android_repos_all_metrics!B:K,7,FALSE)</f>
        <v>181</v>
      </c>
      <c r="AG1048">
        <f>VLOOKUP(A:A,[1]android_repos_all_metrics!B:K,8,FALSE)</f>
        <v>0</v>
      </c>
      <c r="AH1048">
        <f>VLOOKUP(A:A,[1]android_repos_all_metrics!B:K,9,FALSE)</f>
        <v>1</v>
      </c>
      <c r="AI1048">
        <f>VLOOKUP(A:A,[1]android_repos_all_metrics!B:K,10,FALSE)</f>
        <v>0</v>
      </c>
    </row>
    <row r="1049" spans="1:35">
      <c r="A1049" t="s">
        <v>1113</v>
      </c>
      <c r="B1049" t="b">
        <v>1</v>
      </c>
      <c r="C1049" t="b">
        <v>0</v>
      </c>
      <c r="D1049" t="b">
        <v>0</v>
      </c>
      <c r="F1049" t="b">
        <v>0</v>
      </c>
      <c r="H1049" t="s">
        <v>41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>
        <v>1</v>
      </c>
      <c r="AB1049">
        <v>0</v>
      </c>
      <c r="AC1049">
        <f>VLOOKUP(A:A,[1]android_repos_all_metrics!B:K,4,FALSE)</f>
        <v>673</v>
      </c>
      <c r="AD1049">
        <f>VLOOKUP(A:A,[1]android_repos_all_metrics!B:K,5,FALSE)</f>
        <v>611</v>
      </c>
      <c r="AE1049">
        <f>VLOOKUP(A:A,[1]android_repos_all_metrics!B:K,6,FALSE)</f>
        <v>142</v>
      </c>
      <c r="AF1049">
        <f>VLOOKUP(A:A,[1]android_repos_all_metrics!B:K,7,FALSE)</f>
        <v>72137</v>
      </c>
      <c r="AG1049">
        <f>VLOOKUP(A:A,[1]android_repos_all_metrics!B:K,8,FALSE)</f>
        <v>710</v>
      </c>
      <c r="AH1049">
        <f>VLOOKUP(A:A,[1]android_repos_all_metrics!B:K,9,FALSE)</f>
        <v>949</v>
      </c>
      <c r="AI1049">
        <f>VLOOKUP(A:A,[1]android_repos_all_metrics!B:K,10,FALSE)</f>
        <v>66</v>
      </c>
    </row>
    <row r="1050" spans="1:35">
      <c r="A1050" t="s">
        <v>1114</v>
      </c>
      <c r="B1050" t="b">
        <v>1</v>
      </c>
      <c r="C1050" t="b">
        <v>0</v>
      </c>
      <c r="D1050" t="b">
        <v>0</v>
      </c>
      <c r="F1050" t="b">
        <v>0</v>
      </c>
      <c r="H1050" t="s">
        <v>37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>
        <v>1</v>
      </c>
      <c r="AB1050">
        <v>0</v>
      </c>
      <c r="AC1050">
        <f>VLOOKUP(A:A,[1]android_repos_all_metrics!B:K,4,FALSE)</f>
        <v>36</v>
      </c>
      <c r="AD1050">
        <f>VLOOKUP(A:A,[1]android_repos_all_metrics!B:K,5,FALSE)</f>
        <v>1</v>
      </c>
      <c r="AE1050">
        <f>VLOOKUP(A:A,[1]android_repos_all_metrics!B:K,6,FALSE)</f>
        <v>1</v>
      </c>
      <c r="AF1050">
        <f>VLOOKUP(A:A,[1]android_repos_all_metrics!B:K,7,FALSE)</f>
        <v>2941</v>
      </c>
      <c r="AG1050">
        <f>VLOOKUP(A:A,[1]android_repos_all_metrics!B:K,8,FALSE)</f>
        <v>2</v>
      </c>
      <c r="AH1050">
        <f>VLOOKUP(A:A,[1]android_repos_all_metrics!B:K,9,FALSE)</f>
        <v>8</v>
      </c>
      <c r="AI1050">
        <f>VLOOKUP(A:A,[1]android_repos_all_metrics!B:K,10,FALSE)</f>
        <v>4</v>
      </c>
    </row>
    <row r="1051" spans="1:35">
      <c r="A1051" t="s">
        <v>1115</v>
      </c>
      <c r="B1051" t="b">
        <v>1</v>
      </c>
      <c r="C1051" t="b">
        <v>0</v>
      </c>
      <c r="D1051" t="b">
        <v>0</v>
      </c>
      <c r="F1051" t="b">
        <v>0</v>
      </c>
      <c r="H1051" t="s">
        <v>37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>
        <v>2</v>
      </c>
      <c r="AB1051">
        <v>0</v>
      </c>
      <c r="AC1051" t="e">
        <f>VLOOKUP(A:A,[1]android_repos_all_metrics!B:K,4,FALSE)</f>
        <v>#N/A</v>
      </c>
      <c r="AD1051" t="e">
        <f>VLOOKUP(A:A,[1]android_repos_all_metrics!B:K,5,FALSE)</f>
        <v>#N/A</v>
      </c>
      <c r="AE1051" t="e">
        <f>VLOOKUP(A:A,[1]android_repos_all_metrics!B:K,6,FALSE)</f>
        <v>#N/A</v>
      </c>
      <c r="AF1051" t="e">
        <f>VLOOKUP(A:A,[1]android_repos_all_metrics!B:K,7,FALSE)</f>
        <v>#N/A</v>
      </c>
      <c r="AG1051" t="e">
        <f>VLOOKUP(A:A,[1]android_repos_all_metrics!B:K,8,FALSE)</f>
        <v>#N/A</v>
      </c>
      <c r="AH1051" t="e">
        <f>VLOOKUP(A:A,[1]android_repos_all_metrics!B:K,9,FALSE)</f>
        <v>#N/A</v>
      </c>
      <c r="AI1051" t="e">
        <f>VLOOKUP(A:A,[1]android_repos_all_metrics!B:K,10,FALSE)</f>
        <v>#N/A</v>
      </c>
    </row>
    <row r="1052" spans="1:35">
      <c r="A1052" t="s">
        <v>1116</v>
      </c>
      <c r="B1052" t="b">
        <v>1</v>
      </c>
      <c r="C1052" t="b">
        <v>0</v>
      </c>
      <c r="D1052" t="b">
        <v>0</v>
      </c>
      <c r="F1052" t="b">
        <v>0</v>
      </c>
      <c r="H1052" t="s">
        <v>37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>
        <v>6</v>
      </c>
      <c r="AB1052">
        <v>0</v>
      </c>
      <c r="AC1052">
        <f>VLOOKUP(A:A,[1]android_repos_all_metrics!B:K,4,FALSE)</f>
        <v>190</v>
      </c>
      <c r="AD1052">
        <f>VLOOKUP(A:A,[1]android_repos_all_metrics!B:K,5,FALSE)</f>
        <v>245</v>
      </c>
      <c r="AE1052">
        <f>VLOOKUP(A:A,[1]android_repos_all_metrics!B:K,6,FALSE)</f>
        <v>2</v>
      </c>
      <c r="AF1052">
        <f>VLOOKUP(A:A,[1]android_repos_all_metrics!B:K,7,FALSE)</f>
        <v>283</v>
      </c>
      <c r="AG1052">
        <f>VLOOKUP(A:A,[1]android_repos_all_metrics!B:K,8,FALSE)</f>
        <v>1</v>
      </c>
      <c r="AH1052">
        <f>VLOOKUP(A:A,[1]android_repos_all_metrics!B:K,9,FALSE)</f>
        <v>37</v>
      </c>
      <c r="AI1052">
        <f>VLOOKUP(A:A,[1]android_repos_all_metrics!B:K,10,FALSE)</f>
        <v>3</v>
      </c>
    </row>
    <row r="1053" spans="1:35">
      <c r="A1053" t="s">
        <v>1117</v>
      </c>
      <c r="B1053" t="b">
        <v>1</v>
      </c>
      <c r="C1053" t="b">
        <v>0</v>
      </c>
      <c r="D1053" t="b">
        <v>0</v>
      </c>
      <c r="F1053" t="b">
        <v>0</v>
      </c>
      <c r="H1053" t="s">
        <v>37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>
        <v>2</v>
      </c>
      <c r="AB1053">
        <v>0</v>
      </c>
      <c r="AC1053">
        <f>VLOOKUP(A:A,[1]android_repos_all_metrics!B:K,4,FALSE)</f>
        <v>2027</v>
      </c>
      <c r="AD1053">
        <f>VLOOKUP(A:A,[1]android_repos_all_metrics!B:K,5,FALSE)</f>
        <v>270</v>
      </c>
      <c r="AE1053">
        <f>VLOOKUP(A:A,[1]android_repos_all_metrics!B:K,6,FALSE)</f>
        <v>57</v>
      </c>
      <c r="AF1053">
        <f>VLOOKUP(A:A,[1]android_repos_all_metrics!B:K,7,FALSE)</f>
        <v>22366</v>
      </c>
      <c r="AG1053">
        <f>VLOOKUP(A:A,[1]android_repos_all_metrics!B:K,8,FALSE)</f>
        <v>356</v>
      </c>
      <c r="AH1053">
        <f>VLOOKUP(A:A,[1]android_repos_all_metrics!B:K,9,FALSE)</f>
        <v>3402</v>
      </c>
      <c r="AI1053">
        <f>VLOOKUP(A:A,[1]android_repos_all_metrics!B:K,10,FALSE)</f>
        <v>110</v>
      </c>
    </row>
    <row r="1054" spans="1:35">
      <c r="A1054" t="s">
        <v>1118</v>
      </c>
      <c r="B1054" t="b">
        <v>1</v>
      </c>
      <c r="C1054" t="b">
        <v>0</v>
      </c>
      <c r="D1054" t="b">
        <v>0</v>
      </c>
      <c r="F1054" t="b">
        <v>0</v>
      </c>
      <c r="H1054" t="s">
        <v>37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>
        <v>5</v>
      </c>
      <c r="AB1054">
        <v>0</v>
      </c>
      <c r="AC1054">
        <f>VLOOKUP(A:A,[1]android_repos_all_metrics!B:K,4,FALSE)</f>
        <v>5193</v>
      </c>
      <c r="AD1054">
        <f>VLOOKUP(A:A,[1]android_repos_all_metrics!B:K,5,FALSE)</f>
        <v>344</v>
      </c>
      <c r="AE1054">
        <f>VLOOKUP(A:A,[1]android_repos_all_metrics!B:K,6,FALSE)</f>
        <v>138</v>
      </c>
      <c r="AF1054">
        <f>VLOOKUP(A:A,[1]android_repos_all_metrics!B:K,7,FALSE)</f>
        <v>20194</v>
      </c>
      <c r="AG1054">
        <f>VLOOKUP(A:A,[1]android_repos_all_metrics!B:K,8,FALSE)</f>
        <v>93</v>
      </c>
      <c r="AH1054">
        <f>VLOOKUP(A:A,[1]android_repos_all_metrics!B:K,9,FALSE)</f>
        <v>215</v>
      </c>
      <c r="AI1054">
        <f>VLOOKUP(A:A,[1]android_repos_all_metrics!B:K,10,FALSE)</f>
        <v>182</v>
      </c>
    </row>
    <row r="1055" spans="1:35">
      <c r="A1055" t="s">
        <v>1119</v>
      </c>
      <c r="B1055" t="b">
        <v>0</v>
      </c>
      <c r="C1055" t="b">
        <v>0</v>
      </c>
      <c r="D1055" t="b">
        <v>0</v>
      </c>
      <c r="F1055" t="b">
        <v>0</v>
      </c>
      <c r="H1055" t="s">
        <v>41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>
        <v>1</v>
      </c>
      <c r="AB1055">
        <v>0</v>
      </c>
      <c r="AC1055">
        <f>VLOOKUP(A:A,[1]android_repos_all_metrics!B:K,4,FALSE)</f>
        <v>22</v>
      </c>
      <c r="AD1055">
        <f>VLOOKUP(A:A,[1]android_repos_all_metrics!B:K,5,FALSE)</f>
        <v>1</v>
      </c>
      <c r="AE1055">
        <f>VLOOKUP(A:A,[1]android_repos_all_metrics!B:K,6,FALSE)</f>
        <v>1</v>
      </c>
      <c r="AF1055">
        <f>VLOOKUP(A:A,[1]android_repos_all_metrics!B:K,7,FALSE)</f>
        <v>171</v>
      </c>
      <c r="AG1055">
        <f>VLOOKUP(A:A,[1]android_repos_all_metrics!B:K,8,FALSE)</f>
        <v>23</v>
      </c>
      <c r="AH1055">
        <f>VLOOKUP(A:A,[1]android_repos_all_metrics!B:K,9,FALSE)</f>
        <v>154</v>
      </c>
      <c r="AI1055">
        <f>VLOOKUP(A:A,[1]android_repos_all_metrics!B:K,10,FALSE)</f>
        <v>0</v>
      </c>
    </row>
    <row r="1056" spans="1:35">
      <c r="A1056" t="s">
        <v>1120</v>
      </c>
      <c r="B1056" t="b">
        <v>1</v>
      </c>
      <c r="C1056" t="b">
        <v>0</v>
      </c>
      <c r="D1056" t="b">
        <v>0</v>
      </c>
      <c r="F1056" t="b">
        <v>0</v>
      </c>
      <c r="H1056" t="s">
        <v>37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>
        <v>2</v>
      </c>
      <c r="AB1056">
        <v>0</v>
      </c>
      <c r="AC1056">
        <f>VLOOKUP(A:A,[1]android_repos_all_metrics!B:K,4,FALSE)</f>
        <v>1209</v>
      </c>
      <c r="AD1056">
        <f>VLOOKUP(A:A,[1]android_repos_all_metrics!B:K,5,FALSE)</f>
        <v>103</v>
      </c>
      <c r="AE1056">
        <f>VLOOKUP(A:A,[1]android_repos_all_metrics!B:K,6,FALSE)</f>
        <v>55</v>
      </c>
      <c r="AF1056">
        <f>VLOOKUP(A:A,[1]android_repos_all_metrics!B:K,7,FALSE)</f>
        <v>27963</v>
      </c>
      <c r="AG1056">
        <f>VLOOKUP(A:A,[1]android_repos_all_metrics!B:K,8,FALSE)</f>
        <v>103</v>
      </c>
      <c r="AH1056">
        <f>VLOOKUP(A:A,[1]android_repos_all_metrics!B:K,9,FALSE)</f>
        <v>1412</v>
      </c>
      <c r="AI1056">
        <f>VLOOKUP(A:A,[1]android_repos_all_metrics!B:K,10,FALSE)</f>
        <v>21</v>
      </c>
    </row>
    <row r="1057" spans="1:35">
      <c r="A1057" t="s">
        <v>1121</v>
      </c>
      <c r="B1057" t="b">
        <v>1</v>
      </c>
      <c r="C1057" t="b">
        <v>0</v>
      </c>
      <c r="D1057" t="b">
        <v>0</v>
      </c>
      <c r="F1057" t="b">
        <v>0</v>
      </c>
      <c r="H1057" t="s">
        <v>37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>
        <v>3</v>
      </c>
      <c r="AB1057">
        <v>0</v>
      </c>
      <c r="AC1057">
        <f>VLOOKUP(A:A,[1]android_repos_all_metrics!B:K,4,FALSE)</f>
        <v>171</v>
      </c>
      <c r="AD1057">
        <f>VLOOKUP(A:A,[1]android_repos_all_metrics!B:K,5,FALSE)</f>
        <v>0</v>
      </c>
      <c r="AE1057">
        <f>VLOOKUP(A:A,[1]android_repos_all_metrics!B:K,6,FALSE)</f>
        <v>1</v>
      </c>
      <c r="AF1057">
        <f>VLOOKUP(A:A,[1]android_repos_all_metrics!B:K,7,FALSE)</f>
        <v>82342</v>
      </c>
      <c r="AG1057">
        <f>VLOOKUP(A:A,[1]android_repos_all_metrics!B:K,8,FALSE)</f>
        <v>11</v>
      </c>
      <c r="AH1057">
        <f>VLOOKUP(A:A,[1]android_repos_all_metrics!B:K,9,FALSE)</f>
        <v>22</v>
      </c>
      <c r="AI1057">
        <f>VLOOKUP(A:A,[1]android_repos_all_metrics!B:K,10,FALSE)</f>
        <v>1</v>
      </c>
    </row>
    <row r="1058" spans="1:35">
      <c r="A1058" t="s">
        <v>1122</v>
      </c>
      <c r="B1058" t="b">
        <v>1</v>
      </c>
      <c r="C1058" t="b">
        <v>0</v>
      </c>
      <c r="D1058" t="b">
        <v>0</v>
      </c>
      <c r="F1058" t="b">
        <v>0</v>
      </c>
      <c r="H1058" t="s">
        <v>37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>
        <v>3</v>
      </c>
      <c r="AB1058">
        <v>0</v>
      </c>
      <c r="AC1058">
        <f>VLOOKUP(A:A,[1]android_repos_all_metrics!B:K,4,FALSE)</f>
        <v>1319</v>
      </c>
      <c r="AD1058">
        <f>VLOOKUP(A:A,[1]android_repos_all_metrics!B:K,5,FALSE)</f>
        <v>160</v>
      </c>
      <c r="AE1058">
        <f>VLOOKUP(A:A,[1]android_repos_all_metrics!B:K,6,FALSE)</f>
        <v>5</v>
      </c>
      <c r="AF1058">
        <f>VLOOKUP(A:A,[1]android_repos_all_metrics!B:K,7,FALSE)</f>
        <v>12898</v>
      </c>
      <c r="AG1058">
        <f>VLOOKUP(A:A,[1]android_repos_all_metrics!B:K,8,FALSE)</f>
        <v>1</v>
      </c>
      <c r="AH1058">
        <f>VLOOKUP(A:A,[1]android_repos_all_metrics!B:K,9,FALSE)</f>
        <v>2</v>
      </c>
      <c r="AI1058">
        <f>VLOOKUP(A:A,[1]android_repos_all_metrics!B:K,10,FALSE)</f>
        <v>21</v>
      </c>
    </row>
    <row r="1059" spans="1:35">
      <c r="A1059" t="s">
        <v>1123</v>
      </c>
      <c r="B1059" t="b">
        <v>1</v>
      </c>
      <c r="C1059" t="b">
        <v>0</v>
      </c>
      <c r="D1059" t="b">
        <v>0</v>
      </c>
      <c r="F1059" t="b">
        <v>0</v>
      </c>
      <c r="H1059" t="s">
        <v>37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>
        <v>2</v>
      </c>
      <c r="AB1059">
        <v>0</v>
      </c>
      <c r="AC1059">
        <f>VLOOKUP(A:A,[1]android_repos_all_metrics!B:K,4,FALSE)</f>
        <v>104</v>
      </c>
      <c r="AD1059">
        <f>VLOOKUP(A:A,[1]android_repos_all_metrics!B:K,5,FALSE)</f>
        <v>4</v>
      </c>
      <c r="AE1059">
        <f>VLOOKUP(A:A,[1]android_repos_all_metrics!B:K,6,FALSE)</f>
        <v>2</v>
      </c>
      <c r="AF1059">
        <f>VLOOKUP(A:A,[1]android_repos_all_metrics!B:K,7,FALSE)</f>
        <v>1255</v>
      </c>
      <c r="AG1059">
        <f>VLOOKUP(A:A,[1]android_repos_all_metrics!B:K,8,FALSE)</f>
        <v>5</v>
      </c>
      <c r="AH1059">
        <f>VLOOKUP(A:A,[1]android_repos_all_metrics!B:K,9,FALSE)</f>
        <v>62</v>
      </c>
      <c r="AI1059">
        <f>VLOOKUP(A:A,[1]android_repos_all_metrics!B:K,10,FALSE)</f>
        <v>4</v>
      </c>
    </row>
    <row r="1060" spans="1:35">
      <c r="A1060" t="s">
        <v>1124</v>
      </c>
      <c r="B1060" t="b">
        <v>1</v>
      </c>
      <c r="C1060" t="b">
        <v>0</v>
      </c>
      <c r="D1060" t="b">
        <v>0</v>
      </c>
      <c r="F1060" t="b">
        <v>0</v>
      </c>
      <c r="H1060" t="s">
        <v>37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>
        <v>1</v>
      </c>
      <c r="AB1060">
        <v>0</v>
      </c>
      <c r="AC1060">
        <f>VLOOKUP(A:A,[1]android_repos_all_metrics!B:K,4,FALSE)</f>
        <v>1112</v>
      </c>
      <c r="AD1060">
        <f>VLOOKUP(A:A,[1]android_repos_all_metrics!B:K,5,FALSE)</f>
        <v>187</v>
      </c>
      <c r="AE1060">
        <f>VLOOKUP(A:A,[1]android_repos_all_metrics!B:K,6,FALSE)</f>
        <v>22</v>
      </c>
      <c r="AF1060">
        <f>VLOOKUP(A:A,[1]android_repos_all_metrics!B:K,7,FALSE)</f>
        <v>8730</v>
      </c>
      <c r="AG1060">
        <f>VLOOKUP(A:A,[1]android_repos_all_metrics!B:K,8,FALSE)</f>
        <v>49</v>
      </c>
      <c r="AH1060">
        <f>VLOOKUP(A:A,[1]android_repos_all_metrics!B:K,9,FALSE)</f>
        <v>30</v>
      </c>
      <c r="AI1060">
        <f>VLOOKUP(A:A,[1]android_repos_all_metrics!B:K,10,FALSE)</f>
        <v>16</v>
      </c>
    </row>
    <row r="1061" spans="1:35">
      <c r="A1061" t="s">
        <v>1125</v>
      </c>
      <c r="B1061" t="b">
        <v>1</v>
      </c>
      <c r="C1061" t="b">
        <v>0</v>
      </c>
      <c r="D1061" t="b">
        <v>0</v>
      </c>
      <c r="F1061" t="b">
        <v>0</v>
      </c>
      <c r="H1061" t="s">
        <v>37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>
        <v>1</v>
      </c>
      <c r="AB1061">
        <v>0</v>
      </c>
      <c r="AC1061">
        <f>VLOOKUP(A:A,[1]android_repos_all_metrics!B:K,4,FALSE)</f>
        <v>182</v>
      </c>
      <c r="AD1061">
        <f>VLOOKUP(A:A,[1]android_repos_all_metrics!B:K,5,FALSE)</f>
        <v>41</v>
      </c>
      <c r="AE1061">
        <f>VLOOKUP(A:A,[1]android_repos_all_metrics!B:K,6,FALSE)</f>
        <v>6</v>
      </c>
      <c r="AF1061">
        <f>VLOOKUP(A:A,[1]android_repos_all_metrics!B:K,7,FALSE)</f>
        <v>6319</v>
      </c>
      <c r="AG1061">
        <f>VLOOKUP(A:A,[1]android_repos_all_metrics!B:K,8,FALSE)</f>
        <v>2</v>
      </c>
      <c r="AH1061">
        <f>VLOOKUP(A:A,[1]android_repos_all_metrics!B:K,9,FALSE)</f>
        <v>4</v>
      </c>
      <c r="AI1061">
        <f>VLOOKUP(A:A,[1]android_repos_all_metrics!B:K,10,FALSE)</f>
        <v>0</v>
      </c>
    </row>
    <row r="1062" spans="1:35">
      <c r="A1062" t="s">
        <v>1126</v>
      </c>
      <c r="B1062" t="b">
        <v>0</v>
      </c>
      <c r="C1062" t="b">
        <v>0</v>
      </c>
      <c r="D1062" t="b">
        <v>0</v>
      </c>
      <c r="F1062" t="b">
        <v>0</v>
      </c>
      <c r="H1062" t="s">
        <v>41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>
        <v>1</v>
      </c>
      <c r="AB1062">
        <v>0</v>
      </c>
      <c r="AC1062">
        <f>VLOOKUP(A:A,[1]android_repos_all_metrics!B:K,4,FALSE)</f>
        <v>55</v>
      </c>
      <c r="AD1062">
        <f>VLOOKUP(A:A,[1]android_repos_all_metrics!B:K,5,FALSE)</f>
        <v>4</v>
      </c>
      <c r="AE1062">
        <f>VLOOKUP(A:A,[1]android_repos_all_metrics!B:K,6,FALSE)</f>
        <v>1</v>
      </c>
      <c r="AF1062">
        <f>VLOOKUP(A:A,[1]android_repos_all_metrics!B:K,7,FALSE)</f>
        <v>74934</v>
      </c>
      <c r="AG1062">
        <f>VLOOKUP(A:A,[1]android_repos_all_metrics!B:K,8,FALSE)</f>
        <v>21</v>
      </c>
      <c r="AH1062">
        <f>VLOOKUP(A:A,[1]android_repos_all_metrics!B:K,9,FALSE)</f>
        <v>29</v>
      </c>
      <c r="AI1062">
        <f>VLOOKUP(A:A,[1]android_repos_all_metrics!B:K,10,FALSE)</f>
        <v>0</v>
      </c>
    </row>
    <row r="1063" spans="1:35">
      <c r="A1063" t="s">
        <v>1127</v>
      </c>
      <c r="B1063" t="b">
        <v>1</v>
      </c>
      <c r="C1063" t="b">
        <v>0</v>
      </c>
      <c r="D1063" t="b">
        <v>0</v>
      </c>
      <c r="F1063" t="b">
        <v>0</v>
      </c>
      <c r="H1063" t="s">
        <v>37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>
        <v>1</v>
      </c>
      <c r="AB1063">
        <v>0</v>
      </c>
      <c r="AC1063">
        <f>VLOOKUP(A:A,[1]android_repos_all_metrics!B:K,4,FALSE)</f>
        <v>168</v>
      </c>
      <c r="AD1063">
        <f>VLOOKUP(A:A,[1]android_repos_all_metrics!B:K,5,FALSE)</f>
        <v>52</v>
      </c>
      <c r="AE1063">
        <f>VLOOKUP(A:A,[1]android_repos_all_metrics!B:K,6,FALSE)</f>
        <v>6</v>
      </c>
      <c r="AF1063">
        <f>VLOOKUP(A:A,[1]android_repos_all_metrics!B:K,7,FALSE)</f>
        <v>2915</v>
      </c>
      <c r="AG1063">
        <f>VLOOKUP(A:A,[1]android_repos_all_metrics!B:K,8,FALSE)</f>
        <v>7</v>
      </c>
      <c r="AH1063">
        <f>VLOOKUP(A:A,[1]android_repos_all_metrics!B:K,9,FALSE)</f>
        <v>8</v>
      </c>
      <c r="AI1063">
        <f>VLOOKUP(A:A,[1]android_repos_all_metrics!B:K,10,FALSE)</f>
        <v>4</v>
      </c>
    </row>
    <row r="1064" spans="1:35">
      <c r="A1064" t="s">
        <v>1128</v>
      </c>
      <c r="B1064" t="b">
        <v>1</v>
      </c>
      <c r="C1064" t="b">
        <v>0</v>
      </c>
      <c r="D1064" t="b">
        <v>0</v>
      </c>
      <c r="F1064" t="b">
        <v>0</v>
      </c>
      <c r="H1064" t="s">
        <v>37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>
        <v>1</v>
      </c>
      <c r="AB1064">
        <v>0</v>
      </c>
      <c r="AC1064">
        <f>VLOOKUP(A:A,[1]android_repos_all_metrics!B:K,4,FALSE)</f>
        <v>65</v>
      </c>
      <c r="AD1064">
        <f>VLOOKUP(A:A,[1]android_repos_all_metrics!B:K,5,FALSE)</f>
        <v>19</v>
      </c>
      <c r="AE1064">
        <f>VLOOKUP(A:A,[1]android_repos_all_metrics!B:K,6,FALSE)</f>
        <v>1</v>
      </c>
      <c r="AF1064">
        <f>VLOOKUP(A:A,[1]android_repos_all_metrics!B:K,7,FALSE)</f>
        <v>5525</v>
      </c>
      <c r="AG1064">
        <f>VLOOKUP(A:A,[1]android_repos_all_metrics!B:K,8,FALSE)</f>
        <v>6</v>
      </c>
      <c r="AH1064">
        <f>VLOOKUP(A:A,[1]android_repos_all_metrics!B:K,9,FALSE)</f>
        <v>25</v>
      </c>
      <c r="AI1064">
        <f>VLOOKUP(A:A,[1]android_repos_all_metrics!B:K,10,FALSE)</f>
        <v>3</v>
      </c>
    </row>
    <row r="1065" spans="1:35">
      <c r="A1065" t="s">
        <v>1129</v>
      </c>
      <c r="B1065" t="b">
        <v>0</v>
      </c>
      <c r="C1065" t="b">
        <v>0</v>
      </c>
      <c r="D1065" t="b">
        <v>0</v>
      </c>
      <c r="F1065" t="b">
        <v>0</v>
      </c>
      <c r="H1065" t="s">
        <v>41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>
        <v>1</v>
      </c>
      <c r="AB1065">
        <v>0</v>
      </c>
      <c r="AC1065">
        <f>VLOOKUP(A:A,[1]android_repos_all_metrics!B:K,4,FALSE)</f>
        <v>138</v>
      </c>
      <c r="AD1065">
        <f>VLOOKUP(A:A,[1]android_repos_all_metrics!B:K,5,FALSE)</f>
        <v>23</v>
      </c>
      <c r="AE1065">
        <f>VLOOKUP(A:A,[1]android_repos_all_metrics!B:K,6,FALSE)</f>
        <v>9</v>
      </c>
      <c r="AF1065">
        <f>VLOOKUP(A:A,[1]android_repos_all_metrics!B:K,7,FALSE)</f>
        <v>4771</v>
      </c>
      <c r="AG1065">
        <f>VLOOKUP(A:A,[1]android_repos_all_metrics!B:K,8,FALSE)</f>
        <v>113</v>
      </c>
      <c r="AH1065">
        <f>VLOOKUP(A:A,[1]android_repos_all_metrics!B:K,9,FALSE)</f>
        <v>345</v>
      </c>
      <c r="AI1065">
        <f>VLOOKUP(A:A,[1]android_repos_all_metrics!B:K,10,FALSE)</f>
        <v>8</v>
      </c>
    </row>
    <row r="1066" spans="1:35">
      <c r="A1066" t="s">
        <v>1130</v>
      </c>
      <c r="B1066" t="b">
        <v>1</v>
      </c>
      <c r="C1066" t="b">
        <v>0</v>
      </c>
      <c r="D1066" t="b">
        <v>0</v>
      </c>
      <c r="F1066" t="b">
        <v>0</v>
      </c>
      <c r="H1066" t="s">
        <v>37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>
        <v>1</v>
      </c>
      <c r="AB1066">
        <v>0</v>
      </c>
      <c r="AC1066">
        <f>VLOOKUP(A:A,[1]android_repos_all_metrics!B:K,4,FALSE)</f>
        <v>186</v>
      </c>
      <c r="AD1066">
        <f>VLOOKUP(A:A,[1]android_repos_all_metrics!B:K,5,FALSE)</f>
        <v>86</v>
      </c>
      <c r="AE1066">
        <f>VLOOKUP(A:A,[1]android_repos_all_metrics!B:K,6,FALSE)</f>
        <v>2</v>
      </c>
      <c r="AF1066">
        <f>VLOOKUP(A:A,[1]android_repos_all_metrics!B:K,7,FALSE)</f>
        <v>3634</v>
      </c>
      <c r="AG1066">
        <f>VLOOKUP(A:A,[1]android_repos_all_metrics!B:K,8,FALSE)</f>
        <v>0</v>
      </c>
      <c r="AH1066">
        <f>VLOOKUP(A:A,[1]android_repos_all_metrics!B:K,9,FALSE)</f>
        <v>2</v>
      </c>
      <c r="AI1066">
        <f>VLOOKUP(A:A,[1]android_repos_all_metrics!B:K,10,FALSE)</f>
        <v>8</v>
      </c>
    </row>
    <row r="1067" spans="1:35">
      <c r="A1067" t="s">
        <v>1131</v>
      </c>
      <c r="B1067" t="b">
        <v>1</v>
      </c>
      <c r="C1067" t="b">
        <v>0</v>
      </c>
      <c r="D1067" t="b">
        <v>0</v>
      </c>
      <c r="F1067" t="b">
        <v>0</v>
      </c>
      <c r="H1067" t="s">
        <v>37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>
        <v>1</v>
      </c>
      <c r="AB1067">
        <v>0</v>
      </c>
      <c r="AC1067">
        <f>VLOOKUP(A:A,[1]android_repos_all_metrics!B:K,4,FALSE)</f>
        <v>36</v>
      </c>
      <c r="AD1067">
        <f>VLOOKUP(A:A,[1]android_repos_all_metrics!B:K,5,FALSE)</f>
        <v>2</v>
      </c>
      <c r="AE1067">
        <f>VLOOKUP(A:A,[1]android_repos_all_metrics!B:K,6,FALSE)</f>
        <v>2</v>
      </c>
      <c r="AF1067">
        <f>VLOOKUP(A:A,[1]android_repos_all_metrics!B:K,7,FALSE)</f>
        <v>2330</v>
      </c>
      <c r="AG1067">
        <f>VLOOKUP(A:A,[1]android_repos_all_metrics!B:K,8,FALSE)</f>
        <v>1</v>
      </c>
      <c r="AH1067">
        <f>VLOOKUP(A:A,[1]android_repos_all_metrics!B:K,9,FALSE)</f>
        <v>7</v>
      </c>
      <c r="AI1067">
        <f>VLOOKUP(A:A,[1]android_repos_all_metrics!B:K,10,FALSE)</f>
        <v>1</v>
      </c>
    </row>
    <row r="1068" spans="1:35">
      <c r="A1068" t="s">
        <v>1132</v>
      </c>
      <c r="B1068" t="b">
        <v>0</v>
      </c>
      <c r="C1068" t="b">
        <v>0</v>
      </c>
      <c r="D1068" t="b">
        <v>0</v>
      </c>
      <c r="F1068" t="b">
        <v>0</v>
      </c>
      <c r="H1068" t="s">
        <v>41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>
        <v>1</v>
      </c>
      <c r="AB1068">
        <v>0</v>
      </c>
      <c r="AC1068">
        <f>VLOOKUP(A:A,[1]android_repos_all_metrics!B:K,4,FALSE)</f>
        <v>7</v>
      </c>
      <c r="AD1068">
        <f>VLOOKUP(A:A,[1]android_repos_all_metrics!B:K,5,FALSE)</f>
        <v>1</v>
      </c>
      <c r="AE1068">
        <f>VLOOKUP(A:A,[1]android_repos_all_metrics!B:K,6,FALSE)</f>
        <v>1</v>
      </c>
      <c r="AF1068">
        <f>VLOOKUP(A:A,[1]android_repos_all_metrics!B:K,7,FALSE)</f>
        <v>136</v>
      </c>
      <c r="AG1068">
        <f>VLOOKUP(A:A,[1]android_repos_all_metrics!B:K,8,FALSE)</f>
        <v>2</v>
      </c>
      <c r="AH1068">
        <f>VLOOKUP(A:A,[1]android_repos_all_metrics!B:K,9,FALSE)</f>
        <v>3</v>
      </c>
      <c r="AI1068">
        <f>VLOOKUP(A:A,[1]android_repos_all_metrics!B:K,10,FALSE)</f>
        <v>0</v>
      </c>
    </row>
    <row r="1069" spans="1:35">
      <c r="A1069" t="s">
        <v>1133</v>
      </c>
      <c r="B1069" t="b">
        <v>1</v>
      </c>
      <c r="C1069" t="b">
        <v>0</v>
      </c>
      <c r="D1069" t="b">
        <v>0</v>
      </c>
      <c r="F1069" t="b">
        <v>0</v>
      </c>
      <c r="H1069" t="s">
        <v>37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>
        <v>1</v>
      </c>
      <c r="AB1069">
        <v>0</v>
      </c>
      <c r="AC1069">
        <f>VLOOKUP(A:A,[1]android_repos_all_metrics!B:K,4,FALSE)</f>
        <v>1667</v>
      </c>
      <c r="AD1069">
        <f>VLOOKUP(A:A,[1]android_repos_all_metrics!B:K,5,FALSE)</f>
        <v>118</v>
      </c>
      <c r="AE1069">
        <f>VLOOKUP(A:A,[1]android_repos_all_metrics!B:K,6,FALSE)</f>
        <v>8</v>
      </c>
      <c r="AF1069">
        <f>VLOOKUP(A:A,[1]android_repos_all_metrics!B:K,7,FALSE)</f>
        <v>64352</v>
      </c>
      <c r="AG1069">
        <f>VLOOKUP(A:A,[1]android_repos_all_metrics!B:K,8,FALSE)</f>
        <v>28</v>
      </c>
      <c r="AH1069">
        <f>VLOOKUP(A:A,[1]android_repos_all_metrics!B:K,9,FALSE)</f>
        <v>443</v>
      </c>
      <c r="AI1069">
        <f>VLOOKUP(A:A,[1]android_repos_all_metrics!B:K,10,FALSE)</f>
        <v>8</v>
      </c>
    </row>
    <row r="1070" spans="1:35">
      <c r="A1070" t="s">
        <v>1134</v>
      </c>
      <c r="B1070" t="b">
        <v>1</v>
      </c>
      <c r="C1070" t="b">
        <v>0</v>
      </c>
      <c r="D1070" t="b">
        <v>0</v>
      </c>
      <c r="F1070" t="b">
        <v>0</v>
      </c>
      <c r="H1070" t="s">
        <v>37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>
        <v>1</v>
      </c>
      <c r="AB1070">
        <v>0</v>
      </c>
      <c r="AC1070">
        <f>VLOOKUP(A:A,[1]android_repos_all_metrics!B:K,4,FALSE)</f>
        <v>135</v>
      </c>
      <c r="AD1070">
        <f>VLOOKUP(A:A,[1]android_repos_all_metrics!B:K,5,FALSE)</f>
        <v>397</v>
      </c>
      <c r="AE1070">
        <f>VLOOKUP(A:A,[1]android_repos_all_metrics!B:K,6,FALSE)</f>
        <v>3</v>
      </c>
      <c r="AF1070">
        <f>VLOOKUP(A:A,[1]android_repos_all_metrics!B:K,7,FALSE)</f>
        <v>1260</v>
      </c>
      <c r="AG1070">
        <f>VLOOKUP(A:A,[1]android_repos_all_metrics!B:K,8,FALSE)</f>
        <v>1</v>
      </c>
      <c r="AH1070">
        <f>VLOOKUP(A:A,[1]android_repos_all_metrics!B:K,9,FALSE)</f>
        <v>7</v>
      </c>
      <c r="AI1070">
        <f>VLOOKUP(A:A,[1]android_repos_all_metrics!B:K,10,FALSE)</f>
        <v>28</v>
      </c>
    </row>
    <row r="1071" spans="1:35">
      <c r="A1071" t="s">
        <v>1135</v>
      </c>
      <c r="B1071" t="b">
        <v>1</v>
      </c>
      <c r="C1071" t="b">
        <v>0</v>
      </c>
      <c r="D1071" t="b">
        <v>0</v>
      </c>
      <c r="F1071" t="b">
        <v>0</v>
      </c>
      <c r="H1071" t="s">
        <v>37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>
        <v>1</v>
      </c>
      <c r="AB1071">
        <v>0</v>
      </c>
      <c r="AC1071">
        <f>VLOOKUP(A:A,[1]android_repos_all_metrics!B:K,4,FALSE)</f>
        <v>61</v>
      </c>
      <c r="AD1071">
        <f>VLOOKUP(A:A,[1]android_repos_all_metrics!B:K,5,FALSE)</f>
        <v>0</v>
      </c>
      <c r="AE1071">
        <f>VLOOKUP(A:A,[1]android_repos_all_metrics!B:K,6,FALSE)</f>
        <v>1</v>
      </c>
      <c r="AF1071">
        <f>VLOOKUP(A:A,[1]android_repos_all_metrics!B:K,7,FALSE)</f>
        <v>29233</v>
      </c>
      <c r="AG1071">
        <f>VLOOKUP(A:A,[1]android_repos_all_metrics!B:K,8,FALSE)</f>
        <v>87</v>
      </c>
      <c r="AH1071">
        <f>VLOOKUP(A:A,[1]android_repos_all_metrics!B:K,9,FALSE)</f>
        <v>156</v>
      </c>
      <c r="AI1071">
        <f>VLOOKUP(A:A,[1]android_repos_all_metrics!B:K,10,FALSE)</f>
        <v>2</v>
      </c>
    </row>
    <row r="1072" spans="1:35">
      <c r="A1072" t="s">
        <v>1136</v>
      </c>
      <c r="B1072" t="b">
        <v>1</v>
      </c>
      <c r="C1072" t="b">
        <v>0</v>
      </c>
      <c r="D1072" t="b">
        <v>0</v>
      </c>
      <c r="F1072" t="b">
        <v>0</v>
      </c>
      <c r="H1072" t="s">
        <v>37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>
        <v>7</v>
      </c>
      <c r="AB1072">
        <v>0</v>
      </c>
      <c r="AC1072">
        <f>VLOOKUP(A:A,[1]android_repos_all_metrics!B:K,4,FALSE)</f>
        <v>637</v>
      </c>
      <c r="AD1072">
        <f>VLOOKUP(A:A,[1]android_repos_all_metrics!B:K,5,FALSE)</f>
        <v>24</v>
      </c>
      <c r="AE1072">
        <f>VLOOKUP(A:A,[1]android_repos_all_metrics!B:K,6,FALSE)</f>
        <v>6</v>
      </c>
      <c r="AF1072">
        <f>VLOOKUP(A:A,[1]android_repos_all_metrics!B:K,7,FALSE)</f>
        <v>37615</v>
      </c>
      <c r="AG1072">
        <f>VLOOKUP(A:A,[1]android_repos_all_metrics!B:K,8,FALSE)</f>
        <v>17</v>
      </c>
      <c r="AH1072">
        <f>VLOOKUP(A:A,[1]android_repos_all_metrics!B:K,9,FALSE)</f>
        <v>150</v>
      </c>
      <c r="AI1072">
        <f>VLOOKUP(A:A,[1]android_repos_all_metrics!B:K,10,FALSE)</f>
        <v>10</v>
      </c>
    </row>
    <row r="1073" spans="1:35">
      <c r="A1073" t="s">
        <v>1137</v>
      </c>
      <c r="B1073" t="b">
        <v>1</v>
      </c>
      <c r="C1073" t="b">
        <v>0</v>
      </c>
      <c r="D1073" t="b">
        <v>0</v>
      </c>
      <c r="F1073" t="b">
        <v>0</v>
      </c>
      <c r="H1073" t="s">
        <v>37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>
        <v>2</v>
      </c>
      <c r="AB1073">
        <v>0</v>
      </c>
      <c r="AC1073">
        <f>VLOOKUP(A:A,[1]android_repos_all_metrics!B:K,4,FALSE)</f>
        <v>348</v>
      </c>
      <c r="AD1073">
        <f>VLOOKUP(A:A,[1]android_repos_all_metrics!B:K,5,FALSE)</f>
        <v>51</v>
      </c>
      <c r="AE1073">
        <f>VLOOKUP(A:A,[1]android_repos_all_metrics!B:K,6,FALSE)</f>
        <v>8</v>
      </c>
      <c r="AF1073">
        <f>VLOOKUP(A:A,[1]android_repos_all_metrics!B:K,7,FALSE)</f>
        <v>2091</v>
      </c>
      <c r="AG1073">
        <f>VLOOKUP(A:A,[1]android_repos_all_metrics!B:K,8,FALSE)</f>
        <v>0</v>
      </c>
      <c r="AH1073">
        <f>VLOOKUP(A:A,[1]android_repos_all_metrics!B:K,9,FALSE)</f>
        <v>4</v>
      </c>
      <c r="AI1073">
        <f>VLOOKUP(A:A,[1]android_repos_all_metrics!B:K,10,FALSE)</f>
        <v>0</v>
      </c>
    </row>
    <row r="1074" spans="1:35">
      <c r="A1074" t="s">
        <v>1138</v>
      </c>
      <c r="B1074" t="b">
        <v>1</v>
      </c>
      <c r="C1074" t="b">
        <v>1</v>
      </c>
      <c r="D1074" t="b">
        <v>0</v>
      </c>
      <c r="F1074" t="b">
        <v>1</v>
      </c>
      <c r="G1074" t="s">
        <v>109</v>
      </c>
      <c r="H1074" t="s">
        <v>37</v>
      </c>
      <c r="I1074" t="s">
        <v>37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>
        <v>2</v>
      </c>
      <c r="AB1074">
        <v>0</v>
      </c>
      <c r="AC1074">
        <f>VLOOKUP(A:A,[1]android_repos_all_metrics!B:K,4,FALSE)</f>
        <v>4124</v>
      </c>
      <c r="AD1074">
        <f>VLOOKUP(A:A,[1]android_repos_all_metrics!B:K,5,FALSE)</f>
        <v>164</v>
      </c>
      <c r="AE1074">
        <f>VLOOKUP(A:A,[1]android_repos_all_metrics!B:K,6,FALSE)</f>
        <v>21</v>
      </c>
      <c r="AF1074">
        <f>VLOOKUP(A:A,[1]android_repos_all_metrics!B:K,7,FALSE)</f>
        <v>19285</v>
      </c>
      <c r="AG1074">
        <f>VLOOKUP(A:A,[1]android_repos_all_metrics!B:K,8,FALSE)</f>
        <v>17</v>
      </c>
      <c r="AH1074">
        <f>VLOOKUP(A:A,[1]android_repos_all_metrics!B:K,9,FALSE)</f>
        <v>57</v>
      </c>
      <c r="AI1074">
        <f>VLOOKUP(A:A,[1]android_repos_all_metrics!B:K,10,FALSE)</f>
        <v>10</v>
      </c>
    </row>
    <row r="1075" spans="1:35">
      <c r="A1075" t="s">
        <v>1139</v>
      </c>
      <c r="B1075" t="b">
        <v>1</v>
      </c>
      <c r="C1075" t="b">
        <v>0</v>
      </c>
      <c r="D1075" t="b">
        <v>0</v>
      </c>
      <c r="F1075" t="b">
        <v>0</v>
      </c>
      <c r="H1075" t="s">
        <v>76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>
        <v>1</v>
      </c>
      <c r="AB1075">
        <v>0</v>
      </c>
      <c r="AC1075">
        <f>VLOOKUP(A:A,[1]android_repos_all_metrics!B:K,4,FALSE)</f>
        <v>150</v>
      </c>
      <c r="AD1075">
        <f>VLOOKUP(A:A,[1]android_repos_all_metrics!B:K,5,FALSE)</f>
        <v>0</v>
      </c>
      <c r="AE1075">
        <f>VLOOKUP(A:A,[1]android_repos_all_metrics!B:K,6,FALSE)</f>
        <v>9</v>
      </c>
      <c r="AF1075">
        <f>VLOOKUP(A:A,[1]android_repos_all_metrics!B:K,7,FALSE)</f>
        <v>2820</v>
      </c>
      <c r="AG1075">
        <f>VLOOKUP(A:A,[1]android_repos_all_metrics!B:K,8,FALSE)</f>
        <v>2</v>
      </c>
      <c r="AH1075">
        <f>VLOOKUP(A:A,[1]android_repos_all_metrics!B:K,9,FALSE)</f>
        <v>6</v>
      </c>
      <c r="AI1075">
        <f>VLOOKUP(A:A,[1]android_repos_all_metrics!B:K,10,FALSE)</f>
        <v>3</v>
      </c>
    </row>
    <row r="1076" spans="1:35">
      <c r="A1076" t="s">
        <v>1140</v>
      </c>
      <c r="B1076" t="b">
        <v>1</v>
      </c>
      <c r="C1076" t="b">
        <v>0</v>
      </c>
      <c r="D1076" t="b">
        <v>0</v>
      </c>
      <c r="F1076" t="b">
        <v>0</v>
      </c>
      <c r="H1076" t="s">
        <v>37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>
        <v>1</v>
      </c>
      <c r="AB1076">
        <v>0</v>
      </c>
      <c r="AC1076">
        <f>VLOOKUP(A:A,[1]android_repos_all_metrics!B:K,4,FALSE)</f>
        <v>256</v>
      </c>
      <c r="AD1076">
        <f>VLOOKUP(A:A,[1]android_repos_all_metrics!B:K,5,FALSE)</f>
        <v>22</v>
      </c>
      <c r="AE1076">
        <f>VLOOKUP(A:A,[1]android_repos_all_metrics!B:K,6,FALSE)</f>
        <v>1</v>
      </c>
      <c r="AF1076">
        <f>VLOOKUP(A:A,[1]android_repos_all_metrics!B:K,7,FALSE)</f>
        <v>5401</v>
      </c>
      <c r="AG1076">
        <f>VLOOKUP(A:A,[1]android_repos_all_metrics!B:K,8,FALSE)</f>
        <v>0</v>
      </c>
      <c r="AH1076">
        <f>VLOOKUP(A:A,[1]android_repos_all_metrics!B:K,9,FALSE)</f>
        <v>1</v>
      </c>
      <c r="AI1076">
        <f>VLOOKUP(A:A,[1]android_repos_all_metrics!B:K,10,FALSE)</f>
        <v>0</v>
      </c>
    </row>
    <row r="1077" spans="1:35">
      <c r="A1077" t="s">
        <v>1141</v>
      </c>
      <c r="B1077" t="b">
        <v>1</v>
      </c>
      <c r="C1077" t="b">
        <v>0</v>
      </c>
      <c r="D1077" t="b">
        <v>0</v>
      </c>
      <c r="F1077" t="b">
        <v>0</v>
      </c>
      <c r="H1077" t="s">
        <v>37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>
        <v>2</v>
      </c>
      <c r="AB1077">
        <v>0</v>
      </c>
      <c r="AC1077">
        <f>VLOOKUP(A:A,[1]android_repos_all_metrics!B:K,4,FALSE)</f>
        <v>266</v>
      </c>
      <c r="AD1077">
        <f>VLOOKUP(A:A,[1]android_repos_all_metrics!B:K,5,FALSE)</f>
        <v>1</v>
      </c>
      <c r="AE1077">
        <f>VLOOKUP(A:A,[1]android_repos_all_metrics!B:K,6,FALSE)</f>
        <v>2</v>
      </c>
      <c r="AF1077">
        <f>VLOOKUP(A:A,[1]android_repos_all_metrics!B:K,7,FALSE)</f>
        <v>684</v>
      </c>
      <c r="AG1077">
        <f>VLOOKUP(A:A,[1]android_repos_all_metrics!B:K,8,FALSE)</f>
        <v>1</v>
      </c>
      <c r="AH1077">
        <f>VLOOKUP(A:A,[1]android_repos_all_metrics!B:K,9,FALSE)</f>
        <v>2</v>
      </c>
      <c r="AI1077">
        <f>VLOOKUP(A:A,[1]android_repos_all_metrics!B:K,10,FALSE)</f>
        <v>4</v>
      </c>
    </row>
    <row r="1078" spans="1:35">
      <c r="A1078" t="s">
        <v>1142</v>
      </c>
      <c r="B1078" t="b">
        <v>1</v>
      </c>
      <c r="C1078" t="b">
        <v>1</v>
      </c>
      <c r="D1078" t="b">
        <v>0</v>
      </c>
      <c r="F1078" t="b">
        <v>1</v>
      </c>
      <c r="G1078" t="s">
        <v>39</v>
      </c>
      <c r="H1078" t="s">
        <v>41</v>
      </c>
      <c r="I1078" t="s">
        <v>41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>
        <v>1</v>
      </c>
      <c r="AB1078">
        <v>0</v>
      </c>
      <c r="AC1078">
        <f>VLOOKUP(A:A,[1]android_repos_all_metrics!B:K,4,FALSE)</f>
        <v>118</v>
      </c>
      <c r="AD1078">
        <f>VLOOKUP(A:A,[1]android_repos_all_metrics!B:K,5,FALSE)</f>
        <v>1</v>
      </c>
      <c r="AE1078">
        <f>VLOOKUP(A:A,[1]android_repos_all_metrics!B:K,6,FALSE)</f>
        <v>2</v>
      </c>
      <c r="AF1078">
        <f>VLOOKUP(A:A,[1]android_repos_all_metrics!B:K,7,FALSE)</f>
        <v>68697</v>
      </c>
      <c r="AG1078">
        <f>VLOOKUP(A:A,[1]android_repos_all_metrics!B:K,8,FALSE)</f>
        <v>5</v>
      </c>
      <c r="AH1078">
        <f>VLOOKUP(A:A,[1]android_repos_all_metrics!B:K,9,FALSE)</f>
        <v>9</v>
      </c>
      <c r="AI1078">
        <f>VLOOKUP(A:A,[1]android_repos_all_metrics!B:K,10,FALSE)</f>
        <v>1</v>
      </c>
    </row>
    <row r="1079" spans="1:35">
      <c r="A1079" t="s">
        <v>1143</v>
      </c>
      <c r="B1079" t="b">
        <v>0</v>
      </c>
      <c r="C1079" t="b">
        <v>0</v>
      </c>
      <c r="D1079" t="b">
        <v>0</v>
      </c>
      <c r="F1079" t="b">
        <v>0</v>
      </c>
      <c r="H1079" t="s">
        <v>407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>
        <v>1</v>
      </c>
      <c r="AB1079">
        <v>0</v>
      </c>
      <c r="AC1079" t="e">
        <f>VLOOKUP(A:A,[1]android_repos_all_metrics!B:K,4,FALSE)</f>
        <v>#N/A</v>
      </c>
      <c r="AD1079" t="e">
        <f>VLOOKUP(A:A,[1]android_repos_all_metrics!B:K,5,FALSE)</f>
        <v>#N/A</v>
      </c>
      <c r="AE1079" t="e">
        <f>VLOOKUP(A:A,[1]android_repos_all_metrics!B:K,6,FALSE)</f>
        <v>#N/A</v>
      </c>
      <c r="AF1079" t="e">
        <f>VLOOKUP(A:A,[1]android_repos_all_metrics!B:K,7,FALSE)</f>
        <v>#N/A</v>
      </c>
      <c r="AG1079" t="e">
        <f>VLOOKUP(A:A,[1]android_repos_all_metrics!B:K,8,FALSE)</f>
        <v>#N/A</v>
      </c>
      <c r="AH1079" t="e">
        <f>VLOOKUP(A:A,[1]android_repos_all_metrics!B:K,9,FALSE)</f>
        <v>#N/A</v>
      </c>
      <c r="AI1079" t="e">
        <f>VLOOKUP(A:A,[1]android_repos_all_metrics!B:K,10,FALSE)</f>
        <v>#N/A</v>
      </c>
    </row>
    <row r="1080" spans="1:35">
      <c r="A1080" t="s">
        <v>1144</v>
      </c>
      <c r="B1080" t="b">
        <v>0</v>
      </c>
      <c r="C1080" t="b">
        <v>0</v>
      </c>
      <c r="D1080" t="b">
        <v>0</v>
      </c>
      <c r="F1080" t="b">
        <v>0</v>
      </c>
      <c r="H1080" t="s">
        <v>43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>
        <v>1</v>
      </c>
      <c r="AB1080">
        <v>0</v>
      </c>
      <c r="AC1080">
        <f>VLOOKUP(A:A,[1]android_repos_all_metrics!B:K,4,FALSE)</f>
        <v>286</v>
      </c>
      <c r="AD1080">
        <f>VLOOKUP(A:A,[1]android_repos_all_metrics!B:K,5,FALSE)</f>
        <v>41</v>
      </c>
      <c r="AE1080">
        <f>VLOOKUP(A:A,[1]android_repos_all_metrics!B:K,6,FALSE)</f>
        <v>17</v>
      </c>
      <c r="AF1080">
        <f>VLOOKUP(A:A,[1]android_repos_all_metrics!B:K,7,FALSE)</f>
        <v>1678</v>
      </c>
      <c r="AG1080">
        <f>VLOOKUP(A:A,[1]android_repos_all_metrics!B:K,8,FALSE)</f>
        <v>64</v>
      </c>
      <c r="AH1080">
        <f>VLOOKUP(A:A,[1]android_repos_all_metrics!B:K,9,FALSE)</f>
        <v>191</v>
      </c>
      <c r="AI1080">
        <f>VLOOKUP(A:A,[1]android_repos_all_metrics!B:K,10,FALSE)</f>
        <v>2</v>
      </c>
    </row>
    <row r="1081" spans="1:35">
      <c r="A1081" t="s">
        <v>1145</v>
      </c>
      <c r="B1081" t="b">
        <v>1</v>
      </c>
      <c r="C1081" t="b">
        <v>0</v>
      </c>
      <c r="D1081" t="b">
        <v>0</v>
      </c>
      <c r="F1081" t="b">
        <v>0</v>
      </c>
      <c r="H1081" t="s">
        <v>37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>
        <v>1</v>
      </c>
      <c r="AB1081">
        <v>0</v>
      </c>
      <c r="AC1081">
        <f>VLOOKUP(A:A,[1]android_repos_all_metrics!B:K,4,FALSE)</f>
        <v>24</v>
      </c>
      <c r="AD1081">
        <f>VLOOKUP(A:A,[1]android_repos_all_metrics!B:K,5,FALSE)</f>
        <v>11</v>
      </c>
      <c r="AE1081">
        <f>VLOOKUP(A:A,[1]android_repos_all_metrics!B:K,6,FALSE)</f>
        <v>3</v>
      </c>
      <c r="AF1081">
        <f>VLOOKUP(A:A,[1]android_repos_all_metrics!B:K,7,FALSE)</f>
        <v>621</v>
      </c>
      <c r="AG1081">
        <f>VLOOKUP(A:A,[1]android_repos_all_metrics!B:K,8,FALSE)</f>
        <v>1</v>
      </c>
      <c r="AH1081">
        <f>VLOOKUP(A:A,[1]android_repos_all_metrics!B:K,9,FALSE)</f>
        <v>1</v>
      </c>
      <c r="AI1081">
        <f>VLOOKUP(A:A,[1]android_repos_all_metrics!B:K,10,FALSE)</f>
        <v>3</v>
      </c>
    </row>
    <row r="1082" spans="1:35">
      <c r="A1082" t="s">
        <v>1146</v>
      </c>
      <c r="B1082" t="b">
        <v>1</v>
      </c>
      <c r="C1082" t="b">
        <v>0</v>
      </c>
      <c r="D1082" t="b">
        <v>0</v>
      </c>
      <c r="F1082" t="b">
        <v>0</v>
      </c>
      <c r="H1082" t="s">
        <v>37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>
        <v>1</v>
      </c>
      <c r="AB1082">
        <v>0</v>
      </c>
      <c r="AC1082">
        <f>VLOOKUP(A:A,[1]android_repos_all_metrics!B:K,4,FALSE)</f>
        <v>793</v>
      </c>
      <c r="AD1082">
        <f>VLOOKUP(A:A,[1]android_repos_all_metrics!B:K,5,FALSE)</f>
        <v>15</v>
      </c>
      <c r="AE1082">
        <f>VLOOKUP(A:A,[1]android_repos_all_metrics!B:K,6,FALSE)</f>
        <v>7</v>
      </c>
      <c r="AF1082">
        <f>VLOOKUP(A:A,[1]android_repos_all_metrics!B:K,7,FALSE)</f>
        <v>55247</v>
      </c>
      <c r="AG1082">
        <f>VLOOKUP(A:A,[1]android_repos_all_metrics!B:K,8,FALSE)</f>
        <v>14</v>
      </c>
      <c r="AH1082">
        <f>VLOOKUP(A:A,[1]android_repos_all_metrics!B:K,9,FALSE)</f>
        <v>17</v>
      </c>
      <c r="AI1082">
        <f>VLOOKUP(A:A,[1]android_repos_all_metrics!B:K,10,FALSE)</f>
        <v>1</v>
      </c>
    </row>
    <row r="1083" spans="1:35">
      <c r="A1083" t="s">
        <v>1147</v>
      </c>
      <c r="B1083" t="b">
        <v>1</v>
      </c>
      <c r="C1083" t="b">
        <v>0</v>
      </c>
      <c r="D1083" t="b">
        <v>0</v>
      </c>
      <c r="F1083" t="b">
        <v>0</v>
      </c>
      <c r="H1083" t="s">
        <v>37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>
        <v>2</v>
      </c>
      <c r="AB1083">
        <v>0</v>
      </c>
      <c r="AC1083">
        <f>VLOOKUP(A:A,[1]android_repos_all_metrics!B:K,4,FALSE)</f>
        <v>974</v>
      </c>
      <c r="AD1083">
        <f>VLOOKUP(A:A,[1]android_repos_all_metrics!B:K,5,FALSE)</f>
        <v>6</v>
      </c>
      <c r="AE1083">
        <f>VLOOKUP(A:A,[1]android_repos_all_metrics!B:K,6,FALSE)</f>
        <v>4</v>
      </c>
      <c r="AF1083">
        <f>VLOOKUP(A:A,[1]android_repos_all_metrics!B:K,7,FALSE)</f>
        <v>29422</v>
      </c>
      <c r="AG1083">
        <f>VLOOKUP(A:A,[1]android_repos_all_metrics!B:K,8,FALSE)</f>
        <v>4</v>
      </c>
      <c r="AH1083">
        <f>VLOOKUP(A:A,[1]android_repos_all_metrics!B:K,9,FALSE)</f>
        <v>7</v>
      </c>
      <c r="AI1083">
        <f>VLOOKUP(A:A,[1]android_repos_all_metrics!B:K,10,FALSE)</f>
        <v>1</v>
      </c>
    </row>
    <row r="1084" spans="1:35">
      <c r="A1084" t="s">
        <v>1148</v>
      </c>
      <c r="B1084" t="b">
        <v>1</v>
      </c>
      <c r="C1084" t="b">
        <v>0</v>
      </c>
      <c r="D1084" t="b">
        <v>0</v>
      </c>
      <c r="F1084" t="b">
        <v>0</v>
      </c>
      <c r="H1084" t="s">
        <v>37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>
        <v>12</v>
      </c>
      <c r="AB1084">
        <v>0</v>
      </c>
      <c r="AC1084">
        <f>VLOOKUP(A:A,[1]android_repos_all_metrics!B:K,4,FALSE)</f>
        <v>408</v>
      </c>
      <c r="AD1084">
        <f>VLOOKUP(A:A,[1]android_repos_all_metrics!B:K,5,FALSE)</f>
        <v>7</v>
      </c>
      <c r="AE1084">
        <f>VLOOKUP(A:A,[1]android_repos_all_metrics!B:K,6,FALSE)</f>
        <v>10</v>
      </c>
      <c r="AF1084">
        <f>VLOOKUP(A:A,[1]android_repos_all_metrics!B:K,7,FALSE)</f>
        <v>6424</v>
      </c>
      <c r="AG1084">
        <f>VLOOKUP(A:A,[1]android_repos_all_metrics!B:K,8,FALSE)</f>
        <v>14</v>
      </c>
      <c r="AH1084">
        <f>VLOOKUP(A:A,[1]android_repos_all_metrics!B:K,9,FALSE)</f>
        <v>101</v>
      </c>
      <c r="AI1084">
        <f>VLOOKUP(A:A,[1]android_repos_all_metrics!B:K,10,FALSE)</f>
        <v>2</v>
      </c>
    </row>
    <row r="1085" spans="1:35">
      <c r="A1085" t="s">
        <v>1149</v>
      </c>
      <c r="B1085" t="b">
        <v>1</v>
      </c>
      <c r="C1085" t="b">
        <v>0</v>
      </c>
      <c r="D1085" t="b">
        <v>0</v>
      </c>
      <c r="F1085" t="b">
        <v>0</v>
      </c>
      <c r="H1085" t="s">
        <v>37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>
        <v>8</v>
      </c>
      <c r="AB1085">
        <v>0</v>
      </c>
      <c r="AC1085">
        <f>VLOOKUP(A:A,[1]android_repos_all_metrics!B:K,4,FALSE)</f>
        <v>1764</v>
      </c>
      <c r="AD1085">
        <f>VLOOKUP(A:A,[1]android_repos_all_metrics!B:K,5,FALSE)</f>
        <v>574</v>
      </c>
      <c r="AE1085">
        <f>VLOOKUP(A:A,[1]android_repos_all_metrics!B:K,6,FALSE)</f>
        <v>420</v>
      </c>
      <c r="AF1085">
        <f>VLOOKUP(A:A,[1]android_repos_all_metrics!B:K,7,FALSE)</f>
        <v>6511</v>
      </c>
      <c r="AG1085">
        <f>VLOOKUP(A:A,[1]android_repos_all_metrics!B:K,8,FALSE)</f>
        <v>131</v>
      </c>
      <c r="AH1085">
        <f>VLOOKUP(A:A,[1]android_repos_all_metrics!B:K,9,FALSE)</f>
        <v>691</v>
      </c>
      <c r="AI1085">
        <f>VLOOKUP(A:A,[1]android_repos_all_metrics!B:K,10,FALSE)</f>
        <v>139</v>
      </c>
    </row>
    <row r="1086" spans="1:35">
      <c r="A1086" t="s">
        <v>1150</v>
      </c>
      <c r="B1086" t="b">
        <v>1</v>
      </c>
      <c r="C1086" t="b">
        <v>0</v>
      </c>
      <c r="D1086" t="b">
        <v>0</v>
      </c>
      <c r="F1086" t="b">
        <v>0</v>
      </c>
      <c r="H1086" t="s">
        <v>37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>
        <v>7</v>
      </c>
      <c r="AB1086">
        <v>0</v>
      </c>
      <c r="AC1086">
        <f>VLOOKUP(A:A,[1]android_repos_all_metrics!B:K,4,FALSE)</f>
        <v>6840</v>
      </c>
      <c r="AD1086">
        <f>VLOOKUP(A:A,[1]android_repos_all_metrics!B:K,5,FALSE)</f>
        <v>1629</v>
      </c>
      <c r="AE1086">
        <f>VLOOKUP(A:A,[1]android_repos_all_metrics!B:K,6,FALSE)</f>
        <v>402</v>
      </c>
      <c r="AF1086">
        <f>VLOOKUP(A:A,[1]android_repos_all_metrics!B:K,7,FALSE)</f>
        <v>30587</v>
      </c>
      <c r="AG1086">
        <f>VLOOKUP(A:A,[1]android_repos_all_metrics!B:K,8,FALSE)</f>
        <v>299</v>
      </c>
      <c r="AH1086">
        <f>VLOOKUP(A:A,[1]android_repos_all_metrics!B:K,9,FALSE)</f>
        <v>1515</v>
      </c>
      <c r="AI1086">
        <f>VLOOKUP(A:A,[1]android_repos_all_metrics!B:K,10,FALSE)</f>
        <v>246</v>
      </c>
    </row>
    <row r="1087" spans="1:35">
      <c r="A1087" t="s">
        <v>1151</v>
      </c>
      <c r="B1087" t="b">
        <v>1</v>
      </c>
      <c r="C1087" t="b">
        <v>0</v>
      </c>
      <c r="D1087" t="b">
        <v>0</v>
      </c>
      <c r="F1087" t="b">
        <v>0</v>
      </c>
      <c r="H1087" t="s">
        <v>37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>
        <v>2</v>
      </c>
      <c r="AB1087">
        <v>0</v>
      </c>
      <c r="AC1087">
        <f>VLOOKUP(A:A,[1]android_repos_all_metrics!B:K,4,FALSE)</f>
        <v>387</v>
      </c>
      <c r="AD1087">
        <f>VLOOKUP(A:A,[1]android_repos_all_metrics!B:K,5,FALSE)</f>
        <v>46</v>
      </c>
      <c r="AE1087">
        <f>VLOOKUP(A:A,[1]android_repos_all_metrics!B:K,6,FALSE)</f>
        <v>26</v>
      </c>
      <c r="AF1087">
        <f>VLOOKUP(A:A,[1]android_repos_all_metrics!B:K,7,FALSE)</f>
        <v>24593</v>
      </c>
      <c r="AG1087">
        <f>VLOOKUP(A:A,[1]android_repos_all_metrics!B:K,8,FALSE)</f>
        <v>14</v>
      </c>
      <c r="AH1087">
        <f>VLOOKUP(A:A,[1]android_repos_all_metrics!B:K,9,FALSE)</f>
        <v>409</v>
      </c>
      <c r="AI1087">
        <f>VLOOKUP(A:A,[1]android_repos_all_metrics!B:K,10,FALSE)</f>
        <v>45</v>
      </c>
    </row>
    <row r="1088" spans="1:35">
      <c r="A1088" t="s">
        <v>1152</v>
      </c>
      <c r="B1088" t="b">
        <v>1</v>
      </c>
      <c r="C1088" t="b">
        <v>0</v>
      </c>
      <c r="D1088" t="b">
        <v>0</v>
      </c>
      <c r="F1088" t="b">
        <v>0</v>
      </c>
      <c r="H1088" t="s">
        <v>37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>
        <v>2</v>
      </c>
      <c r="AB1088">
        <v>0</v>
      </c>
      <c r="AC1088">
        <f>VLOOKUP(A:A,[1]android_repos_all_metrics!B:K,4,FALSE)</f>
        <v>44</v>
      </c>
      <c r="AD1088">
        <f>VLOOKUP(A:A,[1]android_repos_all_metrics!B:K,5,FALSE)</f>
        <v>6</v>
      </c>
      <c r="AE1088">
        <f>VLOOKUP(A:A,[1]android_repos_all_metrics!B:K,6,FALSE)</f>
        <v>6</v>
      </c>
      <c r="AF1088">
        <f>VLOOKUP(A:A,[1]android_repos_all_metrics!B:K,7,FALSE)</f>
        <v>2634</v>
      </c>
      <c r="AG1088">
        <f>VLOOKUP(A:A,[1]android_repos_all_metrics!B:K,8,FALSE)</f>
        <v>1</v>
      </c>
      <c r="AH1088">
        <f>VLOOKUP(A:A,[1]android_repos_all_metrics!B:K,9,FALSE)</f>
        <v>33</v>
      </c>
      <c r="AI1088">
        <f>VLOOKUP(A:A,[1]android_repos_all_metrics!B:K,10,FALSE)</f>
        <v>0</v>
      </c>
    </row>
    <row r="1089" spans="1:35">
      <c r="A1089" t="s">
        <v>1153</v>
      </c>
      <c r="B1089" t="b">
        <v>1</v>
      </c>
      <c r="C1089" t="b">
        <v>0</v>
      </c>
      <c r="D1089" t="b">
        <v>0</v>
      </c>
      <c r="F1089" t="b">
        <v>0</v>
      </c>
      <c r="H1089" t="s">
        <v>37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>
        <v>1</v>
      </c>
      <c r="AB1089">
        <v>0</v>
      </c>
      <c r="AC1089">
        <f>VLOOKUP(A:A,[1]android_repos_all_metrics!B:K,4,FALSE)</f>
        <v>617</v>
      </c>
      <c r="AD1089">
        <f>VLOOKUP(A:A,[1]android_repos_all_metrics!B:K,5,FALSE)</f>
        <v>68</v>
      </c>
      <c r="AE1089">
        <f>VLOOKUP(A:A,[1]android_repos_all_metrics!B:K,6,FALSE)</f>
        <v>1</v>
      </c>
      <c r="AF1089">
        <f>VLOOKUP(A:A,[1]android_repos_all_metrics!B:K,7,FALSE)</f>
        <v>3796</v>
      </c>
      <c r="AG1089">
        <f>VLOOKUP(A:A,[1]android_repos_all_metrics!B:K,8,FALSE)</f>
        <v>0</v>
      </c>
      <c r="AH1089">
        <f>VLOOKUP(A:A,[1]android_repos_all_metrics!B:K,9,FALSE)</f>
        <v>3</v>
      </c>
      <c r="AI1089">
        <f>VLOOKUP(A:A,[1]android_repos_all_metrics!B:K,10,FALSE)</f>
        <v>9</v>
      </c>
    </row>
    <row r="1090" spans="1:35">
      <c r="A1090" t="s">
        <v>1154</v>
      </c>
      <c r="B1090" t="b">
        <v>1</v>
      </c>
      <c r="C1090" t="b">
        <v>0</v>
      </c>
      <c r="D1090" t="b">
        <v>0</v>
      </c>
      <c r="F1090" t="b">
        <v>0</v>
      </c>
      <c r="H1090" t="s">
        <v>37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>
        <v>1</v>
      </c>
      <c r="AB1090">
        <v>0</v>
      </c>
      <c r="AC1090">
        <f>VLOOKUP(A:A,[1]android_repos_all_metrics!B:K,4,FALSE)</f>
        <v>94</v>
      </c>
      <c r="AD1090">
        <f>VLOOKUP(A:A,[1]android_repos_all_metrics!B:K,5,FALSE)</f>
        <v>24</v>
      </c>
      <c r="AE1090">
        <f>VLOOKUP(A:A,[1]android_repos_all_metrics!B:K,6,FALSE)</f>
        <v>1</v>
      </c>
      <c r="AF1090">
        <f>VLOOKUP(A:A,[1]android_repos_all_metrics!B:K,7,FALSE)</f>
        <v>1750</v>
      </c>
      <c r="AG1090">
        <f>VLOOKUP(A:A,[1]android_repos_all_metrics!B:K,8,FALSE)</f>
        <v>0</v>
      </c>
      <c r="AH1090">
        <f>VLOOKUP(A:A,[1]android_repos_all_metrics!B:K,9,FALSE)</f>
        <v>3</v>
      </c>
      <c r="AI1090">
        <f>VLOOKUP(A:A,[1]android_repos_all_metrics!B:K,10,FALSE)</f>
        <v>3</v>
      </c>
    </row>
    <row r="1091" spans="1:35">
      <c r="A1091" t="s">
        <v>1155</v>
      </c>
      <c r="B1091" t="b">
        <v>1</v>
      </c>
      <c r="C1091" t="b">
        <v>0</v>
      </c>
      <c r="D1091" t="b">
        <v>0</v>
      </c>
      <c r="F1091" t="b">
        <v>0</v>
      </c>
      <c r="H1091" t="s">
        <v>37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>
        <v>1</v>
      </c>
      <c r="AB1091">
        <v>0</v>
      </c>
      <c r="AC1091">
        <f>VLOOKUP(A:A,[1]android_repos_all_metrics!B:K,4,FALSE)</f>
        <v>564</v>
      </c>
      <c r="AD1091">
        <f>VLOOKUP(A:A,[1]android_repos_all_metrics!B:K,5,FALSE)</f>
        <v>149</v>
      </c>
      <c r="AE1091">
        <f>VLOOKUP(A:A,[1]android_repos_all_metrics!B:K,6,FALSE)</f>
        <v>4</v>
      </c>
      <c r="AF1091">
        <f>VLOOKUP(A:A,[1]android_repos_all_metrics!B:K,7,FALSE)</f>
        <v>10614</v>
      </c>
      <c r="AG1091">
        <f>VLOOKUP(A:A,[1]android_repos_all_metrics!B:K,8,FALSE)</f>
        <v>1515</v>
      </c>
      <c r="AH1091">
        <f>VLOOKUP(A:A,[1]android_repos_all_metrics!B:K,9,FALSE)</f>
        <v>8198</v>
      </c>
      <c r="AI1091">
        <f>VLOOKUP(A:A,[1]android_repos_all_metrics!B:K,10,FALSE)</f>
        <v>5</v>
      </c>
    </row>
    <row r="1092" spans="1:35">
      <c r="A1092" t="s">
        <v>1156</v>
      </c>
      <c r="B1092" t="b">
        <v>1</v>
      </c>
      <c r="C1092" t="b">
        <v>1</v>
      </c>
      <c r="D1092" t="b">
        <v>1</v>
      </c>
      <c r="E1092" t="s">
        <v>36</v>
      </c>
      <c r="F1092" t="b">
        <v>0</v>
      </c>
      <c r="H1092" t="s">
        <v>37</v>
      </c>
      <c r="I1092" t="s">
        <v>37</v>
      </c>
      <c r="J1092" t="b">
        <v>0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>
        <v>3</v>
      </c>
      <c r="AA1092">
        <v>1</v>
      </c>
      <c r="AB1092">
        <v>0</v>
      </c>
      <c r="AC1092">
        <f>VLOOKUP(A:A,[1]android_repos_all_metrics!B:K,4,FALSE)</f>
        <v>50</v>
      </c>
      <c r="AD1092">
        <f>VLOOKUP(A:A,[1]android_repos_all_metrics!B:K,5,FALSE)</f>
        <v>1</v>
      </c>
      <c r="AE1092">
        <f>VLOOKUP(A:A,[1]android_repos_all_metrics!B:K,6,FALSE)</f>
        <v>1</v>
      </c>
      <c r="AF1092">
        <f>VLOOKUP(A:A,[1]android_repos_all_metrics!B:K,7,FALSE)</f>
        <v>124809</v>
      </c>
      <c r="AG1092">
        <f>VLOOKUP(A:A,[1]android_repos_all_metrics!B:K,8,FALSE)</f>
        <v>17</v>
      </c>
      <c r="AH1092">
        <f>VLOOKUP(A:A,[1]android_repos_all_metrics!B:K,9,FALSE)</f>
        <v>87</v>
      </c>
      <c r="AI1092">
        <f>VLOOKUP(A:A,[1]android_repos_all_metrics!B:K,10,FALSE)</f>
        <v>2</v>
      </c>
    </row>
    <row r="1093" spans="1:35">
      <c r="A1093" t="s">
        <v>1157</v>
      </c>
      <c r="B1093" t="b">
        <v>1</v>
      </c>
      <c r="C1093" t="b">
        <v>0</v>
      </c>
      <c r="D1093" t="b">
        <v>0</v>
      </c>
      <c r="F1093" t="b">
        <v>0</v>
      </c>
      <c r="H1093" t="s">
        <v>37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>
        <v>1</v>
      </c>
      <c r="AB1093">
        <v>0</v>
      </c>
      <c r="AC1093">
        <f>VLOOKUP(A:A,[1]android_repos_all_metrics!B:K,4,FALSE)</f>
        <v>123</v>
      </c>
      <c r="AD1093">
        <f>VLOOKUP(A:A,[1]android_repos_all_metrics!B:K,5,FALSE)</f>
        <v>235</v>
      </c>
      <c r="AE1093">
        <f>VLOOKUP(A:A,[1]android_repos_all_metrics!B:K,6,FALSE)</f>
        <v>7</v>
      </c>
      <c r="AF1093">
        <f>VLOOKUP(A:A,[1]android_repos_all_metrics!B:K,7,FALSE)</f>
        <v>8828</v>
      </c>
      <c r="AG1093">
        <f>VLOOKUP(A:A,[1]android_repos_all_metrics!B:K,8,FALSE)</f>
        <v>61</v>
      </c>
      <c r="AH1093">
        <f>VLOOKUP(A:A,[1]android_repos_all_metrics!B:K,9,FALSE)</f>
        <v>483</v>
      </c>
      <c r="AI1093">
        <f>VLOOKUP(A:A,[1]android_repos_all_metrics!B:K,10,FALSE)</f>
        <v>8</v>
      </c>
    </row>
    <row r="1094" spans="1:35">
      <c r="A1094" t="s">
        <v>1158</v>
      </c>
      <c r="B1094" t="b">
        <v>1</v>
      </c>
      <c r="C1094" t="b">
        <v>0</v>
      </c>
      <c r="D1094" t="b">
        <v>0</v>
      </c>
      <c r="F1094" t="b">
        <v>0</v>
      </c>
      <c r="H1094" t="s">
        <v>41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>
        <v>1</v>
      </c>
      <c r="AB1094">
        <v>0</v>
      </c>
      <c r="AC1094">
        <f>VLOOKUP(A:A,[1]android_repos_all_metrics!B:K,4,FALSE)</f>
        <v>348</v>
      </c>
      <c r="AD1094">
        <f>VLOOKUP(A:A,[1]android_repos_all_metrics!B:K,5,FALSE)</f>
        <v>116</v>
      </c>
      <c r="AE1094">
        <f>VLOOKUP(A:A,[1]android_repos_all_metrics!B:K,6,FALSE)</f>
        <v>7</v>
      </c>
      <c r="AF1094">
        <f>VLOOKUP(A:A,[1]android_repos_all_metrics!B:K,7,FALSE)</f>
        <v>27181</v>
      </c>
      <c r="AG1094">
        <f>VLOOKUP(A:A,[1]android_repos_all_metrics!B:K,8,FALSE)</f>
        <v>12</v>
      </c>
      <c r="AH1094">
        <f>VLOOKUP(A:A,[1]android_repos_all_metrics!B:K,9,FALSE)</f>
        <v>10</v>
      </c>
      <c r="AI1094">
        <f>VLOOKUP(A:A,[1]android_repos_all_metrics!B:K,10,FALSE)</f>
        <v>4</v>
      </c>
    </row>
    <row r="1095" spans="1:35">
      <c r="A1095" t="s">
        <v>1159</v>
      </c>
      <c r="B1095" t="b">
        <v>0</v>
      </c>
      <c r="C1095" t="b">
        <v>0</v>
      </c>
      <c r="D1095" t="b">
        <v>0</v>
      </c>
      <c r="F1095" t="b">
        <v>0</v>
      </c>
      <c r="H1095" t="s">
        <v>37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>
        <v>1</v>
      </c>
      <c r="AB1095">
        <v>0</v>
      </c>
      <c r="AC1095">
        <f>VLOOKUP(A:A,[1]android_repos_all_metrics!B:K,4,FALSE)</f>
        <v>16</v>
      </c>
      <c r="AD1095">
        <f>VLOOKUP(A:A,[1]android_repos_all_metrics!B:K,5,FALSE)</f>
        <v>0</v>
      </c>
      <c r="AE1095">
        <f>VLOOKUP(A:A,[1]android_repos_all_metrics!B:K,6,FALSE)</f>
        <v>1</v>
      </c>
      <c r="AF1095">
        <f>VLOOKUP(A:A,[1]android_repos_all_metrics!B:K,7,FALSE)</f>
        <v>1588</v>
      </c>
      <c r="AG1095">
        <f>VLOOKUP(A:A,[1]android_repos_all_metrics!B:K,8,FALSE)</f>
        <v>1</v>
      </c>
      <c r="AH1095">
        <f>VLOOKUP(A:A,[1]android_repos_all_metrics!B:K,9,FALSE)</f>
        <v>2</v>
      </c>
      <c r="AI1095">
        <f>VLOOKUP(A:A,[1]android_repos_all_metrics!B:K,10,FALSE)</f>
        <v>1</v>
      </c>
    </row>
    <row r="1096" spans="1:35">
      <c r="A1096" t="s">
        <v>1160</v>
      </c>
      <c r="B1096" t="b">
        <v>1</v>
      </c>
      <c r="C1096" t="b">
        <v>0</v>
      </c>
      <c r="D1096" t="b">
        <v>0</v>
      </c>
      <c r="F1096" t="b">
        <v>0</v>
      </c>
      <c r="H1096" t="s">
        <v>86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>
        <v>4</v>
      </c>
      <c r="AB1096">
        <v>0</v>
      </c>
      <c r="AC1096">
        <f>VLOOKUP(A:A,[1]android_repos_all_metrics!B:K,4,FALSE)</f>
        <v>11474</v>
      </c>
      <c r="AD1096">
        <f>VLOOKUP(A:A,[1]android_repos_all_metrics!B:K,5,FALSE)</f>
        <v>7667</v>
      </c>
      <c r="AE1096">
        <f>VLOOKUP(A:A,[1]android_repos_all_metrics!B:K,6,FALSE)</f>
        <v>369</v>
      </c>
      <c r="AF1096">
        <f>VLOOKUP(A:A,[1]android_repos_all_metrics!B:K,7,FALSE)</f>
        <v>264062</v>
      </c>
      <c r="AG1096">
        <f>VLOOKUP(A:A,[1]android_repos_all_metrics!B:K,8,FALSE)</f>
        <v>6233</v>
      </c>
      <c r="AH1096">
        <f>VLOOKUP(A:A,[1]android_repos_all_metrics!B:K,9,FALSE)</f>
        <v>20005</v>
      </c>
      <c r="AI1096">
        <f>VLOOKUP(A:A,[1]android_repos_all_metrics!B:K,10,FALSE)</f>
        <v>398</v>
      </c>
    </row>
    <row r="1097" spans="1:35">
      <c r="A1097" t="s">
        <v>1161</v>
      </c>
      <c r="B1097" t="b">
        <v>1</v>
      </c>
      <c r="C1097" t="b">
        <v>0</v>
      </c>
      <c r="D1097" t="b">
        <v>0</v>
      </c>
      <c r="F1097" t="b">
        <v>0</v>
      </c>
      <c r="H1097" t="s">
        <v>37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>
        <v>1</v>
      </c>
      <c r="AB1097">
        <v>0</v>
      </c>
      <c r="AC1097">
        <f>VLOOKUP(A:A,[1]android_repos_all_metrics!B:K,4,FALSE)</f>
        <v>1714</v>
      </c>
      <c r="AD1097">
        <f>VLOOKUP(A:A,[1]android_repos_all_metrics!B:K,5,FALSE)</f>
        <v>5</v>
      </c>
      <c r="AE1097">
        <f>VLOOKUP(A:A,[1]android_repos_all_metrics!B:K,6,FALSE)</f>
        <v>12</v>
      </c>
      <c r="AF1097">
        <f>VLOOKUP(A:A,[1]android_repos_all_metrics!B:K,7,FALSE)</f>
        <v>8904</v>
      </c>
      <c r="AG1097">
        <f>VLOOKUP(A:A,[1]android_repos_all_metrics!B:K,8,FALSE)</f>
        <v>8</v>
      </c>
      <c r="AH1097">
        <f>VLOOKUP(A:A,[1]android_repos_all_metrics!B:K,9,FALSE)</f>
        <v>86</v>
      </c>
      <c r="AI1097">
        <f>VLOOKUP(A:A,[1]android_repos_all_metrics!B:K,10,FALSE)</f>
        <v>17</v>
      </c>
    </row>
    <row r="1098" spans="1:35">
      <c r="A1098" t="s">
        <v>1162</v>
      </c>
      <c r="B1098" t="b">
        <v>1</v>
      </c>
      <c r="C1098" t="b">
        <v>0</v>
      </c>
      <c r="D1098" t="b">
        <v>0</v>
      </c>
      <c r="F1098" t="b">
        <v>0</v>
      </c>
      <c r="H1098" t="s">
        <v>37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>
        <v>5</v>
      </c>
      <c r="AB1098">
        <v>0</v>
      </c>
      <c r="AC1098">
        <f>VLOOKUP(A:A,[1]android_repos_all_metrics!B:K,4,FALSE)</f>
        <v>9286</v>
      </c>
      <c r="AD1098">
        <f>VLOOKUP(A:A,[1]android_repos_all_metrics!B:K,5,FALSE)</f>
        <v>2860</v>
      </c>
      <c r="AE1098">
        <f>VLOOKUP(A:A,[1]android_repos_all_metrics!B:K,6,FALSE)</f>
        <v>437</v>
      </c>
      <c r="AF1098">
        <f>VLOOKUP(A:A,[1]android_repos_all_metrics!B:K,7,FALSE)</f>
        <v>380654</v>
      </c>
      <c r="AG1098">
        <f>VLOOKUP(A:A,[1]android_repos_all_metrics!B:K,8,FALSE)</f>
        <v>4023</v>
      </c>
      <c r="AH1098">
        <f>VLOOKUP(A:A,[1]android_repos_all_metrics!B:K,9,FALSE)</f>
        <v>36541</v>
      </c>
      <c r="AI1098">
        <f>VLOOKUP(A:A,[1]android_repos_all_metrics!B:K,10,FALSE)</f>
        <v>328</v>
      </c>
    </row>
    <row r="1099" spans="1:35">
      <c r="A1099" t="s">
        <v>1163</v>
      </c>
      <c r="B1099" t="b">
        <v>1</v>
      </c>
      <c r="C1099" t="b">
        <v>0</v>
      </c>
      <c r="D1099" t="b">
        <v>0</v>
      </c>
      <c r="F1099" t="b">
        <v>0</v>
      </c>
      <c r="H1099" t="s">
        <v>37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>
        <v>1</v>
      </c>
      <c r="AB1099">
        <v>0</v>
      </c>
      <c r="AC1099">
        <f>VLOOKUP(A:A,[1]android_repos_all_metrics!B:K,4,FALSE)</f>
        <v>9</v>
      </c>
      <c r="AD1099">
        <f>VLOOKUP(A:A,[1]android_repos_all_metrics!B:K,5,FALSE)</f>
        <v>0</v>
      </c>
      <c r="AE1099">
        <f>VLOOKUP(A:A,[1]android_repos_all_metrics!B:K,6,FALSE)</f>
        <v>1</v>
      </c>
      <c r="AF1099">
        <f>VLOOKUP(A:A,[1]android_repos_all_metrics!B:K,7,FALSE)</f>
        <v>1265</v>
      </c>
      <c r="AG1099">
        <f>VLOOKUP(A:A,[1]android_repos_all_metrics!B:K,8,FALSE)</f>
        <v>1</v>
      </c>
      <c r="AH1099">
        <f>VLOOKUP(A:A,[1]android_repos_all_metrics!B:K,9,FALSE)</f>
        <v>5</v>
      </c>
      <c r="AI1099">
        <f>VLOOKUP(A:A,[1]android_repos_all_metrics!B:K,10,FALSE)</f>
        <v>0</v>
      </c>
    </row>
    <row r="1100" spans="1:35">
      <c r="A1100" t="s">
        <v>1164</v>
      </c>
      <c r="B1100" t="b">
        <v>1</v>
      </c>
      <c r="C1100" t="b">
        <v>0</v>
      </c>
      <c r="D1100" t="b">
        <v>0</v>
      </c>
      <c r="F1100" t="b">
        <v>0</v>
      </c>
      <c r="H1100" t="s">
        <v>37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>
        <v>3</v>
      </c>
      <c r="AB1100">
        <v>0</v>
      </c>
      <c r="AC1100">
        <f>VLOOKUP(A:A,[1]android_repos_all_metrics!B:K,4,FALSE)</f>
        <v>172</v>
      </c>
      <c r="AD1100">
        <f>VLOOKUP(A:A,[1]android_repos_all_metrics!B:K,5,FALSE)</f>
        <v>63</v>
      </c>
      <c r="AE1100">
        <f>VLOOKUP(A:A,[1]android_repos_all_metrics!B:K,6,FALSE)</f>
        <v>2</v>
      </c>
      <c r="AF1100">
        <f>VLOOKUP(A:A,[1]android_repos_all_metrics!B:K,7,FALSE)</f>
        <v>343</v>
      </c>
      <c r="AG1100">
        <f>VLOOKUP(A:A,[1]android_repos_all_metrics!B:K,8,FALSE)</f>
        <v>0</v>
      </c>
      <c r="AH1100">
        <f>VLOOKUP(A:A,[1]android_repos_all_metrics!B:K,9,FALSE)</f>
        <v>8</v>
      </c>
      <c r="AI1100">
        <f>VLOOKUP(A:A,[1]android_repos_all_metrics!B:K,10,FALSE)</f>
        <v>4</v>
      </c>
    </row>
    <row r="1101" spans="1:35">
      <c r="A1101" t="s">
        <v>1165</v>
      </c>
      <c r="B1101" t="b">
        <v>1</v>
      </c>
      <c r="C1101" t="b">
        <v>0</v>
      </c>
      <c r="D1101" t="b">
        <v>0</v>
      </c>
      <c r="F1101" t="b">
        <v>0</v>
      </c>
      <c r="H1101" t="s">
        <v>37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>
        <v>2</v>
      </c>
      <c r="AB1101">
        <v>1</v>
      </c>
      <c r="AC1101">
        <f>VLOOKUP(A:A,[1]android_repos_all_metrics!B:K,4,FALSE)</f>
        <v>92</v>
      </c>
      <c r="AD1101">
        <f>VLOOKUP(A:A,[1]android_repos_all_metrics!B:K,5,FALSE)</f>
        <v>19</v>
      </c>
      <c r="AE1101">
        <f>VLOOKUP(A:A,[1]android_repos_all_metrics!B:K,6,FALSE)</f>
        <v>1</v>
      </c>
      <c r="AF1101">
        <f>VLOOKUP(A:A,[1]android_repos_all_metrics!B:K,7,FALSE)</f>
        <v>20210</v>
      </c>
      <c r="AG1101">
        <f>VLOOKUP(A:A,[1]android_repos_all_metrics!B:K,8,FALSE)</f>
        <v>0</v>
      </c>
      <c r="AH1101">
        <f>VLOOKUP(A:A,[1]android_repos_all_metrics!B:K,9,FALSE)</f>
        <v>2</v>
      </c>
      <c r="AI1101">
        <f>VLOOKUP(A:A,[1]android_repos_all_metrics!B:K,10,FALSE)</f>
        <v>0</v>
      </c>
    </row>
    <row r="1102" spans="1:35">
      <c r="A1102" t="s">
        <v>1166</v>
      </c>
      <c r="B1102" t="b">
        <v>0</v>
      </c>
      <c r="C1102" t="b">
        <v>0</v>
      </c>
      <c r="D1102" t="b">
        <v>0</v>
      </c>
      <c r="F1102" t="b">
        <v>0</v>
      </c>
      <c r="H1102" t="s">
        <v>41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>
        <v>1</v>
      </c>
      <c r="AB1102">
        <v>0</v>
      </c>
      <c r="AC1102">
        <f>VLOOKUP(A:A,[1]android_repos_all_metrics!B:K,4,FALSE)</f>
        <v>30</v>
      </c>
      <c r="AD1102">
        <f>VLOOKUP(A:A,[1]android_repos_all_metrics!B:K,5,FALSE)</f>
        <v>5</v>
      </c>
      <c r="AE1102">
        <f>VLOOKUP(A:A,[1]android_repos_all_metrics!B:K,6,FALSE)</f>
        <v>3</v>
      </c>
      <c r="AF1102">
        <f>VLOOKUP(A:A,[1]android_repos_all_metrics!B:K,7,FALSE)</f>
        <v>323</v>
      </c>
      <c r="AG1102">
        <f>VLOOKUP(A:A,[1]android_repos_all_metrics!B:K,8,FALSE)</f>
        <v>51</v>
      </c>
      <c r="AH1102">
        <f>VLOOKUP(A:A,[1]android_repos_all_metrics!B:K,9,FALSE)</f>
        <v>165</v>
      </c>
      <c r="AI1102">
        <f>VLOOKUP(A:A,[1]android_repos_all_metrics!B:K,10,FALSE)</f>
        <v>2</v>
      </c>
    </row>
    <row r="1103" spans="1:35">
      <c r="A1103" t="s">
        <v>1167</v>
      </c>
      <c r="B1103" t="b">
        <v>1</v>
      </c>
      <c r="C1103" t="b">
        <v>1</v>
      </c>
      <c r="D1103" t="b">
        <v>0</v>
      </c>
      <c r="F1103" t="b">
        <v>1</v>
      </c>
      <c r="G1103" t="s">
        <v>129</v>
      </c>
      <c r="H1103" t="s">
        <v>40</v>
      </c>
      <c r="I1103" t="s">
        <v>76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>
        <v>2</v>
      </c>
      <c r="AB1103">
        <v>0</v>
      </c>
      <c r="AC1103">
        <f>VLOOKUP(A:A,[1]android_repos_all_metrics!B:K,4,FALSE)</f>
        <v>642</v>
      </c>
      <c r="AD1103">
        <f>VLOOKUP(A:A,[1]android_repos_all_metrics!B:K,5,FALSE)</f>
        <v>5</v>
      </c>
      <c r="AE1103">
        <f>VLOOKUP(A:A,[1]android_repos_all_metrics!B:K,6,FALSE)</f>
        <v>5</v>
      </c>
      <c r="AF1103">
        <f>VLOOKUP(A:A,[1]android_repos_all_metrics!B:K,7,FALSE)</f>
        <v>2395</v>
      </c>
      <c r="AG1103">
        <f>VLOOKUP(A:A,[1]android_repos_all_metrics!B:K,8,FALSE)</f>
        <v>5</v>
      </c>
      <c r="AH1103">
        <f>VLOOKUP(A:A,[1]android_repos_all_metrics!B:K,9,FALSE)</f>
        <v>9</v>
      </c>
      <c r="AI1103">
        <f>VLOOKUP(A:A,[1]android_repos_all_metrics!B:K,10,FALSE)</f>
        <v>10</v>
      </c>
    </row>
    <row r="1104" spans="1:35">
      <c r="A1104" t="s">
        <v>1168</v>
      </c>
      <c r="B1104" t="b">
        <v>1</v>
      </c>
      <c r="C1104" t="b">
        <v>1</v>
      </c>
      <c r="D1104" t="b">
        <v>1</v>
      </c>
      <c r="E1104" t="s">
        <v>1169</v>
      </c>
      <c r="F1104" t="b">
        <v>0</v>
      </c>
      <c r="H1104" t="s">
        <v>110</v>
      </c>
      <c r="I1104" t="s">
        <v>37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b">
        <v>0</v>
      </c>
      <c r="Z1104">
        <v>1</v>
      </c>
      <c r="AA1104">
        <v>6</v>
      </c>
      <c r="AB1104">
        <v>0</v>
      </c>
      <c r="AC1104">
        <f>VLOOKUP(A:A,[1]android_repos_all_metrics!B:K,4,FALSE)</f>
        <v>2619</v>
      </c>
      <c r="AD1104">
        <f>VLOOKUP(A:A,[1]android_repos_all_metrics!B:K,5,FALSE)</f>
        <v>285</v>
      </c>
      <c r="AE1104">
        <f>VLOOKUP(A:A,[1]android_repos_all_metrics!B:K,6,FALSE)</f>
        <v>7</v>
      </c>
      <c r="AF1104">
        <f>VLOOKUP(A:A,[1]android_repos_all_metrics!B:K,7,FALSE)</f>
        <v>25482</v>
      </c>
      <c r="AG1104">
        <f>VLOOKUP(A:A,[1]android_repos_all_metrics!B:K,8,FALSE)</f>
        <v>6</v>
      </c>
      <c r="AH1104">
        <f>VLOOKUP(A:A,[1]android_repos_all_metrics!B:K,9,FALSE)</f>
        <v>142</v>
      </c>
      <c r="AI1104">
        <f>VLOOKUP(A:A,[1]android_repos_all_metrics!B:K,10,FALSE)</f>
        <v>34</v>
      </c>
    </row>
    <row r="1105" spans="1:35">
      <c r="A1105" t="s">
        <v>1170</v>
      </c>
      <c r="B1105" t="b">
        <v>1</v>
      </c>
      <c r="C1105" t="b">
        <v>0</v>
      </c>
      <c r="D1105" t="b">
        <v>0</v>
      </c>
      <c r="F1105" t="b">
        <v>0</v>
      </c>
      <c r="H1105" t="s">
        <v>37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>
        <v>2</v>
      </c>
      <c r="AB1105">
        <v>0</v>
      </c>
      <c r="AC1105">
        <f>VLOOKUP(A:A,[1]android_repos_all_metrics!B:K,4,FALSE)</f>
        <v>710</v>
      </c>
      <c r="AD1105">
        <f>VLOOKUP(A:A,[1]android_repos_all_metrics!B:K,5,FALSE)</f>
        <v>49</v>
      </c>
      <c r="AE1105">
        <f>VLOOKUP(A:A,[1]android_repos_all_metrics!B:K,6,FALSE)</f>
        <v>7</v>
      </c>
      <c r="AF1105">
        <f>VLOOKUP(A:A,[1]android_repos_all_metrics!B:K,7,FALSE)</f>
        <v>6191</v>
      </c>
      <c r="AG1105">
        <f>VLOOKUP(A:A,[1]android_repos_all_metrics!B:K,8,FALSE)</f>
        <v>5</v>
      </c>
      <c r="AH1105">
        <f>VLOOKUP(A:A,[1]android_repos_all_metrics!B:K,9,FALSE)</f>
        <v>4</v>
      </c>
      <c r="AI1105">
        <f>VLOOKUP(A:A,[1]android_repos_all_metrics!B:K,10,FALSE)</f>
        <v>0</v>
      </c>
    </row>
    <row r="1106" spans="1:35">
      <c r="A1106" t="s">
        <v>1171</v>
      </c>
      <c r="B1106" t="b">
        <v>1</v>
      </c>
      <c r="C1106" t="b">
        <v>0</v>
      </c>
      <c r="D1106" t="b">
        <v>0</v>
      </c>
      <c r="F1106" t="b">
        <v>0</v>
      </c>
      <c r="H1106" t="s">
        <v>37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>
        <v>1</v>
      </c>
      <c r="AB1106">
        <v>0</v>
      </c>
      <c r="AC1106">
        <f>VLOOKUP(A:A,[1]android_repos_all_metrics!B:K,4,FALSE)</f>
        <v>98</v>
      </c>
      <c r="AD1106">
        <f>VLOOKUP(A:A,[1]android_repos_all_metrics!B:K,5,FALSE)</f>
        <v>9</v>
      </c>
      <c r="AE1106">
        <f>VLOOKUP(A:A,[1]android_repos_all_metrics!B:K,6,FALSE)</f>
        <v>1</v>
      </c>
      <c r="AF1106">
        <f>VLOOKUP(A:A,[1]android_repos_all_metrics!B:K,7,FALSE)</f>
        <v>465</v>
      </c>
      <c r="AG1106">
        <f>VLOOKUP(A:A,[1]android_repos_all_metrics!B:K,8,FALSE)</f>
        <v>2</v>
      </c>
      <c r="AH1106">
        <f>VLOOKUP(A:A,[1]android_repos_all_metrics!B:K,9,FALSE)</f>
        <v>2</v>
      </c>
      <c r="AI1106">
        <f>VLOOKUP(A:A,[1]android_repos_all_metrics!B:K,10,FALSE)</f>
        <v>0</v>
      </c>
    </row>
    <row r="1107" spans="1:35">
      <c r="A1107" t="s">
        <v>1172</v>
      </c>
      <c r="B1107" t="b">
        <v>1</v>
      </c>
      <c r="C1107" t="b">
        <v>0</v>
      </c>
      <c r="D1107" t="b">
        <v>0</v>
      </c>
      <c r="F1107" t="b">
        <v>0</v>
      </c>
      <c r="H1107" t="s">
        <v>37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>
        <v>2</v>
      </c>
      <c r="AB1107">
        <v>0</v>
      </c>
      <c r="AC1107">
        <f>VLOOKUP(A:A,[1]android_repos_all_metrics!B:K,4,FALSE)</f>
        <v>35</v>
      </c>
      <c r="AD1107">
        <f>VLOOKUP(A:A,[1]android_repos_all_metrics!B:K,5,FALSE)</f>
        <v>39</v>
      </c>
      <c r="AE1107">
        <f>VLOOKUP(A:A,[1]android_repos_all_metrics!B:K,6,FALSE)</f>
        <v>4</v>
      </c>
      <c r="AF1107">
        <f>VLOOKUP(A:A,[1]android_repos_all_metrics!B:K,7,FALSE)</f>
        <v>5938</v>
      </c>
      <c r="AG1107">
        <f>VLOOKUP(A:A,[1]android_repos_all_metrics!B:K,8,FALSE)</f>
        <v>30</v>
      </c>
      <c r="AH1107">
        <f>VLOOKUP(A:A,[1]android_repos_all_metrics!B:K,9,FALSE)</f>
        <v>49</v>
      </c>
      <c r="AI1107">
        <f>VLOOKUP(A:A,[1]android_repos_all_metrics!B:K,10,FALSE)</f>
        <v>3</v>
      </c>
    </row>
    <row r="1108" spans="1:35">
      <c r="A1108" t="s">
        <v>1173</v>
      </c>
      <c r="B1108" t="b">
        <v>1</v>
      </c>
      <c r="C1108" t="b">
        <v>0</v>
      </c>
      <c r="D1108" t="b">
        <v>0</v>
      </c>
      <c r="F1108" t="b">
        <v>0</v>
      </c>
      <c r="H1108" t="s">
        <v>37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>
        <v>1</v>
      </c>
      <c r="AB1108">
        <v>0</v>
      </c>
      <c r="AC1108">
        <f>VLOOKUP(A:A,[1]android_repos_all_metrics!B:K,4,FALSE)</f>
        <v>140</v>
      </c>
      <c r="AD1108">
        <f>VLOOKUP(A:A,[1]android_repos_all_metrics!B:K,5,FALSE)</f>
        <v>14</v>
      </c>
      <c r="AE1108">
        <f>VLOOKUP(A:A,[1]android_repos_all_metrics!B:K,6,FALSE)</f>
        <v>6</v>
      </c>
      <c r="AF1108">
        <f>VLOOKUP(A:A,[1]android_repos_all_metrics!B:K,7,FALSE)</f>
        <v>29803</v>
      </c>
      <c r="AG1108">
        <f>VLOOKUP(A:A,[1]android_repos_all_metrics!B:K,8,FALSE)</f>
        <v>10</v>
      </c>
      <c r="AH1108">
        <f>VLOOKUP(A:A,[1]android_repos_all_metrics!B:K,9,FALSE)</f>
        <v>21</v>
      </c>
      <c r="AI1108">
        <f>VLOOKUP(A:A,[1]android_repos_all_metrics!B:K,10,FALSE)</f>
        <v>8</v>
      </c>
    </row>
    <row r="1109" spans="1:35">
      <c r="A1109" t="s">
        <v>1174</v>
      </c>
      <c r="B1109" t="b">
        <v>1</v>
      </c>
      <c r="C1109" t="b">
        <v>0</v>
      </c>
      <c r="D1109" t="b">
        <v>0</v>
      </c>
      <c r="F1109" t="b">
        <v>0</v>
      </c>
      <c r="H1109" t="s">
        <v>37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>
        <v>2</v>
      </c>
      <c r="AB1109">
        <v>0</v>
      </c>
      <c r="AC1109">
        <f>VLOOKUP(A:A,[1]android_repos_all_metrics!B:K,4,FALSE)</f>
        <v>1519</v>
      </c>
      <c r="AD1109">
        <f>VLOOKUP(A:A,[1]android_repos_all_metrics!B:K,5,FALSE)</f>
        <v>144</v>
      </c>
      <c r="AE1109">
        <f>VLOOKUP(A:A,[1]android_repos_all_metrics!B:K,6,FALSE)</f>
        <v>10</v>
      </c>
      <c r="AF1109">
        <f>VLOOKUP(A:A,[1]android_repos_all_metrics!B:K,7,FALSE)</f>
        <v>10429</v>
      </c>
      <c r="AG1109">
        <f>VLOOKUP(A:A,[1]android_repos_all_metrics!B:K,8,FALSE)</f>
        <v>0</v>
      </c>
      <c r="AH1109">
        <f>VLOOKUP(A:A,[1]android_repos_all_metrics!B:K,9,FALSE)</f>
        <v>2</v>
      </c>
      <c r="AI1109">
        <f>VLOOKUP(A:A,[1]android_repos_all_metrics!B:K,10,FALSE)</f>
        <v>5</v>
      </c>
    </row>
    <row r="1110" spans="1:35">
      <c r="A1110" t="s">
        <v>1175</v>
      </c>
      <c r="B1110" t="b">
        <v>1</v>
      </c>
      <c r="C1110" t="b">
        <v>0</v>
      </c>
      <c r="D1110" t="b">
        <v>0</v>
      </c>
      <c r="F1110" t="b">
        <v>0</v>
      </c>
      <c r="H1110" t="s">
        <v>37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>
        <v>2</v>
      </c>
      <c r="AB1110">
        <v>0</v>
      </c>
      <c r="AC1110">
        <f>VLOOKUP(A:A,[1]android_repos_all_metrics!B:K,4,FALSE)</f>
        <v>322</v>
      </c>
      <c r="AD1110">
        <f>VLOOKUP(A:A,[1]android_repos_all_metrics!B:K,5,FALSE)</f>
        <v>77</v>
      </c>
      <c r="AE1110">
        <f>VLOOKUP(A:A,[1]android_repos_all_metrics!B:K,6,FALSE)</f>
        <v>7</v>
      </c>
      <c r="AF1110">
        <f>VLOOKUP(A:A,[1]android_repos_all_metrics!B:K,7,FALSE)</f>
        <v>1934</v>
      </c>
      <c r="AG1110">
        <f>VLOOKUP(A:A,[1]android_repos_all_metrics!B:K,8,FALSE)</f>
        <v>15</v>
      </c>
      <c r="AH1110">
        <f>VLOOKUP(A:A,[1]android_repos_all_metrics!B:K,9,FALSE)</f>
        <v>83</v>
      </c>
      <c r="AI1110">
        <f>VLOOKUP(A:A,[1]android_repos_all_metrics!B:K,10,FALSE)</f>
        <v>24</v>
      </c>
    </row>
    <row r="1111" spans="1:35">
      <c r="A1111" t="s">
        <v>1176</v>
      </c>
      <c r="B1111" t="b">
        <v>1</v>
      </c>
      <c r="C1111" t="b">
        <v>1</v>
      </c>
      <c r="D1111" t="b">
        <v>0</v>
      </c>
      <c r="F1111" t="b">
        <v>1</v>
      </c>
      <c r="G1111" t="s">
        <v>39</v>
      </c>
      <c r="H1111" t="s">
        <v>41</v>
      </c>
      <c r="I1111" t="s">
        <v>41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>
        <v>1</v>
      </c>
      <c r="AB1111">
        <v>0</v>
      </c>
      <c r="AC1111">
        <f>VLOOKUP(A:A,[1]android_repos_all_metrics!B:K,4,FALSE)</f>
        <v>672</v>
      </c>
      <c r="AD1111">
        <f>VLOOKUP(A:A,[1]android_repos_all_metrics!B:K,5,FALSE)</f>
        <v>14</v>
      </c>
      <c r="AE1111">
        <f>VLOOKUP(A:A,[1]android_repos_all_metrics!B:K,6,FALSE)</f>
        <v>6</v>
      </c>
      <c r="AF1111">
        <f>VLOOKUP(A:A,[1]android_repos_all_metrics!B:K,7,FALSE)</f>
        <v>4842</v>
      </c>
      <c r="AG1111">
        <f>VLOOKUP(A:A,[1]android_repos_all_metrics!B:K,8,FALSE)</f>
        <v>102</v>
      </c>
      <c r="AH1111">
        <f>VLOOKUP(A:A,[1]android_repos_all_metrics!B:K,9,FALSE)</f>
        <v>765</v>
      </c>
      <c r="AI1111">
        <f>VLOOKUP(A:A,[1]android_repos_all_metrics!B:K,10,FALSE)</f>
        <v>0</v>
      </c>
    </row>
    <row r="1112" spans="1:35">
      <c r="A1112" t="s">
        <v>1177</v>
      </c>
      <c r="B1112" t="b">
        <v>1</v>
      </c>
      <c r="C1112" t="b">
        <v>0</v>
      </c>
      <c r="D1112" t="b">
        <v>0</v>
      </c>
      <c r="F1112" t="b">
        <v>0</v>
      </c>
      <c r="H1112" t="s">
        <v>37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>
        <v>3</v>
      </c>
      <c r="AB1112">
        <v>0</v>
      </c>
      <c r="AC1112">
        <f>VLOOKUP(A:A,[1]android_repos_all_metrics!B:K,4,FALSE)</f>
        <v>12346</v>
      </c>
      <c r="AD1112">
        <f>VLOOKUP(A:A,[1]android_repos_all_metrics!B:K,5,FALSE)</f>
        <v>2852</v>
      </c>
      <c r="AE1112">
        <f>VLOOKUP(A:A,[1]android_repos_all_metrics!B:K,6,FALSE)</f>
        <v>290</v>
      </c>
      <c r="AF1112">
        <f>VLOOKUP(A:A,[1]android_repos_all_metrics!B:K,7,FALSE)</f>
        <v>85972</v>
      </c>
      <c r="AG1112">
        <f>VLOOKUP(A:A,[1]android_repos_all_metrics!B:K,8,FALSE)</f>
        <v>2325</v>
      </c>
      <c r="AH1112">
        <f>VLOOKUP(A:A,[1]android_repos_all_metrics!B:K,9,FALSE)</f>
        <v>7738</v>
      </c>
      <c r="AI1112">
        <f>VLOOKUP(A:A,[1]android_repos_all_metrics!B:K,10,FALSE)</f>
        <v>635</v>
      </c>
    </row>
    <row r="1113" spans="1:35">
      <c r="A1113" t="s">
        <v>1178</v>
      </c>
      <c r="B1113" t="b">
        <v>1</v>
      </c>
      <c r="C1113" t="b">
        <v>0</v>
      </c>
      <c r="D1113" t="b">
        <v>0</v>
      </c>
      <c r="F1113" t="b">
        <v>0</v>
      </c>
      <c r="H1113" t="s">
        <v>37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>
        <v>1</v>
      </c>
      <c r="AB1113">
        <v>0</v>
      </c>
      <c r="AC1113">
        <f>VLOOKUP(A:A,[1]android_repos_all_metrics!B:K,4,FALSE)</f>
        <v>504</v>
      </c>
      <c r="AD1113">
        <f>VLOOKUP(A:A,[1]android_repos_all_metrics!B:K,5,FALSE)</f>
        <v>28</v>
      </c>
      <c r="AE1113">
        <f>VLOOKUP(A:A,[1]android_repos_all_metrics!B:K,6,FALSE)</f>
        <v>3</v>
      </c>
      <c r="AF1113">
        <f>VLOOKUP(A:A,[1]android_repos_all_metrics!B:K,7,FALSE)</f>
        <v>25606</v>
      </c>
      <c r="AG1113">
        <f>VLOOKUP(A:A,[1]android_repos_all_metrics!B:K,8,FALSE)</f>
        <v>82</v>
      </c>
      <c r="AH1113">
        <f>VLOOKUP(A:A,[1]android_repos_all_metrics!B:K,9,FALSE)</f>
        <v>236</v>
      </c>
      <c r="AI1113">
        <f>VLOOKUP(A:A,[1]android_repos_all_metrics!B:K,10,FALSE)</f>
        <v>25</v>
      </c>
    </row>
    <row r="1114" spans="1:35">
      <c r="A1114" t="s">
        <v>1179</v>
      </c>
      <c r="B1114" t="b">
        <v>0</v>
      </c>
      <c r="C1114" t="b">
        <v>0</v>
      </c>
      <c r="D1114" t="b">
        <v>0</v>
      </c>
      <c r="F1114" t="b">
        <v>0</v>
      </c>
      <c r="H1114" t="s">
        <v>41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>
        <v>1</v>
      </c>
      <c r="AB1114">
        <v>0</v>
      </c>
      <c r="AC1114">
        <f>VLOOKUP(A:A,[1]android_repos_all_metrics!B:K,4,FALSE)</f>
        <v>1456</v>
      </c>
      <c r="AD1114">
        <f>VLOOKUP(A:A,[1]android_repos_all_metrics!B:K,5,FALSE)</f>
        <v>2</v>
      </c>
      <c r="AE1114">
        <f>VLOOKUP(A:A,[1]android_repos_all_metrics!B:K,6,FALSE)</f>
        <v>39</v>
      </c>
      <c r="AF1114">
        <f>VLOOKUP(A:A,[1]android_repos_all_metrics!B:K,7,FALSE)</f>
        <v>8376</v>
      </c>
      <c r="AG1114">
        <f>VLOOKUP(A:A,[1]android_repos_all_metrics!B:K,8,FALSE)</f>
        <v>10</v>
      </c>
      <c r="AH1114">
        <f>VLOOKUP(A:A,[1]android_repos_all_metrics!B:K,9,FALSE)</f>
        <v>14</v>
      </c>
      <c r="AI1114">
        <f>VLOOKUP(A:A,[1]android_repos_all_metrics!B:K,10,FALSE)</f>
        <v>0</v>
      </c>
    </row>
    <row r="1115" spans="1:35">
      <c r="A1115" t="s">
        <v>1180</v>
      </c>
      <c r="B1115" t="b">
        <v>1</v>
      </c>
      <c r="C1115" t="b">
        <v>0</v>
      </c>
      <c r="D1115" t="b">
        <v>0</v>
      </c>
      <c r="F1115" t="b">
        <v>0</v>
      </c>
      <c r="H1115" t="s">
        <v>37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>
        <v>1</v>
      </c>
      <c r="AB1115">
        <v>0</v>
      </c>
      <c r="AC1115">
        <f>VLOOKUP(A:A,[1]android_repos_all_metrics!B:K,4,FALSE)</f>
        <v>115</v>
      </c>
      <c r="AD1115">
        <f>VLOOKUP(A:A,[1]android_repos_all_metrics!B:K,5,FALSE)</f>
        <v>67</v>
      </c>
      <c r="AE1115">
        <f>VLOOKUP(A:A,[1]android_repos_all_metrics!B:K,6,FALSE)</f>
        <v>4</v>
      </c>
      <c r="AF1115">
        <f>VLOOKUP(A:A,[1]android_repos_all_metrics!B:K,7,FALSE)</f>
        <v>4770</v>
      </c>
      <c r="AG1115">
        <f>VLOOKUP(A:A,[1]android_repos_all_metrics!B:K,8,FALSE)</f>
        <v>5</v>
      </c>
      <c r="AH1115">
        <f>VLOOKUP(A:A,[1]android_repos_all_metrics!B:K,9,FALSE)</f>
        <v>5</v>
      </c>
      <c r="AI1115">
        <f>VLOOKUP(A:A,[1]android_repos_all_metrics!B:K,10,FALSE)</f>
        <v>0</v>
      </c>
    </row>
    <row r="1116" spans="1:35">
      <c r="A1116" t="s">
        <v>1181</v>
      </c>
      <c r="B1116" t="b">
        <v>1</v>
      </c>
      <c r="C1116" t="b">
        <v>0</v>
      </c>
      <c r="D1116" t="b">
        <v>0</v>
      </c>
      <c r="F1116" t="b">
        <v>0</v>
      </c>
      <c r="H1116" t="s">
        <v>76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>
        <v>1</v>
      </c>
      <c r="AB1116">
        <v>0</v>
      </c>
      <c r="AC1116">
        <f>VLOOKUP(A:A,[1]android_repos_all_metrics!B:K,4,FALSE)</f>
        <v>1455</v>
      </c>
      <c r="AD1116">
        <f>VLOOKUP(A:A,[1]android_repos_all_metrics!B:K,5,FALSE)</f>
        <v>175</v>
      </c>
      <c r="AE1116">
        <f>VLOOKUP(A:A,[1]android_repos_all_metrics!B:K,6,FALSE)</f>
        <v>51</v>
      </c>
      <c r="AF1116">
        <f>VLOOKUP(A:A,[1]android_repos_all_metrics!B:K,7,FALSE)</f>
        <v>5128</v>
      </c>
      <c r="AG1116">
        <f>VLOOKUP(A:A,[1]android_repos_all_metrics!B:K,8,FALSE)</f>
        <v>16</v>
      </c>
      <c r="AH1116">
        <f>VLOOKUP(A:A,[1]android_repos_all_metrics!B:K,9,FALSE)</f>
        <v>77</v>
      </c>
      <c r="AI1116">
        <f>VLOOKUP(A:A,[1]android_repos_all_metrics!B:K,10,FALSE)</f>
        <v>18</v>
      </c>
    </row>
    <row r="1117" spans="1:35">
      <c r="A1117" t="s">
        <v>1182</v>
      </c>
      <c r="B1117" t="b">
        <v>0</v>
      </c>
      <c r="C1117" t="b">
        <v>0</v>
      </c>
      <c r="D1117" t="b">
        <v>0</v>
      </c>
      <c r="F1117" t="b">
        <v>0</v>
      </c>
      <c r="H1117" t="s">
        <v>41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>
        <v>1</v>
      </c>
      <c r="AB1117">
        <v>0</v>
      </c>
      <c r="AC1117">
        <f>VLOOKUP(A:A,[1]android_repos_all_metrics!B:K,4,FALSE)</f>
        <v>89</v>
      </c>
      <c r="AD1117">
        <f>VLOOKUP(A:A,[1]android_repos_all_metrics!B:K,5,FALSE)</f>
        <v>2</v>
      </c>
      <c r="AE1117">
        <f>VLOOKUP(A:A,[1]android_repos_all_metrics!B:K,6,FALSE)</f>
        <v>2</v>
      </c>
      <c r="AF1117">
        <f>VLOOKUP(A:A,[1]android_repos_all_metrics!B:K,7,FALSE)</f>
        <v>642</v>
      </c>
      <c r="AG1117">
        <f>VLOOKUP(A:A,[1]android_repos_all_metrics!B:K,8,FALSE)</f>
        <v>6</v>
      </c>
      <c r="AH1117">
        <f>VLOOKUP(A:A,[1]android_repos_all_metrics!B:K,9,FALSE)</f>
        <v>26</v>
      </c>
      <c r="AI1117">
        <f>VLOOKUP(A:A,[1]android_repos_all_metrics!B:K,10,FALSE)</f>
        <v>1</v>
      </c>
    </row>
    <row r="1118" spans="1:35">
      <c r="A1118" t="s">
        <v>1183</v>
      </c>
      <c r="B1118" t="b">
        <v>1</v>
      </c>
      <c r="C1118" t="b">
        <v>0</v>
      </c>
      <c r="D1118" t="b">
        <v>0</v>
      </c>
      <c r="F1118" t="b">
        <v>0</v>
      </c>
      <c r="H1118" t="s">
        <v>37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>
        <v>2</v>
      </c>
      <c r="AB1118">
        <v>0</v>
      </c>
      <c r="AC1118">
        <f>VLOOKUP(A:A,[1]android_repos_all_metrics!B:K,4,FALSE)</f>
        <v>186</v>
      </c>
      <c r="AD1118">
        <f>VLOOKUP(A:A,[1]android_repos_all_metrics!B:K,5,FALSE)</f>
        <v>8</v>
      </c>
      <c r="AE1118">
        <f>VLOOKUP(A:A,[1]android_repos_all_metrics!B:K,6,FALSE)</f>
        <v>6</v>
      </c>
      <c r="AF1118">
        <f>VLOOKUP(A:A,[1]android_repos_all_metrics!B:K,7,FALSE)</f>
        <v>6107</v>
      </c>
      <c r="AG1118">
        <f>VLOOKUP(A:A,[1]android_repos_all_metrics!B:K,8,FALSE)</f>
        <v>3</v>
      </c>
      <c r="AH1118">
        <f>VLOOKUP(A:A,[1]android_repos_all_metrics!B:K,9,FALSE)</f>
        <v>93</v>
      </c>
      <c r="AI1118">
        <f>VLOOKUP(A:A,[1]android_repos_all_metrics!B:K,10,FALSE)</f>
        <v>10</v>
      </c>
    </row>
    <row r="1119" spans="1:35">
      <c r="A1119" t="s">
        <v>1184</v>
      </c>
      <c r="B1119" t="b">
        <v>1</v>
      </c>
      <c r="C1119" t="b">
        <v>1</v>
      </c>
      <c r="D1119" t="b">
        <v>0</v>
      </c>
      <c r="F1119" t="b">
        <v>1</v>
      </c>
      <c r="G1119" t="s">
        <v>1185</v>
      </c>
      <c r="H1119" t="s">
        <v>136</v>
      </c>
      <c r="I1119" t="s">
        <v>136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>
        <v>2</v>
      </c>
      <c r="AB1119">
        <v>0</v>
      </c>
      <c r="AC1119">
        <f>VLOOKUP(A:A,[1]android_repos_all_metrics!B:K,4,FALSE)</f>
        <v>1292</v>
      </c>
      <c r="AD1119">
        <f>VLOOKUP(A:A,[1]android_repos_all_metrics!B:K,5,FALSE)</f>
        <v>5</v>
      </c>
      <c r="AE1119">
        <f>VLOOKUP(A:A,[1]android_repos_all_metrics!B:K,6,FALSE)</f>
        <v>4</v>
      </c>
      <c r="AF1119">
        <f>VLOOKUP(A:A,[1]android_repos_all_metrics!B:K,7,FALSE)</f>
        <v>2365</v>
      </c>
      <c r="AG1119">
        <f>VLOOKUP(A:A,[1]android_repos_all_metrics!B:K,8,FALSE)</f>
        <v>5</v>
      </c>
      <c r="AH1119">
        <f>VLOOKUP(A:A,[1]android_repos_all_metrics!B:K,9,FALSE)</f>
        <v>20</v>
      </c>
      <c r="AI1119">
        <f>VLOOKUP(A:A,[1]android_repos_all_metrics!B:K,10,FALSE)</f>
        <v>4</v>
      </c>
    </row>
    <row r="1120" spans="1:35">
      <c r="A1120" t="s">
        <v>1186</v>
      </c>
      <c r="B1120" t="b">
        <v>0</v>
      </c>
      <c r="C1120" t="b">
        <v>0</v>
      </c>
      <c r="D1120" t="b">
        <v>0</v>
      </c>
      <c r="F1120" t="b">
        <v>0</v>
      </c>
      <c r="H1120" t="s">
        <v>41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>
        <v>1</v>
      </c>
      <c r="AB1120">
        <v>0</v>
      </c>
      <c r="AC1120">
        <f>VLOOKUP(A:A,[1]android_repos_all_metrics!B:K,4,FALSE)</f>
        <v>426</v>
      </c>
      <c r="AD1120">
        <f>VLOOKUP(A:A,[1]android_repos_all_metrics!B:K,5,FALSE)</f>
        <v>8</v>
      </c>
      <c r="AE1120">
        <f>VLOOKUP(A:A,[1]android_repos_all_metrics!B:K,6,FALSE)</f>
        <v>6</v>
      </c>
      <c r="AF1120">
        <f>VLOOKUP(A:A,[1]android_repos_all_metrics!B:K,7,FALSE)</f>
        <v>6385</v>
      </c>
      <c r="AG1120">
        <f>VLOOKUP(A:A,[1]android_repos_all_metrics!B:K,8,FALSE)</f>
        <v>23</v>
      </c>
      <c r="AH1120">
        <f>VLOOKUP(A:A,[1]android_repos_all_metrics!B:K,9,FALSE)</f>
        <v>101</v>
      </c>
      <c r="AI1120">
        <f>VLOOKUP(A:A,[1]android_repos_all_metrics!B:K,10,FALSE)</f>
        <v>28</v>
      </c>
    </row>
    <row r="1121" spans="1:35">
      <c r="A1121" t="s">
        <v>1187</v>
      </c>
      <c r="B1121" t="b">
        <v>1</v>
      </c>
      <c r="C1121" t="b">
        <v>0</v>
      </c>
      <c r="D1121" t="b">
        <v>0</v>
      </c>
      <c r="F1121" t="b">
        <v>0</v>
      </c>
      <c r="H1121" t="s">
        <v>37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>
        <v>1</v>
      </c>
      <c r="AB1121">
        <v>0</v>
      </c>
      <c r="AC1121">
        <f>VLOOKUP(A:A,[1]android_repos_all_metrics!B:K,4,FALSE)</f>
        <v>111</v>
      </c>
      <c r="AD1121">
        <f>VLOOKUP(A:A,[1]android_repos_all_metrics!B:K,5,FALSE)</f>
        <v>15</v>
      </c>
      <c r="AE1121">
        <f>VLOOKUP(A:A,[1]android_repos_all_metrics!B:K,6,FALSE)</f>
        <v>1</v>
      </c>
      <c r="AF1121">
        <f>VLOOKUP(A:A,[1]android_repos_all_metrics!B:K,7,FALSE)</f>
        <v>6774</v>
      </c>
      <c r="AG1121">
        <f>VLOOKUP(A:A,[1]android_repos_all_metrics!B:K,8,FALSE)</f>
        <v>2</v>
      </c>
      <c r="AH1121">
        <f>VLOOKUP(A:A,[1]android_repos_all_metrics!B:K,9,FALSE)</f>
        <v>13</v>
      </c>
      <c r="AI1121">
        <f>VLOOKUP(A:A,[1]android_repos_all_metrics!B:K,10,FALSE)</f>
        <v>5</v>
      </c>
    </row>
    <row r="1122" spans="1:35">
      <c r="A1122" t="s">
        <v>1188</v>
      </c>
      <c r="B1122" t="b">
        <v>1</v>
      </c>
      <c r="C1122" t="b">
        <v>0</v>
      </c>
      <c r="D1122" t="b">
        <v>0</v>
      </c>
      <c r="F1122" t="b">
        <v>0</v>
      </c>
      <c r="H1122" t="s">
        <v>37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>
        <v>1</v>
      </c>
      <c r="AB1122">
        <v>0</v>
      </c>
      <c r="AC1122">
        <f>VLOOKUP(A:A,[1]android_repos_all_metrics!B:K,4,FALSE)</f>
        <v>14</v>
      </c>
      <c r="AD1122">
        <f>VLOOKUP(A:A,[1]android_repos_all_metrics!B:K,5,FALSE)</f>
        <v>0</v>
      </c>
      <c r="AE1122">
        <f>VLOOKUP(A:A,[1]android_repos_all_metrics!B:K,6,FALSE)</f>
        <v>1</v>
      </c>
      <c r="AF1122">
        <f>VLOOKUP(A:A,[1]android_repos_all_metrics!B:K,7,FALSE)</f>
        <v>181</v>
      </c>
      <c r="AG1122">
        <f>VLOOKUP(A:A,[1]android_repos_all_metrics!B:K,8,FALSE)</f>
        <v>3</v>
      </c>
      <c r="AH1122">
        <f>VLOOKUP(A:A,[1]android_repos_all_metrics!B:K,9,FALSE)</f>
        <v>25</v>
      </c>
      <c r="AI1122">
        <f>VLOOKUP(A:A,[1]android_repos_all_metrics!B:K,10,FALSE)</f>
        <v>0</v>
      </c>
    </row>
    <row r="1123" spans="1:35">
      <c r="A1123" t="s">
        <v>1189</v>
      </c>
      <c r="B1123" t="b">
        <v>1</v>
      </c>
      <c r="C1123" t="b">
        <v>0</v>
      </c>
      <c r="D1123" t="b">
        <v>0</v>
      </c>
      <c r="F1123" t="b">
        <v>0</v>
      </c>
      <c r="H1123" t="s">
        <v>37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>
        <v>1</v>
      </c>
      <c r="AB1123">
        <v>0</v>
      </c>
      <c r="AC1123">
        <f>VLOOKUP(A:A,[1]android_repos_all_metrics!B:K,4,FALSE)</f>
        <v>30</v>
      </c>
      <c r="AD1123">
        <f>VLOOKUP(A:A,[1]android_repos_all_metrics!B:K,5,FALSE)</f>
        <v>8</v>
      </c>
      <c r="AE1123">
        <f>VLOOKUP(A:A,[1]android_repos_all_metrics!B:K,6,FALSE)</f>
        <v>1</v>
      </c>
      <c r="AF1123">
        <f>VLOOKUP(A:A,[1]android_repos_all_metrics!B:K,7,FALSE)</f>
        <v>236</v>
      </c>
      <c r="AG1123">
        <f>VLOOKUP(A:A,[1]android_repos_all_metrics!B:K,8,FALSE)</f>
        <v>0</v>
      </c>
      <c r="AH1123">
        <f>VLOOKUP(A:A,[1]android_repos_all_metrics!B:K,9,FALSE)</f>
        <v>9</v>
      </c>
      <c r="AI1123">
        <f>VLOOKUP(A:A,[1]android_repos_all_metrics!B:K,10,FALSE)</f>
        <v>0</v>
      </c>
    </row>
    <row r="1124" spans="1:35">
      <c r="A1124" t="s">
        <v>1190</v>
      </c>
      <c r="B1124" t="b">
        <v>1</v>
      </c>
      <c r="C1124" t="b">
        <v>0</v>
      </c>
      <c r="D1124" t="b">
        <v>0</v>
      </c>
      <c r="F1124" t="b">
        <v>0</v>
      </c>
      <c r="H1124" t="s">
        <v>37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>
        <v>1</v>
      </c>
      <c r="AB1124">
        <v>0</v>
      </c>
      <c r="AC1124">
        <f>VLOOKUP(A:A,[1]android_repos_all_metrics!B:K,4,FALSE)</f>
        <v>4256</v>
      </c>
      <c r="AD1124">
        <f>VLOOKUP(A:A,[1]android_repos_all_metrics!B:K,5,FALSE)</f>
        <v>128</v>
      </c>
      <c r="AE1124">
        <f>VLOOKUP(A:A,[1]android_repos_all_metrics!B:K,6,FALSE)</f>
        <v>50</v>
      </c>
      <c r="AF1124">
        <f>VLOOKUP(A:A,[1]android_repos_all_metrics!B:K,7,FALSE)</f>
        <v>69120</v>
      </c>
      <c r="AG1124">
        <f>VLOOKUP(A:A,[1]android_repos_all_metrics!B:K,8,FALSE)</f>
        <v>342</v>
      </c>
      <c r="AH1124">
        <f>VLOOKUP(A:A,[1]android_repos_all_metrics!B:K,9,FALSE)</f>
        <v>3671</v>
      </c>
      <c r="AI1124">
        <f>VLOOKUP(A:A,[1]android_repos_all_metrics!B:K,10,FALSE)</f>
        <v>918</v>
      </c>
    </row>
    <row r="1125" spans="1:35">
      <c r="A1125" t="s">
        <v>1191</v>
      </c>
      <c r="B1125" t="b">
        <v>1</v>
      </c>
      <c r="C1125" t="b">
        <v>0</v>
      </c>
      <c r="D1125" t="b">
        <v>0</v>
      </c>
      <c r="F1125" t="b">
        <v>0</v>
      </c>
      <c r="H1125" t="s">
        <v>37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>
        <v>3</v>
      </c>
      <c r="AB1125">
        <v>0</v>
      </c>
      <c r="AC1125">
        <f>VLOOKUP(A:A,[1]android_repos_all_metrics!B:K,4,FALSE)</f>
        <v>85</v>
      </c>
      <c r="AD1125">
        <f>VLOOKUP(A:A,[1]android_repos_all_metrics!B:K,5,FALSE)</f>
        <v>11</v>
      </c>
      <c r="AE1125">
        <f>VLOOKUP(A:A,[1]android_repos_all_metrics!B:K,6,FALSE)</f>
        <v>1</v>
      </c>
      <c r="AF1125">
        <f>VLOOKUP(A:A,[1]android_repos_all_metrics!B:K,7,FALSE)</f>
        <v>1948</v>
      </c>
      <c r="AG1125">
        <f>VLOOKUP(A:A,[1]android_repos_all_metrics!B:K,8,FALSE)</f>
        <v>4</v>
      </c>
      <c r="AH1125">
        <f>VLOOKUP(A:A,[1]android_repos_all_metrics!B:K,9,FALSE)</f>
        <v>12</v>
      </c>
      <c r="AI1125">
        <f>VLOOKUP(A:A,[1]android_repos_all_metrics!B:K,10,FALSE)</f>
        <v>9</v>
      </c>
    </row>
    <row r="1126" spans="1:35">
      <c r="A1126" t="s">
        <v>1192</v>
      </c>
      <c r="B1126" t="b">
        <v>1</v>
      </c>
      <c r="C1126" t="b">
        <v>0</v>
      </c>
      <c r="D1126" t="b">
        <v>0</v>
      </c>
      <c r="F1126" t="b">
        <v>0</v>
      </c>
      <c r="H1126" t="s">
        <v>41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>
        <v>1</v>
      </c>
      <c r="AB1126">
        <v>0</v>
      </c>
      <c r="AC1126">
        <f>VLOOKUP(A:A,[1]android_repos_all_metrics!B:K,4,FALSE)</f>
        <v>354</v>
      </c>
      <c r="AD1126">
        <f>VLOOKUP(A:A,[1]android_repos_all_metrics!B:K,5,FALSE)</f>
        <v>84</v>
      </c>
      <c r="AE1126">
        <f>VLOOKUP(A:A,[1]android_repos_all_metrics!B:K,6,FALSE)</f>
        <v>5</v>
      </c>
      <c r="AF1126">
        <f>VLOOKUP(A:A,[1]android_repos_all_metrics!B:K,7,FALSE)</f>
        <v>926</v>
      </c>
      <c r="AG1126">
        <f>VLOOKUP(A:A,[1]android_repos_all_metrics!B:K,8,FALSE)</f>
        <v>1</v>
      </c>
      <c r="AH1126">
        <f>VLOOKUP(A:A,[1]android_repos_all_metrics!B:K,9,FALSE)</f>
        <v>2</v>
      </c>
      <c r="AI1126">
        <f>VLOOKUP(A:A,[1]android_repos_all_metrics!B:K,10,FALSE)</f>
        <v>0</v>
      </c>
    </row>
    <row r="1127" spans="1:35">
      <c r="A1127" t="s">
        <v>1193</v>
      </c>
      <c r="B1127" t="b">
        <v>1</v>
      </c>
      <c r="C1127" t="b">
        <v>0</v>
      </c>
      <c r="D1127" t="b">
        <v>0</v>
      </c>
      <c r="F1127" t="b">
        <v>0</v>
      </c>
      <c r="H1127" t="s">
        <v>43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>
        <v>1</v>
      </c>
      <c r="AB1127">
        <v>0</v>
      </c>
      <c r="AC1127">
        <f>VLOOKUP(A:A,[1]android_repos_all_metrics!B:K,4,FALSE)</f>
        <v>1001</v>
      </c>
      <c r="AD1127">
        <f>VLOOKUP(A:A,[1]android_repos_all_metrics!B:K,5,FALSE)</f>
        <v>0</v>
      </c>
      <c r="AE1127">
        <f>VLOOKUP(A:A,[1]android_repos_all_metrics!B:K,6,FALSE)</f>
        <v>1</v>
      </c>
      <c r="AF1127">
        <f>VLOOKUP(A:A,[1]android_repos_all_metrics!B:K,7,FALSE)</f>
        <v>3321</v>
      </c>
      <c r="AG1127">
        <f>VLOOKUP(A:A,[1]android_repos_all_metrics!B:K,8,FALSE)</f>
        <v>0</v>
      </c>
      <c r="AH1127">
        <f>VLOOKUP(A:A,[1]android_repos_all_metrics!B:K,9,FALSE)</f>
        <v>1</v>
      </c>
      <c r="AI1127">
        <f>VLOOKUP(A:A,[1]android_repos_all_metrics!B:K,10,FALSE)</f>
        <v>0</v>
      </c>
    </row>
    <row r="1128" spans="1:35">
      <c r="A1128" t="s">
        <v>1194</v>
      </c>
      <c r="B1128" t="b">
        <v>1</v>
      </c>
      <c r="C1128" t="b">
        <v>0</v>
      </c>
      <c r="D1128" t="b">
        <v>0</v>
      </c>
      <c r="F1128" t="b">
        <v>0</v>
      </c>
      <c r="H1128" t="s">
        <v>37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>
        <v>3</v>
      </c>
      <c r="AB1128">
        <v>0</v>
      </c>
      <c r="AC1128">
        <f>VLOOKUP(A:A,[1]android_repos_all_metrics!B:K,4,FALSE)</f>
        <v>175</v>
      </c>
      <c r="AD1128">
        <f>VLOOKUP(A:A,[1]android_repos_all_metrics!B:K,5,FALSE)</f>
        <v>24</v>
      </c>
      <c r="AE1128">
        <f>VLOOKUP(A:A,[1]android_repos_all_metrics!B:K,6,FALSE)</f>
        <v>3</v>
      </c>
      <c r="AF1128">
        <f>VLOOKUP(A:A,[1]android_repos_all_metrics!B:K,7,FALSE)</f>
        <v>3575</v>
      </c>
      <c r="AG1128">
        <f>VLOOKUP(A:A,[1]android_repos_all_metrics!B:K,8,FALSE)</f>
        <v>2</v>
      </c>
      <c r="AH1128">
        <f>VLOOKUP(A:A,[1]android_repos_all_metrics!B:K,9,FALSE)</f>
        <v>19</v>
      </c>
      <c r="AI1128">
        <f>VLOOKUP(A:A,[1]android_repos_all_metrics!B:K,10,FALSE)</f>
        <v>1</v>
      </c>
    </row>
    <row r="1129" spans="1:35">
      <c r="A1129" t="s">
        <v>1195</v>
      </c>
      <c r="B1129" t="b">
        <v>1</v>
      </c>
      <c r="C1129" t="b">
        <v>0</v>
      </c>
      <c r="D1129" t="b">
        <v>0</v>
      </c>
      <c r="F1129" t="b">
        <v>0</v>
      </c>
      <c r="H1129" t="s">
        <v>37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>
        <v>3</v>
      </c>
      <c r="AB1129">
        <v>0</v>
      </c>
      <c r="AC1129">
        <f>VLOOKUP(A:A,[1]android_repos_all_metrics!B:K,4,FALSE)</f>
        <v>2801</v>
      </c>
      <c r="AD1129">
        <f>VLOOKUP(A:A,[1]android_repos_all_metrics!B:K,5,FALSE)</f>
        <v>107</v>
      </c>
      <c r="AE1129">
        <f>VLOOKUP(A:A,[1]android_repos_all_metrics!B:K,6,FALSE)</f>
        <v>14</v>
      </c>
      <c r="AF1129">
        <f>VLOOKUP(A:A,[1]android_repos_all_metrics!B:K,7,FALSE)</f>
        <v>19543</v>
      </c>
      <c r="AG1129">
        <f>VLOOKUP(A:A,[1]android_repos_all_metrics!B:K,8,FALSE)</f>
        <v>137</v>
      </c>
      <c r="AH1129">
        <f>VLOOKUP(A:A,[1]android_repos_all_metrics!B:K,9,FALSE)</f>
        <v>678</v>
      </c>
      <c r="AI1129">
        <f>VLOOKUP(A:A,[1]android_repos_all_metrics!B:K,10,FALSE)</f>
        <v>155</v>
      </c>
    </row>
    <row r="1130" spans="1:35">
      <c r="A1130" t="s">
        <v>1196</v>
      </c>
      <c r="B1130" t="b">
        <v>1</v>
      </c>
      <c r="C1130" t="b">
        <v>0</v>
      </c>
      <c r="D1130" t="b">
        <v>0</v>
      </c>
      <c r="F1130" t="b">
        <v>0</v>
      </c>
      <c r="H1130" t="s">
        <v>37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>
        <v>6</v>
      </c>
      <c r="AB1130">
        <v>0</v>
      </c>
      <c r="AC1130">
        <f>VLOOKUP(A:A,[1]android_repos_all_metrics!B:K,4,FALSE)</f>
        <v>708</v>
      </c>
      <c r="AD1130">
        <f>VLOOKUP(A:A,[1]android_repos_all_metrics!B:K,5,FALSE)</f>
        <v>504</v>
      </c>
      <c r="AE1130">
        <f>VLOOKUP(A:A,[1]android_repos_all_metrics!B:K,6,FALSE)</f>
        <v>19</v>
      </c>
      <c r="AF1130">
        <f>VLOOKUP(A:A,[1]android_repos_all_metrics!B:K,7,FALSE)</f>
        <v>29015</v>
      </c>
      <c r="AG1130">
        <f>VLOOKUP(A:A,[1]android_repos_all_metrics!B:K,8,FALSE)</f>
        <v>38</v>
      </c>
      <c r="AH1130">
        <f>VLOOKUP(A:A,[1]android_repos_all_metrics!B:K,9,FALSE)</f>
        <v>264</v>
      </c>
      <c r="AI1130">
        <f>VLOOKUP(A:A,[1]android_repos_all_metrics!B:K,10,FALSE)</f>
        <v>11</v>
      </c>
    </row>
    <row r="1131" spans="1:35">
      <c r="A1131" t="s">
        <v>1197</v>
      </c>
      <c r="B1131" t="b">
        <v>1</v>
      </c>
      <c r="C1131" t="b">
        <v>0</v>
      </c>
      <c r="D1131" t="b">
        <v>0</v>
      </c>
      <c r="F1131" t="b">
        <v>0</v>
      </c>
      <c r="H1131" t="s">
        <v>41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>
        <v>1</v>
      </c>
      <c r="AB1131">
        <v>0</v>
      </c>
      <c r="AC1131">
        <f>VLOOKUP(A:A,[1]android_repos_all_metrics!B:K,4,FALSE)</f>
        <v>377</v>
      </c>
      <c r="AD1131">
        <f>VLOOKUP(A:A,[1]android_repos_all_metrics!B:K,5,FALSE)</f>
        <v>15</v>
      </c>
      <c r="AE1131">
        <f>VLOOKUP(A:A,[1]android_repos_all_metrics!B:K,6,FALSE)</f>
        <v>2</v>
      </c>
      <c r="AF1131">
        <f>VLOOKUP(A:A,[1]android_repos_all_metrics!B:K,7,FALSE)</f>
        <v>2723</v>
      </c>
      <c r="AG1131">
        <f>VLOOKUP(A:A,[1]android_repos_all_metrics!B:K,8,FALSE)</f>
        <v>0</v>
      </c>
      <c r="AH1131">
        <f>VLOOKUP(A:A,[1]android_repos_all_metrics!B:K,9,FALSE)</f>
        <v>5</v>
      </c>
      <c r="AI1131">
        <f>VLOOKUP(A:A,[1]android_repos_all_metrics!B:K,10,FALSE)</f>
        <v>6</v>
      </c>
    </row>
    <row r="1132" spans="1:35">
      <c r="A1132" t="s">
        <v>1198</v>
      </c>
      <c r="B1132" t="b">
        <v>1</v>
      </c>
      <c r="C1132" t="b">
        <v>0</v>
      </c>
      <c r="D1132" t="b">
        <v>0</v>
      </c>
      <c r="F1132" t="b">
        <v>0</v>
      </c>
      <c r="H1132" t="s">
        <v>37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>
        <v>1</v>
      </c>
      <c r="AB1132">
        <v>0</v>
      </c>
      <c r="AC1132">
        <f>VLOOKUP(A:A,[1]android_repos_all_metrics!B:K,4,FALSE)</f>
        <v>400</v>
      </c>
      <c r="AD1132">
        <f>VLOOKUP(A:A,[1]android_repos_all_metrics!B:K,5,FALSE)</f>
        <v>18</v>
      </c>
      <c r="AE1132">
        <f>VLOOKUP(A:A,[1]android_repos_all_metrics!B:K,6,FALSE)</f>
        <v>2</v>
      </c>
      <c r="AF1132">
        <f>VLOOKUP(A:A,[1]android_repos_all_metrics!B:K,7,FALSE)</f>
        <v>2601</v>
      </c>
      <c r="AG1132">
        <f>VLOOKUP(A:A,[1]android_repos_all_metrics!B:K,8,FALSE)</f>
        <v>2</v>
      </c>
      <c r="AH1132">
        <f>VLOOKUP(A:A,[1]android_repos_all_metrics!B:K,9,FALSE)</f>
        <v>4</v>
      </c>
      <c r="AI1132">
        <f>VLOOKUP(A:A,[1]android_repos_all_metrics!B:K,10,FALSE)</f>
        <v>5</v>
      </c>
    </row>
    <row r="1133" spans="1:35">
      <c r="A1133" t="s">
        <v>1199</v>
      </c>
      <c r="B1133" t="b">
        <v>1</v>
      </c>
      <c r="C1133" t="b">
        <v>0</v>
      </c>
      <c r="D1133" t="b">
        <v>0</v>
      </c>
      <c r="F1133" t="b">
        <v>0</v>
      </c>
      <c r="H1133" t="s">
        <v>37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>
        <v>2</v>
      </c>
      <c r="AB1133">
        <v>0</v>
      </c>
      <c r="AC1133">
        <f>VLOOKUP(A:A,[1]android_repos_all_metrics!B:K,4,FALSE)</f>
        <v>0</v>
      </c>
      <c r="AD1133">
        <f>VLOOKUP(A:A,[1]android_repos_all_metrics!B:K,5,FALSE)</f>
        <v>0</v>
      </c>
      <c r="AE1133">
        <f>VLOOKUP(A:A,[1]android_repos_all_metrics!B:K,6,FALSE)</f>
        <v>0</v>
      </c>
      <c r="AF1133">
        <f>VLOOKUP(A:A,[1]android_repos_all_metrics!B:K,7,FALSE)</f>
        <v>106030</v>
      </c>
      <c r="AG1133">
        <f>VLOOKUP(A:A,[1]android_repos_all_metrics!B:K,8,FALSE)</f>
        <v>0</v>
      </c>
      <c r="AH1133">
        <f>VLOOKUP(A:A,[1]android_repos_all_metrics!B:K,9,FALSE)</f>
        <v>4</v>
      </c>
      <c r="AI1133">
        <f>VLOOKUP(A:A,[1]android_repos_all_metrics!B:K,10,FALSE)</f>
        <v>4</v>
      </c>
    </row>
    <row r="1134" spans="1:35">
      <c r="A1134" t="s">
        <v>1200</v>
      </c>
      <c r="B1134" t="b">
        <v>1</v>
      </c>
      <c r="C1134" t="b">
        <v>0</v>
      </c>
      <c r="D1134" t="b">
        <v>0</v>
      </c>
      <c r="F1134" t="b">
        <v>0</v>
      </c>
      <c r="H1134" t="s">
        <v>37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>
        <v>2</v>
      </c>
      <c r="AB1134">
        <v>0</v>
      </c>
      <c r="AC1134">
        <f>VLOOKUP(A:A,[1]android_repos_all_metrics!B:K,4,FALSE)</f>
        <v>141</v>
      </c>
      <c r="AD1134">
        <f>VLOOKUP(A:A,[1]android_repos_all_metrics!B:K,5,FALSE)</f>
        <v>1</v>
      </c>
      <c r="AE1134">
        <f>VLOOKUP(A:A,[1]android_repos_all_metrics!B:K,6,FALSE)</f>
        <v>2</v>
      </c>
      <c r="AF1134">
        <f>VLOOKUP(A:A,[1]android_repos_all_metrics!B:K,7,FALSE)</f>
        <v>16896</v>
      </c>
      <c r="AG1134">
        <f>VLOOKUP(A:A,[1]android_repos_all_metrics!B:K,8,FALSE)</f>
        <v>1</v>
      </c>
      <c r="AH1134">
        <f>VLOOKUP(A:A,[1]android_repos_all_metrics!B:K,9,FALSE)</f>
        <v>3</v>
      </c>
      <c r="AI1134">
        <f>VLOOKUP(A:A,[1]android_repos_all_metrics!B:K,10,FALSE)</f>
        <v>5</v>
      </c>
    </row>
    <row r="1135" spans="1:35">
      <c r="A1135" t="s">
        <v>1201</v>
      </c>
      <c r="B1135" t="b">
        <v>1</v>
      </c>
      <c r="C1135" t="b">
        <v>0</v>
      </c>
      <c r="D1135" t="b">
        <v>0</v>
      </c>
      <c r="F1135" t="b">
        <v>0</v>
      </c>
      <c r="H1135" t="s">
        <v>37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>
        <v>3</v>
      </c>
      <c r="AB1135">
        <v>0</v>
      </c>
      <c r="AC1135">
        <f>VLOOKUP(A:A,[1]android_repos_all_metrics!B:K,4,FALSE)</f>
        <v>90</v>
      </c>
      <c r="AD1135">
        <f>VLOOKUP(A:A,[1]android_repos_all_metrics!B:K,5,FALSE)</f>
        <v>12</v>
      </c>
      <c r="AE1135">
        <f>VLOOKUP(A:A,[1]android_repos_all_metrics!B:K,6,FALSE)</f>
        <v>2</v>
      </c>
      <c r="AF1135">
        <f>VLOOKUP(A:A,[1]android_repos_all_metrics!B:K,7,FALSE)</f>
        <v>1630</v>
      </c>
      <c r="AG1135">
        <f>VLOOKUP(A:A,[1]android_repos_all_metrics!B:K,8,FALSE)</f>
        <v>2</v>
      </c>
      <c r="AH1135">
        <f>VLOOKUP(A:A,[1]android_repos_all_metrics!B:K,9,FALSE)</f>
        <v>4</v>
      </c>
      <c r="AI1135">
        <f>VLOOKUP(A:A,[1]android_repos_all_metrics!B:K,10,FALSE)</f>
        <v>3</v>
      </c>
    </row>
    <row r="1136" spans="1:35">
      <c r="A1136" t="s">
        <v>1202</v>
      </c>
      <c r="B1136" t="b">
        <v>1</v>
      </c>
      <c r="C1136" t="b">
        <v>0</v>
      </c>
      <c r="D1136" t="b">
        <v>0</v>
      </c>
      <c r="F1136" t="b">
        <v>0</v>
      </c>
      <c r="H1136" t="s">
        <v>37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>
        <v>2</v>
      </c>
      <c r="AB1136">
        <v>0</v>
      </c>
      <c r="AC1136">
        <f>VLOOKUP(A:A,[1]android_repos_all_metrics!B:K,4,FALSE)</f>
        <v>5137</v>
      </c>
      <c r="AD1136">
        <f>VLOOKUP(A:A,[1]android_repos_all_metrics!B:K,5,FALSE)</f>
        <v>683</v>
      </c>
      <c r="AE1136">
        <f>VLOOKUP(A:A,[1]android_repos_all_metrics!B:K,6,FALSE)</f>
        <v>259</v>
      </c>
      <c r="AF1136">
        <f>VLOOKUP(A:A,[1]android_repos_all_metrics!B:K,7,FALSE)</f>
        <v>164293</v>
      </c>
      <c r="AG1136">
        <f>VLOOKUP(A:A,[1]android_repos_all_metrics!B:K,8,FALSE)</f>
        <v>569</v>
      </c>
      <c r="AH1136">
        <f>VLOOKUP(A:A,[1]android_repos_all_metrics!B:K,9,FALSE)</f>
        <v>2530</v>
      </c>
      <c r="AI1136">
        <f>VLOOKUP(A:A,[1]android_repos_all_metrics!B:K,10,FALSE)</f>
        <v>280</v>
      </c>
    </row>
    <row r="1137" spans="1:35">
      <c r="A1137" t="s">
        <v>1203</v>
      </c>
      <c r="B1137" t="b">
        <v>1</v>
      </c>
      <c r="C1137" t="b">
        <v>0</v>
      </c>
      <c r="D1137" t="b">
        <v>0</v>
      </c>
      <c r="F1137" t="b">
        <v>0</v>
      </c>
      <c r="H1137" t="s">
        <v>37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>
        <v>6</v>
      </c>
      <c r="AB1137">
        <v>0</v>
      </c>
      <c r="AC1137">
        <f>VLOOKUP(A:A,[1]android_repos_all_metrics!B:K,4,FALSE)</f>
        <v>796</v>
      </c>
      <c r="AD1137">
        <f>VLOOKUP(A:A,[1]android_repos_all_metrics!B:K,5,FALSE)</f>
        <v>75</v>
      </c>
      <c r="AE1137">
        <f>VLOOKUP(A:A,[1]android_repos_all_metrics!B:K,6,FALSE)</f>
        <v>29</v>
      </c>
      <c r="AF1137">
        <f>VLOOKUP(A:A,[1]android_repos_all_metrics!B:K,7,FALSE)</f>
        <v>84430</v>
      </c>
      <c r="AG1137">
        <f>VLOOKUP(A:A,[1]android_repos_all_metrics!B:K,8,FALSE)</f>
        <v>24</v>
      </c>
      <c r="AH1137">
        <f>VLOOKUP(A:A,[1]android_repos_all_metrics!B:K,9,FALSE)</f>
        <v>427</v>
      </c>
      <c r="AI1137">
        <f>VLOOKUP(A:A,[1]android_repos_all_metrics!B:K,10,FALSE)</f>
        <v>35</v>
      </c>
    </row>
    <row r="1138" spans="1:35">
      <c r="A1138" t="s">
        <v>1204</v>
      </c>
      <c r="B1138" t="b">
        <v>1</v>
      </c>
      <c r="C1138" t="b">
        <v>0</v>
      </c>
      <c r="D1138" t="b">
        <v>0</v>
      </c>
      <c r="F1138" t="b">
        <v>0</v>
      </c>
      <c r="H1138" t="s">
        <v>37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>
        <v>5</v>
      </c>
      <c r="AB1138">
        <v>0</v>
      </c>
      <c r="AC1138">
        <f>VLOOKUP(A:A,[1]android_repos_all_metrics!B:K,4,FALSE)</f>
        <v>2481</v>
      </c>
      <c r="AD1138">
        <f>VLOOKUP(A:A,[1]android_repos_all_metrics!B:K,5,FALSE)</f>
        <v>19</v>
      </c>
      <c r="AE1138">
        <f>VLOOKUP(A:A,[1]android_repos_all_metrics!B:K,6,FALSE)</f>
        <v>10</v>
      </c>
      <c r="AF1138">
        <f>VLOOKUP(A:A,[1]android_repos_all_metrics!B:K,7,FALSE)</f>
        <v>16223</v>
      </c>
      <c r="AG1138">
        <f>VLOOKUP(A:A,[1]android_repos_all_metrics!B:K,8,FALSE)</f>
        <v>10</v>
      </c>
      <c r="AH1138">
        <f>VLOOKUP(A:A,[1]android_repos_all_metrics!B:K,9,FALSE)</f>
        <v>29</v>
      </c>
      <c r="AI1138">
        <f>VLOOKUP(A:A,[1]android_repos_all_metrics!B:K,10,FALSE)</f>
        <v>26</v>
      </c>
    </row>
    <row r="1139" spans="1:35">
      <c r="A1139" t="s">
        <v>1205</v>
      </c>
      <c r="B1139" t="b">
        <v>1</v>
      </c>
      <c r="C1139" t="b">
        <v>1</v>
      </c>
      <c r="D1139" t="b">
        <v>1</v>
      </c>
      <c r="E1139" t="s">
        <v>36</v>
      </c>
      <c r="F1139" t="b">
        <v>0</v>
      </c>
      <c r="H1139" t="s">
        <v>37</v>
      </c>
      <c r="I1139" t="s">
        <v>37</v>
      </c>
      <c r="J1139" t="b">
        <v>0</v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1</v>
      </c>
      <c r="Y1139" t="b">
        <v>0</v>
      </c>
      <c r="Z1139">
        <v>3</v>
      </c>
      <c r="AA1139">
        <v>5</v>
      </c>
      <c r="AB1139">
        <v>0</v>
      </c>
      <c r="AC1139">
        <f>VLOOKUP(A:A,[1]android_repos_all_metrics!B:K,4,FALSE)</f>
        <v>6803</v>
      </c>
      <c r="AD1139">
        <f>VLOOKUP(A:A,[1]android_repos_all_metrics!B:K,5,FALSE)</f>
        <v>1573</v>
      </c>
      <c r="AE1139">
        <f>VLOOKUP(A:A,[1]android_repos_all_metrics!B:K,6,FALSE)</f>
        <v>125</v>
      </c>
      <c r="AF1139">
        <f>VLOOKUP(A:A,[1]android_repos_all_metrics!B:K,7,FALSE)</f>
        <v>329042</v>
      </c>
      <c r="AG1139">
        <f>VLOOKUP(A:A,[1]android_repos_all_metrics!B:K,8,FALSE)</f>
        <v>424</v>
      </c>
      <c r="AH1139">
        <f>VLOOKUP(A:A,[1]android_repos_all_metrics!B:K,9,FALSE)</f>
        <v>675</v>
      </c>
      <c r="AI1139">
        <f>VLOOKUP(A:A,[1]android_repos_all_metrics!B:K,10,FALSE)</f>
        <v>122</v>
      </c>
    </row>
    <row r="1140" spans="1:35">
      <c r="A1140" t="s">
        <v>1206</v>
      </c>
      <c r="B1140" t="b">
        <v>1</v>
      </c>
      <c r="C1140" t="b">
        <v>0</v>
      </c>
      <c r="D1140" t="b">
        <v>0</v>
      </c>
      <c r="F1140" t="b">
        <v>0</v>
      </c>
      <c r="H1140" t="s">
        <v>37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>
        <v>3</v>
      </c>
      <c r="AB1140">
        <v>0</v>
      </c>
      <c r="AC1140">
        <f>VLOOKUP(A:A,[1]android_repos_all_metrics!B:K,4,FALSE)</f>
        <v>47</v>
      </c>
      <c r="AD1140">
        <f>VLOOKUP(A:A,[1]android_repos_all_metrics!B:K,5,FALSE)</f>
        <v>42</v>
      </c>
      <c r="AE1140">
        <f>VLOOKUP(A:A,[1]android_repos_all_metrics!B:K,6,FALSE)</f>
        <v>2</v>
      </c>
      <c r="AF1140">
        <f>VLOOKUP(A:A,[1]android_repos_all_metrics!B:K,7,FALSE)</f>
        <v>5711</v>
      </c>
      <c r="AG1140">
        <f>VLOOKUP(A:A,[1]android_repos_all_metrics!B:K,8,FALSE)</f>
        <v>2</v>
      </c>
      <c r="AH1140">
        <f>VLOOKUP(A:A,[1]android_repos_all_metrics!B:K,9,FALSE)</f>
        <v>34</v>
      </c>
      <c r="AI1140">
        <f>VLOOKUP(A:A,[1]android_repos_all_metrics!B:K,10,FALSE)</f>
        <v>0</v>
      </c>
    </row>
    <row r="1141" spans="1:35">
      <c r="A1141" t="s">
        <v>1207</v>
      </c>
      <c r="B1141" t="b">
        <v>0</v>
      </c>
      <c r="C1141" t="b">
        <v>0</v>
      </c>
      <c r="D1141" t="b">
        <v>0</v>
      </c>
      <c r="F1141" t="b">
        <v>0</v>
      </c>
      <c r="H1141" t="s">
        <v>43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>
        <v>1</v>
      </c>
      <c r="AB1141">
        <v>0</v>
      </c>
      <c r="AC1141">
        <f>VLOOKUP(A:A,[1]android_repos_all_metrics!B:K,4,FALSE)</f>
        <v>56</v>
      </c>
      <c r="AD1141">
        <f>VLOOKUP(A:A,[1]android_repos_all_metrics!B:K,5,FALSE)</f>
        <v>1</v>
      </c>
      <c r="AE1141">
        <f>VLOOKUP(A:A,[1]android_repos_all_metrics!B:K,6,FALSE)</f>
        <v>1</v>
      </c>
      <c r="AF1141">
        <f>VLOOKUP(A:A,[1]android_repos_all_metrics!B:K,7,FALSE)</f>
        <v>813</v>
      </c>
      <c r="AG1141">
        <f>VLOOKUP(A:A,[1]android_repos_all_metrics!B:K,8,FALSE)</f>
        <v>7</v>
      </c>
      <c r="AH1141">
        <f>VLOOKUP(A:A,[1]android_repos_all_metrics!B:K,9,FALSE)</f>
        <v>32</v>
      </c>
      <c r="AI1141">
        <f>VLOOKUP(A:A,[1]android_repos_all_metrics!B:K,10,FALSE)</f>
        <v>0</v>
      </c>
    </row>
    <row r="1142" spans="1:35">
      <c r="A1142" t="s">
        <v>1208</v>
      </c>
      <c r="B1142" t="b">
        <v>1</v>
      </c>
      <c r="C1142" t="b">
        <v>0</v>
      </c>
      <c r="D1142" t="b">
        <v>0</v>
      </c>
      <c r="F1142" t="b">
        <v>0</v>
      </c>
      <c r="H1142" t="s">
        <v>37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>
        <v>1</v>
      </c>
      <c r="AB1142">
        <v>0</v>
      </c>
      <c r="AC1142">
        <f>VLOOKUP(A:A,[1]android_repos_all_metrics!B:K,4,FALSE)</f>
        <v>205</v>
      </c>
      <c r="AD1142">
        <f>VLOOKUP(A:A,[1]android_repos_all_metrics!B:K,5,FALSE)</f>
        <v>25</v>
      </c>
      <c r="AE1142">
        <f>VLOOKUP(A:A,[1]android_repos_all_metrics!B:K,6,FALSE)</f>
        <v>9</v>
      </c>
      <c r="AF1142">
        <f>VLOOKUP(A:A,[1]android_repos_all_metrics!B:K,7,FALSE)</f>
        <v>4408</v>
      </c>
      <c r="AG1142">
        <f>VLOOKUP(A:A,[1]android_repos_all_metrics!B:K,8,FALSE)</f>
        <v>74</v>
      </c>
      <c r="AH1142">
        <f>VLOOKUP(A:A,[1]android_repos_all_metrics!B:K,9,FALSE)</f>
        <v>218</v>
      </c>
      <c r="AI1142">
        <f>VLOOKUP(A:A,[1]android_repos_all_metrics!B:K,10,FALSE)</f>
        <v>11</v>
      </c>
    </row>
    <row r="1143" spans="1:35">
      <c r="A1143" t="s">
        <v>1209</v>
      </c>
      <c r="B1143" t="b">
        <v>0</v>
      </c>
      <c r="C1143" t="b">
        <v>0</v>
      </c>
      <c r="D1143" t="b">
        <v>0</v>
      </c>
      <c r="F1143" t="b">
        <v>0</v>
      </c>
      <c r="H1143" t="s">
        <v>41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>
        <v>1</v>
      </c>
      <c r="AB1143">
        <v>0</v>
      </c>
      <c r="AC1143">
        <f>VLOOKUP(A:A,[1]android_repos_all_metrics!B:K,4,FALSE)</f>
        <v>493</v>
      </c>
      <c r="AD1143">
        <f>VLOOKUP(A:A,[1]android_repos_all_metrics!B:K,5,FALSE)</f>
        <v>0</v>
      </c>
      <c r="AE1143">
        <f>VLOOKUP(A:A,[1]android_repos_all_metrics!B:K,6,FALSE)</f>
        <v>1</v>
      </c>
      <c r="AF1143">
        <f>VLOOKUP(A:A,[1]android_repos_all_metrics!B:K,7,FALSE)</f>
        <v>1865</v>
      </c>
      <c r="AG1143">
        <f>VLOOKUP(A:A,[1]android_repos_all_metrics!B:K,8,FALSE)</f>
        <v>0</v>
      </c>
      <c r="AH1143">
        <f>VLOOKUP(A:A,[1]android_repos_all_metrics!B:K,9,FALSE)</f>
        <v>2</v>
      </c>
      <c r="AI1143">
        <f>VLOOKUP(A:A,[1]android_repos_all_metrics!B:K,10,FALSE)</f>
        <v>0</v>
      </c>
    </row>
    <row r="1144" spans="1:35">
      <c r="A1144" t="s">
        <v>1210</v>
      </c>
      <c r="B1144" t="b">
        <v>1</v>
      </c>
      <c r="C1144" t="b">
        <v>0</v>
      </c>
      <c r="D1144" t="b">
        <v>0</v>
      </c>
      <c r="F1144" t="b">
        <v>0</v>
      </c>
      <c r="H1144" t="s">
        <v>37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>
        <v>5</v>
      </c>
      <c r="AB1144">
        <v>0</v>
      </c>
      <c r="AC1144">
        <f>VLOOKUP(A:A,[1]android_repos_all_metrics!B:K,4,FALSE)</f>
        <v>1968</v>
      </c>
      <c r="AD1144">
        <f>VLOOKUP(A:A,[1]android_repos_all_metrics!B:K,5,FALSE)</f>
        <v>2</v>
      </c>
      <c r="AE1144">
        <f>VLOOKUP(A:A,[1]android_repos_all_metrics!B:K,6,FALSE)</f>
        <v>2</v>
      </c>
      <c r="AF1144">
        <f>VLOOKUP(A:A,[1]android_repos_all_metrics!B:K,7,FALSE)</f>
        <v>26977</v>
      </c>
      <c r="AG1144">
        <f>VLOOKUP(A:A,[1]android_repos_all_metrics!B:K,8,FALSE)</f>
        <v>2</v>
      </c>
      <c r="AH1144">
        <f>VLOOKUP(A:A,[1]android_repos_all_metrics!B:K,9,FALSE)</f>
        <v>8</v>
      </c>
      <c r="AI1144">
        <f>VLOOKUP(A:A,[1]android_repos_all_metrics!B:K,10,FALSE)</f>
        <v>0</v>
      </c>
    </row>
    <row r="1145" spans="1:35">
      <c r="A1145" t="s">
        <v>1211</v>
      </c>
      <c r="B1145" t="b">
        <v>1</v>
      </c>
      <c r="C1145" t="b">
        <v>0</v>
      </c>
      <c r="D1145" t="b">
        <v>0</v>
      </c>
      <c r="F1145" t="b">
        <v>0</v>
      </c>
      <c r="H1145" t="s">
        <v>37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>
        <v>1</v>
      </c>
      <c r="AB1145">
        <v>0</v>
      </c>
      <c r="AC1145">
        <f>VLOOKUP(A:A,[1]android_repos_all_metrics!B:K,4,FALSE)</f>
        <v>32</v>
      </c>
      <c r="AD1145">
        <f>VLOOKUP(A:A,[1]android_repos_all_metrics!B:K,5,FALSE)</f>
        <v>0</v>
      </c>
      <c r="AE1145">
        <f>VLOOKUP(A:A,[1]android_repos_all_metrics!B:K,6,FALSE)</f>
        <v>1</v>
      </c>
      <c r="AF1145">
        <f>VLOOKUP(A:A,[1]android_repos_all_metrics!B:K,7,FALSE)</f>
        <v>13549</v>
      </c>
      <c r="AG1145">
        <f>VLOOKUP(A:A,[1]android_repos_all_metrics!B:K,8,FALSE)</f>
        <v>5</v>
      </c>
      <c r="AH1145">
        <f>VLOOKUP(A:A,[1]android_repos_all_metrics!B:K,9,FALSE)</f>
        <v>14</v>
      </c>
      <c r="AI1145">
        <f>VLOOKUP(A:A,[1]android_repos_all_metrics!B:K,10,FALSE)</f>
        <v>0</v>
      </c>
    </row>
    <row r="1146" spans="1:35">
      <c r="A1146" t="s">
        <v>1212</v>
      </c>
      <c r="B1146" t="b">
        <v>1</v>
      </c>
      <c r="C1146" t="b">
        <v>1</v>
      </c>
      <c r="D1146" t="b">
        <v>0</v>
      </c>
      <c r="F1146" t="b">
        <v>1</v>
      </c>
      <c r="G1146" t="s">
        <v>39</v>
      </c>
      <c r="H1146" t="s">
        <v>41</v>
      </c>
      <c r="I1146" t="s">
        <v>41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>
        <v>1</v>
      </c>
      <c r="AB1146">
        <v>0</v>
      </c>
      <c r="AC1146">
        <f>VLOOKUP(A:A,[1]android_repos_all_metrics!B:K,4,FALSE)</f>
        <v>337</v>
      </c>
      <c r="AD1146">
        <f>VLOOKUP(A:A,[1]android_repos_all_metrics!B:K,5,FALSE)</f>
        <v>5</v>
      </c>
      <c r="AE1146">
        <f>VLOOKUP(A:A,[1]android_repos_all_metrics!B:K,6,FALSE)</f>
        <v>1</v>
      </c>
      <c r="AF1146">
        <f>VLOOKUP(A:A,[1]android_repos_all_metrics!B:K,7,FALSE)</f>
        <v>9646</v>
      </c>
      <c r="AG1146">
        <f>VLOOKUP(A:A,[1]android_repos_all_metrics!B:K,8,FALSE)</f>
        <v>7</v>
      </c>
      <c r="AH1146">
        <f>VLOOKUP(A:A,[1]android_repos_all_metrics!B:K,9,FALSE)</f>
        <v>36</v>
      </c>
      <c r="AI1146">
        <f>VLOOKUP(A:A,[1]android_repos_all_metrics!B:K,10,FALSE)</f>
        <v>9</v>
      </c>
    </row>
    <row r="1147" spans="1:35">
      <c r="A1147" t="s">
        <v>1213</v>
      </c>
      <c r="B1147" t="b">
        <v>1</v>
      </c>
      <c r="C1147" t="b">
        <v>0</v>
      </c>
      <c r="D1147" t="b">
        <v>0</v>
      </c>
      <c r="F1147" t="b">
        <v>0</v>
      </c>
      <c r="H1147" t="s">
        <v>37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>
        <v>1</v>
      </c>
      <c r="AB1147">
        <v>0</v>
      </c>
      <c r="AC1147">
        <f>VLOOKUP(A:A,[1]android_repos_all_metrics!B:K,4,FALSE)</f>
        <v>2137</v>
      </c>
      <c r="AD1147">
        <f>VLOOKUP(A:A,[1]android_repos_all_metrics!B:K,5,FALSE)</f>
        <v>162</v>
      </c>
      <c r="AE1147">
        <f>VLOOKUP(A:A,[1]android_repos_all_metrics!B:K,6,FALSE)</f>
        <v>199</v>
      </c>
      <c r="AF1147">
        <f>VLOOKUP(A:A,[1]android_repos_all_metrics!B:K,7,FALSE)</f>
        <v>33350</v>
      </c>
      <c r="AG1147">
        <f>VLOOKUP(A:A,[1]android_repos_all_metrics!B:K,8,FALSE)</f>
        <v>61</v>
      </c>
      <c r="AH1147">
        <f>VLOOKUP(A:A,[1]android_repos_all_metrics!B:K,9,FALSE)</f>
        <v>868</v>
      </c>
      <c r="AI1147">
        <f>VLOOKUP(A:A,[1]android_repos_all_metrics!B:K,10,FALSE)</f>
        <v>35</v>
      </c>
    </row>
    <row r="1148" spans="1:35">
      <c r="A1148" t="s">
        <v>1214</v>
      </c>
      <c r="B1148" t="b">
        <v>1</v>
      </c>
      <c r="C1148" t="b">
        <v>0</v>
      </c>
      <c r="D1148" t="b">
        <v>0</v>
      </c>
      <c r="F1148" t="b">
        <v>0</v>
      </c>
      <c r="H1148" t="s">
        <v>41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>
        <v>1</v>
      </c>
      <c r="AB1148">
        <v>0</v>
      </c>
      <c r="AC1148">
        <f>VLOOKUP(A:A,[1]android_repos_all_metrics!B:K,4,FALSE)</f>
        <v>148</v>
      </c>
      <c r="AD1148">
        <f>VLOOKUP(A:A,[1]android_repos_all_metrics!B:K,5,FALSE)</f>
        <v>7</v>
      </c>
      <c r="AE1148">
        <f>VLOOKUP(A:A,[1]android_repos_all_metrics!B:K,6,FALSE)</f>
        <v>9</v>
      </c>
      <c r="AF1148">
        <f>VLOOKUP(A:A,[1]android_repos_all_metrics!B:K,7,FALSE)</f>
        <v>2003</v>
      </c>
      <c r="AG1148">
        <f>VLOOKUP(A:A,[1]android_repos_all_metrics!B:K,8,FALSE)</f>
        <v>97</v>
      </c>
      <c r="AH1148">
        <f>VLOOKUP(A:A,[1]android_repos_all_metrics!B:K,9,FALSE)</f>
        <v>596</v>
      </c>
      <c r="AI1148">
        <f>VLOOKUP(A:A,[1]android_repos_all_metrics!B:K,10,FALSE)</f>
        <v>8</v>
      </c>
    </row>
    <row r="1149" spans="1:35">
      <c r="A1149" t="s">
        <v>1215</v>
      </c>
      <c r="B1149" t="b">
        <v>1</v>
      </c>
      <c r="C1149" t="b">
        <v>0</v>
      </c>
      <c r="D1149" t="b">
        <v>0</v>
      </c>
      <c r="F1149" t="b">
        <v>0</v>
      </c>
      <c r="H1149" t="s">
        <v>41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>
        <v>1</v>
      </c>
      <c r="AB1149">
        <v>0</v>
      </c>
      <c r="AC1149">
        <f>VLOOKUP(A:A,[1]android_repos_all_metrics!B:K,4,FALSE)</f>
        <v>82</v>
      </c>
      <c r="AD1149">
        <f>VLOOKUP(A:A,[1]android_repos_all_metrics!B:K,5,FALSE)</f>
        <v>1</v>
      </c>
      <c r="AE1149">
        <f>VLOOKUP(A:A,[1]android_repos_all_metrics!B:K,6,FALSE)</f>
        <v>1</v>
      </c>
      <c r="AF1149">
        <f>VLOOKUP(A:A,[1]android_repos_all_metrics!B:K,7,FALSE)</f>
        <v>406</v>
      </c>
      <c r="AG1149">
        <f>VLOOKUP(A:A,[1]android_repos_all_metrics!B:K,8,FALSE)</f>
        <v>8</v>
      </c>
      <c r="AH1149">
        <f>VLOOKUP(A:A,[1]android_repos_all_metrics!B:K,9,FALSE)</f>
        <v>17</v>
      </c>
      <c r="AI1149">
        <f>VLOOKUP(A:A,[1]android_repos_all_metrics!B:K,10,FALSE)</f>
        <v>0</v>
      </c>
    </row>
    <row r="1150" spans="1:35">
      <c r="A1150" t="s">
        <v>1216</v>
      </c>
      <c r="B1150" t="b">
        <v>1</v>
      </c>
      <c r="C1150" t="b">
        <v>0</v>
      </c>
      <c r="D1150" t="b">
        <v>0</v>
      </c>
      <c r="F1150" t="b">
        <v>0</v>
      </c>
      <c r="H1150" t="s">
        <v>37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>
        <v>2</v>
      </c>
      <c r="AB1150">
        <v>0</v>
      </c>
      <c r="AC1150">
        <f>VLOOKUP(A:A,[1]android_repos_all_metrics!B:K,4,FALSE)</f>
        <v>58</v>
      </c>
      <c r="AD1150">
        <f>VLOOKUP(A:A,[1]android_repos_all_metrics!B:K,5,FALSE)</f>
        <v>0</v>
      </c>
      <c r="AE1150">
        <f>VLOOKUP(A:A,[1]android_repos_all_metrics!B:K,6,FALSE)</f>
        <v>1</v>
      </c>
      <c r="AF1150">
        <f>VLOOKUP(A:A,[1]android_repos_all_metrics!B:K,7,FALSE)</f>
        <v>32876</v>
      </c>
      <c r="AG1150">
        <f>VLOOKUP(A:A,[1]android_repos_all_metrics!B:K,8,FALSE)</f>
        <v>4</v>
      </c>
      <c r="AH1150">
        <f>VLOOKUP(A:A,[1]android_repos_all_metrics!B:K,9,FALSE)</f>
        <v>19</v>
      </c>
      <c r="AI1150">
        <f>VLOOKUP(A:A,[1]android_repos_all_metrics!B:K,10,FALSE)</f>
        <v>0</v>
      </c>
    </row>
    <row r="1151" spans="1:35">
      <c r="A1151" t="s">
        <v>1217</v>
      </c>
      <c r="B1151" t="b">
        <v>1</v>
      </c>
      <c r="C1151" t="b">
        <v>0</v>
      </c>
      <c r="D1151" t="b">
        <v>0</v>
      </c>
      <c r="F1151" t="b">
        <v>0</v>
      </c>
      <c r="H1151" t="s">
        <v>41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>
        <v>1</v>
      </c>
      <c r="AB1151">
        <v>0</v>
      </c>
      <c r="AC1151">
        <f>VLOOKUP(A:A,[1]android_repos_all_metrics!B:K,4,FALSE)</f>
        <v>16</v>
      </c>
      <c r="AD1151">
        <f>VLOOKUP(A:A,[1]android_repos_all_metrics!B:K,5,FALSE)</f>
        <v>0</v>
      </c>
      <c r="AE1151">
        <f>VLOOKUP(A:A,[1]android_repos_all_metrics!B:K,6,FALSE)</f>
        <v>1</v>
      </c>
      <c r="AF1151">
        <f>VLOOKUP(A:A,[1]android_repos_all_metrics!B:K,7,FALSE)</f>
        <v>139</v>
      </c>
      <c r="AG1151">
        <f>VLOOKUP(A:A,[1]android_repos_all_metrics!B:K,8,FALSE)</f>
        <v>7</v>
      </c>
      <c r="AH1151">
        <f>VLOOKUP(A:A,[1]android_repos_all_metrics!B:K,9,FALSE)</f>
        <v>57</v>
      </c>
      <c r="AI1151">
        <f>VLOOKUP(A:A,[1]android_repos_all_metrics!B:K,10,FALSE)</f>
        <v>3</v>
      </c>
    </row>
    <row r="1152" spans="1:35">
      <c r="A1152" t="s">
        <v>1218</v>
      </c>
      <c r="B1152" t="b">
        <v>1</v>
      </c>
      <c r="C1152" t="b">
        <v>0</v>
      </c>
      <c r="D1152" t="b">
        <v>0</v>
      </c>
      <c r="F1152" t="b">
        <v>0</v>
      </c>
      <c r="H1152" t="s">
        <v>37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>
        <v>1</v>
      </c>
      <c r="AB1152">
        <v>0</v>
      </c>
      <c r="AC1152">
        <f>VLOOKUP(A:A,[1]android_repos_all_metrics!B:K,4,FALSE)</f>
        <v>214</v>
      </c>
      <c r="AD1152">
        <f>VLOOKUP(A:A,[1]android_repos_all_metrics!B:K,5,FALSE)</f>
        <v>158</v>
      </c>
      <c r="AE1152">
        <f>VLOOKUP(A:A,[1]android_repos_all_metrics!B:K,6,FALSE)</f>
        <v>11</v>
      </c>
      <c r="AF1152">
        <f>VLOOKUP(A:A,[1]android_repos_all_metrics!B:K,7,FALSE)</f>
        <v>13724</v>
      </c>
      <c r="AG1152">
        <f>VLOOKUP(A:A,[1]android_repos_all_metrics!B:K,8,FALSE)</f>
        <v>203</v>
      </c>
      <c r="AH1152">
        <f>VLOOKUP(A:A,[1]android_repos_all_metrics!B:K,9,FALSE)</f>
        <v>1390</v>
      </c>
      <c r="AI1152">
        <f>VLOOKUP(A:A,[1]android_repos_all_metrics!B:K,10,FALSE)</f>
        <v>27</v>
      </c>
    </row>
    <row r="1153" spans="1:35">
      <c r="A1153" t="s">
        <v>1219</v>
      </c>
      <c r="B1153" t="b">
        <v>1</v>
      </c>
      <c r="C1153" t="b">
        <v>0</v>
      </c>
      <c r="D1153" t="b">
        <v>0</v>
      </c>
      <c r="F1153" t="b">
        <v>0</v>
      </c>
      <c r="H1153" t="s">
        <v>37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>
        <v>1</v>
      </c>
      <c r="AB1153">
        <v>0</v>
      </c>
      <c r="AC1153">
        <f>VLOOKUP(A:A,[1]android_repos_all_metrics!B:K,4,FALSE)</f>
        <v>12</v>
      </c>
      <c r="AD1153">
        <f>VLOOKUP(A:A,[1]android_repos_all_metrics!B:K,5,FALSE)</f>
        <v>0</v>
      </c>
      <c r="AE1153">
        <f>VLOOKUP(A:A,[1]android_repos_all_metrics!B:K,6,FALSE)</f>
        <v>1</v>
      </c>
      <c r="AF1153">
        <f>VLOOKUP(A:A,[1]android_repos_all_metrics!B:K,7,FALSE)</f>
        <v>1453</v>
      </c>
      <c r="AG1153">
        <f>VLOOKUP(A:A,[1]android_repos_all_metrics!B:K,8,FALSE)</f>
        <v>0</v>
      </c>
      <c r="AH1153">
        <f>VLOOKUP(A:A,[1]android_repos_all_metrics!B:K,9,FALSE)</f>
        <v>2</v>
      </c>
      <c r="AI1153">
        <f>VLOOKUP(A:A,[1]android_repos_all_metrics!B:K,10,FALSE)</f>
        <v>0</v>
      </c>
    </row>
    <row r="1154" spans="1:35">
      <c r="A1154" t="s">
        <v>1220</v>
      </c>
      <c r="B1154" t="b">
        <v>1</v>
      </c>
      <c r="C1154" t="b">
        <v>0</v>
      </c>
      <c r="D1154" t="b">
        <v>0</v>
      </c>
      <c r="F1154" t="b">
        <v>0</v>
      </c>
      <c r="H1154" t="s">
        <v>37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>
        <v>1</v>
      </c>
      <c r="AB1154">
        <v>0</v>
      </c>
      <c r="AC1154">
        <f>VLOOKUP(A:A,[1]android_repos_all_metrics!B:K,4,FALSE)</f>
        <v>111</v>
      </c>
      <c r="AD1154">
        <f>VLOOKUP(A:A,[1]android_repos_all_metrics!B:K,5,FALSE)</f>
        <v>8</v>
      </c>
      <c r="AE1154">
        <f>VLOOKUP(A:A,[1]android_repos_all_metrics!B:K,6,FALSE)</f>
        <v>2</v>
      </c>
      <c r="AF1154">
        <f>VLOOKUP(A:A,[1]android_repos_all_metrics!B:K,7,FALSE)</f>
        <v>13813</v>
      </c>
      <c r="AG1154">
        <f>VLOOKUP(A:A,[1]android_repos_all_metrics!B:K,8,FALSE)</f>
        <v>2</v>
      </c>
      <c r="AH1154">
        <f>VLOOKUP(A:A,[1]android_repos_all_metrics!B:K,9,FALSE)</f>
        <v>3</v>
      </c>
      <c r="AI1154">
        <f>VLOOKUP(A:A,[1]android_repos_all_metrics!B:K,10,FALSE)</f>
        <v>7</v>
      </c>
    </row>
    <row r="1155" spans="1:35">
      <c r="A1155" t="s">
        <v>1221</v>
      </c>
      <c r="B1155" t="b">
        <v>1</v>
      </c>
      <c r="C1155" t="b">
        <v>1</v>
      </c>
      <c r="D1155" t="b">
        <v>1</v>
      </c>
      <c r="E1155" t="s">
        <v>36</v>
      </c>
      <c r="F1155" t="b">
        <v>0</v>
      </c>
      <c r="H1155" t="s">
        <v>37</v>
      </c>
      <c r="I1155" t="s">
        <v>37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>
        <v>1</v>
      </c>
      <c r="AA1155">
        <v>1</v>
      </c>
      <c r="AB1155">
        <v>0</v>
      </c>
      <c r="AC1155">
        <f>VLOOKUP(A:A,[1]android_repos_all_metrics!B:K,4,FALSE)</f>
        <v>39</v>
      </c>
      <c r="AD1155">
        <f>VLOOKUP(A:A,[1]android_repos_all_metrics!B:K,5,FALSE)</f>
        <v>15</v>
      </c>
      <c r="AE1155">
        <f>VLOOKUP(A:A,[1]android_repos_all_metrics!B:K,6,FALSE)</f>
        <v>1</v>
      </c>
      <c r="AF1155">
        <f>VLOOKUP(A:A,[1]android_repos_all_metrics!B:K,7,FALSE)</f>
        <v>185</v>
      </c>
      <c r="AG1155">
        <f>VLOOKUP(A:A,[1]android_repos_all_metrics!B:K,8,FALSE)</f>
        <v>6</v>
      </c>
      <c r="AH1155">
        <f>VLOOKUP(A:A,[1]android_repos_all_metrics!B:K,9,FALSE)</f>
        <v>12</v>
      </c>
      <c r="AI1155">
        <f>VLOOKUP(A:A,[1]android_repos_all_metrics!B:K,10,FALSE)</f>
        <v>0</v>
      </c>
    </row>
    <row r="1156" spans="1:35">
      <c r="A1156" t="s">
        <v>1222</v>
      </c>
      <c r="B1156" t="b">
        <v>0</v>
      </c>
      <c r="C1156" t="b">
        <v>0</v>
      </c>
      <c r="D1156" t="b">
        <v>0</v>
      </c>
      <c r="F1156" t="b">
        <v>0</v>
      </c>
      <c r="H1156" t="s">
        <v>41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>
        <v>1</v>
      </c>
      <c r="AB1156">
        <v>0</v>
      </c>
      <c r="AC1156">
        <f>VLOOKUP(A:A,[1]android_repos_all_metrics!B:K,4,FALSE)</f>
        <v>266</v>
      </c>
      <c r="AD1156">
        <f>VLOOKUP(A:A,[1]android_repos_all_metrics!B:K,5,FALSE)</f>
        <v>27</v>
      </c>
      <c r="AE1156">
        <f>VLOOKUP(A:A,[1]android_repos_all_metrics!B:K,6,FALSE)</f>
        <v>8</v>
      </c>
      <c r="AF1156">
        <f>VLOOKUP(A:A,[1]android_repos_all_metrics!B:K,7,FALSE)</f>
        <v>624</v>
      </c>
      <c r="AG1156">
        <f>VLOOKUP(A:A,[1]android_repos_all_metrics!B:K,8,FALSE)</f>
        <v>3</v>
      </c>
      <c r="AH1156">
        <f>VLOOKUP(A:A,[1]android_repos_all_metrics!B:K,9,FALSE)</f>
        <v>6</v>
      </c>
      <c r="AI1156">
        <f>VLOOKUP(A:A,[1]android_repos_all_metrics!B:K,10,FALSE)</f>
        <v>2</v>
      </c>
    </row>
    <row r="1157" spans="1:35">
      <c r="A1157" t="s">
        <v>1223</v>
      </c>
      <c r="B1157" t="b">
        <v>1</v>
      </c>
      <c r="C1157" t="b">
        <v>0</v>
      </c>
      <c r="D1157" t="b">
        <v>0</v>
      </c>
      <c r="F1157" t="b">
        <v>0</v>
      </c>
      <c r="H1157" t="s">
        <v>37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>
        <v>1</v>
      </c>
      <c r="AB1157">
        <v>0</v>
      </c>
      <c r="AC1157">
        <f>VLOOKUP(A:A,[1]android_repos_all_metrics!B:K,4,FALSE)</f>
        <v>446</v>
      </c>
      <c r="AD1157">
        <f>VLOOKUP(A:A,[1]android_repos_all_metrics!B:K,5,FALSE)</f>
        <v>107</v>
      </c>
      <c r="AE1157">
        <f>VLOOKUP(A:A,[1]android_repos_all_metrics!B:K,6,FALSE)</f>
        <v>7</v>
      </c>
      <c r="AF1157">
        <f>VLOOKUP(A:A,[1]android_repos_all_metrics!B:K,7,FALSE)</f>
        <v>2994</v>
      </c>
      <c r="AG1157">
        <f>VLOOKUP(A:A,[1]android_repos_all_metrics!B:K,8,FALSE)</f>
        <v>2</v>
      </c>
      <c r="AH1157">
        <f>VLOOKUP(A:A,[1]android_repos_all_metrics!B:K,9,FALSE)</f>
        <v>18</v>
      </c>
      <c r="AI1157">
        <f>VLOOKUP(A:A,[1]android_repos_all_metrics!B:K,10,FALSE)</f>
        <v>4</v>
      </c>
    </row>
    <row r="1158" spans="1:35">
      <c r="A1158" t="s">
        <v>1224</v>
      </c>
      <c r="B1158" t="b">
        <v>1</v>
      </c>
      <c r="C1158" t="b">
        <v>0</v>
      </c>
      <c r="D1158" t="b">
        <v>0</v>
      </c>
      <c r="F1158" t="b">
        <v>0</v>
      </c>
      <c r="H1158" t="s">
        <v>37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>
        <v>1</v>
      </c>
      <c r="AB1158">
        <v>0</v>
      </c>
      <c r="AC1158">
        <f>VLOOKUP(A:A,[1]android_repos_all_metrics!B:K,4,FALSE)</f>
        <v>135</v>
      </c>
      <c r="AD1158">
        <f>VLOOKUP(A:A,[1]android_repos_all_metrics!B:K,5,FALSE)</f>
        <v>18</v>
      </c>
      <c r="AE1158">
        <f>VLOOKUP(A:A,[1]android_repos_all_metrics!B:K,6,FALSE)</f>
        <v>3</v>
      </c>
      <c r="AF1158">
        <f>VLOOKUP(A:A,[1]android_repos_all_metrics!B:K,7,FALSE)</f>
        <v>127977</v>
      </c>
      <c r="AG1158">
        <f>VLOOKUP(A:A,[1]android_repos_all_metrics!B:K,8,FALSE)</f>
        <v>29</v>
      </c>
      <c r="AH1158">
        <f>VLOOKUP(A:A,[1]android_repos_all_metrics!B:K,9,FALSE)</f>
        <v>281</v>
      </c>
      <c r="AI1158">
        <f>VLOOKUP(A:A,[1]android_repos_all_metrics!B:K,10,FALSE)</f>
        <v>7</v>
      </c>
    </row>
    <row r="1159" spans="1:35">
      <c r="A1159" t="s">
        <v>1225</v>
      </c>
      <c r="B1159" t="b">
        <v>0</v>
      </c>
      <c r="C1159" t="b">
        <v>0</v>
      </c>
      <c r="D1159" t="b">
        <v>0</v>
      </c>
      <c r="F1159" t="b">
        <v>0</v>
      </c>
      <c r="H1159" t="s">
        <v>76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>
        <v>1</v>
      </c>
      <c r="AB1159">
        <v>0</v>
      </c>
      <c r="AC1159">
        <f>VLOOKUP(A:A,[1]android_repos_all_metrics!B:K,4,FALSE)</f>
        <v>437</v>
      </c>
      <c r="AD1159">
        <f>VLOOKUP(A:A,[1]android_repos_all_metrics!B:K,5,FALSE)</f>
        <v>0</v>
      </c>
      <c r="AE1159">
        <f>VLOOKUP(A:A,[1]android_repos_all_metrics!B:K,6,FALSE)</f>
        <v>23</v>
      </c>
      <c r="AF1159">
        <f>VLOOKUP(A:A,[1]android_repos_all_metrics!B:K,7,FALSE)</f>
        <v>707</v>
      </c>
      <c r="AG1159">
        <f>VLOOKUP(A:A,[1]android_repos_all_metrics!B:K,8,FALSE)</f>
        <v>2</v>
      </c>
      <c r="AH1159">
        <f>VLOOKUP(A:A,[1]android_repos_all_metrics!B:K,9,FALSE)</f>
        <v>8</v>
      </c>
      <c r="AI1159">
        <f>VLOOKUP(A:A,[1]android_repos_all_metrics!B:K,10,FALSE)</f>
        <v>0</v>
      </c>
    </row>
    <row r="1160" spans="1:35">
      <c r="A1160" t="s">
        <v>1226</v>
      </c>
      <c r="B1160" t="b">
        <v>1</v>
      </c>
      <c r="C1160" t="b">
        <v>0</v>
      </c>
      <c r="D1160" t="b">
        <v>0</v>
      </c>
      <c r="F1160" t="b">
        <v>0</v>
      </c>
      <c r="H1160" t="s">
        <v>37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>
        <v>2</v>
      </c>
      <c r="AB1160">
        <v>0</v>
      </c>
      <c r="AC1160">
        <f>VLOOKUP(A:A,[1]android_repos_all_metrics!B:K,4,FALSE)</f>
        <v>226</v>
      </c>
      <c r="AD1160">
        <f>VLOOKUP(A:A,[1]android_repos_all_metrics!B:K,5,FALSE)</f>
        <v>0</v>
      </c>
      <c r="AE1160">
        <f>VLOOKUP(A:A,[1]android_repos_all_metrics!B:K,6,FALSE)</f>
        <v>1</v>
      </c>
      <c r="AF1160">
        <f>VLOOKUP(A:A,[1]android_repos_all_metrics!B:K,7,FALSE)</f>
        <v>629</v>
      </c>
      <c r="AG1160">
        <f>VLOOKUP(A:A,[1]android_repos_all_metrics!B:K,8,FALSE)</f>
        <v>3</v>
      </c>
      <c r="AH1160">
        <f>VLOOKUP(A:A,[1]android_repos_all_metrics!B:K,9,FALSE)</f>
        <v>42</v>
      </c>
      <c r="AI1160">
        <f>VLOOKUP(A:A,[1]android_repos_all_metrics!B:K,10,FALSE)</f>
        <v>0</v>
      </c>
    </row>
    <row r="1161" spans="1:35">
      <c r="A1161" t="s">
        <v>1227</v>
      </c>
      <c r="B1161" t="b">
        <v>1</v>
      </c>
      <c r="C1161" t="b">
        <v>0</v>
      </c>
      <c r="D1161" t="b">
        <v>0</v>
      </c>
      <c r="F1161" t="b">
        <v>0</v>
      </c>
      <c r="H1161" t="s">
        <v>37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>
        <v>3</v>
      </c>
      <c r="AB1161">
        <v>0</v>
      </c>
      <c r="AC1161">
        <f>VLOOKUP(A:A,[1]android_repos_all_metrics!B:K,4,FALSE)</f>
        <v>976</v>
      </c>
      <c r="AD1161">
        <f>VLOOKUP(A:A,[1]android_repos_all_metrics!B:K,5,FALSE)</f>
        <v>305</v>
      </c>
      <c r="AE1161">
        <f>VLOOKUP(A:A,[1]android_repos_all_metrics!B:K,6,FALSE)</f>
        <v>23</v>
      </c>
      <c r="AF1161">
        <f>VLOOKUP(A:A,[1]android_repos_all_metrics!B:K,7,FALSE)</f>
        <v>58799</v>
      </c>
      <c r="AG1161">
        <f>VLOOKUP(A:A,[1]android_repos_all_metrics!B:K,8,FALSE)</f>
        <v>104</v>
      </c>
      <c r="AH1161">
        <f>VLOOKUP(A:A,[1]android_repos_all_metrics!B:K,9,FALSE)</f>
        <v>1609</v>
      </c>
      <c r="AI1161">
        <f>VLOOKUP(A:A,[1]android_repos_all_metrics!B:K,10,FALSE)</f>
        <v>21</v>
      </c>
    </row>
    <row r="1162" spans="1:35">
      <c r="A1162" t="s">
        <v>1228</v>
      </c>
      <c r="B1162" t="b">
        <v>1</v>
      </c>
      <c r="C1162" t="b">
        <v>0</v>
      </c>
      <c r="D1162" t="b">
        <v>0</v>
      </c>
      <c r="F1162" t="b">
        <v>0</v>
      </c>
      <c r="H1162" t="s">
        <v>41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>
        <v>1</v>
      </c>
      <c r="AB1162">
        <v>0</v>
      </c>
      <c r="AC1162">
        <f>VLOOKUP(A:A,[1]android_repos_all_metrics!B:K,4,FALSE)</f>
        <v>48</v>
      </c>
      <c r="AD1162">
        <f>VLOOKUP(A:A,[1]android_repos_all_metrics!B:K,5,FALSE)</f>
        <v>0</v>
      </c>
      <c r="AE1162">
        <f>VLOOKUP(A:A,[1]android_repos_all_metrics!B:K,6,FALSE)</f>
        <v>1</v>
      </c>
      <c r="AF1162">
        <f>VLOOKUP(A:A,[1]android_repos_all_metrics!B:K,7,FALSE)</f>
        <v>61212</v>
      </c>
      <c r="AG1162">
        <f>VLOOKUP(A:A,[1]android_repos_all_metrics!B:K,8,FALSE)</f>
        <v>3</v>
      </c>
      <c r="AH1162">
        <f>VLOOKUP(A:A,[1]android_repos_all_metrics!B:K,9,FALSE)</f>
        <v>6</v>
      </c>
      <c r="AI1162">
        <f>VLOOKUP(A:A,[1]android_repos_all_metrics!B:K,10,FALSE)</f>
        <v>1</v>
      </c>
    </row>
    <row r="1163" spans="1:35">
      <c r="A1163" t="s">
        <v>1229</v>
      </c>
      <c r="B1163" t="b">
        <v>1</v>
      </c>
      <c r="C1163" t="b">
        <v>0</v>
      </c>
      <c r="D1163" t="b">
        <v>0</v>
      </c>
      <c r="F1163" t="b">
        <v>0</v>
      </c>
      <c r="H1163" t="s">
        <v>37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>
        <v>1</v>
      </c>
      <c r="AB1163">
        <v>0</v>
      </c>
      <c r="AC1163">
        <f>VLOOKUP(A:A,[1]android_repos_all_metrics!B:K,4,FALSE)</f>
        <v>133</v>
      </c>
      <c r="AD1163">
        <f>VLOOKUP(A:A,[1]android_repos_all_metrics!B:K,5,FALSE)</f>
        <v>6</v>
      </c>
      <c r="AE1163">
        <f>VLOOKUP(A:A,[1]android_repos_all_metrics!B:K,6,FALSE)</f>
        <v>2</v>
      </c>
      <c r="AF1163">
        <f>VLOOKUP(A:A,[1]android_repos_all_metrics!B:K,7,FALSE)</f>
        <v>2016</v>
      </c>
      <c r="AG1163">
        <f>VLOOKUP(A:A,[1]android_repos_all_metrics!B:K,8,FALSE)</f>
        <v>1</v>
      </c>
      <c r="AH1163">
        <f>VLOOKUP(A:A,[1]android_repos_all_metrics!B:K,9,FALSE)</f>
        <v>19</v>
      </c>
      <c r="AI1163">
        <f>VLOOKUP(A:A,[1]android_repos_all_metrics!B:K,10,FALSE)</f>
        <v>0</v>
      </c>
    </row>
    <row r="1164" spans="1:35">
      <c r="A1164" t="s">
        <v>1230</v>
      </c>
      <c r="B1164" t="b">
        <v>1</v>
      </c>
      <c r="C1164" t="b">
        <v>0</v>
      </c>
      <c r="D1164" t="b">
        <v>0</v>
      </c>
      <c r="F1164" t="b">
        <v>0</v>
      </c>
      <c r="H1164" t="s">
        <v>37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>
        <v>3</v>
      </c>
      <c r="AB1164">
        <v>0</v>
      </c>
      <c r="AC1164">
        <f>VLOOKUP(A:A,[1]android_repos_all_metrics!B:K,4,FALSE)</f>
        <v>1703</v>
      </c>
      <c r="AD1164">
        <f>VLOOKUP(A:A,[1]android_repos_all_metrics!B:K,5,FALSE)</f>
        <v>21</v>
      </c>
      <c r="AE1164">
        <f>VLOOKUP(A:A,[1]android_repos_all_metrics!B:K,6,FALSE)</f>
        <v>141</v>
      </c>
      <c r="AF1164">
        <f>VLOOKUP(A:A,[1]android_repos_all_metrics!B:K,7,FALSE)</f>
        <v>53817</v>
      </c>
      <c r="AG1164">
        <f>VLOOKUP(A:A,[1]android_repos_all_metrics!B:K,8,FALSE)</f>
        <v>23</v>
      </c>
      <c r="AH1164">
        <f>VLOOKUP(A:A,[1]android_repos_all_metrics!B:K,9,FALSE)</f>
        <v>949</v>
      </c>
      <c r="AI1164">
        <f>VLOOKUP(A:A,[1]android_repos_all_metrics!B:K,10,FALSE)</f>
        <v>135</v>
      </c>
    </row>
    <row r="1165" spans="1:35">
      <c r="A1165" t="s">
        <v>1231</v>
      </c>
      <c r="B1165" t="b">
        <v>1</v>
      </c>
      <c r="C1165" t="b">
        <v>0</v>
      </c>
      <c r="D1165" t="b">
        <v>0</v>
      </c>
      <c r="F1165" t="b">
        <v>0</v>
      </c>
      <c r="H1165" t="s">
        <v>43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>
        <v>1</v>
      </c>
      <c r="AB1165">
        <v>0</v>
      </c>
      <c r="AC1165">
        <f>VLOOKUP(A:A,[1]android_repos_all_metrics!B:K,4,FALSE)</f>
        <v>301</v>
      </c>
      <c r="AD1165">
        <f>VLOOKUP(A:A,[1]android_repos_all_metrics!B:K,5,FALSE)</f>
        <v>64</v>
      </c>
      <c r="AE1165">
        <f>VLOOKUP(A:A,[1]android_repos_all_metrics!B:K,6,FALSE)</f>
        <v>1</v>
      </c>
      <c r="AF1165">
        <f>VLOOKUP(A:A,[1]android_repos_all_metrics!B:K,7,FALSE)</f>
        <v>2810</v>
      </c>
      <c r="AG1165">
        <f>VLOOKUP(A:A,[1]android_repos_all_metrics!B:K,8,FALSE)</f>
        <v>0</v>
      </c>
      <c r="AH1165">
        <f>VLOOKUP(A:A,[1]android_repos_all_metrics!B:K,9,FALSE)</f>
        <v>1</v>
      </c>
      <c r="AI1165">
        <f>VLOOKUP(A:A,[1]android_repos_all_metrics!B:K,10,FALSE)</f>
        <v>11</v>
      </c>
    </row>
    <row r="1166" spans="1:35">
      <c r="A1166" t="s">
        <v>1232</v>
      </c>
      <c r="B1166" t="b">
        <v>1</v>
      </c>
      <c r="C1166" t="b">
        <v>0</v>
      </c>
      <c r="D1166" t="b">
        <v>0</v>
      </c>
      <c r="F1166" t="b">
        <v>0</v>
      </c>
      <c r="H1166" t="s">
        <v>40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>
        <v>2</v>
      </c>
      <c r="AB1166">
        <v>0</v>
      </c>
      <c r="AC1166">
        <f>VLOOKUP(A:A,[1]android_repos_all_metrics!B:K,4,FALSE)</f>
        <v>966</v>
      </c>
      <c r="AD1166">
        <f>VLOOKUP(A:A,[1]android_repos_all_metrics!B:K,5,FALSE)</f>
        <v>3</v>
      </c>
      <c r="AE1166">
        <f>VLOOKUP(A:A,[1]android_repos_all_metrics!B:K,6,FALSE)</f>
        <v>21</v>
      </c>
      <c r="AF1166">
        <f>VLOOKUP(A:A,[1]android_repos_all_metrics!B:K,7,FALSE)</f>
        <v>6750</v>
      </c>
      <c r="AG1166">
        <f>VLOOKUP(A:A,[1]android_repos_all_metrics!B:K,8,FALSE)</f>
        <v>26</v>
      </c>
      <c r="AH1166">
        <f>VLOOKUP(A:A,[1]android_repos_all_metrics!B:K,9,FALSE)</f>
        <v>246</v>
      </c>
      <c r="AI1166">
        <f>VLOOKUP(A:A,[1]android_repos_all_metrics!B:K,10,FALSE)</f>
        <v>6</v>
      </c>
    </row>
    <row r="1167" spans="1:35">
      <c r="A1167" t="s">
        <v>1233</v>
      </c>
      <c r="B1167" t="b">
        <v>1</v>
      </c>
      <c r="C1167" t="b">
        <v>0</v>
      </c>
      <c r="D1167" t="b">
        <v>0</v>
      </c>
      <c r="F1167" t="b">
        <v>0</v>
      </c>
      <c r="H1167" t="s">
        <v>37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>
        <v>1</v>
      </c>
      <c r="AB1167">
        <v>0</v>
      </c>
      <c r="AC1167">
        <f>VLOOKUP(A:A,[1]android_repos_all_metrics!B:K,4,FALSE)</f>
        <v>28</v>
      </c>
      <c r="AD1167">
        <f>VLOOKUP(A:A,[1]android_repos_all_metrics!B:K,5,FALSE)</f>
        <v>0</v>
      </c>
      <c r="AE1167">
        <f>VLOOKUP(A:A,[1]android_repos_all_metrics!B:K,6,FALSE)</f>
        <v>1</v>
      </c>
      <c r="AF1167">
        <f>VLOOKUP(A:A,[1]android_repos_all_metrics!B:K,7,FALSE)</f>
        <v>148</v>
      </c>
      <c r="AG1167">
        <f>VLOOKUP(A:A,[1]android_repos_all_metrics!B:K,8,FALSE)</f>
        <v>0</v>
      </c>
      <c r="AH1167">
        <f>VLOOKUP(A:A,[1]android_repos_all_metrics!B:K,9,FALSE)</f>
        <v>6</v>
      </c>
      <c r="AI1167">
        <f>VLOOKUP(A:A,[1]android_repos_all_metrics!B:K,10,FALSE)</f>
        <v>0</v>
      </c>
    </row>
    <row r="1168" spans="1:35">
      <c r="A1168" t="s">
        <v>1234</v>
      </c>
      <c r="B1168" t="b">
        <v>1</v>
      </c>
      <c r="C1168" t="b">
        <v>0</v>
      </c>
      <c r="D1168" t="b">
        <v>0</v>
      </c>
      <c r="F1168" t="b">
        <v>0</v>
      </c>
      <c r="H1168" t="s">
        <v>37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>
        <v>1</v>
      </c>
      <c r="AB1168">
        <v>0</v>
      </c>
      <c r="AC1168">
        <f>VLOOKUP(A:A,[1]android_repos_all_metrics!B:K,4,FALSE)</f>
        <v>45</v>
      </c>
      <c r="AD1168">
        <f>VLOOKUP(A:A,[1]android_repos_all_metrics!B:K,5,FALSE)</f>
        <v>7</v>
      </c>
      <c r="AE1168">
        <f>VLOOKUP(A:A,[1]android_repos_all_metrics!B:K,6,FALSE)</f>
        <v>1</v>
      </c>
      <c r="AF1168">
        <f>VLOOKUP(A:A,[1]android_repos_all_metrics!B:K,7,FALSE)</f>
        <v>1241</v>
      </c>
      <c r="AG1168">
        <f>VLOOKUP(A:A,[1]android_repos_all_metrics!B:K,8,FALSE)</f>
        <v>3</v>
      </c>
      <c r="AH1168">
        <f>VLOOKUP(A:A,[1]android_repos_all_metrics!B:K,9,FALSE)</f>
        <v>78</v>
      </c>
      <c r="AI1168">
        <f>VLOOKUP(A:A,[1]android_repos_all_metrics!B:K,10,FALSE)</f>
        <v>0</v>
      </c>
    </row>
    <row r="1169" spans="1:35">
      <c r="A1169" t="s">
        <v>1235</v>
      </c>
      <c r="B1169" t="b">
        <v>1</v>
      </c>
      <c r="C1169" t="b">
        <v>0</v>
      </c>
      <c r="D1169" t="b">
        <v>0</v>
      </c>
      <c r="F1169" t="b">
        <v>0</v>
      </c>
      <c r="H1169" t="s">
        <v>37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>
        <v>2</v>
      </c>
      <c r="AB1169">
        <v>0</v>
      </c>
      <c r="AC1169">
        <f>VLOOKUP(A:A,[1]android_repos_all_metrics!B:K,4,FALSE)</f>
        <v>747</v>
      </c>
      <c r="AD1169">
        <f>VLOOKUP(A:A,[1]android_repos_all_metrics!B:K,5,FALSE)</f>
        <v>123</v>
      </c>
      <c r="AE1169">
        <f>VLOOKUP(A:A,[1]android_repos_all_metrics!B:K,6,FALSE)</f>
        <v>5</v>
      </c>
      <c r="AF1169">
        <f>VLOOKUP(A:A,[1]android_repos_all_metrics!B:K,7,FALSE)</f>
        <v>45685</v>
      </c>
      <c r="AG1169">
        <f>VLOOKUP(A:A,[1]android_repos_all_metrics!B:K,8,FALSE)</f>
        <v>21</v>
      </c>
      <c r="AH1169">
        <f>VLOOKUP(A:A,[1]android_repos_all_metrics!B:K,9,FALSE)</f>
        <v>222</v>
      </c>
      <c r="AI1169">
        <f>VLOOKUP(A:A,[1]android_repos_all_metrics!B:K,10,FALSE)</f>
        <v>12</v>
      </c>
    </row>
    <row r="1170" spans="1:35">
      <c r="A1170" t="s">
        <v>1236</v>
      </c>
      <c r="B1170" t="b">
        <v>1</v>
      </c>
      <c r="C1170" t="b">
        <v>0</v>
      </c>
      <c r="D1170" t="b">
        <v>0</v>
      </c>
      <c r="F1170" t="b">
        <v>0</v>
      </c>
      <c r="H1170" t="s">
        <v>407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>
        <v>1</v>
      </c>
      <c r="AB1170">
        <v>0</v>
      </c>
      <c r="AC1170" t="e">
        <f>VLOOKUP(A:A,[1]android_repos_all_metrics!B:K,4,FALSE)</f>
        <v>#N/A</v>
      </c>
      <c r="AD1170" t="e">
        <f>VLOOKUP(A:A,[1]android_repos_all_metrics!B:K,5,FALSE)</f>
        <v>#N/A</v>
      </c>
      <c r="AE1170" t="e">
        <f>VLOOKUP(A:A,[1]android_repos_all_metrics!B:K,6,FALSE)</f>
        <v>#N/A</v>
      </c>
      <c r="AF1170" t="e">
        <f>VLOOKUP(A:A,[1]android_repos_all_metrics!B:K,7,FALSE)</f>
        <v>#N/A</v>
      </c>
      <c r="AG1170" t="e">
        <f>VLOOKUP(A:A,[1]android_repos_all_metrics!B:K,8,FALSE)</f>
        <v>#N/A</v>
      </c>
      <c r="AH1170" t="e">
        <f>VLOOKUP(A:A,[1]android_repos_all_metrics!B:K,9,FALSE)</f>
        <v>#N/A</v>
      </c>
      <c r="AI1170" t="e">
        <f>VLOOKUP(A:A,[1]android_repos_all_metrics!B:K,10,FALSE)</f>
        <v>#N/A</v>
      </c>
    </row>
    <row r="1171" spans="1:35">
      <c r="A1171" t="s">
        <v>1237</v>
      </c>
      <c r="B1171" t="b">
        <v>1</v>
      </c>
      <c r="C1171" t="b">
        <v>0</v>
      </c>
      <c r="D1171" t="b">
        <v>0</v>
      </c>
      <c r="F1171" t="b">
        <v>0</v>
      </c>
      <c r="H1171" t="s">
        <v>37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>
        <v>1</v>
      </c>
      <c r="AB1171">
        <v>0</v>
      </c>
      <c r="AC1171">
        <f>VLOOKUP(A:A,[1]android_repos_all_metrics!B:K,4,FALSE)</f>
        <v>2</v>
      </c>
      <c r="AD1171">
        <f>VLOOKUP(A:A,[1]android_repos_all_metrics!B:K,5,FALSE)</f>
        <v>0</v>
      </c>
      <c r="AE1171">
        <f>VLOOKUP(A:A,[1]android_repos_all_metrics!B:K,6,FALSE)</f>
        <v>1</v>
      </c>
      <c r="AF1171">
        <f>VLOOKUP(A:A,[1]android_repos_all_metrics!B:K,7,FALSE)</f>
        <v>4346</v>
      </c>
      <c r="AG1171">
        <f>VLOOKUP(A:A,[1]android_repos_all_metrics!B:K,8,FALSE)</f>
        <v>1</v>
      </c>
      <c r="AH1171">
        <f>VLOOKUP(A:A,[1]android_repos_all_metrics!B:K,9,FALSE)</f>
        <v>5</v>
      </c>
      <c r="AI1171">
        <f>VLOOKUP(A:A,[1]android_repos_all_metrics!B:K,10,FALSE)</f>
        <v>0</v>
      </c>
    </row>
    <row r="1172" spans="1:35">
      <c r="A1172" t="s">
        <v>1238</v>
      </c>
      <c r="B1172" t="b">
        <v>1</v>
      </c>
      <c r="C1172" t="b">
        <v>0</v>
      </c>
      <c r="D1172" t="b">
        <v>0</v>
      </c>
      <c r="F1172" t="b">
        <v>0</v>
      </c>
      <c r="H1172" t="s">
        <v>37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>
        <v>1</v>
      </c>
      <c r="AB1172">
        <v>0</v>
      </c>
      <c r="AC1172">
        <f>VLOOKUP(A:A,[1]android_repos_all_metrics!B:K,4,FALSE)</f>
        <v>310</v>
      </c>
      <c r="AD1172">
        <f>VLOOKUP(A:A,[1]android_repos_all_metrics!B:K,5,FALSE)</f>
        <v>89</v>
      </c>
      <c r="AE1172">
        <f>VLOOKUP(A:A,[1]android_repos_all_metrics!B:K,6,FALSE)</f>
        <v>33</v>
      </c>
      <c r="AF1172">
        <f>VLOOKUP(A:A,[1]android_repos_all_metrics!B:K,7,FALSE)</f>
        <v>10403</v>
      </c>
      <c r="AG1172">
        <f>VLOOKUP(A:A,[1]android_repos_all_metrics!B:K,8,FALSE)</f>
        <v>47</v>
      </c>
      <c r="AH1172">
        <f>VLOOKUP(A:A,[1]android_repos_all_metrics!B:K,9,FALSE)</f>
        <v>159</v>
      </c>
      <c r="AI1172">
        <f>VLOOKUP(A:A,[1]android_repos_all_metrics!B:K,10,FALSE)</f>
        <v>70</v>
      </c>
    </row>
    <row r="1173" spans="1:35">
      <c r="A1173" t="s">
        <v>1239</v>
      </c>
      <c r="B1173" t="b">
        <v>0</v>
      </c>
      <c r="C1173" t="b">
        <v>0</v>
      </c>
      <c r="D1173" t="b">
        <v>0</v>
      </c>
      <c r="F1173" t="b">
        <v>0</v>
      </c>
      <c r="H1173" t="s">
        <v>41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>
        <v>1</v>
      </c>
      <c r="AB1173">
        <v>0</v>
      </c>
      <c r="AC1173">
        <f>VLOOKUP(A:A,[1]android_repos_all_metrics!B:K,4,FALSE)</f>
        <v>33</v>
      </c>
      <c r="AD1173">
        <f>VLOOKUP(A:A,[1]android_repos_all_metrics!B:K,5,FALSE)</f>
        <v>0</v>
      </c>
      <c r="AE1173">
        <f>VLOOKUP(A:A,[1]android_repos_all_metrics!B:K,6,FALSE)</f>
        <v>1</v>
      </c>
      <c r="AF1173">
        <f>VLOOKUP(A:A,[1]android_repos_all_metrics!B:K,7,FALSE)</f>
        <v>1562</v>
      </c>
      <c r="AG1173">
        <f>VLOOKUP(A:A,[1]android_repos_all_metrics!B:K,8,FALSE)</f>
        <v>4</v>
      </c>
      <c r="AH1173">
        <f>VLOOKUP(A:A,[1]android_repos_all_metrics!B:K,9,FALSE)</f>
        <v>4</v>
      </c>
      <c r="AI1173">
        <f>VLOOKUP(A:A,[1]android_repos_all_metrics!B:K,10,FALSE)</f>
        <v>0</v>
      </c>
    </row>
    <row r="1174" spans="1:35">
      <c r="A1174" t="s">
        <v>1240</v>
      </c>
      <c r="B1174" t="b">
        <v>0</v>
      </c>
      <c r="C1174" t="b">
        <v>0</v>
      </c>
      <c r="D1174" t="b">
        <v>0</v>
      </c>
      <c r="F1174" t="b">
        <v>0</v>
      </c>
      <c r="H1174" t="s">
        <v>41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>
        <v>1</v>
      </c>
      <c r="AB1174">
        <v>0</v>
      </c>
      <c r="AC1174">
        <f>VLOOKUP(A:A,[1]android_repos_all_metrics!B:K,4,FALSE)</f>
        <v>35</v>
      </c>
      <c r="AD1174">
        <f>VLOOKUP(A:A,[1]android_repos_all_metrics!B:K,5,FALSE)</f>
        <v>0</v>
      </c>
      <c r="AE1174">
        <f>VLOOKUP(A:A,[1]android_repos_all_metrics!B:K,6,FALSE)</f>
        <v>1</v>
      </c>
      <c r="AF1174">
        <f>VLOOKUP(A:A,[1]android_repos_all_metrics!B:K,7,FALSE)</f>
        <v>1661</v>
      </c>
      <c r="AG1174">
        <f>VLOOKUP(A:A,[1]android_repos_all_metrics!B:K,8,FALSE)</f>
        <v>4</v>
      </c>
      <c r="AH1174">
        <f>VLOOKUP(A:A,[1]android_repos_all_metrics!B:K,9,FALSE)</f>
        <v>42</v>
      </c>
      <c r="AI1174">
        <f>VLOOKUP(A:A,[1]android_repos_all_metrics!B:K,10,FALSE)</f>
        <v>2</v>
      </c>
    </row>
    <row r="1175" spans="1:35">
      <c r="A1175" t="s">
        <v>1241</v>
      </c>
      <c r="B1175" t="b">
        <v>1</v>
      </c>
      <c r="C1175" t="b">
        <v>0</v>
      </c>
      <c r="D1175" t="b">
        <v>0</v>
      </c>
      <c r="F1175" t="b">
        <v>0</v>
      </c>
      <c r="H1175" t="s">
        <v>37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>
        <v>1</v>
      </c>
      <c r="AB1175">
        <v>0</v>
      </c>
      <c r="AC1175">
        <f>VLOOKUP(A:A,[1]android_repos_all_metrics!B:K,4,FALSE)</f>
        <v>61471</v>
      </c>
      <c r="AD1175">
        <f>VLOOKUP(A:A,[1]android_repos_all_metrics!B:K,5,FALSE)</f>
        <v>0</v>
      </c>
      <c r="AE1175">
        <f>VLOOKUP(A:A,[1]android_repos_all_metrics!B:K,6,FALSE)</f>
        <v>151</v>
      </c>
      <c r="AF1175">
        <f>VLOOKUP(A:A,[1]android_repos_all_metrics!B:K,7,FALSE)</f>
        <v>243439</v>
      </c>
      <c r="AG1175">
        <f>VLOOKUP(A:A,[1]android_repos_all_metrics!B:K,8,FALSE)</f>
        <v>1</v>
      </c>
      <c r="AH1175">
        <f>VLOOKUP(A:A,[1]android_repos_all_metrics!B:K,9,FALSE)</f>
        <v>4</v>
      </c>
      <c r="AI1175">
        <f>VLOOKUP(A:A,[1]android_repos_all_metrics!B:K,10,FALSE)</f>
        <v>0</v>
      </c>
    </row>
    <row r="1176" spans="1:35">
      <c r="A1176" t="s">
        <v>1242</v>
      </c>
      <c r="B1176" t="b">
        <v>1</v>
      </c>
      <c r="C1176" t="b">
        <v>0</v>
      </c>
      <c r="D1176" t="b">
        <v>0</v>
      </c>
      <c r="F1176" t="b">
        <v>0</v>
      </c>
      <c r="H1176" t="s">
        <v>41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>
        <v>1</v>
      </c>
      <c r="AB1176">
        <v>0</v>
      </c>
      <c r="AC1176">
        <f>VLOOKUP(A:A,[1]android_repos_all_metrics!B:K,4,FALSE)</f>
        <v>83</v>
      </c>
      <c r="AD1176">
        <f>VLOOKUP(A:A,[1]android_repos_all_metrics!B:K,5,FALSE)</f>
        <v>2</v>
      </c>
      <c r="AE1176">
        <f>VLOOKUP(A:A,[1]android_repos_all_metrics!B:K,6,FALSE)</f>
        <v>2</v>
      </c>
      <c r="AF1176">
        <f>VLOOKUP(A:A,[1]android_repos_all_metrics!B:K,7,FALSE)</f>
        <v>9326</v>
      </c>
      <c r="AG1176">
        <f>VLOOKUP(A:A,[1]android_repos_all_metrics!B:K,8,FALSE)</f>
        <v>3</v>
      </c>
      <c r="AH1176">
        <f>VLOOKUP(A:A,[1]android_repos_all_metrics!B:K,9,FALSE)</f>
        <v>17</v>
      </c>
      <c r="AI1176">
        <f>VLOOKUP(A:A,[1]android_repos_all_metrics!B:K,10,FALSE)</f>
        <v>0</v>
      </c>
    </row>
    <row r="1177" spans="1:35">
      <c r="A1177" t="s">
        <v>1243</v>
      </c>
      <c r="B1177" t="b">
        <v>1</v>
      </c>
      <c r="C1177" t="b">
        <v>0</v>
      </c>
      <c r="D1177" t="b">
        <v>0</v>
      </c>
      <c r="F1177" t="b">
        <v>0</v>
      </c>
      <c r="H1177" t="s">
        <v>41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>
        <v>1</v>
      </c>
      <c r="AB1177">
        <v>0</v>
      </c>
      <c r="AC1177">
        <f>VLOOKUP(A:A,[1]android_repos_all_metrics!B:K,4,FALSE)</f>
        <v>299</v>
      </c>
      <c r="AD1177">
        <f>VLOOKUP(A:A,[1]android_repos_all_metrics!B:K,5,FALSE)</f>
        <v>13</v>
      </c>
      <c r="AE1177">
        <f>VLOOKUP(A:A,[1]android_repos_all_metrics!B:K,6,FALSE)</f>
        <v>5</v>
      </c>
      <c r="AF1177">
        <f>VLOOKUP(A:A,[1]android_repos_all_metrics!B:K,7,FALSE)</f>
        <v>2557</v>
      </c>
      <c r="AG1177">
        <f>VLOOKUP(A:A,[1]android_repos_all_metrics!B:K,8,FALSE)</f>
        <v>5</v>
      </c>
      <c r="AH1177">
        <f>VLOOKUP(A:A,[1]android_repos_all_metrics!B:K,9,FALSE)</f>
        <v>60</v>
      </c>
      <c r="AI1177">
        <f>VLOOKUP(A:A,[1]android_repos_all_metrics!B:K,10,FALSE)</f>
        <v>16</v>
      </c>
    </row>
    <row r="1178" spans="1:35">
      <c r="A1178" t="s">
        <v>1244</v>
      </c>
      <c r="B1178" t="b">
        <v>1</v>
      </c>
      <c r="C1178" t="b">
        <v>0</v>
      </c>
      <c r="D1178" t="b">
        <v>0</v>
      </c>
      <c r="F1178" t="b">
        <v>0</v>
      </c>
      <c r="H1178" t="s">
        <v>37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>
        <v>8</v>
      </c>
      <c r="AB1178">
        <v>0</v>
      </c>
      <c r="AC1178">
        <f>VLOOKUP(A:A,[1]android_repos_all_metrics!B:K,4,FALSE)</f>
        <v>68567</v>
      </c>
      <c r="AD1178">
        <f>VLOOKUP(A:A,[1]android_repos_all_metrics!B:K,5,FALSE)</f>
        <v>739</v>
      </c>
      <c r="AE1178">
        <f>VLOOKUP(A:A,[1]android_repos_all_metrics!B:K,6,FALSE)</f>
        <v>163</v>
      </c>
      <c r="AF1178">
        <f>VLOOKUP(A:A,[1]android_repos_all_metrics!B:K,7,FALSE)</f>
        <v>411218</v>
      </c>
      <c r="AG1178">
        <f>VLOOKUP(A:A,[1]android_repos_all_metrics!B:K,8,FALSE)</f>
        <v>967</v>
      </c>
      <c r="AH1178">
        <f>VLOOKUP(A:A,[1]android_repos_all_metrics!B:K,9,FALSE)</f>
        <v>6924</v>
      </c>
      <c r="AI1178">
        <f>VLOOKUP(A:A,[1]android_repos_all_metrics!B:K,10,FALSE)</f>
        <v>108</v>
      </c>
    </row>
    <row r="1179" spans="1:35">
      <c r="A1179" t="s">
        <v>1245</v>
      </c>
      <c r="B1179" t="b">
        <v>1</v>
      </c>
      <c r="C1179" t="b">
        <v>0</v>
      </c>
      <c r="D1179" t="b">
        <v>0</v>
      </c>
      <c r="F1179" t="b">
        <v>0</v>
      </c>
      <c r="H1179" t="s">
        <v>37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>
        <v>6</v>
      </c>
      <c r="AB1179">
        <v>0</v>
      </c>
      <c r="AC1179">
        <f>VLOOKUP(A:A,[1]android_repos_all_metrics!B:K,4,FALSE)</f>
        <v>1188</v>
      </c>
      <c r="AD1179">
        <f>VLOOKUP(A:A,[1]android_repos_all_metrics!B:K,5,FALSE)</f>
        <v>857</v>
      </c>
      <c r="AE1179">
        <f>VLOOKUP(A:A,[1]android_repos_all_metrics!B:K,6,FALSE)</f>
        <v>204</v>
      </c>
      <c r="AF1179">
        <f>VLOOKUP(A:A,[1]android_repos_all_metrics!B:K,7,FALSE)</f>
        <v>8864</v>
      </c>
      <c r="AG1179">
        <f>VLOOKUP(A:A,[1]android_repos_all_metrics!B:K,8,FALSE)</f>
        <v>300</v>
      </c>
      <c r="AH1179">
        <f>VLOOKUP(A:A,[1]android_repos_all_metrics!B:K,9,FALSE)</f>
        <v>669</v>
      </c>
      <c r="AI1179">
        <f>VLOOKUP(A:A,[1]android_repos_all_metrics!B:K,10,FALSE)</f>
        <v>23</v>
      </c>
    </row>
    <row r="1180" spans="1:35">
      <c r="A1180" t="s">
        <v>1246</v>
      </c>
      <c r="B1180" t="b">
        <v>1</v>
      </c>
      <c r="C1180" t="b">
        <v>0</v>
      </c>
      <c r="D1180" t="b">
        <v>0</v>
      </c>
      <c r="F1180" t="b">
        <v>0</v>
      </c>
      <c r="H1180" t="s">
        <v>37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>
        <v>1</v>
      </c>
      <c r="AB1180">
        <v>0</v>
      </c>
      <c r="AC1180">
        <f>VLOOKUP(A:A,[1]android_repos_all_metrics!B:K,4,FALSE)</f>
        <v>0</v>
      </c>
      <c r="AD1180">
        <f>VLOOKUP(A:A,[1]android_repos_all_metrics!B:K,5,FALSE)</f>
        <v>0</v>
      </c>
      <c r="AE1180">
        <f>VLOOKUP(A:A,[1]android_repos_all_metrics!B:K,6,FALSE)</f>
        <v>0</v>
      </c>
      <c r="AF1180">
        <f>VLOOKUP(A:A,[1]android_repos_all_metrics!B:K,7,FALSE)</f>
        <v>2720</v>
      </c>
      <c r="AG1180">
        <f>VLOOKUP(A:A,[1]android_repos_all_metrics!B:K,8,FALSE)</f>
        <v>13</v>
      </c>
      <c r="AH1180">
        <f>VLOOKUP(A:A,[1]android_repos_all_metrics!B:K,9,FALSE)</f>
        <v>65</v>
      </c>
      <c r="AI1180">
        <f>VLOOKUP(A:A,[1]android_repos_all_metrics!B:K,10,FALSE)</f>
        <v>6</v>
      </c>
    </row>
    <row r="1181" spans="1:35">
      <c r="A1181" t="s">
        <v>1247</v>
      </c>
      <c r="B1181" t="b">
        <v>1</v>
      </c>
      <c r="C1181" t="b">
        <v>0</v>
      </c>
      <c r="D1181" t="b">
        <v>0</v>
      </c>
      <c r="F1181" t="b">
        <v>0</v>
      </c>
      <c r="H1181" t="s">
        <v>37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>
        <v>1</v>
      </c>
      <c r="AB1181">
        <v>0</v>
      </c>
      <c r="AC1181">
        <f>VLOOKUP(A:A,[1]android_repos_all_metrics!B:K,4,FALSE)</f>
        <v>51</v>
      </c>
      <c r="AD1181">
        <f>VLOOKUP(A:A,[1]android_repos_all_metrics!B:K,5,FALSE)</f>
        <v>6</v>
      </c>
      <c r="AE1181">
        <f>VLOOKUP(A:A,[1]android_repos_all_metrics!B:K,6,FALSE)</f>
        <v>11</v>
      </c>
      <c r="AF1181">
        <f>VLOOKUP(A:A,[1]android_repos_all_metrics!B:K,7,FALSE)</f>
        <v>156</v>
      </c>
      <c r="AG1181">
        <f>VLOOKUP(A:A,[1]android_repos_all_metrics!B:K,8,FALSE)</f>
        <v>3</v>
      </c>
      <c r="AH1181">
        <f>VLOOKUP(A:A,[1]android_repos_all_metrics!B:K,9,FALSE)</f>
        <v>30</v>
      </c>
      <c r="AI1181">
        <f>VLOOKUP(A:A,[1]android_repos_all_metrics!B:K,10,FALSE)</f>
        <v>1</v>
      </c>
    </row>
    <row r="1182" spans="1:35">
      <c r="A1182" t="s">
        <v>1248</v>
      </c>
      <c r="B1182" t="b">
        <v>1</v>
      </c>
      <c r="C1182" t="b">
        <v>0</v>
      </c>
      <c r="D1182" t="b">
        <v>0</v>
      </c>
      <c r="F1182" t="b">
        <v>0</v>
      </c>
      <c r="H1182" t="s">
        <v>41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>
        <v>1</v>
      </c>
      <c r="AB1182">
        <v>0</v>
      </c>
      <c r="AC1182">
        <f>VLOOKUP(A:A,[1]android_repos_all_metrics!B:K,4,FALSE)</f>
        <v>49</v>
      </c>
      <c r="AD1182">
        <f>VLOOKUP(A:A,[1]android_repos_all_metrics!B:K,5,FALSE)</f>
        <v>0</v>
      </c>
      <c r="AE1182">
        <f>VLOOKUP(A:A,[1]android_repos_all_metrics!B:K,6,FALSE)</f>
        <v>1</v>
      </c>
      <c r="AF1182">
        <f>VLOOKUP(A:A,[1]android_repos_all_metrics!B:K,7,FALSE)</f>
        <v>213</v>
      </c>
      <c r="AG1182">
        <f>VLOOKUP(A:A,[1]android_repos_all_metrics!B:K,8,FALSE)</f>
        <v>3</v>
      </c>
      <c r="AH1182">
        <f>VLOOKUP(A:A,[1]android_repos_all_metrics!B:K,9,FALSE)</f>
        <v>10</v>
      </c>
      <c r="AI1182">
        <f>VLOOKUP(A:A,[1]android_repos_all_metrics!B:K,10,FALSE)</f>
        <v>0</v>
      </c>
    </row>
    <row r="1183" spans="1:35">
      <c r="A1183" t="s">
        <v>1249</v>
      </c>
      <c r="B1183" t="b">
        <v>1</v>
      </c>
      <c r="C1183" t="b">
        <v>0</v>
      </c>
      <c r="D1183" t="b">
        <v>0</v>
      </c>
      <c r="F1183" t="b">
        <v>0</v>
      </c>
      <c r="H1183" t="s">
        <v>76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>
        <v>1</v>
      </c>
      <c r="AB1183">
        <v>0</v>
      </c>
      <c r="AC1183">
        <f>VLOOKUP(A:A,[1]android_repos_all_metrics!B:K,4,FALSE)</f>
        <v>1057</v>
      </c>
      <c r="AD1183">
        <f>VLOOKUP(A:A,[1]android_repos_all_metrics!B:K,5,FALSE)</f>
        <v>428</v>
      </c>
      <c r="AE1183">
        <f>VLOOKUP(A:A,[1]android_repos_all_metrics!B:K,6,FALSE)</f>
        <v>31</v>
      </c>
      <c r="AF1183">
        <f>VLOOKUP(A:A,[1]android_repos_all_metrics!B:K,7,FALSE)</f>
        <v>504088</v>
      </c>
      <c r="AG1183">
        <f>VLOOKUP(A:A,[1]android_repos_all_metrics!B:K,8,FALSE)</f>
        <v>116</v>
      </c>
      <c r="AH1183">
        <f>VLOOKUP(A:A,[1]android_repos_all_metrics!B:K,9,FALSE)</f>
        <v>2519</v>
      </c>
      <c r="AI1183">
        <f>VLOOKUP(A:A,[1]android_repos_all_metrics!B:K,10,FALSE)</f>
        <v>162</v>
      </c>
    </row>
    <row r="1184" spans="1:35">
      <c r="A1184" t="s">
        <v>1250</v>
      </c>
      <c r="B1184" t="b">
        <v>1</v>
      </c>
      <c r="C1184" t="b">
        <v>0</v>
      </c>
      <c r="D1184" t="b">
        <v>0</v>
      </c>
      <c r="F1184" t="b">
        <v>0</v>
      </c>
      <c r="H1184" t="s">
        <v>76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>
        <v>1</v>
      </c>
      <c r="AB1184">
        <v>0</v>
      </c>
      <c r="AC1184">
        <f>VLOOKUP(A:A,[1]android_repos_all_metrics!B:K,4,FALSE)</f>
        <v>1123</v>
      </c>
      <c r="AD1184">
        <f>VLOOKUP(A:A,[1]android_repos_all_metrics!B:K,5,FALSE)</f>
        <v>6</v>
      </c>
      <c r="AE1184">
        <f>VLOOKUP(A:A,[1]android_repos_all_metrics!B:K,6,FALSE)</f>
        <v>30</v>
      </c>
      <c r="AF1184">
        <f>VLOOKUP(A:A,[1]android_repos_all_metrics!B:K,7,FALSE)</f>
        <v>505120</v>
      </c>
      <c r="AG1184">
        <f>VLOOKUP(A:A,[1]android_repos_all_metrics!B:K,8,FALSE)</f>
        <v>4</v>
      </c>
      <c r="AH1184">
        <f>VLOOKUP(A:A,[1]android_repos_all_metrics!B:K,9,FALSE)</f>
        <v>59</v>
      </c>
      <c r="AI1184">
        <f>VLOOKUP(A:A,[1]android_repos_all_metrics!B:K,10,FALSE)</f>
        <v>2</v>
      </c>
    </row>
    <row r="1185" spans="1:35">
      <c r="A1185" t="s">
        <v>1251</v>
      </c>
      <c r="B1185" t="b">
        <v>1</v>
      </c>
      <c r="C1185" t="b">
        <v>0</v>
      </c>
      <c r="D1185" t="b">
        <v>0</v>
      </c>
      <c r="F1185" t="b">
        <v>0</v>
      </c>
      <c r="H1185" t="s">
        <v>37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>
        <v>1</v>
      </c>
      <c r="AB1185">
        <v>0</v>
      </c>
      <c r="AC1185">
        <f>VLOOKUP(A:A,[1]android_repos_all_metrics!B:K,4,FALSE)</f>
        <v>624</v>
      </c>
      <c r="AD1185">
        <f>VLOOKUP(A:A,[1]android_repos_all_metrics!B:K,5,FALSE)</f>
        <v>33</v>
      </c>
      <c r="AE1185">
        <f>VLOOKUP(A:A,[1]android_repos_all_metrics!B:K,6,FALSE)</f>
        <v>8</v>
      </c>
      <c r="AF1185">
        <f>VLOOKUP(A:A,[1]android_repos_all_metrics!B:K,7,FALSE)</f>
        <v>14329</v>
      </c>
      <c r="AG1185">
        <f>VLOOKUP(A:A,[1]android_repos_all_metrics!B:K,8,FALSE)</f>
        <v>50</v>
      </c>
      <c r="AH1185">
        <f>VLOOKUP(A:A,[1]android_repos_all_metrics!B:K,9,FALSE)</f>
        <v>317</v>
      </c>
      <c r="AI1185">
        <f>VLOOKUP(A:A,[1]android_repos_all_metrics!B:K,10,FALSE)</f>
        <v>16</v>
      </c>
    </row>
    <row r="1186" spans="1:35">
      <c r="A1186" t="s">
        <v>1252</v>
      </c>
      <c r="B1186" t="b">
        <v>1</v>
      </c>
      <c r="C1186" t="b">
        <v>0</v>
      </c>
      <c r="D1186" t="b">
        <v>0</v>
      </c>
      <c r="F1186" t="b">
        <v>0</v>
      </c>
      <c r="H1186" t="s">
        <v>37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>
        <v>5</v>
      </c>
      <c r="AB1186">
        <v>0</v>
      </c>
      <c r="AC1186">
        <f>VLOOKUP(A:A,[1]android_repos_all_metrics!B:K,4,FALSE)</f>
        <v>471</v>
      </c>
      <c r="AD1186">
        <f>VLOOKUP(A:A,[1]android_repos_all_metrics!B:K,5,FALSE)</f>
        <v>77</v>
      </c>
      <c r="AE1186">
        <f>VLOOKUP(A:A,[1]android_repos_all_metrics!B:K,6,FALSE)</f>
        <v>2</v>
      </c>
      <c r="AF1186">
        <f>VLOOKUP(A:A,[1]android_repos_all_metrics!B:K,7,FALSE)</f>
        <v>913</v>
      </c>
      <c r="AG1186">
        <f>VLOOKUP(A:A,[1]android_repos_all_metrics!B:K,8,FALSE)</f>
        <v>8</v>
      </c>
      <c r="AH1186">
        <f>VLOOKUP(A:A,[1]android_repos_all_metrics!B:K,9,FALSE)</f>
        <v>48</v>
      </c>
      <c r="AI1186">
        <f>VLOOKUP(A:A,[1]android_repos_all_metrics!B:K,10,FALSE)</f>
        <v>86</v>
      </c>
    </row>
    <row r="1187" spans="1:35">
      <c r="A1187" t="s">
        <v>1253</v>
      </c>
      <c r="B1187" t="b">
        <v>0</v>
      </c>
      <c r="C1187" t="b">
        <v>0</v>
      </c>
      <c r="D1187" t="b">
        <v>0</v>
      </c>
      <c r="F1187" t="b">
        <v>0</v>
      </c>
      <c r="H1187" t="s">
        <v>41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>
        <v>1</v>
      </c>
      <c r="AB1187">
        <v>0</v>
      </c>
      <c r="AC1187">
        <f>VLOOKUP(A:A,[1]android_repos_all_metrics!B:K,4,FALSE)</f>
        <v>170</v>
      </c>
      <c r="AD1187">
        <f>VLOOKUP(A:A,[1]android_repos_all_metrics!B:K,5,FALSE)</f>
        <v>8</v>
      </c>
      <c r="AE1187">
        <f>VLOOKUP(A:A,[1]android_repos_all_metrics!B:K,6,FALSE)</f>
        <v>3</v>
      </c>
      <c r="AF1187">
        <f>VLOOKUP(A:A,[1]android_repos_all_metrics!B:K,7,FALSE)</f>
        <v>7390</v>
      </c>
      <c r="AG1187">
        <f>VLOOKUP(A:A,[1]android_repos_all_metrics!B:K,8,FALSE)</f>
        <v>292</v>
      </c>
      <c r="AH1187">
        <f>VLOOKUP(A:A,[1]android_repos_all_metrics!B:K,9,FALSE)</f>
        <v>50</v>
      </c>
      <c r="AI1187">
        <f>VLOOKUP(A:A,[1]android_repos_all_metrics!B:K,10,FALSE)</f>
        <v>1</v>
      </c>
    </row>
    <row r="1188" spans="1:35">
      <c r="A1188" t="s">
        <v>1254</v>
      </c>
      <c r="B1188" t="b">
        <v>1</v>
      </c>
      <c r="C1188" t="b">
        <v>0</v>
      </c>
      <c r="D1188" t="b">
        <v>0</v>
      </c>
      <c r="F1188" t="b">
        <v>0</v>
      </c>
      <c r="H1188" t="s">
        <v>37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>
        <v>6</v>
      </c>
      <c r="AB1188">
        <v>0</v>
      </c>
      <c r="AC1188">
        <f>VLOOKUP(A:A,[1]android_repos_all_metrics!B:K,4,FALSE)</f>
        <v>677</v>
      </c>
      <c r="AD1188">
        <f>VLOOKUP(A:A,[1]android_repos_all_metrics!B:K,5,FALSE)</f>
        <v>72</v>
      </c>
      <c r="AE1188">
        <f>VLOOKUP(A:A,[1]android_repos_all_metrics!B:K,6,FALSE)</f>
        <v>7</v>
      </c>
      <c r="AF1188">
        <f>VLOOKUP(A:A,[1]android_repos_all_metrics!B:K,7,FALSE)</f>
        <v>18441</v>
      </c>
      <c r="AG1188">
        <f>VLOOKUP(A:A,[1]android_repos_all_metrics!B:K,8,FALSE)</f>
        <v>3</v>
      </c>
      <c r="AH1188">
        <f>VLOOKUP(A:A,[1]android_repos_all_metrics!B:K,9,FALSE)</f>
        <v>5</v>
      </c>
      <c r="AI1188">
        <f>VLOOKUP(A:A,[1]android_repos_all_metrics!B:K,10,FALSE)</f>
        <v>43</v>
      </c>
    </row>
    <row r="1189" spans="1:35">
      <c r="A1189" t="s">
        <v>1255</v>
      </c>
      <c r="B1189" t="b">
        <v>0</v>
      </c>
      <c r="C1189" t="b">
        <v>0</v>
      </c>
      <c r="D1189" t="b">
        <v>0</v>
      </c>
      <c r="F1189" t="b">
        <v>0</v>
      </c>
      <c r="H1189" t="s">
        <v>37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>
        <v>1</v>
      </c>
      <c r="AB1189">
        <v>0</v>
      </c>
      <c r="AC1189">
        <f>VLOOKUP(A:A,[1]android_repos_all_metrics!B:K,4,FALSE)</f>
        <v>465</v>
      </c>
      <c r="AD1189">
        <f>VLOOKUP(A:A,[1]android_repos_all_metrics!B:K,5,FALSE)</f>
        <v>252</v>
      </c>
      <c r="AE1189">
        <f>VLOOKUP(A:A,[1]android_repos_all_metrics!B:K,6,FALSE)</f>
        <v>6</v>
      </c>
      <c r="AF1189">
        <f>VLOOKUP(A:A,[1]android_repos_all_metrics!B:K,7,FALSE)</f>
        <v>12206</v>
      </c>
      <c r="AG1189">
        <f>VLOOKUP(A:A,[1]android_repos_all_metrics!B:K,8,FALSE)</f>
        <v>0</v>
      </c>
      <c r="AH1189">
        <f>VLOOKUP(A:A,[1]android_repos_all_metrics!B:K,9,FALSE)</f>
        <v>2</v>
      </c>
      <c r="AI1189">
        <f>VLOOKUP(A:A,[1]android_repos_all_metrics!B:K,10,FALSE)</f>
        <v>0</v>
      </c>
    </row>
    <row r="1190" spans="1:35">
      <c r="A1190" t="s">
        <v>1256</v>
      </c>
      <c r="B1190" t="b">
        <v>1</v>
      </c>
      <c r="C1190" t="b">
        <v>1</v>
      </c>
      <c r="D1190" t="b">
        <v>1</v>
      </c>
      <c r="E1190" t="s">
        <v>36</v>
      </c>
      <c r="F1190" t="b">
        <v>0</v>
      </c>
      <c r="H1190" t="s">
        <v>37</v>
      </c>
      <c r="I1190" t="s">
        <v>37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>
        <v>1</v>
      </c>
      <c r="AA1190">
        <v>1</v>
      </c>
      <c r="AB1190">
        <v>0</v>
      </c>
      <c r="AC1190">
        <f>VLOOKUP(A:A,[1]android_repos_all_metrics!B:K,4,FALSE)</f>
        <v>1119</v>
      </c>
      <c r="AD1190">
        <f>VLOOKUP(A:A,[1]android_repos_all_metrics!B:K,5,FALSE)</f>
        <v>169</v>
      </c>
      <c r="AE1190">
        <f>VLOOKUP(A:A,[1]android_repos_all_metrics!B:K,6,FALSE)</f>
        <v>7</v>
      </c>
      <c r="AF1190">
        <f>VLOOKUP(A:A,[1]android_repos_all_metrics!B:K,7,FALSE)</f>
        <v>4218</v>
      </c>
      <c r="AG1190">
        <f>VLOOKUP(A:A,[1]android_repos_all_metrics!B:K,8,FALSE)</f>
        <v>3</v>
      </c>
      <c r="AH1190">
        <f>VLOOKUP(A:A,[1]android_repos_all_metrics!B:K,9,FALSE)</f>
        <v>9</v>
      </c>
      <c r="AI1190">
        <f>VLOOKUP(A:A,[1]android_repos_all_metrics!B:K,10,FALSE)</f>
        <v>35</v>
      </c>
    </row>
    <row r="1191" spans="1:35">
      <c r="A1191" t="s">
        <v>1257</v>
      </c>
      <c r="B1191" t="b">
        <v>1</v>
      </c>
      <c r="C1191" t="b">
        <v>0</v>
      </c>
      <c r="D1191" t="b">
        <v>0</v>
      </c>
      <c r="F1191" t="b">
        <v>0</v>
      </c>
      <c r="H1191" t="s">
        <v>37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>
        <v>1</v>
      </c>
      <c r="AB1191">
        <v>0</v>
      </c>
      <c r="AC1191">
        <f>VLOOKUP(A:A,[1]android_repos_all_metrics!B:K,4,FALSE)</f>
        <v>44</v>
      </c>
      <c r="AD1191">
        <f>VLOOKUP(A:A,[1]android_repos_all_metrics!B:K,5,FALSE)</f>
        <v>0</v>
      </c>
      <c r="AE1191">
        <f>VLOOKUP(A:A,[1]android_repos_all_metrics!B:K,6,FALSE)</f>
        <v>3</v>
      </c>
      <c r="AF1191">
        <f>VLOOKUP(A:A,[1]android_repos_all_metrics!B:K,7,FALSE)</f>
        <v>18942</v>
      </c>
      <c r="AG1191">
        <f>VLOOKUP(A:A,[1]android_repos_all_metrics!B:K,8,FALSE)</f>
        <v>1</v>
      </c>
      <c r="AH1191">
        <f>VLOOKUP(A:A,[1]android_repos_all_metrics!B:K,9,FALSE)</f>
        <v>5</v>
      </c>
      <c r="AI1191">
        <f>VLOOKUP(A:A,[1]android_repos_all_metrics!B:K,10,FALSE)</f>
        <v>1</v>
      </c>
    </row>
    <row r="1192" spans="1:35">
      <c r="A1192" t="s">
        <v>1258</v>
      </c>
      <c r="B1192" t="b">
        <v>1</v>
      </c>
      <c r="C1192" t="b">
        <v>0</v>
      </c>
      <c r="D1192" t="b">
        <v>0</v>
      </c>
      <c r="F1192" t="b">
        <v>0</v>
      </c>
      <c r="H1192" t="s">
        <v>37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>
        <v>1</v>
      </c>
      <c r="AB1192">
        <v>0</v>
      </c>
      <c r="AC1192">
        <f>VLOOKUP(A:A,[1]android_repos_all_metrics!B:K,4,FALSE)</f>
        <v>12</v>
      </c>
      <c r="AD1192">
        <f>VLOOKUP(A:A,[1]android_repos_all_metrics!B:K,5,FALSE)</f>
        <v>1</v>
      </c>
      <c r="AE1192">
        <f>VLOOKUP(A:A,[1]android_repos_all_metrics!B:K,6,FALSE)</f>
        <v>1</v>
      </c>
      <c r="AF1192">
        <f>VLOOKUP(A:A,[1]android_repos_all_metrics!B:K,7,FALSE)</f>
        <v>167</v>
      </c>
      <c r="AG1192">
        <f>VLOOKUP(A:A,[1]android_repos_all_metrics!B:K,8,FALSE)</f>
        <v>0</v>
      </c>
      <c r="AH1192">
        <f>VLOOKUP(A:A,[1]android_repos_all_metrics!B:K,9,FALSE)</f>
        <v>1</v>
      </c>
      <c r="AI1192">
        <f>VLOOKUP(A:A,[1]android_repos_all_metrics!B:K,10,FALSE)</f>
        <v>0</v>
      </c>
    </row>
    <row r="1193" spans="1:35">
      <c r="A1193" t="s">
        <v>1259</v>
      </c>
      <c r="B1193" t="b">
        <v>1</v>
      </c>
      <c r="C1193" t="b">
        <v>0</v>
      </c>
      <c r="D1193" t="b">
        <v>0</v>
      </c>
      <c r="F1193" t="b">
        <v>0</v>
      </c>
      <c r="H1193" t="s">
        <v>43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>
        <v>1</v>
      </c>
      <c r="AB1193">
        <v>0</v>
      </c>
      <c r="AC1193">
        <f>VLOOKUP(A:A,[1]android_repos_all_metrics!B:K,4,FALSE)</f>
        <v>31</v>
      </c>
      <c r="AD1193">
        <f>VLOOKUP(A:A,[1]android_repos_all_metrics!B:K,5,FALSE)</f>
        <v>1</v>
      </c>
      <c r="AE1193">
        <f>VLOOKUP(A:A,[1]android_repos_all_metrics!B:K,6,FALSE)</f>
        <v>1</v>
      </c>
      <c r="AF1193">
        <f>VLOOKUP(A:A,[1]android_repos_all_metrics!B:K,7,FALSE)</f>
        <v>6481</v>
      </c>
      <c r="AG1193">
        <f>VLOOKUP(A:A,[1]android_repos_all_metrics!B:K,8,FALSE)</f>
        <v>0</v>
      </c>
      <c r="AH1193">
        <f>VLOOKUP(A:A,[1]android_repos_all_metrics!B:K,9,FALSE)</f>
        <v>3</v>
      </c>
      <c r="AI1193">
        <f>VLOOKUP(A:A,[1]android_repos_all_metrics!B:K,10,FALSE)</f>
        <v>4</v>
      </c>
    </row>
    <row r="1194" spans="1:35">
      <c r="A1194" t="s">
        <v>1260</v>
      </c>
      <c r="B1194" t="b">
        <v>1</v>
      </c>
      <c r="C1194" t="b">
        <v>0</v>
      </c>
      <c r="D1194" t="b">
        <v>0</v>
      </c>
      <c r="F1194" t="b">
        <v>0</v>
      </c>
      <c r="H1194" t="s">
        <v>37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>
        <v>2</v>
      </c>
      <c r="AB1194">
        <v>0</v>
      </c>
      <c r="AC1194">
        <f>VLOOKUP(A:A,[1]android_repos_all_metrics!B:K,4,FALSE)</f>
        <v>946</v>
      </c>
      <c r="AD1194">
        <f>VLOOKUP(A:A,[1]android_repos_all_metrics!B:K,5,FALSE)</f>
        <v>118</v>
      </c>
      <c r="AE1194">
        <f>VLOOKUP(A:A,[1]android_repos_all_metrics!B:K,6,FALSE)</f>
        <v>13</v>
      </c>
      <c r="AF1194">
        <f>VLOOKUP(A:A,[1]android_repos_all_metrics!B:K,7,FALSE)</f>
        <v>123764</v>
      </c>
      <c r="AG1194">
        <f>VLOOKUP(A:A,[1]android_repos_all_metrics!B:K,8,FALSE)</f>
        <v>69</v>
      </c>
      <c r="AH1194">
        <f>VLOOKUP(A:A,[1]android_repos_all_metrics!B:K,9,FALSE)</f>
        <v>1164</v>
      </c>
      <c r="AI1194">
        <f>VLOOKUP(A:A,[1]android_repos_all_metrics!B:K,10,FALSE)</f>
        <v>302</v>
      </c>
    </row>
    <row r="1195" spans="1:35">
      <c r="A1195" t="s">
        <v>1261</v>
      </c>
      <c r="B1195" t="b">
        <v>1</v>
      </c>
      <c r="C1195" t="b">
        <v>0</v>
      </c>
      <c r="D1195" t="b">
        <v>0</v>
      </c>
      <c r="F1195" t="b">
        <v>0</v>
      </c>
      <c r="H1195" t="s">
        <v>37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>
        <v>2</v>
      </c>
      <c r="AB1195">
        <v>0</v>
      </c>
      <c r="AC1195">
        <f>VLOOKUP(A:A,[1]android_repos_all_metrics!B:K,4,FALSE)</f>
        <v>235</v>
      </c>
      <c r="AD1195">
        <f>VLOOKUP(A:A,[1]android_repos_all_metrics!B:K,5,FALSE)</f>
        <v>107</v>
      </c>
      <c r="AE1195">
        <f>VLOOKUP(A:A,[1]android_repos_all_metrics!B:K,6,FALSE)</f>
        <v>12</v>
      </c>
      <c r="AF1195">
        <f>VLOOKUP(A:A,[1]android_repos_all_metrics!B:K,7,FALSE)</f>
        <v>2055</v>
      </c>
      <c r="AG1195">
        <f>VLOOKUP(A:A,[1]android_repos_all_metrics!B:K,8,FALSE)</f>
        <v>7</v>
      </c>
      <c r="AH1195">
        <f>VLOOKUP(A:A,[1]android_repos_all_metrics!B:K,9,FALSE)</f>
        <v>94</v>
      </c>
      <c r="AI1195">
        <f>VLOOKUP(A:A,[1]android_repos_all_metrics!B:K,10,FALSE)</f>
        <v>13</v>
      </c>
    </row>
    <row r="1196" spans="1:35">
      <c r="A1196" t="s">
        <v>1262</v>
      </c>
      <c r="B1196" t="b">
        <v>1</v>
      </c>
      <c r="C1196" t="b">
        <v>0</v>
      </c>
      <c r="D1196" t="b">
        <v>0</v>
      </c>
      <c r="F1196" t="b">
        <v>0</v>
      </c>
      <c r="H1196" t="s">
        <v>41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>
        <v>1</v>
      </c>
      <c r="AB1196">
        <v>0</v>
      </c>
      <c r="AC1196">
        <f>VLOOKUP(A:A,[1]android_repos_all_metrics!B:K,4,FALSE)</f>
        <v>190</v>
      </c>
      <c r="AD1196">
        <f>VLOOKUP(A:A,[1]android_repos_all_metrics!B:K,5,FALSE)</f>
        <v>3</v>
      </c>
      <c r="AE1196">
        <f>VLOOKUP(A:A,[1]android_repos_all_metrics!B:K,6,FALSE)</f>
        <v>2</v>
      </c>
      <c r="AF1196">
        <f>VLOOKUP(A:A,[1]android_repos_all_metrics!B:K,7,FALSE)</f>
        <v>670</v>
      </c>
      <c r="AG1196">
        <f>VLOOKUP(A:A,[1]android_repos_all_metrics!B:K,8,FALSE)</f>
        <v>164</v>
      </c>
      <c r="AH1196">
        <f>VLOOKUP(A:A,[1]android_repos_all_metrics!B:K,9,FALSE)</f>
        <v>933</v>
      </c>
      <c r="AI1196">
        <f>VLOOKUP(A:A,[1]android_repos_all_metrics!B:K,10,FALSE)</f>
        <v>0</v>
      </c>
    </row>
    <row r="1197" spans="1:35">
      <c r="A1197" t="s">
        <v>1263</v>
      </c>
      <c r="B1197" t="b">
        <v>1</v>
      </c>
      <c r="C1197" t="b">
        <v>0</v>
      </c>
      <c r="D1197" t="b">
        <v>0</v>
      </c>
      <c r="F1197" t="b">
        <v>0</v>
      </c>
      <c r="H1197" t="s">
        <v>37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>
        <v>17</v>
      </c>
      <c r="AB1197">
        <v>0</v>
      </c>
      <c r="AC1197">
        <f>VLOOKUP(A:A,[1]android_repos_all_metrics!B:K,4,FALSE)</f>
        <v>2340</v>
      </c>
      <c r="AD1197">
        <f>VLOOKUP(A:A,[1]android_repos_all_metrics!B:K,5,FALSE)</f>
        <v>202</v>
      </c>
      <c r="AE1197">
        <f>VLOOKUP(A:A,[1]android_repos_all_metrics!B:K,6,FALSE)</f>
        <v>60</v>
      </c>
      <c r="AF1197">
        <f>VLOOKUP(A:A,[1]android_repos_all_metrics!B:K,7,FALSE)</f>
        <v>44833</v>
      </c>
      <c r="AG1197">
        <f>VLOOKUP(A:A,[1]android_repos_all_metrics!B:K,8,FALSE)</f>
        <v>311</v>
      </c>
      <c r="AH1197">
        <f>VLOOKUP(A:A,[1]android_repos_all_metrics!B:K,9,FALSE)</f>
        <v>5497</v>
      </c>
      <c r="AI1197">
        <f>VLOOKUP(A:A,[1]android_repos_all_metrics!B:K,10,FALSE)</f>
        <v>50</v>
      </c>
    </row>
    <row r="1198" spans="1:35">
      <c r="A1198" t="s">
        <v>1264</v>
      </c>
      <c r="B1198" t="b">
        <v>0</v>
      </c>
      <c r="C1198" t="b">
        <v>0</v>
      </c>
      <c r="D1198" t="b">
        <v>0</v>
      </c>
      <c r="F1198" t="b">
        <v>0</v>
      </c>
      <c r="H1198" t="s">
        <v>41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>
        <v>1</v>
      </c>
      <c r="AB1198">
        <v>0</v>
      </c>
      <c r="AC1198">
        <f>VLOOKUP(A:A,[1]android_repos_all_metrics!B:K,4,FALSE)</f>
        <v>30</v>
      </c>
      <c r="AD1198">
        <f>VLOOKUP(A:A,[1]android_repos_all_metrics!B:K,5,FALSE)</f>
        <v>0</v>
      </c>
      <c r="AE1198">
        <f>VLOOKUP(A:A,[1]android_repos_all_metrics!B:K,6,FALSE)</f>
        <v>1</v>
      </c>
      <c r="AF1198">
        <f>VLOOKUP(A:A,[1]android_repos_all_metrics!B:K,7,FALSE)</f>
        <v>4880</v>
      </c>
      <c r="AG1198">
        <f>VLOOKUP(A:A,[1]android_repos_all_metrics!B:K,8,FALSE)</f>
        <v>9</v>
      </c>
      <c r="AH1198">
        <f>VLOOKUP(A:A,[1]android_repos_all_metrics!B:K,9,FALSE)</f>
        <v>69</v>
      </c>
      <c r="AI1198">
        <f>VLOOKUP(A:A,[1]android_repos_all_metrics!B:K,10,FALSE)</f>
        <v>0</v>
      </c>
    </row>
    <row r="1199" spans="1:35">
      <c r="A1199" t="s">
        <v>1265</v>
      </c>
      <c r="B1199" t="b">
        <v>1</v>
      </c>
      <c r="C1199" t="b">
        <v>0</v>
      </c>
      <c r="D1199" t="b">
        <v>0</v>
      </c>
      <c r="F1199" t="b">
        <v>0</v>
      </c>
      <c r="H1199" t="s">
        <v>37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>
        <v>2</v>
      </c>
      <c r="AB1199">
        <v>0</v>
      </c>
      <c r="AC1199">
        <f>VLOOKUP(A:A,[1]android_repos_all_metrics!B:K,4,FALSE)</f>
        <v>978</v>
      </c>
      <c r="AD1199">
        <f>VLOOKUP(A:A,[1]android_repos_all_metrics!B:K,5,FALSE)</f>
        <v>169</v>
      </c>
      <c r="AE1199">
        <f>VLOOKUP(A:A,[1]android_repos_all_metrics!B:K,6,FALSE)</f>
        <v>90</v>
      </c>
      <c r="AF1199">
        <f>VLOOKUP(A:A,[1]android_repos_all_metrics!B:K,7,FALSE)</f>
        <v>66552</v>
      </c>
      <c r="AG1199">
        <f>VLOOKUP(A:A,[1]android_repos_all_metrics!B:K,8,FALSE)</f>
        <v>79</v>
      </c>
      <c r="AH1199">
        <f>VLOOKUP(A:A,[1]android_repos_all_metrics!B:K,9,FALSE)</f>
        <v>225</v>
      </c>
      <c r="AI1199">
        <f>VLOOKUP(A:A,[1]android_repos_all_metrics!B:K,10,FALSE)</f>
        <v>69</v>
      </c>
    </row>
    <row r="1200" spans="1:35">
      <c r="A1200" t="s">
        <v>1266</v>
      </c>
      <c r="B1200" t="b">
        <v>1</v>
      </c>
      <c r="C1200" t="b">
        <v>0</v>
      </c>
      <c r="D1200" t="b">
        <v>0</v>
      </c>
      <c r="F1200" t="b">
        <v>0</v>
      </c>
      <c r="H1200" t="s">
        <v>41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>
        <v>1</v>
      </c>
      <c r="AB1200">
        <v>0</v>
      </c>
      <c r="AC1200">
        <f>VLOOKUP(A:A,[1]android_repos_all_metrics!B:K,4,FALSE)</f>
        <v>22</v>
      </c>
      <c r="AD1200">
        <f>VLOOKUP(A:A,[1]android_repos_all_metrics!B:K,5,FALSE)</f>
        <v>4</v>
      </c>
      <c r="AE1200">
        <f>VLOOKUP(A:A,[1]android_repos_all_metrics!B:K,6,FALSE)</f>
        <v>1</v>
      </c>
      <c r="AF1200">
        <f>VLOOKUP(A:A,[1]android_repos_all_metrics!B:K,7,FALSE)</f>
        <v>5770</v>
      </c>
      <c r="AG1200">
        <f>VLOOKUP(A:A,[1]android_repos_all_metrics!B:K,8,FALSE)</f>
        <v>2</v>
      </c>
      <c r="AH1200">
        <f>VLOOKUP(A:A,[1]android_repos_all_metrics!B:K,9,FALSE)</f>
        <v>11</v>
      </c>
      <c r="AI1200">
        <f>VLOOKUP(A:A,[1]android_repos_all_metrics!B:K,10,FALSE)</f>
        <v>0</v>
      </c>
    </row>
    <row r="1201" spans="1:35">
      <c r="A1201" t="s">
        <v>1267</v>
      </c>
      <c r="B1201" t="b">
        <v>0</v>
      </c>
      <c r="C1201" t="b">
        <v>0</v>
      </c>
      <c r="D1201" t="b">
        <v>0</v>
      </c>
      <c r="F1201" t="b">
        <v>0</v>
      </c>
      <c r="H1201" t="s">
        <v>41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>
        <v>1</v>
      </c>
      <c r="AB1201">
        <v>0</v>
      </c>
      <c r="AC1201">
        <f>VLOOKUP(A:A,[1]android_repos_all_metrics!B:K,4,FALSE)</f>
        <v>17</v>
      </c>
      <c r="AD1201">
        <f>VLOOKUP(A:A,[1]android_repos_all_metrics!B:K,5,FALSE)</f>
        <v>0</v>
      </c>
      <c r="AE1201">
        <f>VLOOKUP(A:A,[1]android_repos_all_metrics!B:K,6,FALSE)</f>
        <v>1</v>
      </c>
      <c r="AF1201">
        <f>VLOOKUP(A:A,[1]android_repos_all_metrics!B:K,7,FALSE)</f>
        <v>202</v>
      </c>
      <c r="AG1201">
        <f>VLOOKUP(A:A,[1]android_repos_all_metrics!B:K,8,FALSE)</f>
        <v>29</v>
      </c>
      <c r="AH1201">
        <f>VLOOKUP(A:A,[1]android_repos_all_metrics!B:K,9,FALSE)</f>
        <v>229</v>
      </c>
      <c r="AI1201">
        <f>VLOOKUP(A:A,[1]android_repos_all_metrics!B:K,10,FALSE)</f>
        <v>0</v>
      </c>
    </row>
    <row r="1202" spans="1:35">
      <c r="A1202" t="s">
        <v>1268</v>
      </c>
      <c r="B1202" t="b">
        <v>1</v>
      </c>
      <c r="C1202" t="b">
        <v>0</v>
      </c>
      <c r="D1202" t="b">
        <v>0</v>
      </c>
      <c r="F1202" t="b">
        <v>0</v>
      </c>
      <c r="H1202" t="s">
        <v>37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>
        <v>1</v>
      </c>
      <c r="AB1202">
        <v>0</v>
      </c>
      <c r="AC1202">
        <f>VLOOKUP(A:A,[1]android_repos_all_metrics!B:K,4,FALSE)</f>
        <v>15</v>
      </c>
      <c r="AD1202">
        <f>VLOOKUP(A:A,[1]android_repos_all_metrics!B:K,5,FALSE)</f>
        <v>0</v>
      </c>
      <c r="AE1202">
        <f>VLOOKUP(A:A,[1]android_repos_all_metrics!B:K,6,FALSE)</f>
        <v>1</v>
      </c>
      <c r="AF1202">
        <f>VLOOKUP(A:A,[1]android_repos_all_metrics!B:K,7,FALSE)</f>
        <v>109</v>
      </c>
      <c r="AG1202">
        <f>VLOOKUP(A:A,[1]android_repos_all_metrics!B:K,8,FALSE)</f>
        <v>4</v>
      </c>
      <c r="AH1202">
        <f>VLOOKUP(A:A,[1]android_repos_all_metrics!B:K,9,FALSE)</f>
        <v>10</v>
      </c>
      <c r="AI1202">
        <f>VLOOKUP(A:A,[1]android_repos_all_metrics!B:K,10,FALSE)</f>
        <v>0</v>
      </c>
    </row>
    <row r="1203" spans="1:35">
      <c r="A1203" t="s">
        <v>1269</v>
      </c>
      <c r="B1203" t="b">
        <v>0</v>
      </c>
      <c r="C1203" t="b">
        <v>0</v>
      </c>
      <c r="D1203" t="b">
        <v>0</v>
      </c>
      <c r="F1203" t="b">
        <v>0</v>
      </c>
      <c r="H1203" t="s">
        <v>41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>
        <v>1</v>
      </c>
      <c r="AB1203">
        <v>0</v>
      </c>
      <c r="AC1203">
        <f>VLOOKUP(A:A,[1]android_repos_all_metrics!B:K,4,FALSE)</f>
        <v>280</v>
      </c>
      <c r="AD1203">
        <f>VLOOKUP(A:A,[1]android_repos_all_metrics!B:K,5,FALSE)</f>
        <v>11</v>
      </c>
      <c r="AE1203">
        <f>VLOOKUP(A:A,[1]android_repos_all_metrics!B:K,6,FALSE)</f>
        <v>3</v>
      </c>
      <c r="AF1203">
        <f>VLOOKUP(A:A,[1]android_repos_all_metrics!B:K,7,FALSE)</f>
        <v>18270</v>
      </c>
      <c r="AG1203">
        <f>VLOOKUP(A:A,[1]android_repos_all_metrics!B:K,8,FALSE)</f>
        <v>24</v>
      </c>
      <c r="AH1203">
        <f>VLOOKUP(A:A,[1]android_repos_all_metrics!B:K,9,FALSE)</f>
        <v>60</v>
      </c>
      <c r="AI1203">
        <f>VLOOKUP(A:A,[1]android_repos_all_metrics!B:K,10,FALSE)</f>
        <v>23</v>
      </c>
    </row>
    <row r="1204" spans="1:35">
      <c r="A1204" t="s">
        <v>1270</v>
      </c>
      <c r="B1204" t="b">
        <v>1</v>
      </c>
      <c r="C1204" t="b">
        <v>1</v>
      </c>
      <c r="D1204" t="b">
        <v>0</v>
      </c>
      <c r="F1204" t="b">
        <v>1</v>
      </c>
      <c r="G1204" t="s">
        <v>39</v>
      </c>
      <c r="H1204" t="s">
        <v>41</v>
      </c>
      <c r="I1204" t="s">
        <v>41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>
        <v>1</v>
      </c>
      <c r="AB1204">
        <v>0</v>
      </c>
      <c r="AC1204">
        <f>VLOOKUP(A:A,[1]android_repos_all_metrics!B:K,4,FALSE)</f>
        <v>72</v>
      </c>
      <c r="AD1204">
        <f>VLOOKUP(A:A,[1]android_repos_all_metrics!B:K,5,FALSE)</f>
        <v>1</v>
      </c>
      <c r="AE1204">
        <f>VLOOKUP(A:A,[1]android_repos_all_metrics!B:K,6,FALSE)</f>
        <v>1</v>
      </c>
      <c r="AF1204">
        <f>VLOOKUP(A:A,[1]android_repos_all_metrics!B:K,7,FALSE)</f>
        <v>28519</v>
      </c>
      <c r="AG1204">
        <f>VLOOKUP(A:A,[1]android_repos_all_metrics!B:K,8,FALSE)</f>
        <v>0</v>
      </c>
      <c r="AH1204">
        <f>VLOOKUP(A:A,[1]android_repos_all_metrics!B:K,9,FALSE)</f>
        <v>1</v>
      </c>
      <c r="AI1204">
        <f>VLOOKUP(A:A,[1]android_repos_all_metrics!B:K,10,FALSE)</f>
        <v>0</v>
      </c>
    </row>
    <row r="1205" spans="1:35">
      <c r="A1205" t="s">
        <v>1271</v>
      </c>
      <c r="B1205" t="b">
        <v>1</v>
      </c>
      <c r="C1205" t="b">
        <v>0</v>
      </c>
      <c r="D1205" t="b">
        <v>0</v>
      </c>
      <c r="F1205" t="b">
        <v>0</v>
      </c>
      <c r="H1205" t="s">
        <v>37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>
        <v>1</v>
      </c>
      <c r="AB1205">
        <v>0</v>
      </c>
      <c r="AC1205">
        <f>VLOOKUP(A:A,[1]android_repos_all_metrics!B:K,4,FALSE)</f>
        <v>58</v>
      </c>
      <c r="AD1205">
        <f>VLOOKUP(A:A,[1]android_repos_all_metrics!B:K,5,FALSE)</f>
        <v>8</v>
      </c>
      <c r="AE1205">
        <f>VLOOKUP(A:A,[1]android_repos_all_metrics!B:K,6,FALSE)</f>
        <v>3</v>
      </c>
      <c r="AF1205">
        <f>VLOOKUP(A:A,[1]android_repos_all_metrics!B:K,7,FALSE)</f>
        <v>4710</v>
      </c>
      <c r="AG1205">
        <f>VLOOKUP(A:A,[1]android_repos_all_metrics!B:K,8,FALSE)</f>
        <v>2</v>
      </c>
      <c r="AH1205">
        <f>VLOOKUP(A:A,[1]android_repos_all_metrics!B:K,9,FALSE)</f>
        <v>12</v>
      </c>
      <c r="AI1205">
        <f>VLOOKUP(A:A,[1]android_repos_all_metrics!B:K,10,FALSE)</f>
        <v>2</v>
      </c>
    </row>
    <row r="1206" spans="1:35">
      <c r="A1206" t="s">
        <v>1272</v>
      </c>
      <c r="B1206" t="b">
        <v>1</v>
      </c>
      <c r="C1206" t="b">
        <v>0</v>
      </c>
      <c r="D1206" t="b">
        <v>0</v>
      </c>
      <c r="F1206" t="b">
        <v>0</v>
      </c>
      <c r="H1206" t="s">
        <v>37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>
        <v>3</v>
      </c>
      <c r="AB1206">
        <v>0</v>
      </c>
      <c r="AC1206">
        <f>VLOOKUP(A:A,[1]android_repos_all_metrics!B:K,4,FALSE)</f>
        <v>235</v>
      </c>
      <c r="AD1206">
        <f>VLOOKUP(A:A,[1]android_repos_all_metrics!B:K,5,FALSE)</f>
        <v>168</v>
      </c>
      <c r="AE1206">
        <f>VLOOKUP(A:A,[1]android_repos_all_metrics!B:K,6,FALSE)</f>
        <v>4</v>
      </c>
      <c r="AF1206">
        <f>VLOOKUP(A:A,[1]android_repos_all_metrics!B:K,7,FALSE)</f>
        <v>55244</v>
      </c>
      <c r="AG1206">
        <f>VLOOKUP(A:A,[1]android_repos_all_metrics!B:K,8,FALSE)</f>
        <v>1</v>
      </c>
      <c r="AH1206">
        <f>VLOOKUP(A:A,[1]android_repos_all_metrics!B:K,9,FALSE)</f>
        <v>2</v>
      </c>
      <c r="AI1206">
        <f>VLOOKUP(A:A,[1]android_repos_all_metrics!B:K,10,FALSE)</f>
        <v>10</v>
      </c>
    </row>
    <row r="1207" spans="1:35">
      <c r="A1207" t="s">
        <v>1273</v>
      </c>
      <c r="B1207" t="b">
        <v>1</v>
      </c>
      <c r="C1207" t="b">
        <v>0</v>
      </c>
      <c r="D1207" t="b">
        <v>0</v>
      </c>
      <c r="F1207" t="b">
        <v>0</v>
      </c>
      <c r="H1207" t="s">
        <v>37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>
        <v>1</v>
      </c>
      <c r="AB1207">
        <v>0</v>
      </c>
      <c r="AC1207">
        <f>VLOOKUP(A:A,[1]android_repos_all_metrics!B:K,4,FALSE)</f>
        <v>103</v>
      </c>
      <c r="AD1207">
        <f>VLOOKUP(A:A,[1]android_repos_all_metrics!B:K,5,FALSE)</f>
        <v>27</v>
      </c>
      <c r="AE1207">
        <f>VLOOKUP(A:A,[1]android_repos_all_metrics!B:K,6,FALSE)</f>
        <v>3</v>
      </c>
      <c r="AF1207">
        <f>VLOOKUP(A:A,[1]android_repos_all_metrics!B:K,7,FALSE)</f>
        <v>8081</v>
      </c>
      <c r="AG1207">
        <f>VLOOKUP(A:A,[1]android_repos_all_metrics!B:K,8,FALSE)</f>
        <v>6</v>
      </c>
      <c r="AH1207">
        <f>VLOOKUP(A:A,[1]android_repos_all_metrics!B:K,9,FALSE)</f>
        <v>72</v>
      </c>
      <c r="AI1207">
        <f>VLOOKUP(A:A,[1]android_repos_all_metrics!B:K,10,FALSE)</f>
        <v>2</v>
      </c>
    </row>
    <row r="1208" spans="1:35">
      <c r="A1208" t="s">
        <v>1274</v>
      </c>
      <c r="B1208" t="b">
        <v>1</v>
      </c>
      <c r="C1208" t="b">
        <v>0</v>
      </c>
      <c r="D1208" t="b">
        <v>0</v>
      </c>
      <c r="F1208" t="b">
        <v>0</v>
      </c>
      <c r="H1208" t="s">
        <v>37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>
        <v>1</v>
      </c>
      <c r="AB1208">
        <v>0</v>
      </c>
      <c r="AC1208">
        <f>VLOOKUP(A:A,[1]android_repos_all_metrics!B:K,4,FALSE)</f>
        <v>203</v>
      </c>
      <c r="AD1208">
        <f>VLOOKUP(A:A,[1]android_repos_all_metrics!B:K,5,FALSE)</f>
        <v>15</v>
      </c>
      <c r="AE1208">
        <f>VLOOKUP(A:A,[1]android_repos_all_metrics!B:K,6,FALSE)</f>
        <v>7</v>
      </c>
      <c r="AF1208">
        <f>VLOOKUP(A:A,[1]android_repos_all_metrics!B:K,7,FALSE)</f>
        <v>2134</v>
      </c>
      <c r="AG1208">
        <f>VLOOKUP(A:A,[1]android_repos_all_metrics!B:K,8,FALSE)</f>
        <v>11</v>
      </c>
      <c r="AH1208">
        <f>VLOOKUP(A:A,[1]android_repos_all_metrics!B:K,9,FALSE)</f>
        <v>88</v>
      </c>
      <c r="AI1208">
        <f>VLOOKUP(A:A,[1]android_repos_all_metrics!B:K,10,FALSE)</f>
        <v>16</v>
      </c>
    </row>
    <row r="1209" spans="1:35">
      <c r="A1209" t="s">
        <v>1275</v>
      </c>
      <c r="B1209" t="b">
        <v>1</v>
      </c>
      <c r="C1209" t="b">
        <v>0</v>
      </c>
      <c r="D1209" t="b">
        <v>0</v>
      </c>
      <c r="F1209" t="b">
        <v>0</v>
      </c>
      <c r="H1209" t="s">
        <v>76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>
        <v>1</v>
      </c>
      <c r="AB1209">
        <v>0</v>
      </c>
      <c r="AC1209">
        <f>VLOOKUP(A:A,[1]android_repos_all_metrics!B:K,4,FALSE)</f>
        <v>7803</v>
      </c>
      <c r="AD1209">
        <f>VLOOKUP(A:A,[1]android_repos_all_metrics!B:K,5,FALSE)</f>
        <v>33</v>
      </c>
      <c r="AE1209">
        <f>VLOOKUP(A:A,[1]android_repos_all_metrics!B:K,6,FALSE)</f>
        <v>49</v>
      </c>
      <c r="AF1209">
        <f>VLOOKUP(A:A,[1]android_repos_all_metrics!B:K,7,FALSE)</f>
        <v>88654</v>
      </c>
      <c r="AG1209">
        <f>VLOOKUP(A:A,[1]android_repos_all_metrics!B:K,8,FALSE)</f>
        <v>623</v>
      </c>
      <c r="AH1209">
        <f>VLOOKUP(A:A,[1]android_repos_all_metrics!B:K,9,FALSE)</f>
        <v>961</v>
      </c>
      <c r="AI1209">
        <f>VLOOKUP(A:A,[1]android_repos_all_metrics!B:K,10,FALSE)</f>
        <v>16</v>
      </c>
    </row>
    <row r="1210" spans="1:35">
      <c r="A1210" t="s">
        <v>1276</v>
      </c>
      <c r="B1210" t="b">
        <v>1</v>
      </c>
      <c r="C1210" t="b">
        <v>0</v>
      </c>
      <c r="D1210" t="b">
        <v>0</v>
      </c>
      <c r="F1210" t="b">
        <v>0</v>
      </c>
      <c r="H1210" t="s">
        <v>37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>
        <v>1</v>
      </c>
      <c r="AB1210">
        <v>0</v>
      </c>
      <c r="AC1210">
        <f>VLOOKUP(A:A,[1]android_repos_all_metrics!B:K,4,FALSE)</f>
        <v>54</v>
      </c>
      <c r="AD1210">
        <f>VLOOKUP(A:A,[1]android_repos_all_metrics!B:K,5,FALSE)</f>
        <v>2</v>
      </c>
      <c r="AE1210">
        <f>VLOOKUP(A:A,[1]android_repos_all_metrics!B:K,6,FALSE)</f>
        <v>3</v>
      </c>
      <c r="AF1210">
        <f>VLOOKUP(A:A,[1]android_repos_all_metrics!B:K,7,FALSE)</f>
        <v>14177</v>
      </c>
      <c r="AG1210">
        <f>VLOOKUP(A:A,[1]android_repos_all_metrics!B:K,8,FALSE)</f>
        <v>3</v>
      </c>
      <c r="AH1210">
        <f>VLOOKUP(A:A,[1]android_repos_all_metrics!B:K,9,FALSE)</f>
        <v>21</v>
      </c>
      <c r="AI1210">
        <f>VLOOKUP(A:A,[1]android_repos_all_metrics!B:K,10,FALSE)</f>
        <v>0</v>
      </c>
    </row>
    <row r="1211" spans="1:35">
      <c r="A1211" t="s">
        <v>1277</v>
      </c>
      <c r="B1211" t="b">
        <v>1</v>
      </c>
      <c r="C1211" t="b">
        <v>0</v>
      </c>
      <c r="D1211" t="b">
        <v>0</v>
      </c>
      <c r="F1211" t="b">
        <v>0</v>
      </c>
      <c r="H1211" t="s">
        <v>37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>
        <v>2</v>
      </c>
      <c r="AB1211">
        <v>0</v>
      </c>
      <c r="AC1211">
        <f>VLOOKUP(A:A,[1]android_repos_all_metrics!B:K,4,FALSE)</f>
        <v>1600</v>
      </c>
      <c r="AD1211">
        <f>VLOOKUP(A:A,[1]android_repos_all_metrics!B:K,5,FALSE)</f>
        <v>1</v>
      </c>
      <c r="AE1211">
        <f>VLOOKUP(A:A,[1]android_repos_all_metrics!B:K,6,FALSE)</f>
        <v>1</v>
      </c>
      <c r="AF1211">
        <f>VLOOKUP(A:A,[1]android_repos_all_metrics!B:K,7,FALSE)</f>
        <v>127053</v>
      </c>
      <c r="AG1211">
        <f>VLOOKUP(A:A,[1]android_repos_all_metrics!B:K,8,FALSE)</f>
        <v>5</v>
      </c>
      <c r="AH1211">
        <f>VLOOKUP(A:A,[1]android_repos_all_metrics!B:K,9,FALSE)</f>
        <v>57</v>
      </c>
      <c r="AI1211">
        <f>VLOOKUP(A:A,[1]android_repos_all_metrics!B:K,10,FALSE)</f>
        <v>3</v>
      </c>
    </row>
    <row r="1212" spans="1:35">
      <c r="A1212" t="s">
        <v>1278</v>
      </c>
      <c r="B1212" t="b">
        <v>1</v>
      </c>
      <c r="C1212" t="b">
        <v>0</v>
      </c>
      <c r="D1212" t="b">
        <v>0</v>
      </c>
      <c r="F1212" t="b">
        <v>0</v>
      </c>
      <c r="H1212" t="s">
        <v>37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>
        <v>1</v>
      </c>
      <c r="AB1212">
        <v>0</v>
      </c>
      <c r="AC1212">
        <f>VLOOKUP(A:A,[1]android_repos_all_metrics!B:K,4,FALSE)</f>
        <v>41</v>
      </c>
      <c r="AD1212">
        <f>VLOOKUP(A:A,[1]android_repos_all_metrics!B:K,5,FALSE)</f>
        <v>12</v>
      </c>
      <c r="AE1212">
        <f>VLOOKUP(A:A,[1]android_repos_all_metrics!B:K,6,FALSE)</f>
        <v>4</v>
      </c>
      <c r="AF1212">
        <f>VLOOKUP(A:A,[1]android_repos_all_metrics!B:K,7,FALSE)</f>
        <v>530</v>
      </c>
      <c r="AG1212">
        <f>VLOOKUP(A:A,[1]android_repos_all_metrics!B:K,8,FALSE)</f>
        <v>447</v>
      </c>
      <c r="AH1212">
        <f>VLOOKUP(A:A,[1]android_repos_all_metrics!B:K,9,FALSE)</f>
        <v>2241</v>
      </c>
      <c r="AI1212">
        <f>VLOOKUP(A:A,[1]android_repos_all_metrics!B:K,10,FALSE)</f>
        <v>165</v>
      </c>
    </row>
    <row r="1213" spans="1:35">
      <c r="A1213" t="s">
        <v>1279</v>
      </c>
      <c r="B1213" t="b">
        <v>1</v>
      </c>
      <c r="C1213" t="b">
        <v>0</v>
      </c>
      <c r="D1213" t="b">
        <v>0</v>
      </c>
      <c r="F1213" t="b">
        <v>0</v>
      </c>
      <c r="H1213" t="s">
        <v>37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>
        <v>2</v>
      </c>
      <c r="AB1213">
        <v>0</v>
      </c>
      <c r="AC1213">
        <f>VLOOKUP(A:A,[1]android_repos_all_metrics!B:K,4,FALSE)</f>
        <v>697</v>
      </c>
      <c r="AD1213">
        <f>VLOOKUP(A:A,[1]android_repos_all_metrics!B:K,5,FALSE)</f>
        <v>0</v>
      </c>
      <c r="AE1213">
        <f>VLOOKUP(A:A,[1]android_repos_all_metrics!B:K,6,FALSE)</f>
        <v>1</v>
      </c>
      <c r="AF1213">
        <f>VLOOKUP(A:A,[1]android_repos_all_metrics!B:K,7,FALSE)</f>
        <v>19243</v>
      </c>
      <c r="AG1213">
        <f>VLOOKUP(A:A,[1]android_repos_all_metrics!B:K,8,FALSE)</f>
        <v>0</v>
      </c>
      <c r="AH1213">
        <f>VLOOKUP(A:A,[1]android_repos_all_metrics!B:K,9,FALSE)</f>
        <v>15</v>
      </c>
      <c r="AI1213">
        <f>VLOOKUP(A:A,[1]android_repos_all_metrics!B:K,10,FALSE)</f>
        <v>0</v>
      </c>
    </row>
    <row r="1214" spans="1:35">
      <c r="A1214" t="s">
        <v>1280</v>
      </c>
      <c r="B1214" t="b">
        <v>0</v>
      </c>
      <c r="C1214" t="b">
        <v>0</v>
      </c>
      <c r="D1214" t="b">
        <v>0</v>
      </c>
      <c r="F1214" t="b">
        <v>0</v>
      </c>
      <c r="H1214" t="s">
        <v>41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>
        <v>1</v>
      </c>
      <c r="AB1214">
        <v>0</v>
      </c>
      <c r="AC1214">
        <f>VLOOKUP(A:A,[1]android_repos_all_metrics!B:K,4,FALSE)</f>
        <v>2</v>
      </c>
      <c r="AD1214">
        <f>VLOOKUP(A:A,[1]android_repos_all_metrics!B:K,5,FALSE)</f>
        <v>1</v>
      </c>
      <c r="AE1214">
        <f>VLOOKUP(A:A,[1]android_repos_all_metrics!B:K,6,FALSE)</f>
        <v>1</v>
      </c>
      <c r="AF1214">
        <f>VLOOKUP(A:A,[1]android_repos_all_metrics!B:K,7,FALSE)</f>
        <v>7694</v>
      </c>
      <c r="AG1214">
        <f>VLOOKUP(A:A,[1]android_repos_all_metrics!B:K,8,FALSE)</f>
        <v>0</v>
      </c>
      <c r="AH1214">
        <f>VLOOKUP(A:A,[1]android_repos_all_metrics!B:K,9,FALSE)</f>
        <v>3</v>
      </c>
      <c r="AI1214">
        <f>VLOOKUP(A:A,[1]android_repos_all_metrics!B:K,10,FALSE)</f>
        <v>1</v>
      </c>
    </row>
    <row r="1215" spans="1:35">
      <c r="A1215" t="s">
        <v>1281</v>
      </c>
      <c r="B1215" t="b">
        <v>1</v>
      </c>
      <c r="C1215" t="b">
        <v>0</v>
      </c>
      <c r="D1215" t="b">
        <v>0</v>
      </c>
      <c r="F1215" t="b">
        <v>0</v>
      </c>
      <c r="H1215" t="s">
        <v>37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>
        <v>2</v>
      </c>
      <c r="AB1215">
        <v>0</v>
      </c>
      <c r="AC1215">
        <f>VLOOKUP(A:A,[1]android_repos_all_metrics!B:K,4,FALSE)</f>
        <v>107</v>
      </c>
      <c r="AD1215">
        <f>VLOOKUP(A:A,[1]android_repos_all_metrics!B:K,5,FALSE)</f>
        <v>3</v>
      </c>
      <c r="AE1215">
        <f>VLOOKUP(A:A,[1]android_repos_all_metrics!B:K,6,FALSE)</f>
        <v>4</v>
      </c>
      <c r="AF1215">
        <f>VLOOKUP(A:A,[1]android_repos_all_metrics!B:K,7,FALSE)</f>
        <v>20882</v>
      </c>
      <c r="AG1215">
        <f>VLOOKUP(A:A,[1]android_repos_all_metrics!B:K,8,FALSE)</f>
        <v>8</v>
      </c>
      <c r="AH1215">
        <f>VLOOKUP(A:A,[1]android_repos_all_metrics!B:K,9,FALSE)</f>
        <v>67</v>
      </c>
      <c r="AI1215">
        <f>VLOOKUP(A:A,[1]android_repos_all_metrics!B:K,10,FALSE)</f>
        <v>0</v>
      </c>
    </row>
    <row r="1216" spans="1:35">
      <c r="A1216" t="s">
        <v>1282</v>
      </c>
      <c r="B1216" t="b">
        <v>1</v>
      </c>
      <c r="C1216" t="b">
        <v>0</v>
      </c>
      <c r="D1216" t="b">
        <v>0</v>
      </c>
      <c r="F1216" t="b">
        <v>0</v>
      </c>
      <c r="H1216" t="s">
        <v>37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>
        <v>1</v>
      </c>
      <c r="AB1216">
        <v>0</v>
      </c>
      <c r="AC1216">
        <f>VLOOKUP(A:A,[1]android_repos_all_metrics!B:K,4,FALSE)</f>
        <v>1186</v>
      </c>
      <c r="AD1216">
        <f>VLOOKUP(A:A,[1]android_repos_all_metrics!B:K,5,FALSE)</f>
        <v>4</v>
      </c>
      <c r="AE1216">
        <f>VLOOKUP(A:A,[1]android_repos_all_metrics!B:K,6,FALSE)</f>
        <v>1</v>
      </c>
      <c r="AF1216">
        <f>VLOOKUP(A:A,[1]android_repos_all_metrics!B:K,7,FALSE)</f>
        <v>3043</v>
      </c>
      <c r="AG1216">
        <f>VLOOKUP(A:A,[1]android_repos_all_metrics!B:K,8,FALSE)</f>
        <v>1</v>
      </c>
      <c r="AH1216">
        <f>VLOOKUP(A:A,[1]android_repos_all_metrics!B:K,9,FALSE)</f>
        <v>3</v>
      </c>
      <c r="AI1216">
        <f>VLOOKUP(A:A,[1]android_repos_all_metrics!B:K,10,FALSE)</f>
        <v>0</v>
      </c>
    </row>
    <row r="1217" spans="1:35">
      <c r="A1217" t="s">
        <v>1283</v>
      </c>
      <c r="B1217" t="b">
        <v>1</v>
      </c>
      <c r="C1217" t="b">
        <v>0</v>
      </c>
      <c r="D1217" t="b">
        <v>0</v>
      </c>
      <c r="F1217" t="b">
        <v>0</v>
      </c>
      <c r="H1217" t="s">
        <v>43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>
        <v>1</v>
      </c>
      <c r="AB1217">
        <v>0</v>
      </c>
      <c r="AC1217">
        <f>VLOOKUP(A:A,[1]android_repos_all_metrics!B:K,4,FALSE)</f>
        <v>185</v>
      </c>
      <c r="AD1217">
        <f>VLOOKUP(A:A,[1]android_repos_all_metrics!B:K,5,FALSE)</f>
        <v>33</v>
      </c>
      <c r="AE1217">
        <f>VLOOKUP(A:A,[1]android_repos_all_metrics!B:K,6,FALSE)</f>
        <v>1</v>
      </c>
      <c r="AF1217">
        <f>VLOOKUP(A:A,[1]android_repos_all_metrics!B:K,7,FALSE)</f>
        <v>418</v>
      </c>
      <c r="AG1217">
        <f>VLOOKUP(A:A,[1]android_repos_all_metrics!B:K,8,FALSE)</f>
        <v>18</v>
      </c>
      <c r="AH1217">
        <f>VLOOKUP(A:A,[1]android_repos_all_metrics!B:K,9,FALSE)</f>
        <v>130</v>
      </c>
      <c r="AI1217">
        <f>VLOOKUP(A:A,[1]android_repos_all_metrics!B:K,10,FALSE)</f>
        <v>0</v>
      </c>
    </row>
    <row r="1218" spans="1:35">
      <c r="A1218" t="s">
        <v>1284</v>
      </c>
      <c r="B1218" t="b">
        <v>1</v>
      </c>
      <c r="C1218" t="b">
        <v>1</v>
      </c>
      <c r="D1218" t="b">
        <v>0</v>
      </c>
      <c r="F1218" t="b">
        <v>1</v>
      </c>
      <c r="G1218" t="s">
        <v>39</v>
      </c>
      <c r="H1218" t="s">
        <v>41</v>
      </c>
      <c r="I1218" t="s">
        <v>41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>
        <v>1</v>
      </c>
      <c r="AB1218">
        <v>0</v>
      </c>
      <c r="AC1218">
        <f>VLOOKUP(A:A,[1]android_repos_all_metrics!B:K,4,FALSE)</f>
        <v>70</v>
      </c>
      <c r="AD1218">
        <f>VLOOKUP(A:A,[1]android_repos_all_metrics!B:K,5,FALSE)</f>
        <v>2</v>
      </c>
      <c r="AE1218">
        <f>VLOOKUP(A:A,[1]android_repos_all_metrics!B:K,6,FALSE)</f>
        <v>2</v>
      </c>
      <c r="AF1218">
        <f>VLOOKUP(A:A,[1]android_repos_all_metrics!B:K,7,FALSE)</f>
        <v>816</v>
      </c>
      <c r="AG1218">
        <f>VLOOKUP(A:A,[1]android_repos_all_metrics!B:K,8,FALSE)</f>
        <v>31</v>
      </c>
      <c r="AH1218">
        <f>VLOOKUP(A:A,[1]android_repos_all_metrics!B:K,9,FALSE)</f>
        <v>186</v>
      </c>
      <c r="AI1218">
        <f>VLOOKUP(A:A,[1]android_repos_all_metrics!B:K,10,FALSE)</f>
        <v>0</v>
      </c>
    </row>
    <row r="1219" spans="1:35">
      <c r="A1219" t="s">
        <v>1285</v>
      </c>
      <c r="B1219" t="b">
        <v>1</v>
      </c>
      <c r="C1219" t="b">
        <v>0</v>
      </c>
      <c r="D1219" t="b">
        <v>0</v>
      </c>
      <c r="F1219" t="b">
        <v>0</v>
      </c>
      <c r="H1219" t="s">
        <v>37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>
        <v>4</v>
      </c>
      <c r="AB1219">
        <v>0</v>
      </c>
      <c r="AC1219">
        <f>VLOOKUP(A:A,[1]android_repos_all_metrics!B:K,4,FALSE)</f>
        <v>683</v>
      </c>
      <c r="AD1219">
        <f>VLOOKUP(A:A,[1]android_repos_all_metrics!B:K,5,FALSE)</f>
        <v>136</v>
      </c>
      <c r="AE1219">
        <f>VLOOKUP(A:A,[1]android_repos_all_metrics!B:K,6,FALSE)</f>
        <v>199</v>
      </c>
      <c r="AF1219">
        <f>VLOOKUP(A:A,[1]android_repos_all_metrics!B:K,7,FALSE)</f>
        <v>3536</v>
      </c>
      <c r="AG1219">
        <f>VLOOKUP(A:A,[1]android_repos_all_metrics!B:K,8,FALSE)</f>
        <v>622</v>
      </c>
      <c r="AH1219">
        <f>VLOOKUP(A:A,[1]android_repos_all_metrics!B:K,9,FALSE)</f>
        <v>12111</v>
      </c>
      <c r="AI1219">
        <f>VLOOKUP(A:A,[1]android_repos_all_metrics!B:K,10,FALSE)</f>
        <v>181</v>
      </c>
    </row>
    <row r="1220" spans="1:35">
      <c r="A1220" t="s">
        <v>1286</v>
      </c>
      <c r="B1220" t="b">
        <v>0</v>
      </c>
      <c r="C1220" t="b">
        <v>0</v>
      </c>
      <c r="D1220" t="b">
        <v>0</v>
      </c>
      <c r="F1220" t="b">
        <v>0</v>
      </c>
      <c r="H1220" t="s">
        <v>41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>
        <v>1</v>
      </c>
      <c r="AB1220">
        <v>0</v>
      </c>
      <c r="AC1220">
        <f>VLOOKUP(A:A,[1]android_repos_all_metrics!B:K,4,FALSE)</f>
        <v>165</v>
      </c>
      <c r="AD1220">
        <f>VLOOKUP(A:A,[1]android_repos_all_metrics!B:K,5,FALSE)</f>
        <v>3</v>
      </c>
      <c r="AE1220">
        <f>VLOOKUP(A:A,[1]android_repos_all_metrics!B:K,6,FALSE)</f>
        <v>3</v>
      </c>
      <c r="AF1220">
        <f>VLOOKUP(A:A,[1]android_repos_all_metrics!B:K,7,FALSE)</f>
        <v>1598</v>
      </c>
      <c r="AG1220">
        <f>VLOOKUP(A:A,[1]android_repos_all_metrics!B:K,8,FALSE)</f>
        <v>11</v>
      </c>
      <c r="AH1220">
        <f>VLOOKUP(A:A,[1]android_repos_all_metrics!B:K,9,FALSE)</f>
        <v>35</v>
      </c>
      <c r="AI1220">
        <f>VLOOKUP(A:A,[1]android_repos_all_metrics!B:K,10,FALSE)</f>
        <v>12</v>
      </c>
    </row>
    <row r="1221" spans="1:35">
      <c r="A1221" t="s">
        <v>1287</v>
      </c>
      <c r="B1221" t="b">
        <v>1</v>
      </c>
      <c r="C1221" t="b">
        <v>0</v>
      </c>
      <c r="D1221" t="b">
        <v>0</v>
      </c>
      <c r="F1221" t="b">
        <v>0</v>
      </c>
      <c r="H1221" t="s">
        <v>86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>
        <v>2</v>
      </c>
      <c r="AB1221">
        <v>0</v>
      </c>
      <c r="AC1221">
        <f>VLOOKUP(A:A,[1]android_repos_all_metrics!B:K,4,FALSE)</f>
        <v>68</v>
      </c>
      <c r="AD1221">
        <f>VLOOKUP(A:A,[1]android_repos_all_metrics!B:K,5,FALSE)</f>
        <v>0</v>
      </c>
      <c r="AE1221">
        <f>VLOOKUP(A:A,[1]android_repos_all_metrics!B:K,6,FALSE)</f>
        <v>1</v>
      </c>
      <c r="AF1221">
        <f>VLOOKUP(A:A,[1]android_repos_all_metrics!B:K,7,FALSE)</f>
        <v>2883</v>
      </c>
      <c r="AG1221">
        <f>VLOOKUP(A:A,[1]android_repos_all_metrics!B:K,8,FALSE)</f>
        <v>5</v>
      </c>
      <c r="AH1221">
        <f>VLOOKUP(A:A,[1]android_repos_all_metrics!B:K,9,FALSE)</f>
        <v>17</v>
      </c>
      <c r="AI1221">
        <f>VLOOKUP(A:A,[1]android_repos_all_metrics!B:K,10,FALSE)</f>
        <v>5</v>
      </c>
    </row>
    <row r="1222" spans="1:35">
      <c r="A1222" t="s">
        <v>1288</v>
      </c>
      <c r="B1222" t="b">
        <v>1</v>
      </c>
      <c r="C1222" t="b">
        <v>0</v>
      </c>
      <c r="D1222" t="b">
        <v>0</v>
      </c>
      <c r="F1222" t="b">
        <v>0</v>
      </c>
      <c r="H1222" t="s">
        <v>37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>
        <v>1</v>
      </c>
      <c r="AB1222">
        <v>0</v>
      </c>
      <c r="AC1222">
        <f>VLOOKUP(A:A,[1]android_repos_all_metrics!B:K,4,FALSE)</f>
        <v>36</v>
      </c>
      <c r="AD1222">
        <f>VLOOKUP(A:A,[1]android_repos_all_metrics!B:K,5,FALSE)</f>
        <v>0</v>
      </c>
      <c r="AE1222">
        <f>VLOOKUP(A:A,[1]android_repos_all_metrics!B:K,6,FALSE)</f>
        <v>2</v>
      </c>
      <c r="AF1222">
        <f>VLOOKUP(A:A,[1]android_repos_all_metrics!B:K,7,FALSE)</f>
        <v>50088</v>
      </c>
      <c r="AG1222">
        <f>VLOOKUP(A:A,[1]android_repos_all_metrics!B:K,8,FALSE)</f>
        <v>71</v>
      </c>
      <c r="AH1222">
        <f>VLOOKUP(A:A,[1]android_repos_all_metrics!B:K,9,FALSE)</f>
        <v>578</v>
      </c>
      <c r="AI1222">
        <f>VLOOKUP(A:A,[1]android_repos_all_metrics!B:K,10,FALSE)</f>
        <v>1</v>
      </c>
    </row>
    <row r="1223" spans="1:35">
      <c r="A1223" t="s">
        <v>1289</v>
      </c>
      <c r="B1223" t="b">
        <v>1</v>
      </c>
      <c r="C1223" t="b">
        <v>0</v>
      </c>
      <c r="D1223" t="b">
        <v>0</v>
      </c>
      <c r="F1223" t="b">
        <v>0</v>
      </c>
      <c r="H1223" t="s">
        <v>41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>
        <v>1</v>
      </c>
      <c r="AB1223">
        <v>0</v>
      </c>
      <c r="AC1223">
        <f>VLOOKUP(A:A,[1]android_repos_all_metrics!B:K,4,FALSE)</f>
        <v>668</v>
      </c>
      <c r="AD1223">
        <f>VLOOKUP(A:A,[1]android_repos_all_metrics!B:K,5,FALSE)</f>
        <v>19</v>
      </c>
      <c r="AE1223">
        <f>VLOOKUP(A:A,[1]android_repos_all_metrics!B:K,6,FALSE)</f>
        <v>11</v>
      </c>
      <c r="AF1223">
        <f>VLOOKUP(A:A,[1]android_repos_all_metrics!B:K,7,FALSE)</f>
        <v>4573</v>
      </c>
      <c r="AG1223">
        <f>VLOOKUP(A:A,[1]android_repos_all_metrics!B:K,8,FALSE)</f>
        <v>95</v>
      </c>
      <c r="AH1223">
        <f>VLOOKUP(A:A,[1]android_repos_all_metrics!B:K,9,FALSE)</f>
        <v>457</v>
      </c>
      <c r="AI1223">
        <f>VLOOKUP(A:A,[1]android_repos_all_metrics!B:K,10,FALSE)</f>
        <v>29</v>
      </c>
    </row>
    <row r="1224" spans="1:35">
      <c r="A1224" t="s">
        <v>1290</v>
      </c>
      <c r="B1224" t="b">
        <v>1</v>
      </c>
      <c r="C1224" t="b">
        <v>0</v>
      </c>
      <c r="D1224" t="b">
        <v>0</v>
      </c>
      <c r="F1224" t="b">
        <v>0</v>
      </c>
      <c r="H1224" t="s">
        <v>37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>
        <v>2</v>
      </c>
      <c r="AB1224">
        <v>0</v>
      </c>
      <c r="AC1224">
        <f>VLOOKUP(A:A,[1]android_repos_all_metrics!B:K,4,FALSE)</f>
        <v>52</v>
      </c>
      <c r="AD1224">
        <f>VLOOKUP(A:A,[1]android_repos_all_metrics!B:K,5,FALSE)</f>
        <v>0</v>
      </c>
      <c r="AE1224">
        <f>VLOOKUP(A:A,[1]android_repos_all_metrics!B:K,6,FALSE)</f>
        <v>1</v>
      </c>
      <c r="AF1224">
        <f>VLOOKUP(A:A,[1]android_repos_all_metrics!B:K,7,FALSE)</f>
        <v>1613</v>
      </c>
      <c r="AG1224">
        <f>VLOOKUP(A:A,[1]android_repos_all_metrics!B:K,8,FALSE)</f>
        <v>1</v>
      </c>
      <c r="AH1224">
        <f>VLOOKUP(A:A,[1]android_repos_all_metrics!B:K,9,FALSE)</f>
        <v>3</v>
      </c>
      <c r="AI1224">
        <f>VLOOKUP(A:A,[1]android_repos_all_metrics!B:K,10,FALSE)</f>
        <v>0</v>
      </c>
    </row>
    <row r="1225" spans="1:35">
      <c r="A1225" t="s">
        <v>1291</v>
      </c>
      <c r="B1225" t="b">
        <v>1</v>
      </c>
      <c r="C1225" t="b">
        <v>0</v>
      </c>
      <c r="D1225" t="b">
        <v>0</v>
      </c>
      <c r="F1225" t="b">
        <v>0</v>
      </c>
      <c r="H1225" t="s">
        <v>41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>
        <v>1</v>
      </c>
      <c r="AB1225">
        <v>0</v>
      </c>
      <c r="AC1225">
        <f>VLOOKUP(A:A,[1]android_repos_all_metrics!B:K,4,FALSE)</f>
        <v>159</v>
      </c>
      <c r="AD1225">
        <f>VLOOKUP(A:A,[1]android_repos_all_metrics!B:K,5,FALSE)</f>
        <v>23</v>
      </c>
      <c r="AE1225">
        <f>VLOOKUP(A:A,[1]android_repos_all_metrics!B:K,6,FALSE)</f>
        <v>6</v>
      </c>
      <c r="AF1225">
        <f>VLOOKUP(A:A,[1]android_repos_all_metrics!B:K,7,FALSE)</f>
        <v>34156</v>
      </c>
      <c r="AG1225">
        <f>VLOOKUP(A:A,[1]android_repos_all_metrics!B:K,8,FALSE)</f>
        <v>97</v>
      </c>
      <c r="AH1225">
        <f>VLOOKUP(A:A,[1]android_repos_all_metrics!B:K,9,FALSE)</f>
        <v>1269</v>
      </c>
      <c r="AI1225">
        <f>VLOOKUP(A:A,[1]android_repos_all_metrics!B:K,10,FALSE)</f>
        <v>9</v>
      </c>
    </row>
    <row r="1226" spans="1:35">
      <c r="A1226" t="s">
        <v>1292</v>
      </c>
      <c r="B1226" t="b">
        <v>1</v>
      </c>
      <c r="C1226" t="b">
        <v>0</v>
      </c>
      <c r="D1226" t="b">
        <v>0</v>
      </c>
      <c r="F1226" t="b">
        <v>0</v>
      </c>
      <c r="H1226" t="s">
        <v>37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>
        <v>1</v>
      </c>
      <c r="AB1226">
        <v>0</v>
      </c>
      <c r="AC1226">
        <f>VLOOKUP(A:A,[1]android_repos_all_metrics!B:K,4,FALSE)</f>
        <v>5</v>
      </c>
      <c r="AD1226">
        <f>VLOOKUP(A:A,[1]android_repos_all_metrics!B:K,5,FALSE)</f>
        <v>0</v>
      </c>
      <c r="AE1226">
        <f>VLOOKUP(A:A,[1]android_repos_all_metrics!B:K,6,FALSE)</f>
        <v>1</v>
      </c>
      <c r="AF1226">
        <f>VLOOKUP(A:A,[1]android_repos_all_metrics!B:K,7,FALSE)</f>
        <v>138</v>
      </c>
      <c r="AG1226">
        <f>VLOOKUP(A:A,[1]android_repos_all_metrics!B:K,8,FALSE)</f>
        <v>0</v>
      </c>
      <c r="AH1226">
        <f>VLOOKUP(A:A,[1]android_repos_all_metrics!B:K,9,FALSE)</f>
        <v>2</v>
      </c>
      <c r="AI1226">
        <f>VLOOKUP(A:A,[1]android_repos_all_metrics!B:K,10,FALSE)</f>
        <v>1</v>
      </c>
    </row>
    <row r="1227" spans="1:35">
      <c r="A1227" t="s">
        <v>1293</v>
      </c>
      <c r="B1227" t="b">
        <v>1</v>
      </c>
      <c r="C1227" t="b">
        <v>0</v>
      </c>
      <c r="D1227" t="b">
        <v>0</v>
      </c>
      <c r="F1227" t="b">
        <v>0</v>
      </c>
      <c r="H1227" t="s">
        <v>41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>
        <v>1</v>
      </c>
      <c r="AB1227">
        <v>0</v>
      </c>
      <c r="AC1227">
        <f>VLOOKUP(A:A,[1]android_repos_all_metrics!B:K,4,FALSE)</f>
        <v>270</v>
      </c>
      <c r="AD1227">
        <f>VLOOKUP(A:A,[1]android_repos_all_metrics!B:K,5,FALSE)</f>
        <v>9</v>
      </c>
      <c r="AE1227">
        <f>VLOOKUP(A:A,[1]android_repos_all_metrics!B:K,6,FALSE)</f>
        <v>6</v>
      </c>
      <c r="AF1227">
        <f>VLOOKUP(A:A,[1]android_repos_all_metrics!B:K,7,FALSE)</f>
        <v>3894</v>
      </c>
      <c r="AG1227">
        <f>VLOOKUP(A:A,[1]android_repos_all_metrics!B:K,8,FALSE)</f>
        <v>11</v>
      </c>
      <c r="AH1227">
        <f>VLOOKUP(A:A,[1]android_repos_all_metrics!B:K,9,FALSE)</f>
        <v>14</v>
      </c>
      <c r="AI1227">
        <f>VLOOKUP(A:A,[1]android_repos_all_metrics!B:K,10,FALSE)</f>
        <v>9</v>
      </c>
    </row>
    <row r="1228" spans="1:35">
      <c r="A1228" t="s">
        <v>1294</v>
      </c>
      <c r="B1228" t="b">
        <v>1</v>
      </c>
      <c r="C1228" t="b">
        <v>1</v>
      </c>
      <c r="D1228" t="b">
        <v>0</v>
      </c>
      <c r="F1228" t="b">
        <v>1</v>
      </c>
      <c r="G1228" t="s">
        <v>39</v>
      </c>
      <c r="H1228" t="s">
        <v>41</v>
      </c>
      <c r="I1228" t="s">
        <v>41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>
        <v>1</v>
      </c>
      <c r="AB1228">
        <v>0</v>
      </c>
      <c r="AC1228">
        <f>VLOOKUP(A:A,[1]android_repos_all_metrics!B:K,4,FALSE)</f>
        <v>17</v>
      </c>
      <c r="AD1228">
        <f>VLOOKUP(A:A,[1]android_repos_all_metrics!B:K,5,FALSE)</f>
        <v>0</v>
      </c>
      <c r="AE1228">
        <f>VLOOKUP(A:A,[1]android_repos_all_metrics!B:K,6,FALSE)</f>
        <v>1</v>
      </c>
      <c r="AF1228">
        <f>VLOOKUP(A:A,[1]android_repos_all_metrics!B:K,7,FALSE)</f>
        <v>145</v>
      </c>
      <c r="AG1228">
        <f>VLOOKUP(A:A,[1]android_repos_all_metrics!B:K,8,FALSE)</f>
        <v>0</v>
      </c>
      <c r="AH1228">
        <f>VLOOKUP(A:A,[1]android_repos_all_metrics!B:K,9,FALSE)</f>
        <v>2</v>
      </c>
      <c r="AI1228">
        <f>VLOOKUP(A:A,[1]android_repos_all_metrics!B:K,10,FALSE)</f>
        <v>0</v>
      </c>
    </row>
    <row r="1229" spans="1:35">
      <c r="A1229" t="s">
        <v>1295</v>
      </c>
      <c r="B1229" t="b">
        <v>1</v>
      </c>
      <c r="C1229" t="b">
        <v>0</v>
      </c>
      <c r="D1229" t="b">
        <v>0</v>
      </c>
      <c r="F1229" t="b">
        <v>0</v>
      </c>
      <c r="H1229" t="s">
        <v>37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>
        <v>1</v>
      </c>
      <c r="AB1229">
        <v>0</v>
      </c>
      <c r="AC1229">
        <f>VLOOKUP(A:A,[1]android_repos_all_metrics!B:K,4,FALSE)</f>
        <v>91</v>
      </c>
      <c r="AD1229">
        <f>VLOOKUP(A:A,[1]android_repos_all_metrics!B:K,5,FALSE)</f>
        <v>0</v>
      </c>
      <c r="AE1229">
        <f>VLOOKUP(A:A,[1]android_repos_all_metrics!B:K,6,FALSE)</f>
        <v>1</v>
      </c>
      <c r="AF1229">
        <f>VLOOKUP(A:A,[1]android_repos_all_metrics!B:K,7,FALSE)</f>
        <v>36212</v>
      </c>
      <c r="AG1229">
        <f>VLOOKUP(A:A,[1]android_repos_all_metrics!B:K,8,FALSE)</f>
        <v>24</v>
      </c>
      <c r="AH1229">
        <f>VLOOKUP(A:A,[1]android_repos_all_metrics!B:K,9,FALSE)</f>
        <v>103</v>
      </c>
      <c r="AI1229">
        <f>VLOOKUP(A:A,[1]android_repos_all_metrics!B:K,10,FALSE)</f>
        <v>0</v>
      </c>
    </row>
    <row r="1230" spans="1:35">
      <c r="A1230" t="s">
        <v>1296</v>
      </c>
      <c r="B1230" t="b">
        <v>1</v>
      </c>
      <c r="C1230" t="b">
        <v>0</v>
      </c>
      <c r="D1230" t="b">
        <v>0</v>
      </c>
      <c r="F1230" t="b">
        <v>0</v>
      </c>
      <c r="H1230" t="s">
        <v>37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>
        <v>2</v>
      </c>
      <c r="AB1230">
        <v>0</v>
      </c>
      <c r="AC1230">
        <f>VLOOKUP(A:A,[1]android_repos_all_metrics!B:K,4,FALSE)</f>
        <v>448</v>
      </c>
      <c r="AD1230">
        <f>VLOOKUP(A:A,[1]android_repos_all_metrics!B:K,5,FALSE)</f>
        <v>8</v>
      </c>
      <c r="AE1230">
        <f>VLOOKUP(A:A,[1]android_repos_all_metrics!B:K,6,FALSE)</f>
        <v>1</v>
      </c>
      <c r="AF1230">
        <f>VLOOKUP(A:A,[1]android_repos_all_metrics!B:K,7,FALSE)</f>
        <v>5396</v>
      </c>
      <c r="AG1230">
        <f>VLOOKUP(A:A,[1]android_repos_all_metrics!B:K,8,FALSE)</f>
        <v>4</v>
      </c>
      <c r="AH1230">
        <f>VLOOKUP(A:A,[1]android_repos_all_metrics!B:K,9,FALSE)</f>
        <v>13</v>
      </c>
      <c r="AI1230">
        <f>VLOOKUP(A:A,[1]android_repos_all_metrics!B:K,10,FALSE)</f>
        <v>2</v>
      </c>
    </row>
    <row r="1231" spans="1:35">
      <c r="A1231" t="s">
        <v>1297</v>
      </c>
      <c r="B1231" t="b">
        <v>1</v>
      </c>
      <c r="C1231" t="b">
        <v>0</v>
      </c>
      <c r="D1231" t="b">
        <v>0</v>
      </c>
      <c r="F1231" t="b">
        <v>0</v>
      </c>
      <c r="H1231" t="s">
        <v>37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>
        <v>1</v>
      </c>
      <c r="AB1231">
        <v>0</v>
      </c>
      <c r="AC1231">
        <f>VLOOKUP(A:A,[1]android_repos_all_metrics!B:K,4,FALSE)</f>
        <v>67</v>
      </c>
      <c r="AD1231">
        <f>VLOOKUP(A:A,[1]android_repos_all_metrics!B:K,5,FALSE)</f>
        <v>0</v>
      </c>
      <c r="AE1231">
        <f>VLOOKUP(A:A,[1]android_repos_all_metrics!B:K,6,FALSE)</f>
        <v>1</v>
      </c>
      <c r="AF1231">
        <f>VLOOKUP(A:A,[1]android_repos_all_metrics!B:K,7,FALSE)</f>
        <v>15604</v>
      </c>
      <c r="AG1231">
        <f>VLOOKUP(A:A,[1]android_repos_all_metrics!B:K,8,FALSE)</f>
        <v>10</v>
      </c>
      <c r="AH1231">
        <f>VLOOKUP(A:A,[1]android_repos_all_metrics!B:K,9,FALSE)</f>
        <v>83</v>
      </c>
      <c r="AI1231">
        <f>VLOOKUP(A:A,[1]android_repos_all_metrics!B:K,10,FALSE)</f>
        <v>1</v>
      </c>
    </row>
    <row r="1232" spans="1:35">
      <c r="A1232" t="s">
        <v>1298</v>
      </c>
      <c r="B1232" t="b">
        <v>1</v>
      </c>
      <c r="C1232" t="b">
        <v>0</v>
      </c>
      <c r="D1232" t="b">
        <v>0</v>
      </c>
      <c r="F1232" t="b">
        <v>0</v>
      </c>
      <c r="H1232" t="s">
        <v>41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>
        <v>1</v>
      </c>
      <c r="AB1232">
        <v>0</v>
      </c>
      <c r="AC1232">
        <f>VLOOKUP(A:A,[1]android_repos_all_metrics!B:K,4,FALSE)</f>
        <v>101</v>
      </c>
      <c r="AD1232">
        <f>VLOOKUP(A:A,[1]android_repos_all_metrics!B:K,5,FALSE)</f>
        <v>5</v>
      </c>
      <c r="AE1232">
        <f>VLOOKUP(A:A,[1]android_repos_all_metrics!B:K,6,FALSE)</f>
        <v>5</v>
      </c>
      <c r="AF1232">
        <f>VLOOKUP(A:A,[1]android_repos_all_metrics!B:K,7,FALSE)</f>
        <v>2913</v>
      </c>
      <c r="AG1232">
        <f>VLOOKUP(A:A,[1]android_repos_all_metrics!B:K,8,FALSE)</f>
        <v>7</v>
      </c>
      <c r="AH1232">
        <f>VLOOKUP(A:A,[1]android_repos_all_metrics!B:K,9,FALSE)</f>
        <v>41</v>
      </c>
      <c r="AI1232">
        <f>VLOOKUP(A:A,[1]android_repos_all_metrics!B:K,10,FALSE)</f>
        <v>8</v>
      </c>
    </row>
    <row r="1233" spans="1:35">
      <c r="A1233" t="s">
        <v>1299</v>
      </c>
      <c r="B1233" t="b">
        <v>1</v>
      </c>
      <c r="C1233" t="b">
        <v>0</v>
      </c>
      <c r="D1233" t="b">
        <v>0</v>
      </c>
      <c r="F1233" t="b">
        <v>0</v>
      </c>
      <c r="H1233" t="s">
        <v>37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>
        <v>1</v>
      </c>
      <c r="AB1233">
        <v>0</v>
      </c>
      <c r="AC1233">
        <f>VLOOKUP(A:A,[1]android_repos_all_metrics!B:K,4,FALSE)</f>
        <v>130</v>
      </c>
      <c r="AD1233">
        <f>VLOOKUP(A:A,[1]android_repos_all_metrics!B:K,5,FALSE)</f>
        <v>114</v>
      </c>
      <c r="AE1233">
        <f>VLOOKUP(A:A,[1]android_repos_all_metrics!B:K,6,FALSE)</f>
        <v>2</v>
      </c>
      <c r="AF1233">
        <f>VLOOKUP(A:A,[1]android_repos_all_metrics!B:K,7,FALSE)</f>
        <v>2536</v>
      </c>
      <c r="AG1233">
        <f>VLOOKUP(A:A,[1]android_repos_all_metrics!B:K,8,FALSE)</f>
        <v>1</v>
      </c>
      <c r="AH1233">
        <f>VLOOKUP(A:A,[1]android_repos_all_metrics!B:K,9,FALSE)</f>
        <v>7</v>
      </c>
      <c r="AI1233">
        <f>VLOOKUP(A:A,[1]android_repos_all_metrics!B:K,10,FALSE)</f>
        <v>14</v>
      </c>
    </row>
    <row r="1234" spans="1:35">
      <c r="A1234" t="s">
        <v>1300</v>
      </c>
      <c r="B1234" t="b">
        <v>1</v>
      </c>
      <c r="C1234" t="b">
        <v>0</v>
      </c>
      <c r="D1234" t="b">
        <v>0</v>
      </c>
      <c r="F1234" t="b">
        <v>0</v>
      </c>
      <c r="H1234" t="s">
        <v>37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>
        <v>1</v>
      </c>
      <c r="AB1234">
        <v>0</v>
      </c>
      <c r="AC1234">
        <f>VLOOKUP(A:A,[1]android_repos_all_metrics!B:K,4,FALSE)</f>
        <v>628</v>
      </c>
      <c r="AD1234">
        <f>VLOOKUP(A:A,[1]android_repos_all_metrics!B:K,5,FALSE)</f>
        <v>224</v>
      </c>
      <c r="AE1234">
        <f>VLOOKUP(A:A,[1]android_repos_all_metrics!B:K,6,FALSE)</f>
        <v>12</v>
      </c>
      <c r="AF1234">
        <f>VLOOKUP(A:A,[1]android_repos_all_metrics!B:K,7,FALSE)</f>
        <v>4119</v>
      </c>
      <c r="AG1234">
        <f>VLOOKUP(A:A,[1]android_repos_all_metrics!B:K,8,FALSE)</f>
        <v>28</v>
      </c>
      <c r="AH1234">
        <f>VLOOKUP(A:A,[1]android_repos_all_metrics!B:K,9,FALSE)</f>
        <v>166</v>
      </c>
      <c r="AI1234">
        <f>VLOOKUP(A:A,[1]android_repos_all_metrics!B:K,10,FALSE)</f>
        <v>61</v>
      </c>
    </row>
    <row r="1235" spans="1:35">
      <c r="A1235" t="s">
        <v>1301</v>
      </c>
      <c r="B1235" t="b">
        <v>1</v>
      </c>
      <c r="C1235" t="b">
        <v>0</v>
      </c>
      <c r="D1235" t="b">
        <v>0</v>
      </c>
      <c r="F1235" t="b">
        <v>0</v>
      </c>
      <c r="H1235" t="s">
        <v>40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>
        <v>2</v>
      </c>
      <c r="AB1235">
        <v>0</v>
      </c>
      <c r="AC1235">
        <f>VLOOKUP(A:A,[1]android_repos_all_metrics!B:K,4,FALSE)</f>
        <v>493</v>
      </c>
      <c r="AD1235">
        <f>VLOOKUP(A:A,[1]android_repos_all_metrics!B:K,5,FALSE)</f>
        <v>189</v>
      </c>
      <c r="AE1235">
        <f>VLOOKUP(A:A,[1]android_repos_all_metrics!B:K,6,FALSE)</f>
        <v>7</v>
      </c>
      <c r="AF1235">
        <f>VLOOKUP(A:A,[1]android_repos_all_metrics!B:K,7,FALSE)</f>
        <v>21551</v>
      </c>
      <c r="AG1235">
        <f>VLOOKUP(A:A,[1]android_repos_all_metrics!B:K,8,FALSE)</f>
        <v>10</v>
      </c>
      <c r="AH1235">
        <f>VLOOKUP(A:A,[1]android_repos_all_metrics!B:K,9,FALSE)</f>
        <v>47</v>
      </c>
      <c r="AI1235">
        <f>VLOOKUP(A:A,[1]android_repos_all_metrics!B:K,10,FALSE)</f>
        <v>16</v>
      </c>
    </row>
    <row r="1236" spans="1:35">
      <c r="A1236" t="s">
        <v>1302</v>
      </c>
      <c r="B1236" t="b">
        <v>1</v>
      </c>
      <c r="C1236" t="b">
        <v>0</v>
      </c>
      <c r="D1236" t="b">
        <v>0</v>
      </c>
      <c r="F1236" t="b">
        <v>0</v>
      </c>
      <c r="H1236" t="s">
        <v>37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>
        <v>1</v>
      </c>
      <c r="AB1236">
        <v>0</v>
      </c>
      <c r="AC1236">
        <f>VLOOKUP(A:A,[1]android_repos_all_metrics!B:K,4,FALSE)</f>
        <v>0</v>
      </c>
      <c r="AD1236">
        <f>VLOOKUP(A:A,[1]android_repos_all_metrics!B:K,5,FALSE)</f>
        <v>0</v>
      </c>
      <c r="AE1236">
        <f>VLOOKUP(A:A,[1]android_repos_all_metrics!B:K,6,FALSE)</f>
        <v>0</v>
      </c>
      <c r="AF1236">
        <f>VLOOKUP(A:A,[1]android_repos_all_metrics!B:K,7,FALSE)</f>
        <v>49029</v>
      </c>
      <c r="AG1236">
        <f>VLOOKUP(A:A,[1]android_repos_all_metrics!B:K,8,FALSE)</f>
        <v>81</v>
      </c>
      <c r="AH1236">
        <f>VLOOKUP(A:A,[1]android_repos_all_metrics!B:K,9,FALSE)</f>
        <v>516</v>
      </c>
      <c r="AI1236">
        <f>VLOOKUP(A:A,[1]android_repos_all_metrics!B:K,10,FALSE)</f>
        <v>30</v>
      </c>
    </row>
    <row r="1237" spans="1:35">
      <c r="A1237" t="s">
        <v>1303</v>
      </c>
      <c r="B1237" t="b">
        <v>1</v>
      </c>
      <c r="C1237" t="b">
        <v>0</v>
      </c>
      <c r="D1237" t="b">
        <v>0</v>
      </c>
      <c r="F1237" t="b">
        <v>0</v>
      </c>
      <c r="H1237" t="s">
        <v>41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>
        <v>1</v>
      </c>
      <c r="AB1237">
        <v>0</v>
      </c>
      <c r="AC1237">
        <f>VLOOKUP(A:A,[1]android_repos_all_metrics!B:K,4,FALSE)</f>
        <v>32</v>
      </c>
      <c r="AD1237">
        <f>VLOOKUP(A:A,[1]android_repos_all_metrics!B:K,5,FALSE)</f>
        <v>0</v>
      </c>
      <c r="AE1237">
        <f>VLOOKUP(A:A,[1]android_repos_all_metrics!B:K,6,FALSE)</f>
        <v>1</v>
      </c>
      <c r="AF1237">
        <f>VLOOKUP(A:A,[1]android_repos_all_metrics!B:K,7,FALSE)</f>
        <v>4966</v>
      </c>
      <c r="AG1237">
        <f>VLOOKUP(A:A,[1]android_repos_all_metrics!B:K,8,FALSE)</f>
        <v>1</v>
      </c>
      <c r="AH1237">
        <f>VLOOKUP(A:A,[1]android_repos_all_metrics!B:K,9,FALSE)</f>
        <v>6</v>
      </c>
      <c r="AI1237">
        <f>VLOOKUP(A:A,[1]android_repos_all_metrics!B:K,10,FALSE)</f>
        <v>0</v>
      </c>
    </row>
    <row r="1238" spans="1:35">
      <c r="A1238" t="s">
        <v>1304</v>
      </c>
      <c r="B1238" t="b">
        <v>1</v>
      </c>
      <c r="C1238" t="b">
        <v>0</v>
      </c>
      <c r="D1238" t="b">
        <v>0</v>
      </c>
      <c r="F1238" t="b">
        <v>0</v>
      </c>
      <c r="H1238" t="s">
        <v>37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>
        <v>1</v>
      </c>
      <c r="AB1238">
        <v>0</v>
      </c>
      <c r="AC1238">
        <f>VLOOKUP(A:A,[1]android_repos_all_metrics!B:K,4,FALSE)</f>
        <v>575</v>
      </c>
      <c r="AD1238">
        <f>VLOOKUP(A:A,[1]android_repos_all_metrics!B:K,5,FALSE)</f>
        <v>3</v>
      </c>
      <c r="AE1238">
        <f>VLOOKUP(A:A,[1]android_repos_all_metrics!B:K,6,FALSE)</f>
        <v>1</v>
      </c>
      <c r="AF1238">
        <f>VLOOKUP(A:A,[1]android_repos_all_metrics!B:K,7,FALSE)</f>
        <v>1082</v>
      </c>
      <c r="AG1238">
        <f>VLOOKUP(A:A,[1]android_repos_all_metrics!B:K,8,FALSE)</f>
        <v>30</v>
      </c>
      <c r="AH1238">
        <f>VLOOKUP(A:A,[1]android_repos_all_metrics!B:K,9,FALSE)</f>
        <v>29</v>
      </c>
      <c r="AI1238">
        <f>VLOOKUP(A:A,[1]android_repos_all_metrics!B:K,10,FALSE)</f>
        <v>7</v>
      </c>
    </row>
    <row r="1239" spans="1:35">
      <c r="A1239" t="s">
        <v>1305</v>
      </c>
      <c r="B1239" t="b">
        <v>1</v>
      </c>
      <c r="C1239" t="b">
        <v>0</v>
      </c>
      <c r="D1239" t="b">
        <v>0</v>
      </c>
      <c r="F1239" t="b">
        <v>0</v>
      </c>
      <c r="H1239" t="s">
        <v>41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>
        <v>1</v>
      </c>
      <c r="AB1239">
        <v>0</v>
      </c>
      <c r="AC1239">
        <f>VLOOKUP(A:A,[1]android_repos_all_metrics!B:K,4,FALSE)</f>
        <v>780</v>
      </c>
      <c r="AD1239">
        <f>VLOOKUP(A:A,[1]android_repos_all_metrics!B:K,5,FALSE)</f>
        <v>0</v>
      </c>
      <c r="AE1239">
        <f>VLOOKUP(A:A,[1]android_repos_all_metrics!B:K,6,FALSE)</f>
        <v>3</v>
      </c>
      <c r="AF1239">
        <f>VLOOKUP(A:A,[1]android_repos_all_metrics!B:K,7,FALSE)</f>
        <v>36389</v>
      </c>
      <c r="AG1239">
        <f>VLOOKUP(A:A,[1]android_repos_all_metrics!B:K,8,FALSE)</f>
        <v>2</v>
      </c>
      <c r="AH1239">
        <f>VLOOKUP(A:A,[1]android_repos_all_metrics!B:K,9,FALSE)</f>
        <v>8</v>
      </c>
      <c r="AI1239">
        <f>VLOOKUP(A:A,[1]android_repos_all_metrics!B:K,10,FALSE)</f>
        <v>0</v>
      </c>
    </row>
    <row r="1240" spans="1:35">
      <c r="A1240" t="s">
        <v>1306</v>
      </c>
      <c r="B1240" t="b">
        <v>1</v>
      </c>
      <c r="C1240" t="b">
        <v>1</v>
      </c>
      <c r="D1240" t="b">
        <v>0</v>
      </c>
      <c r="F1240" t="b">
        <v>1</v>
      </c>
      <c r="G1240" t="s">
        <v>109</v>
      </c>
      <c r="H1240" t="s">
        <v>43</v>
      </c>
      <c r="I1240" t="s">
        <v>43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>
        <v>1</v>
      </c>
      <c r="AB1240">
        <v>0</v>
      </c>
      <c r="AC1240">
        <f>VLOOKUP(A:A,[1]android_repos_all_metrics!B:K,4,FALSE)</f>
        <v>18</v>
      </c>
      <c r="AD1240">
        <f>VLOOKUP(A:A,[1]android_repos_all_metrics!B:K,5,FALSE)</f>
        <v>0</v>
      </c>
      <c r="AE1240">
        <f>VLOOKUP(A:A,[1]android_repos_all_metrics!B:K,6,FALSE)</f>
        <v>1</v>
      </c>
      <c r="AF1240">
        <f>VLOOKUP(A:A,[1]android_repos_all_metrics!B:K,7,FALSE)</f>
        <v>2642</v>
      </c>
      <c r="AG1240">
        <f>VLOOKUP(A:A,[1]android_repos_all_metrics!B:K,8,FALSE)</f>
        <v>3</v>
      </c>
      <c r="AH1240">
        <f>VLOOKUP(A:A,[1]android_repos_all_metrics!B:K,9,FALSE)</f>
        <v>10</v>
      </c>
      <c r="AI1240">
        <f>VLOOKUP(A:A,[1]android_repos_all_metrics!B:K,10,FALSE)</f>
        <v>0</v>
      </c>
    </row>
    <row r="1241" spans="1:35">
      <c r="A1241" t="s">
        <v>1307</v>
      </c>
      <c r="B1241" t="b">
        <v>1</v>
      </c>
      <c r="C1241" t="b">
        <v>0</v>
      </c>
      <c r="D1241" t="b">
        <v>0</v>
      </c>
      <c r="F1241" t="b">
        <v>0</v>
      </c>
      <c r="H1241" t="s">
        <v>41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>
        <v>1</v>
      </c>
      <c r="AB1241">
        <v>0</v>
      </c>
      <c r="AC1241">
        <f>VLOOKUP(A:A,[1]android_repos_all_metrics!B:K,4,FALSE)</f>
        <v>912</v>
      </c>
      <c r="AD1241">
        <f>VLOOKUP(A:A,[1]android_repos_all_metrics!B:K,5,FALSE)</f>
        <v>17</v>
      </c>
      <c r="AE1241">
        <f>VLOOKUP(A:A,[1]android_repos_all_metrics!B:K,6,FALSE)</f>
        <v>23</v>
      </c>
      <c r="AF1241">
        <f>VLOOKUP(A:A,[1]android_repos_all_metrics!B:K,7,FALSE)</f>
        <v>23472</v>
      </c>
      <c r="AG1241">
        <f>VLOOKUP(A:A,[1]android_repos_all_metrics!B:K,8,FALSE)</f>
        <v>88</v>
      </c>
      <c r="AH1241">
        <f>VLOOKUP(A:A,[1]android_repos_all_metrics!B:K,9,FALSE)</f>
        <v>144</v>
      </c>
      <c r="AI1241">
        <f>VLOOKUP(A:A,[1]android_repos_all_metrics!B:K,10,FALSE)</f>
        <v>53</v>
      </c>
    </row>
    <row r="1242" spans="1:35">
      <c r="A1242" t="s">
        <v>1308</v>
      </c>
      <c r="B1242" t="b">
        <v>1</v>
      </c>
      <c r="C1242" t="b">
        <v>0</v>
      </c>
      <c r="D1242" t="b">
        <v>0</v>
      </c>
      <c r="F1242" t="b">
        <v>0</v>
      </c>
      <c r="H1242" t="s">
        <v>37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>
        <v>2</v>
      </c>
      <c r="AB1242">
        <v>0</v>
      </c>
      <c r="AC1242">
        <f>VLOOKUP(A:A,[1]android_repos_all_metrics!B:K,4,FALSE)</f>
        <v>228</v>
      </c>
      <c r="AD1242">
        <f>VLOOKUP(A:A,[1]android_repos_all_metrics!B:K,5,FALSE)</f>
        <v>13</v>
      </c>
      <c r="AE1242">
        <f>VLOOKUP(A:A,[1]android_repos_all_metrics!B:K,6,FALSE)</f>
        <v>17</v>
      </c>
      <c r="AF1242">
        <f>VLOOKUP(A:A,[1]android_repos_all_metrics!B:K,7,FALSE)</f>
        <v>1751</v>
      </c>
      <c r="AG1242">
        <f>VLOOKUP(A:A,[1]android_repos_all_metrics!B:K,8,FALSE)</f>
        <v>10</v>
      </c>
      <c r="AH1242">
        <f>VLOOKUP(A:A,[1]android_repos_all_metrics!B:K,9,FALSE)</f>
        <v>161</v>
      </c>
      <c r="AI1242">
        <f>VLOOKUP(A:A,[1]android_repos_all_metrics!B:K,10,FALSE)</f>
        <v>12</v>
      </c>
    </row>
    <row r="1243" spans="1:35">
      <c r="A1243" t="s">
        <v>1309</v>
      </c>
      <c r="B1243" t="b">
        <v>1</v>
      </c>
      <c r="C1243" t="b">
        <v>0</v>
      </c>
      <c r="D1243" t="b">
        <v>0</v>
      </c>
      <c r="F1243" t="b">
        <v>0</v>
      </c>
      <c r="H1243" t="s">
        <v>37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>
        <v>4</v>
      </c>
      <c r="AB1243">
        <v>0</v>
      </c>
      <c r="AC1243">
        <f>VLOOKUP(A:A,[1]android_repos_all_metrics!B:K,4,FALSE)</f>
        <v>775</v>
      </c>
      <c r="AD1243">
        <f>VLOOKUP(A:A,[1]android_repos_all_metrics!B:K,5,FALSE)</f>
        <v>45</v>
      </c>
      <c r="AE1243">
        <f>VLOOKUP(A:A,[1]android_repos_all_metrics!B:K,6,FALSE)</f>
        <v>4</v>
      </c>
      <c r="AF1243">
        <f>VLOOKUP(A:A,[1]android_repos_all_metrics!B:K,7,FALSE)</f>
        <v>44757</v>
      </c>
      <c r="AG1243">
        <f>VLOOKUP(A:A,[1]android_repos_all_metrics!B:K,8,FALSE)</f>
        <v>2</v>
      </c>
      <c r="AH1243">
        <f>VLOOKUP(A:A,[1]android_repos_all_metrics!B:K,9,FALSE)</f>
        <v>24</v>
      </c>
      <c r="AI1243">
        <f>VLOOKUP(A:A,[1]android_repos_all_metrics!B:K,10,FALSE)</f>
        <v>1</v>
      </c>
    </row>
    <row r="1244" spans="1:35">
      <c r="A1244" t="s">
        <v>1310</v>
      </c>
      <c r="B1244" t="b">
        <v>1</v>
      </c>
      <c r="C1244" t="b">
        <v>0</v>
      </c>
      <c r="D1244" t="b">
        <v>0</v>
      </c>
      <c r="F1244" t="b">
        <v>0</v>
      </c>
      <c r="H1244" t="s">
        <v>43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>
        <v>1</v>
      </c>
      <c r="AB1244">
        <v>0</v>
      </c>
      <c r="AC1244">
        <f>VLOOKUP(A:A,[1]android_repos_all_metrics!B:K,4,FALSE)</f>
        <v>123</v>
      </c>
      <c r="AD1244">
        <f>VLOOKUP(A:A,[1]android_repos_all_metrics!B:K,5,FALSE)</f>
        <v>25</v>
      </c>
      <c r="AE1244">
        <f>VLOOKUP(A:A,[1]android_repos_all_metrics!B:K,6,FALSE)</f>
        <v>1</v>
      </c>
      <c r="AF1244">
        <f>VLOOKUP(A:A,[1]android_repos_all_metrics!B:K,7,FALSE)</f>
        <v>1993</v>
      </c>
      <c r="AG1244">
        <f>VLOOKUP(A:A,[1]android_repos_all_metrics!B:K,8,FALSE)</f>
        <v>1</v>
      </c>
      <c r="AH1244">
        <f>VLOOKUP(A:A,[1]android_repos_all_metrics!B:K,9,FALSE)</f>
        <v>6</v>
      </c>
      <c r="AI1244">
        <f>VLOOKUP(A:A,[1]android_repos_all_metrics!B:K,10,FALSE)</f>
        <v>1</v>
      </c>
    </row>
    <row r="1245" spans="1:35">
      <c r="A1245" t="s">
        <v>1311</v>
      </c>
      <c r="B1245" t="b">
        <v>1</v>
      </c>
      <c r="C1245" t="b">
        <v>0</v>
      </c>
      <c r="D1245" t="b">
        <v>0</v>
      </c>
      <c r="F1245" t="b">
        <v>0</v>
      </c>
      <c r="H1245" t="s">
        <v>37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>
        <v>1</v>
      </c>
      <c r="AB1245">
        <v>0</v>
      </c>
      <c r="AC1245">
        <f>VLOOKUP(A:A,[1]android_repos_all_metrics!B:K,4,FALSE)</f>
        <v>57</v>
      </c>
      <c r="AD1245">
        <f>VLOOKUP(A:A,[1]android_repos_all_metrics!B:K,5,FALSE)</f>
        <v>11</v>
      </c>
      <c r="AE1245">
        <f>VLOOKUP(A:A,[1]android_repos_all_metrics!B:K,6,FALSE)</f>
        <v>2</v>
      </c>
      <c r="AF1245">
        <f>VLOOKUP(A:A,[1]android_repos_all_metrics!B:K,7,FALSE)</f>
        <v>13550</v>
      </c>
      <c r="AG1245">
        <f>VLOOKUP(A:A,[1]android_repos_all_metrics!B:K,8,FALSE)</f>
        <v>0</v>
      </c>
      <c r="AH1245">
        <f>VLOOKUP(A:A,[1]android_repos_all_metrics!B:K,9,FALSE)</f>
        <v>1</v>
      </c>
      <c r="AI1245">
        <f>VLOOKUP(A:A,[1]android_repos_all_metrics!B:K,10,FALSE)</f>
        <v>5</v>
      </c>
    </row>
    <row r="1246" spans="1:35">
      <c r="A1246" t="s">
        <v>1312</v>
      </c>
      <c r="B1246" t="b">
        <v>1</v>
      </c>
      <c r="C1246" t="b">
        <v>0</v>
      </c>
      <c r="D1246" t="b">
        <v>0</v>
      </c>
      <c r="F1246" t="b">
        <v>0</v>
      </c>
      <c r="H1246" t="s">
        <v>37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>
        <v>2</v>
      </c>
      <c r="AB1246">
        <v>0</v>
      </c>
      <c r="AC1246">
        <f>VLOOKUP(A:A,[1]android_repos_all_metrics!B:K,4,FALSE)</f>
        <v>60</v>
      </c>
      <c r="AD1246">
        <f>VLOOKUP(A:A,[1]android_repos_all_metrics!B:K,5,FALSE)</f>
        <v>0</v>
      </c>
      <c r="AE1246">
        <f>VLOOKUP(A:A,[1]android_repos_all_metrics!B:K,6,FALSE)</f>
        <v>1</v>
      </c>
      <c r="AF1246">
        <f>VLOOKUP(A:A,[1]android_repos_all_metrics!B:K,7,FALSE)</f>
        <v>635</v>
      </c>
      <c r="AG1246">
        <f>VLOOKUP(A:A,[1]android_repos_all_metrics!B:K,8,FALSE)</f>
        <v>0</v>
      </c>
      <c r="AH1246">
        <f>VLOOKUP(A:A,[1]android_repos_all_metrics!B:K,9,FALSE)</f>
        <v>1</v>
      </c>
      <c r="AI1246">
        <f>VLOOKUP(A:A,[1]android_repos_all_metrics!B:K,10,FALSE)</f>
        <v>0</v>
      </c>
    </row>
    <row r="1247" spans="1:35">
      <c r="A1247" t="s">
        <v>1313</v>
      </c>
      <c r="B1247" t="b">
        <v>1</v>
      </c>
      <c r="C1247" t="b">
        <v>0</v>
      </c>
      <c r="D1247" t="b">
        <v>0</v>
      </c>
      <c r="F1247" t="b">
        <v>0</v>
      </c>
      <c r="H1247" t="s">
        <v>37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>
        <v>4</v>
      </c>
      <c r="AB1247">
        <v>0</v>
      </c>
      <c r="AC1247">
        <f>VLOOKUP(A:A,[1]android_repos_all_metrics!B:K,4,FALSE)</f>
        <v>260</v>
      </c>
      <c r="AD1247">
        <f>VLOOKUP(A:A,[1]android_repos_all_metrics!B:K,5,FALSE)</f>
        <v>9</v>
      </c>
      <c r="AE1247">
        <f>VLOOKUP(A:A,[1]android_repos_all_metrics!B:K,6,FALSE)</f>
        <v>1</v>
      </c>
      <c r="AF1247">
        <f>VLOOKUP(A:A,[1]android_repos_all_metrics!B:K,7,FALSE)</f>
        <v>1920</v>
      </c>
      <c r="AG1247">
        <f>VLOOKUP(A:A,[1]android_repos_all_metrics!B:K,8,FALSE)</f>
        <v>0</v>
      </c>
      <c r="AH1247">
        <f>VLOOKUP(A:A,[1]android_repos_all_metrics!B:K,9,FALSE)</f>
        <v>1</v>
      </c>
      <c r="AI1247">
        <f>VLOOKUP(A:A,[1]android_repos_all_metrics!B:K,10,FALSE)</f>
        <v>11</v>
      </c>
    </row>
    <row r="1248" spans="1:35">
      <c r="A1248" t="s">
        <v>1314</v>
      </c>
      <c r="B1248" t="b">
        <v>1</v>
      </c>
      <c r="C1248" t="b">
        <v>0</v>
      </c>
      <c r="D1248" t="b">
        <v>0</v>
      </c>
      <c r="F1248" t="b">
        <v>0</v>
      </c>
      <c r="H1248" t="s">
        <v>37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>
        <v>3</v>
      </c>
      <c r="AB1248">
        <v>0</v>
      </c>
      <c r="AC1248">
        <f>VLOOKUP(A:A,[1]android_repos_all_metrics!B:K,4,FALSE)</f>
        <v>474</v>
      </c>
      <c r="AD1248">
        <f>VLOOKUP(A:A,[1]android_repos_all_metrics!B:K,5,FALSE)</f>
        <v>41</v>
      </c>
      <c r="AE1248">
        <f>VLOOKUP(A:A,[1]android_repos_all_metrics!B:K,6,FALSE)</f>
        <v>2</v>
      </c>
      <c r="AF1248">
        <f>VLOOKUP(A:A,[1]android_repos_all_metrics!B:K,7,FALSE)</f>
        <v>1873</v>
      </c>
      <c r="AG1248">
        <f>VLOOKUP(A:A,[1]android_repos_all_metrics!B:K,8,FALSE)</f>
        <v>2</v>
      </c>
      <c r="AH1248">
        <f>VLOOKUP(A:A,[1]android_repos_all_metrics!B:K,9,FALSE)</f>
        <v>9</v>
      </c>
      <c r="AI1248">
        <f>VLOOKUP(A:A,[1]android_repos_all_metrics!B:K,10,FALSE)</f>
        <v>4</v>
      </c>
    </row>
    <row r="1249" spans="1:35">
      <c r="A1249" t="s">
        <v>1315</v>
      </c>
      <c r="B1249" t="b">
        <v>1</v>
      </c>
      <c r="C1249" t="b">
        <v>0</v>
      </c>
      <c r="D1249" t="b">
        <v>0</v>
      </c>
      <c r="F1249" t="b">
        <v>0</v>
      </c>
      <c r="H1249" t="s">
        <v>43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>
        <v>1</v>
      </c>
      <c r="AB1249">
        <v>0</v>
      </c>
      <c r="AC1249">
        <f>VLOOKUP(A:A,[1]android_repos_all_metrics!B:K,4,FALSE)</f>
        <v>105</v>
      </c>
      <c r="AD1249">
        <f>VLOOKUP(A:A,[1]android_repos_all_metrics!B:K,5,FALSE)</f>
        <v>13</v>
      </c>
      <c r="AE1249">
        <f>VLOOKUP(A:A,[1]android_repos_all_metrics!B:K,6,FALSE)</f>
        <v>1</v>
      </c>
      <c r="AF1249">
        <f>VLOOKUP(A:A,[1]android_repos_all_metrics!B:K,7,FALSE)</f>
        <v>294045</v>
      </c>
      <c r="AG1249">
        <f>VLOOKUP(A:A,[1]android_repos_all_metrics!B:K,8,FALSE)</f>
        <v>8</v>
      </c>
      <c r="AH1249">
        <f>VLOOKUP(A:A,[1]android_repos_all_metrics!B:K,9,FALSE)</f>
        <v>20</v>
      </c>
      <c r="AI1249">
        <f>VLOOKUP(A:A,[1]android_repos_all_metrics!B:K,10,FALSE)</f>
        <v>0</v>
      </c>
    </row>
    <row r="1250" spans="1:35">
      <c r="A1250" t="s">
        <v>1316</v>
      </c>
      <c r="B1250" t="b">
        <v>1</v>
      </c>
      <c r="C1250" t="b">
        <v>0</v>
      </c>
      <c r="D1250" t="b">
        <v>0</v>
      </c>
      <c r="F1250" t="b">
        <v>0</v>
      </c>
      <c r="H1250" t="s">
        <v>37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>
        <v>1</v>
      </c>
      <c r="AB1250">
        <v>0</v>
      </c>
      <c r="AC1250">
        <f>VLOOKUP(A:A,[1]android_repos_all_metrics!B:K,4,FALSE)</f>
        <v>226</v>
      </c>
      <c r="AD1250">
        <f>VLOOKUP(A:A,[1]android_repos_all_metrics!B:K,5,FALSE)</f>
        <v>0</v>
      </c>
      <c r="AE1250">
        <f>VLOOKUP(A:A,[1]android_repos_all_metrics!B:K,6,FALSE)</f>
        <v>1</v>
      </c>
      <c r="AF1250">
        <f>VLOOKUP(A:A,[1]android_repos_all_metrics!B:K,7,FALSE)</f>
        <v>135504</v>
      </c>
      <c r="AG1250">
        <f>VLOOKUP(A:A,[1]android_repos_all_metrics!B:K,8,FALSE)</f>
        <v>6</v>
      </c>
      <c r="AH1250">
        <f>VLOOKUP(A:A,[1]android_repos_all_metrics!B:K,9,FALSE)</f>
        <v>34</v>
      </c>
      <c r="AI1250">
        <f>VLOOKUP(A:A,[1]android_repos_all_metrics!B:K,10,FALSE)</f>
        <v>0</v>
      </c>
    </row>
    <row r="1251" spans="1:35">
      <c r="A1251" t="s">
        <v>1317</v>
      </c>
      <c r="B1251" t="b">
        <v>1</v>
      </c>
      <c r="C1251" t="b">
        <v>0</v>
      </c>
      <c r="D1251" t="b">
        <v>0</v>
      </c>
      <c r="F1251" t="b">
        <v>0</v>
      </c>
      <c r="H1251" t="s">
        <v>37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>
        <v>2</v>
      </c>
      <c r="AB1251">
        <v>0</v>
      </c>
      <c r="AC1251">
        <f>VLOOKUP(A:A,[1]android_repos_all_metrics!B:K,4,FALSE)</f>
        <v>571</v>
      </c>
      <c r="AD1251">
        <f>VLOOKUP(A:A,[1]android_repos_all_metrics!B:K,5,FALSE)</f>
        <v>0</v>
      </c>
      <c r="AE1251">
        <f>VLOOKUP(A:A,[1]android_repos_all_metrics!B:K,6,FALSE)</f>
        <v>1</v>
      </c>
      <c r="AF1251">
        <f>VLOOKUP(A:A,[1]android_repos_all_metrics!B:K,7,FALSE)</f>
        <v>56832</v>
      </c>
      <c r="AG1251">
        <f>VLOOKUP(A:A,[1]android_repos_all_metrics!B:K,8,FALSE)</f>
        <v>10</v>
      </c>
      <c r="AH1251">
        <f>VLOOKUP(A:A,[1]android_repos_all_metrics!B:K,9,FALSE)</f>
        <v>16</v>
      </c>
      <c r="AI1251">
        <f>VLOOKUP(A:A,[1]android_repos_all_metrics!B:K,10,FALSE)</f>
        <v>0</v>
      </c>
    </row>
    <row r="1252" spans="1:35">
      <c r="A1252" t="s">
        <v>1318</v>
      </c>
      <c r="B1252" t="b">
        <v>1</v>
      </c>
      <c r="C1252" t="b">
        <v>0</v>
      </c>
      <c r="D1252" t="b">
        <v>0</v>
      </c>
      <c r="F1252" t="b">
        <v>0</v>
      </c>
      <c r="H1252" t="s">
        <v>37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1</v>
      </c>
      <c r="R1252" t="b">
        <v>0</v>
      </c>
      <c r="S1252" t="b">
        <v>1</v>
      </c>
      <c r="T1252" t="b">
        <v>1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>
        <v>5</v>
      </c>
      <c r="AA1252">
        <v>1</v>
      </c>
      <c r="AB1252">
        <v>0</v>
      </c>
      <c r="AC1252">
        <f>VLOOKUP(A:A,[1]android_repos_all_metrics!B:K,4,FALSE)</f>
        <v>6322</v>
      </c>
      <c r="AD1252">
        <f>VLOOKUP(A:A,[1]android_repos_all_metrics!B:K,5,FALSE)</f>
        <v>1919</v>
      </c>
      <c r="AE1252">
        <f>VLOOKUP(A:A,[1]android_repos_all_metrics!B:K,6,FALSE)</f>
        <v>280</v>
      </c>
      <c r="AF1252">
        <f>VLOOKUP(A:A,[1]android_repos_all_metrics!B:K,7,FALSE)</f>
        <v>58446</v>
      </c>
      <c r="AG1252">
        <f>VLOOKUP(A:A,[1]android_repos_all_metrics!B:K,8,FALSE)</f>
        <v>9547</v>
      </c>
      <c r="AH1252">
        <f>VLOOKUP(A:A,[1]android_repos_all_metrics!B:K,9,FALSE)</f>
        <v>35991</v>
      </c>
      <c r="AI1252">
        <f>VLOOKUP(A:A,[1]android_repos_all_metrics!B:K,10,FALSE)</f>
        <v>39</v>
      </c>
    </row>
    <row r="1253" spans="1:35">
      <c r="A1253" t="s">
        <v>1319</v>
      </c>
      <c r="B1253" t="b">
        <v>0</v>
      </c>
      <c r="C1253" t="b">
        <v>0</v>
      </c>
      <c r="D1253" t="b">
        <v>0</v>
      </c>
      <c r="F1253" t="b">
        <v>0</v>
      </c>
      <c r="H1253" t="s">
        <v>43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>
        <v>1</v>
      </c>
      <c r="AB1253">
        <v>0</v>
      </c>
      <c r="AC1253">
        <f>VLOOKUP(A:A,[1]android_repos_all_metrics!B:K,4,FALSE)</f>
        <v>691</v>
      </c>
      <c r="AD1253">
        <f>VLOOKUP(A:A,[1]android_repos_all_metrics!B:K,5,FALSE)</f>
        <v>7</v>
      </c>
      <c r="AE1253">
        <f>VLOOKUP(A:A,[1]android_repos_all_metrics!B:K,6,FALSE)</f>
        <v>8</v>
      </c>
      <c r="AF1253">
        <f>VLOOKUP(A:A,[1]android_repos_all_metrics!B:K,7,FALSE)</f>
        <v>1873</v>
      </c>
      <c r="AG1253">
        <f>VLOOKUP(A:A,[1]android_repos_all_metrics!B:K,8,FALSE)</f>
        <v>10</v>
      </c>
      <c r="AH1253">
        <f>VLOOKUP(A:A,[1]android_repos_all_metrics!B:K,9,FALSE)</f>
        <v>26</v>
      </c>
      <c r="AI1253">
        <f>VLOOKUP(A:A,[1]android_repos_all_metrics!B:K,10,FALSE)</f>
        <v>6</v>
      </c>
    </row>
    <row r="1254" spans="1:35">
      <c r="A1254" t="s">
        <v>1320</v>
      </c>
      <c r="B1254" t="b">
        <v>0</v>
      </c>
      <c r="C1254" t="b">
        <v>0</v>
      </c>
      <c r="D1254" t="b">
        <v>0</v>
      </c>
      <c r="F1254" t="b">
        <v>0</v>
      </c>
      <c r="H1254" t="s">
        <v>41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>
        <v>1</v>
      </c>
      <c r="AB1254">
        <v>0</v>
      </c>
      <c r="AC1254">
        <f>VLOOKUP(A:A,[1]android_repos_all_metrics!B:K,4,FALSE)</f>
        <v>151</v>
      </c>
      <c r="AD1254">
        <f>VLOOKUP(A:A,[1]android_repos_all_metrics!B:K,5,FALSE)</f>
        <v>32</v>
      </c>
      <c r="AE1254">
        <f>VLOOKUP(A:A,[1]android_repos_all_metrics!B:K,6,FALSE)</f>
        <v>6</v>
      </c>
      <c r="AF1254">
        <f>VLOOKUP(A:A,[1]android_repos_all_metrics!B:K,7,FALSE)</f>
        <v>1202</v>
      </c>
      <c r="AG1254">
        <f>VLOOKUP(A:A,[1]android_repos_all_metrics!B:K,8,FALSE)</f>
        <v>16</v>
      </c>
      <c r="AH1254">
        <f>VLOOKUP(A:A,[1]android_repos_all_metrics!B:K,9,FALSE)</f>
        <v>15</v>
      </c>
      <c r="AI1254">
        <f>VLOOKUP(A:A,[1]android_repos_all_metrics!B:K,10,FALSE)</f>
        <v>10</v>
      </c>
    </row>
    <row r="1255" spans="1:35">
      <c r="A1255" t="s">
        <v>1321</v>
      </c>
      <c r="B1255" t="b">
        <v>0</v>
      </c>
      <c r="C1255" t="b">
        <v>0</v>
      </c>
      <c r="D1255" t="b">
        <v>0</v>
      </c>
      <c r="F1255" t="b">
        <v>0</v>
      </c>
      <c r="H1255" t="s">
        <v>41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>
        <v>1</v>
      </c>
      <c r="AB1255">
        <v>0</v>
      </c>
      <c r="AC1255">
        <f>VLOOKUP(A:A,[1]android_repos_all_metrics!B:K,4,FALSE)</f>
        <v>1108</v>
      </c>
      <c r="AD1255">
        <f>VLOOKUP(A:A,[1]android_repos_all_metrics!B:K,5,FALSE)</f>
        <v>0</v>
      </c>
      <c r="AE1255">
        <f>VLOOKUP(A:A,[1]android_repos_all_metrics!B:K,6,FALSE)</f>
        <v>3</v>
      </c>
      <c r="AF1255">
        <f>VLOOKUP(A:A,[1]android_repos_all_metrics!B:K,7,FALSE)</f>
        <v>24071</v>
      </c>
      <c r="AG1255">
        <f>VLOOKUP(A:A,[1]android_repos_all_metrics!B:K,8,FALSE)</f>
        <v>4</v>
      </c>
      <c r="AH1255">
        <f>VLOOKUP(A:A,[1]android_repos_all_metrics!B:K,9,FALSE)</f>
        <v>27</v>
      </c>
      <c r="AI1255">
        <f>VLOOKUP(A:A,[1]android_repos_all_metrics!B:K,10,FALSE)</f>
        <v>3</v>
      </c>
    </row>
    <row r="1256" spans="1:35">
      <c r="A1256" t="s">
        <v>1322</v>
      </c>
      <c r="B1256" t="b">
        <v>1</v>
      </c>
      <c r="C1256" t="b">
        <v>0</v>
      </c>
      <c r="D1256" t="b">
        <v>0</v>
      </c>
      <c r="F1256" t="b">
        <v>0</v>
      </c>
      <c r="H1256" t="s">
        <v>41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>
        <v>1</v>
      </c>
      <c r="AB1256">
        <v>0</v>
      </c>
      <c r="AC1256">
        <f>VLOOKUP(A:A,[1]android_repos_all_metrics!B:K,4,FALSE)</f>
        <v>299</v>
      </c>
      <c r="AD1256">
        <f>VLOOKUP(A:A,[1]android_repos_all_metrics!B:K,5,FALSE)</f>
        <v>27</v>
      </c>
      <c r="AE1256">
        <f>VLOOKUP(A:A,[1]android_repos_all_metrics!B:K,6,FALSE)</f>
        <v>2</v>
      </c>
      <c r="AF1256">
        <f>VLOOKUP(A:A,[1]android_repos_all_metrics!B:K,7,FALSE)</f>
        <v>2009</v>
      </c>
      <c r="AG1256">
        <f>VLOOKUP(A:A,[1]android_repos_all_metrics!B:K,8,FALSE)</f>
        <v>1</v>
      </c>
      <c r="AH1256">
        <f>VLOOKUP(A:A,[1]android_repos_all_metrics!B:K,9,FALSE)</f>
        <v>10</v>
      </c>
      <c r="AI1256">
        <f>VLOOKUP(A:A,[1]android_repos_all_metrics!B:K,10,FALSE)</f>
        <v>27</v>
      </c>
    </row>
    <row r="1257" spans="1:35">
      <c r="A1257" t="s">
        <v>1323</v>
      </c>
      <c r="B1257" t="b">
        <v>1</v>
      </c>
      <c r="C1257" t="b">
        <v>0</v>
      </c>
      <c r="D1257" t="b">
        <v>0</v>
      </c>
      <c r="F1257" t="b">
        <v>0</v>
      </c>
      <c r="H1257" t="s">
        <v>37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>
        <v>2</v>
      </c>
      <c r="AB1257">
        <v>0</v>
      </c>
      <c r="AC1257">
        <f>VLOOKUP(A:A,[1]android_repos_all_metrics!B:K,4,FALSE)</f>
        <v>86</v>
      </c>
      <c r="AD1257">
        <f>VLOOKUP(A:A,[1]android_repos_all_metrics!B:K,5,FALSE)</f>
        <v>5</v>
      </c>
      <c r="AE1257">
        <f>VLOOKUP(A:A,[1]android_repos_all_metrics!B:K,6,FALSE)</f>
        <v>2</v>
      </c>
      <c r="AF1257">
        <f>VLOOKUP(A:A,[1]android_repos_all_metrics!B:K,7,FALSE)</f>
        <v>27561</v>
      </c>
      <c r="AG1257">
        <f>VLOOKUP(A:A,[1]android_repos_all_metrics!B:K,8,FALSE)</f>
        <v>0</v>
      </c>
      <c r="AH1257">
        <f>VLOOKUP(A:A,[1]android_repos_all_metrics!B:K,9,FALSE)</f>
        <v>18</v>
      </c>
      <c r="AI1257">
        <f>VLOOKUP(A:A,[1]android_repos_all_metrics!B:K,10,FALSE)</f>
        <v>1</v>
      </c>
    </row>
    <row r="1258" spans="1:35">
      <c r="A1258" t="s">
        <v>1324</v>
      </c>
      <c r="B1258" t="b">
        <v>1</v>
      </c>
      <c r="C1258" t="b">
        <v>1</v>
      </c>
      <c r="D1258" t="b">
        <v>0</v>
      </c>
      <c r="F1258" t="b">
        <v>1</v>
      </c>
      <c r="G1258" t="s">
        <v>39</v>
      </c>
      <c r="H1258" t="s">
        <v>41</v>
      </c>
      <c r="I1258" t="s">
        <v>41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>
        <v>1</v>
      </c>
      <c r="AB1258">
        <v>0</v>
      </c>
      <c r="AC1258">
        <f>VLOOKUP(A:A,[1]android_repos_all_metrics!B:K,4,FALSE)</f>
        <v>55</v>
      </c>
      <c r="AD1258">
        <f>VLOOKUP(A:A,[1]android_repos_all_metrics!B:K,5,FALSE)</f>
        <v>0</v>
      </c>
      <c r="AE1258">
        <f>VLOOKUP(A:A,[1]android_repos_all_metrics!B:K,6,FALSE)</f>
        <v>1</v>
      </c>
      <c r="AF1258">
        <f>VLOOKUP(A:A,[1]android_repos_all_metrics!B:K,7,FALSE)</f>
        <v>500</v>
      </c>
      <c r="AG1258">
        <f>VLOOKUP(A:A,[1]android_repos_all_metrics!B:K,8,FALSE)</f>
        <v>5</v>
      </c>
      <c r="AH1258">
        <f>VLOOKUP(A:A,[1]android_repos_all_metrics!B:K,9,FALSE)</f>
        <v>4</v>
      </c>
      <c r="AI1258">
        <f>VLOOKUP(A:A,[1]android_repos_all_metrics!B:K,10,FALSE)</f>
        <v>0</v>
      </c>
    </row>
    <row r="1259" spans="1:35">
      <c r="A1259" t="s">
        <v>1325</v>
      </c>
      <c r="B1259" t="b">
        <v>1</v>
      </c>
      <c r="C1259" t="b">
        <v>0</v>
      </c>
      <c r="D1259" t="b">
        <v>0</v>
      </c>
      <c r="F1259" t="b">
        <v>0</v>
      </c>
      <c r="H1259" t="s">
        <v>37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>
        <v>1</v>
      </c>
      <c r="AB1259">
        <v>0</v>
      </c>
      <c r="AC1259">
        <f>VLOOKUP(A:A,[1]android_repos_all_metrics!B:K,4,FALSE)</f>
        <v>200</v>
      </c>
      <c r="AD1259">
        <f>VLOOKUP(A:A,[1]android_repos_all_metrics!B:K,5,FALSE)</f>
        <v>9</v>
      </c>
      <c r="AE1259">
        <f>VLOOKUP(A:A,[1]android_repos_all_metrics!B:K,6,FALSE)</f>
        <v>2</v>
      </c>
      <c r="AF1259">
        <f>VLOOKUP(A:A,[1]android_repos_all_metrics!B:K,7,FALSE)</f>
        <v>37907</v>
      </c>
      <c r="AG1259">
        <f>VLOOKUP(A:A,[1]android_repos_all_metrics!B:K,8,FALSE)</f>
        <v>27</v>
      </c>
      <c r="AH1259">
        <f>VLOOKUP(A:A,[1]android_repos_all_metrics!B:K,9,FALSE)</f>
        <v>144</v>
      </c>
      <c r="AI1259">
        <f>VLOOKUP(A:A,[1]android_repos_all_metrics!B:K,10,FALSE)</f>
        <v>1</v>
      </c>
    </row>
    <row r="1260" spans="1:35">
      <c r="A1260" t="s">
        <v>1326</v>
      </c>
      <c r="B1260" t="b">
        <v>1</v>
      </c>
      <c r="C1260" t="b">
        <v>0</v>
      </c>
      <c r="D1260" t="b">
        <v>0</v>
      </c>
      <c r="F1260" t="b">
        <v>0</v>
      </c>
      <c r="H1260" t="s">
        <v>110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>
        <v>5</v>
      </c>
      <c r="AB1260">
        <v>0</v>
      </c>
      <c r="AC1260">
        <f>VLOOKUP(A:A,[1]android_repos_all_metrics!B:K,4,FALSE)</f>
        <v>2621</v>
      </c>
      <c r="AD1260">
        <f>VLOOKUP(A:A,[1]android_repos_all_metrics!B:K,5,FALSE)</f>
        <v>110</v>
      </c>
      <c r="AE1260">
        <f>VLOOKUP(A:A,[1]android_repos_all_metrics!B:K,6,FALSE)</f>
        <v>24</v>
      </c>
      <c r="AF1260">
        <f>VLOOKUP(A:A,[1]android_repos_all_metrics!B:K,7,FALSE)</f>
        <v>48530</v>
      </c>
      <c r="AG1260">
        <f>VLOOKUP(A:A,[1]android_repos_all_metrics!B:K,8,FALSE)</f>
        <v>79</v>
      </c>
      <c r="AH1260">
        <f>VLOOKUP(A:A,[1]android_repos_all_metrics!B:K,9,FALSE)</f>
        <v>912</v>
      </c>
      <c r="AI1260">
        <f>VLOOKUP(A:A,[1]android_repos_all_metrics!B:K,10,FALSE)</f>
        <v>9</v>
      </c>
    </row>
    <row r="1261" spans="1:35">
      <c r="A1261" t="s">
        <v>1327</v>
      </c>
      <c r="B1261" t="b">
        <v>1</v>
      </c>
      <c r="C1261" t="b">
        <v>1</v>
      </c>
      <c r="D1261" t="b">
        <v>0</v>
      </c>
      <c r="F1261" t="b">
        <v>1</v>
      </c>
      <c r="G1261" t="s">
        <v>109</v>
      </c>
      <c r="H1261" t="s">
        <v>43</v>
      </c>
      <c r="I1261" t="s">
        <v>43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>
        <v>1</v>
      </c>
      <c r="AB1261">
        <v>0</v>
      </c>
      <c r="AC1261">
        <f>VLOOKUP(A:A,[1]android_repos_all_metrics!B:K,4,FALSE)</f>
        <v>419</v>
      </c>
      <c r="AD1261">
        <f>VLOOKUP(A:A,[1]android_repos_all_metrics!B:K,5,FALSE)</f>
        <v>39</v>
      </c>
      <c r="AE1261">
        <f>VLOOKUP(A:A,[1]android_repos_all_metrics!B:K,6,FALSE)</f>
        <v>1</v>
      </c>
      <c r="AF1261">
        <f>VLOOKUP(A:A,[1]android_repos_all_metrics!B:K,7,FALSE)</f>
        <v>1104</v>
      </c>
      <c r="AG1261">
        <f>VLOOKUP(A:A,[1]android_repos_all_metrics!B:K,8,FALSE)</f>
        <v>7</v>
      </c>
      <c r="AH1261">
        <f>VLOOKUP(A:A,[1]android_repos_all_metrics!B:K,9,FALSE)</f>
        <v>31</v>
      </c>
      <c r="AI1261">
        <f>VLOOKUP(A:A,[1]android_repos_all_metrics!B:K,10,FALSE)</f>
        <v>3</v>
      </c>
    </row>
    <row r="1262" spans="1:35">
      <c r="A1262" t="s">
        <v>1328</v>
      </c>
      <c r="B1262" t="b">
        <v>1</v>
      </c>
      <c r="C1262" t="b">
        <v>0</v>
      </c>
      <c r="D1262" t="b">
        <v>0</v>
      </c>
      <c r="F1262" t="b">
        <v>0</v>
      </c>
      <c r="H1262" t="s">
        <v>76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>
        <v>1</v>
      </c>
      <c r="AB1262">
        <v>0</v>
      </c>
      <c r="AC1262">
        <f>VLOOKUP(A:A,[1]android_repos_all_metrics!B:K,4,FALSE)</f>
        <v>71</v>
      </c>
      <c r="AD1262">
        <f>VLOOKUP(A:A,[1]android_repos_all_metrics!B:K,5,FALSE)</f>
        <v>0</v>
      </c>
      <c r="AE1262">
        <f>VLOOKUP(A:A,[1]android_repos_all_metrics!B:K,6,FALSE)</f>
        <v>13</v>
      </c>
      <c r="AF1262">
        <f>VLOOKUP(A:A,[1]android_repos_all_metrics!B:K,7,FALSE)</f>
        <v>709</v>
      </c>
      <c r="AG1262">
        <f>VLOOKUP(A:A,[1]android_repos_all_metrics!B:K,8,FALSE)</f>
        <v>3</v>
      </c>
      <c r="AH1262">
        <f>VLOOKUP(A:A,[1]android_repos_all_metrics!B:K,9,FALSE)</f>
        <v>23</v>
      </c>
      <c r="AI1262">
        <f>VLOOKUP(A:A,[1]android_repos_all_metrics!B:K,10,FALSE)</f>
        <v>2</v>
      </c>
    </row>
    <row r="1263" spans="1:35">
      <c r="A1263" t="s">
        <v>1329</v>
      </c>
      <c r="B1263" t="b">
        <v>1</v>
      </c>
      <c r="C1263" t="b">
        <v>0</v>
      </c>
      <c r="D1263" t="b">
        <v>0</v>
      </c>
      <c r="F1263" t="b">
        <v>0</v>
      </c>
      <c r="H1263" t="s">
        <v>37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>
        <v>1</v>
      </c>
      <c r="AB1263">
        <v>0</v>
      </c>
      <c r="AC1263">
        <f>VLOOKUP(A:A,[1]android_repos_all_metrics!B:K,4,FALSE)</f>
        <v>22</v>
      </c>
      <c r="AD1263">
        <f>VLOOKUP(A:A,[1]android_repos_all_metrics!B:K,5,FALSE)</f>
        <v>6</v>
      </c>
      <c r="AE1263">
        <f>VLOOKUP(A:A,[1]android_repos_all_metrics!B:K,6,FALSE)</f>
        <v>2</v>
      </c>
      <c r="AF1263">
        <f>VLOOKUP(A:A,[1]android_repos_all_metrics!B:K,7,FALSE)</f>
        <v>1427</v>
      </c>
      <c r="AG1263">
        <f>VLOOKUP(A:A,[1]android_repos_all_metrics!B:K,8,FALSE)</f>
        <v>23</v>
      </c>
      <c r="AH1263">
        <f>VLOOKUP(A:A,[1]android_repos_all_metrics!B:K,9,FALSE)</f>
        <v>25</v>
      </c>
      <c r="AI1263">
        <f>VLOOKUP(A:A,[1]android_repos_all_metrics!B:K,10,FALSE)</f>
        <v>3</v>
      </c>
    </row>
    <row r="1264" spans="1:35">
      <c r="A1264" t="s">
        <v>1330</v>
      </c>
      <c r="B1264" t="b">
        <v>1</v>
      </c>
      <c r="C1264" t="b">
        <v>0</v>
      </c>
      <c r="D1264" t="b">
        <v>0</v>
      </c>
      <c r="F1264" t="b">
        <v>0</v>
      </c>
      <c r="H1264" t="s">
        <v>41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>
        <v>1</v>
      </c>
      <c r="AB1264">
        <v>0</v>
      </c>
      <c r="AC1264">
        <f>VLOOKUP(A:A,[1]android_repos_all_metrics!B:K,4,FALSE)</f>
        <v>161</v>
      </c>
      <c r="AD1264">
        <f>VLOOKUP(A:A,[1]android_repos_all_metrics!B:K,5,FALSE)</f>
        <v>19</v>
      </c>
      <c r="AE1264">
        <f>VLOOKUP(A:A,[1]android_repos_all_metrics!B:K,6,FALSE)</f>
        <v>4</v>
      </c>
      <c r="AF1264">
        <f>VLOOKUP(A:A,[1]android_repos_all_metrics!B:K,7,FALSE)</f>
        <v>3451</v>
      </c>
      <c r="AG1264">
        <f>VLOOKUP(A:A,[1]android_repos_all_metrics!B:K,8,FALSE)</f>
        <v>6</v>
      </c>
      <c r="AH1264">
        <f>VLOOKUP(A:A,[1]android_repos_all_metrics!B:K,9,FALSE)</f>
        <v>9</v>
      </c>
      <c r="AI1264">
        <f>VLOOKUP(A:A,[1]android_repos_all_metrics!B:K,10,FALSE)</f>
        <v>3</v>
      </c>
    </row>
    <row r="1265" spans="1:35">
      <c r="A1265" t="s">
        <v>1331</v>
      </c>
      <c r="B1265" t="b">
        <v>1</v>
      </c>
      <c r="C1265" t="b">
        <v>0</v>
      </c>
      <c r="D1265" t="b">
        <v>0</v>
      </c>
      <c r="F1265" t="b">
        <v>0</v>
      </c>
      <c r="H1265" t="s">
        <v>37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>
        <v>2</v>
      </c>
      <c r="AB1265">
        <v>0</v>
      </c>
      <c r="AC1265">
        <f>VLOOKUP(A:A,[1]android_repos_all_metrics!B:K,4,FALSE)</f>
        <v>33</v>
      </c>
      <c r="AD1265">
        <f>VLOOKUP(A:A,[1]android_repos_all_metrics!B:K,5,FALSE)</f>
        <v>30</v>
      </c>
      <c r="AE1265">
        <f>VLOOKUP(A:A,[1]android_repos_all_metrics!B:K,6,FALSE)</f>
        <v>4</v>
      </c>
      <c r="AF1265">
        <f>VLOOKUP(A:A,[1]android_repos_all_metrics!B:K,7,FALSE)</f>
        <v>168</v>
      </c>
      <c r="AG1265">
        <f>VLOOKUP(A:A,[1]android_repos_all_metrics!B:K,8,FALSE)</f>
        <v>4</v>
      </c>
      <c r="AH1265">
        <f>VLOOKUP(A:A,[1]android_repos_all_metrics!B:K,9,FALSE)</f>
        <v>49</v>
      </c>
      <c r="AI1265">
        <f>VLOOKUP(A:A,[1]android_repos_all_metrics!B:K,10,FALSE)</f>
        <v>6</v>
      </c>
    </row>
    <row r="1266" spans="1:35">
      <c r="A1266" t="s">
        <v>1332</v>
      </c>
      <c r="B1266" t="b">
        <v>1</v>
      </c>
      <c r="C1266" t="b">
        <v>0</v>
      </c>
      <c r="D1266" t="b">
        <v>0</v>
      </c>
      <c r="F1266" t="b">
        <v>0</v>
      </c>
      <c r="H1266" t="s">
        <v>37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>
        <v>1</v>
      </c>
      <c r="AB1266">
        <v>0</v>
      </c>
      <c r="AC1266">
        <f>VLOOKUP(A:A,[1]android_repos_all_metrics!B:K,4,FALSE)</f>
        <v>96</v>
      </c>
      <c r="AD1266">
        <f>VLOOKUP(A:A,[1]android_repos_all_metrics!B:K,5,FALSE)</f>
        <v>30</v>
      </c>
      <c r="AE1266">
        <f>VLOOKUP(A:A,[1]android_repos_all_metrics!B:K,6,FALSE)</f>
        <v>1</v>
      </c>
      <c r="AF1266">
        <f>VLOOKUP(A:A,[1]android_repos_all_metrics!B:K,7,FALSE)</f>
        <v>2267</v>
      </c>
      <c r="AG1266">
        <f>VLOOKUP(A:A,[1]android_repos_all_metrics!B:K,8,FALSE)</f>
        <v>1</v>
      </c>
      <c r="AH1266">
        <f>VLOOKUP(A:A,[1]android_repos_all_metrics!B:K,9,FALSE)</f>
        <v>9</v>
      </c>
      <c r="AI1266">
        <f>VLOOKUP(A:A,[1]android_repos_all_metrics!B:K,10,FALSE)</f>
        <v>0</v>
      </c>
    </row>
    <row r="1267" spans="1:35">
      <c r="A1267" t="s">
        <v>1333</v>
      </c>
      <c r="B1267" t="b">
        <v>0</v>
      </c>
      <c r="C1267" t="b">
        <v>0</v>
      </c>
      <c r="D1267" t="b">
        <v>0</v>
      </c>
      <c r="F1267" t="b">
        <v>0</v>
      </c>
      <c r="H1267" t="s">
        <v>41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>
        <v>1</v>
      </c>
      <c r="AB1267">
        <v>0</v>
      </c>
      <c r="AC1267">
        <f>VLOOKUP(A:A,[1]android_repos_all_metrics!B:K,4,FALSE)</f>
        <v>960</v>
      </c>
      <c r="AD1267">
        <f>VLOOKUP(A:A,[1]android_repos_all_metrics!B:K,5,FALSE)</f>
        <v>9</v>
      </c>
      <c r="AE1267">
        <f>VLOOKUP(A:A,[1]android_repos_all_metrics!B:K,6,FALSE)</f>
        <v>4</v>
      </c>
      <c r="AF1267">
        <f>VLOOKUP(A:A,[1]android_repos_all_metrics!B:K,7,FALSE)</f>
        <v>42227</v>
      </c>
      <c r="AG1267">
        <f>VLOOKUP(A:A,[1]android_repos_all_metrics!B:K,8,FALSE)</f>
        <v>157</v>
      </c>
      <c r="AH1267">
        <f>VLOOKUP(A:A,[1]android_repos_all_metrics!B:K,9,FALSE)</f>
        <v>845</v>
      </c>
      <c r="AI1267">
        <f>VLOOKUP(A:A,[1]android_repos_all_metrics!B:K,10,FALSE)</f>
        <v>9</v>
      </c>
    </row>
    <row r="1268" spans="1:35">
      <c r="A1268" t="s">
        <v>1334</v>
      </c>
      <c r="B1268" t="b">
        <v>1</v>
      </c>
      <c r="C1268" t="b">
        <v>0</v>
      </c>
      <c r="D1268" t="b">
        <v>0</v>
      </c>
      <c r="F1268" t="b">
        <v>0</v>
      </c>
      <c r="H1268" t="s">
        <v>37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>
        <v>1</v>
      </c>
      <c r="AB1268">
        <v>0</v>
      </c>
      <c r="AC1268">
        <f>VLOOKUP(A:A,[1]android_repos_all_metrics!B:K,4,FALSE)</f>
        <v>1908</v>
      </c>
      <c r="AD1268">
        <f>VLOOKUP(A:A,[1]android_repos_all_metrics!B:K,5,FALSE)</f>
        <v>731</v>
      </c>
      <c r="AE1268">
        <f>VLOOKUP(A:A,[1]android_repos_all_metrics!B:K,6,FALSE)</f>
        <v>120</v>
      </c>
      <c r="AF1268">
        <f>VLOOKUP(A:A,[1]android_repos_all_metrics!B:K,7,FALSE)</f>
        <v>31870</v>
      </c>
      <c r="AG1268">
        <f>VLOOKUP(A:A,[1]android_repos_all_metrics!B:K,8,FALSE)</f>
        <v>312</v>
      </c>
      <c r="AH1268">
        <f>VLOOKUP(A:A,[1]android_repos_all_metrics!B:K,9,FALSE)</f>
        <v>2778</v>
      </c>
      <c r="AI1268">
        <f>VLOOKUP(A:A,[1]android_repos_all_metrics!B:K,10,FALSE)</f>
        <v>45</v>
      </c>
    </row>
    <row r="1269" spans="1:35">
      <c r="A1269" t="s">
        <v>1335</v>
      </c>
      <c r="B1269" t="b">
        <v>1</v>
      </c>
      <c r="C1269" t="b">
        <v>0</v>
      </c>
      <c r="D1269" t="b">
        <v>0</v>
      </c>
      <c r="F1269" t="b">
        <v>0</v>
      </c>
      <c r="H1269" t="s">
        <v>37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>
        <v>1</v>
      </c>
      <c r="AB1269">
        <v>0</v>
      </c>
      <c r="AC1269">
        <f>VLOOKUP(A:A,[1]android_repos_all_metrics!B:K,4,FALSE)</f>
        <v>13</v>
      </c>
      <c r="AD1269">
        <f>VLOOKUP(A:A,[1]android_repos_all_metrics!B:K,5,FALSE)</f>
        <v>2</v>
      </c>
      <c r="AE1269">
        <f>VLOOKUP(A:A,[1]android_repos_all_metrics!B:K,6,FALSE)</f>
        <v>2</v>
      </c>
      <c r="AF1269">
        <f>VLOOKUP(A:A,[1]android_repos_all_metrics!B:K,7,FALSE)</f>
        <v>754</v>
      </c>
      <c r="AG1269">
        <f>VLOOKUP(A:A,[1]android_repos_all_metrics!B:K,8,FALSE)</f>
        <v>3</v>
      </c>
      <c r="AH1269">
        <f>VLOOKUP(A:A,[1]android_repos_all_metrics!B:K,9,FALSE)</f>
        <v>10</v>
      </c>
      <c r="AI1269">
        <f>VLOOKUP(A:A,[1]android_repos_all_metrics!B:K,10,FALSE)</f>
        <v>0</v>
      </c>
    </row>
    <row r="1270" spans="1:35">
      <c r="A1270" t="s">
        <v>1336</v>
      </c>
      <c r="B1270" t="b">
        <v>1</v>
      </c>
      <c r="C1270" t="b">
        <v>1</v>
      </c>
      <c r="D1270" t="b">
        <v>1</v>
      </c>
      <c r="E1270" t="s">
        <v>36</v>
      </c>
      <c r="F1270" t="b">
        <v>0</v>
      </c>
      <c r="H1270" t="s">
        <v>37</v>
      </c>
      <c r="I1270" t="s">
        <v>37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>
        <v>3</v>
      </c>
      <c r="AA1270">
        <v>1</v>
      </c>
      <c r="AB1270">
        <v>0</v>
      </c>
      <c r="AC1270">
        <f>VLOOKUP(A:A,[1]android_repos_all_metrics!B:K,4,FALSE)</f>
        <v>1</v>
      </c>
      <c r="AD1270">
        <f>VLOOKUP(A:A,[1]android_repos_all_metrics!B:K,5,FALSE)</f>
        <v>0</v>
      </c>
      <c r="AE1270">
        <f>VLOOKUP(A:A,[1]android_repos_all_metrics!B:K,6,FALSE)</f>
        <v>1</v>
      </c>
      <c r="AF1270">
        <f>VLOOKUP(A:A,[1]android_repos_all_metrics!B:K,7,FALSE)</f>
        <v>24092</v>
      </c>
      <c r="AG1270">
        <f>VLOOKUP(A:A,[1]android_repos_all_metrics!B:K,8,FALSE)</f>
        <v>0</v>
      </c>
      <c r="AH1270">
        <f>VLOOKUP(A:A,[1]android_repos_all_metrics!B:K,9,FALSE)</f>
        <v>1</v>
      </c>
      <c r="AI1270">
        <f>VLOOKUP(A:A,[1]android_repos_all_metrics!B:K,10,FALSE)</f>
        <v>0</v>
      </c>
    </row>
    <row r="1271" spans="1:35">
      <c r="A1271" t="s">
        <v>1337</v>
      </c>
      <c r="B1271" t="b">
        <v>1</v>
      </c>
      <c r="C1271" t="b">
        <v>1</v>
      </c>
      <c r="D1271" t="b">
        <v>1</v>
      </c>
      <c r="E1271" t="s">
        <v>36</v>
      </c>
      <c r="F1271" t="b">
        <v>1</v>
      </c>
      <c r="G1271" t="s">
        <v>1185</v>
      </c>
      <c r="H1271" t="s">
        <v>126</v>
      </c>
      <c r="I1271" t="s">
        <v>126</v>
      </c>
      <c r="J1271" t="b">
        <v>0</v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>
        <v>1</v>
      </c>
      <c r="AA1271">
        <v>3</v>
      </c>
      <c r="AB1271">
        <v>0</v>
      </c>
      <c r="AC1271">
        <f>VLOOKUP(A:A,[1]android_repos_all_metrics!B:K,4,FALSE)</f>
        <v>812</v>
      </c>
      <c r="AD1271">
        <f>VLOOKUP(A:A,[1]android_repos_all_metrics!B:K,5,FALSE)</f>
        <v>0</v>
      </c>
      <c r="AE1271">
        <f>VLOOKUP(A:A,[1]android_repos_all_metrics!B:K,6,FALSE)</f>
        <v>1</v>
      </c>
      <c r="AF1271">
        <f>VLOOKUP(A:A,[1]android_repos_all_metrics!B:K,7,FALSE)</f>
        <v>3165</v>
      </c>
      <c r="AG1271">
        <f>VLOOKUP(A:A,[1]android_repos_all_metrics!B:K,8,FALSE)</f>
        <v>0</v>
      </c>
      <c r="AH1271">
        <f>VLOOKUP(A:A,[1]android_repos_all_metrics!B:K,9,FALSE)</f>
        <v>16</v>
      </c>
      <c r="AI1271">
        <f>VLOOKUP(A:A,[1]android_repos_all_metrics!B:K,10,FALSE)</f>
        <v>0</v>
      </c>
    </row>
    <row r="1272" spans="1:35">
      <c r="A1272" t="s">
        <v>1338</v>
      </c>
      <c r="B1272" t="b">
        <v>1</v>
      </c>
      <c r="C1272" t="b">
        <v>0</v>
      </c>
      <c r="D1272" t="b">
        <v>0</v>
      </c>
      <c r="F1272" t="b">
        <v>0</v>
      </c>
      <c r="H1272" t="s">
        <v>43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>
        <v>1</v>
      </c>
      <c r="AB1272">
        <v>0</v>
      </c>
      <c r="AC1272">
        <f>VLOOKUP(A:A,[1]android_repos_all_metrics!B:K,4,FALSE)</f>
        <v>103</v>
      </c>
      <c r="AD1272">
        <f>VLOOKUP(A:A,[1]android_repos_all_metrics!B:K,5,FALSE)</f>
        <v>13</v>
      </c>
      <c r="AE1272">
        <f>VLOOKUP(A:A,[1]android_repos_all_metrics!B:K,6,FALSE)</f>
        <v>1</v>
      </c>
      <c r="AF1272">
        <f>VLOOKUP(A:A,[1]android_repos_all_metrics!B:K,7,FALSE)</f>
        <v>648</v>
      </c>
      <c r="AG1272">
        <f>VLOOKUP(A:A,[1]android_repos_all_metrics!B:K,8,FALSE)</f>
        <v>0</v>
      </c>
      <c r="AH1272">
        <f>VLOOKUP(A:A,[1]android_repos_all_metrics!B:K,9,FALSE)</f>
        <v>1</v>
      </c>
      <c r="AI1272">
        <f>VLOOKUP(A:A,[1]android_repos_all_metrics!B:K,10,FALSE)</f>
        <v>12</v>
      </c>
    </row>
    <row r="1273" spans="1:35">
      <c r="A1273" t="s">
        <v>1339</v>
      </c>
      <c r="B1273" t="b">
        <v>1</v>
      </c>
      <c r="C1273" t="b">
        <v>0</v>
      </c>
      <c r="D1273" t="b">
        <v>0</v>
      </c>
      <c r="F1273" t="b">
        <v>0</v>
      </c>
      <c r="H1273" t="s">
        <v>37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>
        <v>1</v>
      </c>
      <c r="AB1273">
        <v>0</v>
      </c>
      <c r="AC1273">
        <f>VLOOKUP(A:A,[1]android_repos_all_metrics!B:K,4,FALSE)</f>
        <v>154</v>
      </c>
      <c r="AD1273">
        <f>VLOOKUP(A:A,[1]android_repos_all_metrics!B:K,5,FALSE)</f>
        <v>60</v>
      </c>
      <c r="AE1273">
        <f>VLOOKUP(A:A,[1]android_repos_all_metrics!B:K,6,FALSE)</f>
        <v>2</v>
      </c>
      <c r="AF1273">
        <f>VLOOKUP(A:A,[1]android_repos_all_metrics!B:K,7,FALSE)</f>
        <v>468</v>
      </c>
      <c r="AG1273">
        <f>VLOOKUP(A:A,[1]android_repos_all_metrics!B:K,8,FALSE)</f>
        <v>0</v>
      </c>
      <c r="AH1273">
        <f>VLOOKUP(A:A,[1]android_repos_all_metrics!B:K,9,FALSE)</f>
        <v>2</v>
      </c>
      <c r="AI1273">
        <f>VLOOKUP(A:A,[1]android_repos_all_metrics!B:K,10,FALSE)</f>
        <v>1</v>
      </c>
    </row>
    <row r="1274" spans="1:35">
      <c r="A1274" t="s">
        <v>1340</v>
      </c>
      <c r="B1274" t="b">
        <v>1</v>
      </c>
      <c r="C1274" t="b">
        <v>0</v>
      </c>
      <c r="D1274" t="b">
        <v>0</v>
      </c>
      <c r="F1274" t="b">
        <v>0</v>
      </c>
      <c r="H1274" t="s">
        <v>37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>
        <v>1</v>
      </c>
      <c r="AB1274">
        <v>0</v>
      </c>
      <c r="AC1274">
        <f>VLOOKUP(A:A,[1]android_repos_all_metrics!B:K,4,FALSE)</f>
        <v>586</v>
      </c>
      <c r="AD1274">
        <f>VLOOKUP(A:A,[1]android_repos_all_metrics!B:K,5,FALSE)</f>
        <v>52</v>
      </c>
      <c r="AE1274">
        <f>VLOOKUP(A:A,[1]android_repos_all_metrics!B:K,6,FALSE)</f>
        <v>3</v>
      </c>
      <c r="AF1274">
        <f>VLOOKUP(A:A,[1]android_repos_all_metrics!B:K,7,FALSE)</f>
        <v>90507</v>
      </c>
      <c r="AG1274">
        <f>VLOOKUP(A:A,[1]android_repos_all_metrics!B:K,8,FALSE)</f>
        <v>0</v>
      </c>
      <c r="AH1274">
        <f>VLOOKUP(A:A,[1]android_repos_all_metrics!B:K,9,FALSE)</f>
        <v>15</v>
      </c>
      <c r="AI1274">
        <f>VLOOKUP(A:A,[1]android_repos_all_metrics!B:K,10,FALSE)</f>
        <v>7</v>
      </c>
    </row>
    <row r="1275" spans="1:35">
      <c r="A1275" t="s">
        <v>1341</v>
      </c>
      <c r="B1275" t="b">
        <v>0</v>
      </c>
      <c r="C1275" t="b">
        <v>0</v>
      </c>
      <c r="D1275" t="b">
        <v>0</v>
      </c>
      <c r="F1275" t="b">
        <v>0</v>
      </c>
      <c r="H1275" t="s">
        <v>41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>
        <v>1</v>
      </c>
      <c r="AB1275">
        <v>0</v>
      </c>
      <c r="AC1275">
        <f>VLOOKUP(A:A,[1]android_repos_all_metrics!B:K,4,FALSE)</f>
        <v>56</v>
      </c>
      <c r="AD1275">
        <f>VLOOKUP(A:A,[1]android_repos_all_metrics!B:K,5,FALSE)</f>
        <v>9</v>
      </c>
      <c r="AE1275">
        <f>VLOOKUP(A:A,[1]android_repos_all_metrics!B:K,6,FALSE)</f>
        <v>2</v>
      </c>
      <c r="AF1275">
        <f>VLOOKUP(A:A,[1]android_repos_all_metrics!B:K,7,FALSE)</f>
        <v>2399</v>
      </c>
      <c r="AG1275">
        <f>VLOOKUP(A:A,[1]android_repos_all_metrics!B:K,8,FALSE)</f>
        <v>70</v>
      </c>
      <c r="AH1275">
        <f>VLOOKUP(A:A,[1]android_repos_all_metrics!B:K,9,FALSE)</f>
        <v>599</v>
      </c>
      <c r="AI1275">
        <f>VLOOKUP(A:A,[1]android_repos_all_metrics!B:K,10,FALSE)</f>
        <v>10</v>
      </c>
    </row>
    <row r="1276" spans="1:35">
      <c r="A1276" t="s">
        <v>1342</v>
      </c>
      <c r="B1276" t="b">
        <v>1</v>
      </c>
      <c r="C1276" t="b">
        <v>0</v>
      </c>
      <c r="D1276" t="b">
        <v>0</v>
      </c>
      <c r="F1276" t="b">
        <v>0</v>
      </c>
      <c r="H1276" t="s">
        <v>76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>
        <v>1</v>
      </c>
      <c r="AB1276">
        <v>0</v>
      </c>
      <c r="AC1276">
        <f>VLOOKUP(A:A,[1]android_repos_all_metrics!B:K,4,FALSE)</f>
        <v>1835</v>
      </c>
      <c r="AD1276">
        <f>VLOOKUP(A:A,[1]android_repos_all_metrics!B:K,5,FALSE)</f>
        <v>47</v>
      </c>
      <c r="AE1276">
        <f>VLOOKUP(A:A,[1]android_repos_all_metrics!B:K,6,FALSE)</f>
        <v>9</v>
      </c>
      <c r="AF1276">
        <f>VLOOKUP(A:A,[1]android_repos_all_metrics!B:K,7,FALSE)</f>
        <v>437036</v>
      </c>
      <c r="AG1276">
        <f>VLOOKUP(A:A,[1]android_repos_all_metrics!B:K,8,FALSE)</f>
        <v>246</v>
      </c>
      <c r="AH1276">
        <f>VLOOKUP(A:A,[1]android_repos_all_metrics!B:K,9,FALSE)</f>
        <v>1145</v>
      </c>
      <c r="AI1276">
        <f>VLOOKUP(A:A,[1]android_repos_all_metrics!B:K,10,FALSE)</f>
        <v>3</v>
      </c>
    </row>
    <row r="1277" spans="1:35">
      <c r="A1277" t="s">
        <v>1343</v>
      </c>
      <c r="B1277" t="b">
        <v>1</v>
      </c>
      <c r="C1277" t="b">
        <v>0</v>
      </c>
      <c r="D1277" t="b">
        <v>0</v>
      </c>
      <c r="F1277" t="b">
        <v>0</v>
      </c>
      <c r="H1277" t="s">
        <v>43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>
        <v>1</v>
      </c>
      <c r="AB1277">
        <v>0</v>
      </c>
      <c r="AC1277">
        <f>VLOOKUP(A:A,[1]android_repos_all_metrics!B:K,4,FALSE)</f>
        <v>88</v>
      </c>
      <c r="AD1277">
        <f>VLOOKUP(A:A,[1]android_repos_all_metrics!B:K,5,FALSE)</f>
        <v>70</v>
      </c>
      <c r="AE1277">
        <f>VLOOKUP(A:A,[1]android_repos_all_metrics!B:K,6,FALSE)</f>
        <v>1</v>
      </c>
      <c r="AF1277">
        <f>VLOOKUP(A:A,[1]android_repos_all_metrics!B:K,7,FALSE)</f>
        <v>4575</v>
      </c>
      <c r="AG1277">
        <f>VLOOKUP(A:A,[1]android_repos_all_metrics!B:K,8,FALSE)</f>
        <v>3</v>
      </c>
      <c r="AH1277">
        <f>VLOOKUP(A:A,[1]android_repos_all_metrics!B:K,9,FALSE)</f>
        <v>6</v>
      </c>
      <c r="AI1277">
        <f>VLOOKUP(A:A,[1]android_repos_all_metrics!B:K,10,FALSE)</f>
        <v>41</v>
      </c>
    </row>
    <row r="1278" spans="1:35">
      <c r="A1278" t="s">
        <v>1344</v>
      </c>
      <c r="B1278" t="b">
        <v>1</v>
      </c>
      <c r="C1278" t="b">
        <v>0</v>
      </c>
      <c r="D1278" t="b">
        <v>0</v>
      </c>
      <c r="F1278" t="b">
        <v>0</v>
      </c>
      <c r="H1278" t="s">
        <v>37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>
        <v>1</v>
      </c>
      <c r="AB1278">
        <v>0</v>
      </c>
      <c r="AC1278">
        <f>VLOOKUP(A:A,[1]android_repos_all_metrics!B:K,4,FALSE)</f>
        <v>318</v>
      </c>
      <c r="AD1278">
        <f>VLOOKUP(A:A,[1]android_repos_all_metrics!B:K,5,FALSE)</f>
        <v>8</v>
      </c>
      <c r="AE1278">
        <f>VLOOKUP(A:A,[1]android_repos_all_metrics!B:K,6,FALSE)</f>
        <v>2</v>
      </c>
      <c r="AF1278">
        <f>VLOOKUP(A:A,[1]android_repos_all_metrics!B:K,7,FALSE)</f>
        <v>1501</v>
      </c>
      <c r="AG1278">
        <f>VLOOKUP(A:A,[1]android_repos_all_metrics!B:K,8,FALSE)</f>
        <v>0</v>
      </c>
      <c r="AH1278">
        <f>VLOOKUP(A:A,[1]android_repos_all_metrics!B:K,9,FALSE)</f>
        <v>2</v>
      </c>
      <c r="AI1278">
        <f>VLOOKUP(A:A,[1]android_repos_all_metrics!B:K,10,FALSE)</f>
        <v>5</v>
      </c>
    </row>
    <row r="1279" spans="1:35">
      <c r="A1279" t="s">
        <v>1345</v>
      </c>
      <c r="B1279" t="b">
        <v>0</v>
      </c>
      <c r="C1279" t="b">
        <v>0</v>
      </c>
      <c r="D1279" t="b">
        <v>0</v>
      </c>
      <c r="F1279" t="b">
        <v>0</v>
      </c>
      <c r="H1279" t="s">
        <v>41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>
        <v>1</v>
      </c>
      <c r="AB1279">
        <v>0</v>
      </c>
      <c r="AC1279">
        <f>VLOOKUP(A:A,[1]android_repos_all_metrics!B:K,4,FALSE)</f>
        <v>70</v>
      </c>
      <c r="AD1279">
        <f>VLOOKUP(A:A,[1]android_repos_all_metrics!B:K,5,FALSE)</f>
        <v>57</v>
      </c>
      <c r="AE1279">
        <f>VLOOKUP(A:A,[1]android_repos_all_metrics!B:K,6,FALSE)</f>
        <v>3</v>
      </c>
      <c r="AF1279">
        <f>VLOOKUP(A:A,[1]android_repos_all_metrics!B:K,7,FALSE)</f>
        <v>27796</v>
      </c>
      <c r="AG1279">
        <f>VLOOKUP(A:A,[1]android_repos_all_metrics!B:K,8,FALSE)</f>
        <v>418</v>
      </c>
      <c r="AH1279">
        <f>VLOOKUP(A:A,[1]android_repos_all_metrics!B:K,9,FALSE)</f>
        <v>2720</v>
      </c>
      <c r="AI1279">
        <f>VLOOKUP(A:A,[1]android_repos_all_metrics!B:K,10,FALSE)</f>
        <v>57</v>
      </c>
    </row>
    <row r="1280" spans="1:35">
      <c r="A1280" t="s">
        <v>1346</v>
      </c>
      <c r="B1280" t="b">
        <v>1</v>
      </c>
      <c r="C1280" t="b">
        <v>0</v>
      </c>
      <c r="D1280" t="b">
        <v>0</v>
      </c>
      <c r="F1280" t="b">
        <v>0</v>
      </c>
      <c r="H1280" t="s">
        <v>43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>
        <v>1</v>
      </c>
      <c r="AB1280">
        <v>0</v>
      </c>
      <c r="AC1280">
        <f>VLOOKUP(A:A,[1]android_repos_all_metrics!B:K,4,FALSE)</f>
        <v>27</v>
      </c>
      <c r="AD1280">
        <f>VLOOKUP(A:A,[1]android_repos_all_metrics!B:K,5,FALSE)</f>
        <v>10</v>
      </c>
      <c r="AE1280">
        <f>VLOOKUP(A:A,[1]android_repos_all_metrics!B:K,6,FALSE)</f>
        <v>1</v>
      </c>
      <c r="AF1280">
        <f>VLOOKUP(A:A,[1]android_repos_all_metrics!B:K,7,FALSE)</f>
        <v>1572</v>
      </c>
      <c r="AG1280">
        <f>VLOOKUP(A:A,[1]android_repos_all_metrics!B:K,8,FALSE)</f>
        <v>19</v>
      </c>
      <c r="AH1280">
        <f>VLOOKUP(A:A,[1]android_repos_all_metrics!B:K,9,FALSE)</f>
        <v>62</v>
      </c>
      <c r="AI1280">
        <f>VLOOKUP(A:A,[1]android_repos_all_metrics!B:K,10,FALSE)</f>
        <v>2</v>
      </c>
    </row>
    <row r="1281" spans="1:35">
      <c r="A1281" t="s">
        <v>1347</v>
      </c>
      <c r="B1281" t="b">
        <v>1</v>
      </c>
      <c r="C1281" t="b">
        <v>0</v>
      </c>
      <c r="D1281" t="b">
        <v>0</v>
      </c>
      <c r="F1281" t="b">
        <v>0</v>
      </c>
      <c r="H1281" t="s">
        <v>41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>
        <v>1</v>
      </c>
      <c r="AB1281">
        <v>0</v>
      </c>
      <c r="AC1281">
        <f>VLOOKUP(A:A,[1]android_repos_all_metrics!B:K,4,FALSE)</f>
        <v>153</v>
      </c>
      <c r="AD1281">
        <f>VLOOKUP(A:A,[1]android_repos_all_metrics!B:K,5,FALSE)</f>
        <v>35</v>
      </c>
      <c r="AE1281">
        <f>VLOOKUP(A:A,[1]android_repos_all_metrics!B:K,6,FALSE)</f>
        <v>12</v>
      </c>
      <c r="AF1281">
        <f>VLOOKUP(A:A,[1]android_repos_all_metrics!B:K,7,FALSE)</f>
        <v>788</v>
      </c>
      <c r="AG1281">
        <f>VLOOKUP(A:A,[1]android_repos_all_metrics!B:K,8,FALSE)</f>
        <v>236</v>
      </c>
      <c r="AH1281">
        <f>VLOOKUP(A:A,[1]android_repos_all_metrics!B:K,9,FALSE)</f>
        <v>1114</v>
      </c>
      <c r="AI1281">
        <f>VLOOKUP(A:A,[1]android_repos_all_metrics!B:K,10,FALSE)</f>
        <v>32</v>
      </c>
    </row>
    <row r="1282" spans="1:35">
      <c r="A1282" t="s">
        <v>1348</v>
      </c>
      <c r="B1282" t="b">
        <v>1</v>
      </c>
      <c r="C1282" t="b">
        <v>0</v>
      </c>
      <c r="D1282" t="b">
        <v>0</v>
      </c>
      <c r="F1282" t="b">
        <v>0</v>
      </c>
      <c r="H1282" t="s">
        <v>37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>
        <v>1</v>
      </c>
      <c r="AB1282">
        <v>0</v>
      </c>
      <c r="AC1282">
        <f>VLOOKUP(A:A,[1]android_repos_all_metrics!B:K,4,FALSE)</f>
        <v>2103</v>
      </c>
      <c r="AD1282">
        <f>VLOOKUP(A:A,[1]android_repos_all_metrics!B:K,5,FALSE)</f>
        <v>28</v>
      </c>
      <c r="AE1282">
        <f>VLOOKUP(A:A,[1]android_repos_all_metrics!B:K,6,FALSE)</f>
        <v>2</v>
      </c>
      <c r="AF1282">
        <f>VLOOKUP(A:A,[1]android_repos_all_metrics!B:K,7,FALSE)</f>
        <v>14495</v>
      </c>
      <c r="AG1282">
        <f>VLOOKUP(A:A,[1]android_repos_all_metrics!B:K,8,FALSE)</f>
        <v>281</v>
      </c>
      <c r="AH1282">
        <f>VLOOKUP(A:A,[1]android_repos_all_metrics!B:K,9,FALSE)</f>
        <v>3183</v>
      </c>
      <c r="AI1282">
        <f>VLOOKUP(A:A,[1]android_repos_all_metrics!B:K,10,FALSE)</f>
        <v>283</v>
      </c>
    </row>
    <row r="1283" spans="1:35">
      <c r="A1283" t="s">
        <v>1349</v>
      </c>
      <c r="B1283" t="b">
        <v>1</v>
      </c>
      <c r="C1283" t="b">
        <v>0</v>
      </c>
      <c r="D1283" t="b">
        <v>0</v>
      </c>
      <c r="F1283" t="b">
        <v>0</v>
      </c>
      <c r="H1283" t="s">
        <v>37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>
        <v>1</v>
      </c>
      <c r="AB1283">
        <v>0</v>
      </c>
      <c r="AC1283">
        <f>VLOOKUP(A:A,[1]android_repos_all_metrics!B:K,4,FALSE)</f>
        <v>66</v>
      </c>
      <c r="AD1283">
        <f>VLOOKUP(A:A,[1]android_repos_all_metrics!B:K,5,FALSE)</f>
        <v>12</v>
      </c>
      <c r="AE1283">
        <f>VLOOKUP(A:A,[1]android_repos_all_metrics!B:K,6,FALSE)</f>
        <v>4</v>
      </c>
      <c r="AF1283">
        <f>VLOOKUP(A:A,[1]android_repos_all_metrics!B:K,7,FALSE)</f>
        <v>546</v>
      </c>
      <c r="AG1283">
        <f>VLOOKUP(A:A,[1]android_repos_all_metrics!B:K,8,FALSE)</f>
        <v>8</v>
      </c>
      <c r="AH1283">
        <f>VLOOKUP(A:A,[1]android_repos_all_metrics!B:K,9,FALSE)</f>
        <v>41</v>
      </c>
      <c r="AI1283">
        <f>VLOOKUP(A:A,[1]android_repos_all_metrics!B:K,10,FALSE)</f>
        <v>0</v>
      </c>
    </row>
    <row r="1284" spans="1:35">
      <c r="A1284" t="s">
        <v>1350</v>
      </c>
      <c r="B1284" t="b">
        <v>1</v>
      </c>
      <c r="C1284" t="b">
        <v>0</v>
      </c>
      <c r="D1284" t="b">
        <v>0</v>
      </c>
      <c r="F1284" t="b">
        <v>0</v>
      </c>
      <c r="H1284" t="s">
        <v>41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>
        <v>1</v>
      </c>
      <c r="AB1284">
        <v>0</v>
      </c>
      <c r="AC1284">
        <f>VLOOKUP(A:A,[1]android_repos_all_metrics!B:K,4,FALSE)</f>
        <v>206</v>
      </c>
      <c r="AD1284">
        <f>VLOOKUP(A:A,[1]android_repos_all_metrics!B:K,5,FALSE)</f>
        <v>17</v>
      </c>
      <c r="AE1284">
        <f>VLOOKUP(A:A,[1]android_repos_all_metrics!B:K,6,FALSE)</f>
        <v>5</v>
      </c>
      <c r="AF1284">
        <f>VLOOKUP(A:A,[1]android_repos_all_metrics!B:K,7,FALSE)</f>
        <v>16609</v>
      </c>
      <c r="AG1284">
        <f>VLOOKUP(A:A,[1]android_repos_all_metrics!B:K,8,FALSE)</f>
        <v>24</v>
      </c>
      <c r="AH1284">
        <f>VLOOKUP(A:A,[1]android_repos_all_metrics!B:K,9,FALSE)</f>
        <v>70</v>
      </c>
      <c r="AI1284">
        <f>VLOOKUP(A:A,[1]android_repos_all_metrics!B:K,10,FALSE)</f>
        <v>0</v>
      </c>
    </row>
    <row r="1285" spans="1:35">
      <c r="A1285" t="s">
        <v>1351</v>
      </c>
      <c r="B1285" t="b">
        <v>0</v>
      </c>
      <c r="C1285" t="b">
        <v>0</v>
      </c>
      <c r="D1285" t="b">
        <v>0</v>
      </c>
      <c r="F1285" t="b">
        <v>0</v>
      </c>
      <c r="H1285" t="s">
        <v>41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>
        <v>1</v>
      </c>
      <c r="AB1285">
        <v>0</v>
      </c>
      <c r="AC1285">
        <f>VLOOKUP(A:A,[1]android_repos_all_metrics!B:K,4,FALSE)</f>
        <v>74</v>
      </c>
      <c r="AD1285">
        <f>VLOOKUP(A:A,[1]android_repos_all_metrics!B:K,5,FALSE)</f>
        <v>1</v>
      </c>
      <c r="AE1285">
        <f>VLOOKUP(A:A,[1]android_repos_all_metrics!B:K,6,FALSE)</f>
        <v>2</v>
      </c>
      <c r="AF1285">
        <f>VLOOKUP(A:A,[1]android_repos_all_metrics!B:K,7,FALSE)</f>
        <v>126</v>
      </c>
      <c r="AG1285">
        <f>VLOOKUP(A:A,[1]android_repos_all_metrics!B:K,8,FALSE)</f>
        <v>6</v>
      </c>
      <c r="AH1285">
        <f>VLOOKUP(A:A,[1]android_repos_all_metrics!B:K,9,FALSE)</f>
        <v>53</v>
      </c>
      <c r="AI1285">
        <f>VLOOKUP(A:A,[1]android_repos_all_metrics!B:K,10,FALSE)</f>
        <v>17</v>
      </c>
    </row>
    <row r="1286" spans="1:35">
      <c r="A1286" t="s">
        <v>1352</v>
      </c>
      <c r="B1286" t="b">
        <v>1</v>
      </c>
      <c r="C1286" t="b">
        <v>0</v>
      </c>
      <c r="D1286" t="b">
        <v>0</v>
      </c>
      <c r="F1286" t="b">
        <v>0</v>
      </c>
      <c r="H1286" t="s">
        <v>86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>
        <v>2</v>
      </c>
      <c r="AB1286">
        <v>0</v>
      </c>
      <c r="AC1286">
        <f>VLOOKUP(A:A,[1]android_repos_all_metrics!B:K,4,FALSE)</f>
        <v>31</v>
      </c>
      <c r="AD1286">
        <f>VLOOKUP(A:A,[1]android_repos_all_metrics!B:K,5,FALSE)</f>
        <v>7</v>
      </c>
      <c r="AE1286">
        <f>VLOOKUP(A:A,[1]android_repos_all_metrics!B:K,6,FALSE)</f>
        <v>3</v>
      </c>
      <c r="AF1286">
        <f>VLOOKUP(A:A,[1]android_repos_all_metrics!B:K,7,FALSE)</f>
        <v>3128</v>
      </c>
      <c r="AG1286">
        <f>VLOOKUP(A:A,[1]android_repos_all_metrics!B:K,8,FALSE)</f>
        <v>21</v>
      </c>
      <c r="AH1286">
        <f>VLOOKUP(A:A,[1]android_repos_all_metrics!B:K,9,FALSE)</f>
        <v>83</v>
      </c>
      <c r="AI1286">
        <f>VLOOKUP(A:A,[1]android_repos_all_metrics!B:K,10,FALSE)</f>
        <v>4</v>
      </c>
    </row>
    <row r="1287" spans="1:35">
      <c r="A1287" t="s">
        <v>1353</v>
      </c>
      <c r="B1287" t="b">
        <v>1</v>
      </c>
      <c r="C1287" t="b">
        <v>0</v>
      </c>
      <c r="D1287" t="b">
        <v>0</v>
      </c>
      <c r="F1287" t="b">
        <v>0</v>
      </c>
      <c r="H1287" t="s">
        <v>37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>
        <v>1</v>
      </c>
      <c r="AB1287">
        <v>0</v>
      </c>
      <c r="AC1287">
        <f>VLOOKUP(A:A,[1]android_repos_all_metrics!B:K,4,FALSE)</f>
        <v>117</v>
      </c>
      <c r="AD1287">
        <f>VLOOKUP(A:A,[1]android_repos_all_metrics!B:K,5,FALSE)</f>
        <v>9</v>
      </c>
      <c r="AE1287">
        <f>VLOOKUP(A:A,[1]android_repos_all_metrics!B:K,6,FALSE)</f>
        <v>4</v>
      </c>
      <c r="AF1287">
        <f>VLOOKUP(A:A,[1]android_repos_all_metrics!B:K,7,FALSE)</f>
        <v>2564</v>
      </c>
      <c r="AG1287">
        <f>VLOOKUP(A:A,[1]android_repos_all_metrics!B:K,8,FALSE)</f>
        <v>214</v>
      </c>
      <c r="AH1287">
        <f>VLOOKUP(A:A,[1]android_repos_all_metrics!B:K,9,FALSE)</f>
        <v>2266</v>
      </c>
      <c r="AI1287">
        <f>VLOOKUP(A:A,[1]android_repos_all_metrics!B:K,10,FALSE)</f>
        <v>49</v>
      </c>
    </row>
    <row r="1288" spans="1:35">
      <c r="A1288" t="s">
        <v>1354</v>
      </c>
      <c r="B1288" t="b">
        <v>1</v>
      </c>
      <c r="C1288" t="b">
        <v>0</v>
      </c>
      <c r="D1288" t="b">
        <v>0</v>
      </c>
      <c r="F1288" t="b">
        <v>0</v>
      </c>
      <c r="H1288" t="s">
        <v>37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>
        <v>8</v>
      </c>
      <c r="AB1288">
        <v>0</v>
      </c>
      <c r="AC1288">
        <f>VLOOKUP(A:A,[1]android_repos_all_metrics!B:K,4,FALSE)</f>
        <v>1608</v>
      </c>
      <c r="AD1288">
        <f>VLOOKUP(A:A,[1]android_repos_all_metrics!B:K,5,FALSE)</f>
        <v>6457</v>
      </c>
      <c r="AE1288">
        <f>VLOOKUP(A:A,[1]android_repos_all_metrics!B:K,6,FALSE)</f>
        <v>165</v>
      </c>
      <c r="AF1288">
        <f>VLOOKUP(A:A,[1]android_repos_all_metrics!B:K,7,FALSE)</f>
        <v>112819</v>
      </c>
      <c r="AG1288">
        <f>VLOOKUP(A:A,[1]android_repos_all_metrics!B:K,8,FALSE)</f>
        <v>1168</v>
      </c>
      <c r="AH1288">
        <f>VLOOKUP(A:A,[1]android_repos_all_metrics!B:K,9,FALSE)</f>
        <v>1909</v>
      </c>
      <c r="AI1288">
        <f>VLOOKUP(A:A,[1]android_repos_all_metrics!B:K,10,FALSE)</f>
        <v>107</v>
      </c>
    </row>
    <row r="1289" spans="1:35">
      <c r="A1289" t="s">
        <v>1355</v>
      </c>
      <c r="B1289" t="b">
        <v>1</v>
      </c>
      <c r="C1289" t="b">
        <v>0</v>
      </c>
      <c r="D1289" t="b">
        <v>0</v>
      </c>
      <c r="F1289" t="b">
        <v>0</v>
      </c>
      <c r="H1289" t="s">
        <v>41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>
        <v>1</v>
      </c>
      <c r="AB1289">
        <v>0</v>
      </c>
      <c r="AC1289">
        <f>VLOOKUP(A:A,[1]android_repos_all_metrics!B:K,4,FALSE)</f>
        <v>4</v>
      </c>
      <c r="AD1289">
        <f>VLOOKUP(A:A,[1]android_repos_all_metrics!B:K,5,FALSE)</f>
        <v>0</v>
      </c>
      <c r="AE1289">
        <f>VLOOKUP(A:A,[1]android_repos_all_metrics!B:K,6,FALSE)</f>
        <v>1</v>
      </c>
      <c r="AF1289">
        <f>VLOOKUP(A:A,[1]android_repos_all_metrics!B:K,7,FALSE)</f>
        <v>17138</v>
      </c>
      <c r="AG1289">
        <f>VLOOKUP(A:A,[1]android_repos_all_metrics!B:K,8,FALSE)</f>
        <v>1</v>
      </c>
      <c r="AH1289">
        <f>VLOOKUP(A:A,[1]android_repos_all_metrics!B:K,9,FALSE)</f>
        <v>2</v>
      </c>
      <c r="AI1289">
        <f>VLOOKUP(A:A,[1]android_repos_all_metrics!B:K,10,FALSE)</f>
        <v>0</v>
      </c>
    </row>
    <row r="1290" spans="1:35">
      <c r="A1290" t="s">
        <v>1356</v>
      </c>
      <c r="B1290" t="b">
        <v>1</v>
      </c>
      <c r="C1290" t="b">
        <v>0</v>
      </c>
      <c r="D1290" t="b">
        <v>0</v>
      </c>
      <c r="F1290" t="b">
        <v>0</v>
      </c>
      <c r="H1290" t="s">
        <v>37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>
        <v>1</v>
      </c>
      <c r="AB1290">
        <v>0</v>
      </c>
      <c r="AC1290">
        <f>VLOOKUP(A:A,[1]android_repos_all_metrics!B:K,4,FALSE)</f>
        <v>115</v>
      </c>
      <c r="AD1290">
        <f>VLOOKUP(A:A,[1]android_repos_all_metrics!B:K,5,FALSE)</f>
        <v>16</v>
      </c>
      <c r="AE1290">
        <f>VLOOKUP(A:A,[1]android_repos_all_metrics!B:K,6,FALSE)</f>
        <v>11</v>
      </c>
      <c r="AF1290">
        <f>VLOOKUP(A:A,[1]android_repos_all_metrics!B:K,7,FALSE)</f>
        <v>3337</v>
      </c>
      <c r="AG1290">
        <f>VLOOKUP(A:A,[1]android_repos_all_metrics!B:K,8,FALSE)</f>
        <v>9</v>
      </c>
      <c r="AH1290">
        <f>VLOOKUP(A:A,[1]android_repos_all_metrics!B:K,9,FALSE)</f>
        <v>250</v>
      </c>
      <c r="AI1290">
        <f>VLOOKUP(A:A,[1]android_repos_all_metrics!B:K,10,FALSE)</f>
        <v>14</v>
      </c>
    </row>
    <row r="1291" spans="1:35">
      <c r="A1291" t="s">
        <v>1357</v>
      </c>
      <c r="B1291" t="b">
        <v>1</v>
      </c>
      <c r="C1291" t="b">
        <v>0</v>
      </c>
      <c r="D1291" t="b">
        <v>0</v>
      </c>
      <c r="F1291" t="b">
        <v>0</v>
      </c>
      <c r="H1291" t="s">
        <v>37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>
        <v>1</v>
      </c>
      <c r="AB1291">
        <v>0</v>
      </c>
      <c r="AC1291">
        <f>VLOOKUP(A:A,[1]android_repos_all_metrics!B:K,4,FALSE)</f>
        <v>919</v>
      </c>
      <c r="AD1291">
        <f>VLOOKUP(A:A,[1]android_repos_all_metrics!B:K,5,FALSE)</f>
        <v>29</v>
      </c>
      <c r="AE1291">
        <f>VLOOKUP(A:A,[1]android_repos_all_metrics!B:K,6,FALSE)</f>
        <v>3</v>
      </c>
      <c r="AF1291">
        <f>VLOOKUP(A:A,[1]android_repos_all_metrics!B:K,7,FALSE)</f>
        <v>23592</v>
      </c>
      <c r="AG1291">
        <f>VLOOKUP(A:A,[1]android_repos_all_metrics!B:K,8,FALSE)</f>
        <v>24</v>
      </c>
      <c r="AH1291">
        <f>VLOOKUP(A:A,[1]android_repos_all_metrics!B:K,9,FALSE)</f>
        <v>102</v>
      </c>
      <c r="AI1291">
        <f>VLOOKUP(A:A,[1]android_repos_all_metrics!B:K,10,FALSE)</f>
        <v>79</v>
      </c>
    </row>
    <row r="1292" spans="1:35">
      <c r="A1292" t="s">
        <v>1358</v>
      </c>
      <c r="B1292" t="b">
        <v>0</v>
      </c>
      <c r="C1292" t="b">
        <v>0</v>
      </c>
      <c r="D1292" t="b">
        <v>0</v>
      </c>
      <c r="F1292" t="b">
        <v>0</v>
      </c>
      <c r="H1292" t="s">
        <v>41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>
        <v>1</v>
      </c>
      <c r="AB1292">
        <v>0</v>
      </c>
      <c r="AC1292">
        <f>VLOOKUP(A:A,[1]android_repos_all_metrics!B:K,4,FALSE)</f>
        <v>125</v>
      </c>
      <c r="AD1292">
        <f>VLOOKUP(A:A,[1]android_repos_all_metrics!B:K,5,FALSE)</f>
        <v>12</v>
      </c>
      <c r="AE1292">
        <f>VLOOKUP(A:A,[1]android_repos_all_metrics!B:K,6,FALSE)</f>
        <v>5</v>
      </c>
      <c r="AF1292">
        <f>VLOOKUP(A:A,[1]android_repos_all_metrics!B:K,7,FALSE)</f>
        <v>23363</v>
      </c>
      <c r="AG1292">
        <f>VLOOKUP(A:A,[1]android_repos_all_metrics!B:K,8,FALSE)</f>
        <v>2</v>
      </c>
      <c r="AH1292">
        <f>VLOOKUP(A:A,[1]android_repos_all_metrics!B:K,9,FALSE)</f>
        <v>3</v>
      </c>
      <c r="AI1292">
        <f>VLOOKUP(A:A,[1]android_repos_all_metrics!B:K,10,FALSE)</f>
        <v>1</v>
      </c>
    </row>
    <row r="1293" spans="1:35">
      <c r="A1293" t="s">
        <v>1359</v>
      </c>
      <c r="B1293" t="b">
        <v>0</v>
      </c>
      <c r="C1293" t="b">
        <v>0</v>
      </c>
      <c r="D1293" t="b">
        <v>0</v>
      </c>
      <c r="F1293" t="b">
        <v>0</v>
      </c>
      <c r="H1293" t="s">
        <v>41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>
        <v>1</v>
      </c>
      <c r="AB1293">
        <v>0</v>
      </c>
      <c r="AC1293">
        <f>VLOOKUP(A:A,[1]android_repos_all_metrics!B:K,4,FALSE)</f>
        <v>84</v>
      </c>
      <c r="AD1293">
        <f>VLOOKUP(A:A,[1]android_repos_all_metrics!B:K,5,FALSE)</f>
        <v>0</v>
      </c>
      <c r="AE1293">
        <f>VLOOKUP(A:A,[1]android_repos_all_metrics!B:K,6,FALSE)</f>
        <v>3</v>
      </c>
      <c r="AF1293">
        <f>VLOOKUP(A:A,[1]android_repos_all_metrics!B:K,7,FALSE)</f>
        <v>429</v>
      </c>
      <c r="AG1293">
        <f>VLOOKUP(A:A,[1]android_repos_all_metrics!B:K,8,FALSE)</f>
        <v>3</v>
      </c>
      <c r="AH1293">
        <f>VLOOKUP(A:A,[1]android_repos_all_metrics!B:K,9,FALSE)</f>
        <v>1</v>
      </c>
      <c r="AI1293">
        <f>VLOOKUP(A:A,[1]android_repos_all_metrics!B:K,10,FALSE)</f>
        <v>3</v>
      </c>
    </row>
    <row r="1294" spans="1:35">
      <c r="A1294" t="s">
        <v>1360</v>
      </c>
      <c r="B1294" t="b">
        <v>0</v>
      </c>
      <c r="C1294" t="b">
        <v>0</v>
      </c>
      <c r="D1294" t="b">
        <v>0</v>
      </c>
      <c r="F1294" t="b">
        <v>0</v>
      </c>
      <c r="H1294" t="s">
        <v>41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>
        <v>1</v>
      </c>
      <c r="AB1294">
        <v>0</v>
      </c>
      <c r="AC1294">
        <f>VLOOKUP(A:A,[1]android_repos_all_metrics!B:K,4,FALSE)</f>
        <v>111</v>
      </c>
      <c r="AD1294">
        <f>VLOOKUP(A:A,[1]android_repos_all_metrics!B:K,5,FALSE)</f>
        <v>4</v>
      </c>
      <c r="AE1294">
        <f>VLOOKUP(A:A,[1]android_repos_all_metrics!B:K,6,FALSE)</f>
        <v>4</v>
      </c>
      <c r="AF1294">
        <f>VLOOKUP(A:A,[1]android_repos_all_metrics!B:K,7,FALSE)</f>
        <v>2095</v>
      </c>
      <c r="AG1294">
        <f>VLOOKUP(A:A,[1]android_repos_all_metrics!B:K,8,FALSE)</f>
        <v>1</v>
      </c>
      <c r="AH1294">
        <f>VLOOKUP(A:A,[1]android_repos_all_metrics!B:K,9,FALSE)</f>
        <v>1</v>
      </c>
      <c r="AI1294">
        <f>VLOOKUP(A:A,[1]android_repos_all_metrics!B:K,10,FALSE)</f>
        <v>1</v>
      </c>
    </row>
    <row r="1295" spans="1:35">
      <c r="A1295" t="s">
        <v>1361</v>
      </c>
      <c r="B1295" t="b">
        <v>1</v>
      </c>
      <c r="C1295" t="b">
        <v>0</v>
      </c>
      <c r="D1295" t="b">
        <v>0</v>
      </c>
      <c r="F1295" t="b">
        <v>0</v>
      </c>
      <c r="H1295" t="s">
        <v>41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>
        <v>1</v>
      </c>
      <c r="AB1295">
        <v>0</v>
      </c>
      <c r="AC1295">
        <f>VLOOKUP(A:A,[1]android_repos_all_metrics!B:K,4,FALSE)</f>
        <v>69</v>
      </c>
      <c r="AD1295">
        <f>VLOOKUP(A:A,[1]android_repos_all_metrics!B:K,5,FALSE)</f>
        <v>3</v>
      </c>
      <c r="AE1295">
        <f>VLOOKUP(A:A,[1]android_repos_all_metrics!B:K,6,FALSE)</f>
        <v>3</v>
      </c>
      <c r="AF1295">
        <f>VLOOKUP(A:A,[1]android_repos_all_metrics!B:K,7,FALSE)</f>
        <v>33850</v>
      </c>
      <c r="AG1295">
        <f>VLOOKUP(A:A,[1]android_repos_all_metrics!B:K,8,FALSE)</f>
        <v>1</v>
      </c>
      <c r="AH1295">
        <f>VLOOKUP(A:A,[1]android_repos_all_metrics!B:K,9,FALSE)</f>
        <v>1</v>
      </c>
      <c r="AI1295">
        <f>VLOOKUP(A:A,[1]android_repos_all_metrics!B:K,10,FALSE)</f>
        <v>0</v>
      </c>
    </row>
    <row r="1296" spans="1:35">
      <c r="A1296" t="s">
        <v>1362</v>
      </c>
      <c r="B1296" t="b">
        <v>0</v>
      </c>
      <c r="C1296" t="b">
        <v>0</v>
      </c>
      <c r="D1296" t="b">
        <v>0</v>
      </c>
      <c r="F1296" t="b">
        <v>0</v>
      </c>
      <c r="H1296" t="s">
        <v>41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>
        <v>1</v>
      </c>
      <c r="AB1296">
        <v>0</v>
      </c>
      <c r="AC1296">
        <f>VLOOKUP(A:A,[1]android_repos_all_metrics!B:K,4,FALSE)</f>
        <v>21</v>
      </c>
      <c r="AD1296">
        <f>VLOOKUP(A:A,[1]android_repos_all_metrics!B:K,5,FALSE)</f>
        <v>0</v>
      </c>
      <c r="AE1296">
        <f>VLOOKUP(A:A,[1]android_repos_all_metrics!B:K,6,FALSE)</f>
        <v>4</v>
      </c>
      <c r="AF1296">
        <f>VLOOKUP(A:A,[1]android_repos_all_metrics!B:K,7,FALSE)</f>
        <v>244</v>
      </c>
      <c r="AG1296">
        <f>VLOOKUP(A:A,[1]android_repos_all_metrics!B:K,8,FALSE)</f>
        <v>2</v>
      </c>
      <c r="AH1296">
        <f>VLOOKUP(A:A,[1]android_repos_all_metrics!B:K,9,FALSE)</f>
        <v>4</v>
      </c>
      <c r="AI1296">
        <f>VLOOKUP(A:A,[1]android_repos_all_metrics!B:K,10,FALSE)</f>
        <v>0</v>
      </c>
    </row>
    <row r="1297" spans="1:35">
      <c r="A1297" t="s">
        <v>1363</v>
      </c>
      <c r="B1297" t="b">
        <v>0</v>
      </c>
      <c r="C1297" t="b">
        <v>0</v>
      </c>
      <c r="D1297" t="b">
        <v>0</v>
      </c>
      <c r="F1297" t="b">
        <v>0</v>
      </c>
      <c r="H1297" t="s">
        <v>41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>
        <v>1</v>
      </c>
      <c r="AB1297">
        <v>0</v>
      </c>
      <c r="AC1297">
        <f>VLOOKUP(A:A,[1]android_repos_all_metrics!B:K,4,FALSE)</f>
        <v>131</v>
      </c>
      <c r="AD1297">
        <f>VLOOKUP(A:A,[1]android_repos_all_metrics!B:K,5,FALSE)</f>
        <v>9</v>
      </c>
      <c r="AE1297">
        <f>VLOOKUP(A:A,[1]android_repos_all_metrics!B:K,6,FALSE)</f>
        <v>3</v>
      </c>
      <c r="AF1297">
        <f>VLOOKUP(A:A,[1]android_repos_all_metrics!B:K,7,FALSE)</f>
        <v>6543</v>
      </c>
      <c r="AG1297">
        <f>VLOOKUP(A:A,[1]android_repos_all_metrics!B:K,8,FALSE)</f>
        <v>1</v>
      </c>
      <c r="AH1297">
        <f>VLOOKUP(A:A,[1]android_repos_all_metrics!B:K,9,FALSE)</f>
        <v>5</v>
      </c>
      <c r="AI1297">
        <f>VLOOKUP(A:A,[1]android_repos_all_metrics!B:K,10,FALSE)</f>
        <v>0</v>
      </c>
    </row>
    <row r="1298" spans="1:35">
      <c r="A1298" t="s">
        <v>1364</v>
      </c>
      <c r="B1298" t="b">
        <v>0</v>
      </c>
      <c r="C1298" t="b">
        <v>0</v>
      </c>
      <c r="D1298" t="b">
        <v>0</v>
      </c>
      <c r="F1298" t="b">
        <v>0</v>
      </c>
      <c r="H1298" t="s">
        <v>41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>
        <v>1</v>
      </c>
      <c r="AB1298">
        <v>0</v>
      </c>
      <c r="AC1298">
        <f>VLOOKUP(A:A,[1]android_repos_all_metrics!B:K,4,FALSE)</f>
        <v>67</v>
      </c>
      <c r="AD1298">
        <f>VLOOKUP(A:A,[1]android_repos_all_metrics!B:K,5,FALSE)</f>
        <v>3</v>
      </c>
      <c r="AE1298">
        <f>VLOOKUP(A:A,[1]android_repos_all_metrics!B:K,6,FALSE)</f>
        <v>3</v>
      </c>
      <c r="AF1298">
        <f>VLOOKUP(A:A,[1]android_repos_all_metrics!B:K,7,FALSE)</f>
        <v>353</v>
      </c>
      <c r="AG1298">
        <f>VLOOKUP(A:A,[1]android_repos_all_metrics!B:K,8,FALSE)</f>
        <v>0</v>
      </c>
      <c r="AH1298">
        <f>VLOOKUP(A:A,[1]android_repos_all_metrics!B:K,9,FALSE)</f>
        <v>1</v>
      </c>
      <c r="AI1298">
        <f>VLOOKUP(A:A,[1]android_repos_all_metrics!B:K,10,FALSE)</f>
        <v>0</v>
      </c>
    </row>
    <row r="1299" spans="1:35">
      <c r="A1299" t="s">
        <v>1365</v>
      </c>
      <c r="B1299" t="b">
        <v>0</v>
      </c>
      <c r="C1299" t="b">
        <v>0</v>
      </c>
      <c r="D1299" t="b">
        <v>0</v>
      </c>
      <c r="F1299" t="b">
        <v>0</v>
      </c>
      <c r="H1299" t="s">
        <v>41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>
        <v>1</v>
      </c>
      <c r="AB1299">
        <v>0</v>
      </c>
      <c r="AC1299">
        <f>VLOOKUP(A:A,[1]android_repos_all_metrics!B:K,4,FALSE)</f>
        <v>128</v>
      </c>
      <c r="AD1299">
        <f>VLOOKUP(A:A,[1]android_repos_all_metrics!B:K,5,FALSE)</f>
        <v>10</v>
      </c>
      <c r="AE1299">
        <f>VLOOKUP(A:A,[1]android_repos_all_metrics!B:K,6,FALSE)</f>
        <v>6</v>
      </c>
      <c r="AF1299">
        <f>VLOOKUP(A:A,[1]android_repos_all_metrics!B:K,7,FALSE)</f>
        <v>1650</v>
      </c>
      <c r="AG1299">
        <f>VLOOKUP(A:A,[1]android_repos_all_metrics!B:K,8,FALSE)</f>
        <v>0</v>
      </c>
      <c r="AH1299">
        <f>VLOOKUP(A:A,[1]android_repos_all_metrics!B:K,9,FALSE)</f>
        <v>2</v>
      </c>
      <c r="AI1299">
        <f>VLOOKUP(A:A,[1]android_repos_all_metrics!B:K,10,FALSE)</f>
        <v>0</v>
      </c>
    </row>
    <row r="1300" spans="1:35">
      <c r="A1300" t="s">
        <v>1366</v>
      </c>
      <c r="B1300" t="b">
        <v>0</v>
      </c>
      <c r="C1300" t="b">
        <v>0</v>
      </c>
      <c r="D1300" t="b">
        <v>0</v>
      </c>
      <c r="F1300" t="b">
        <v>0</v>
      </c>
      <c r="H1300" t="s">
        <v>41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>
        <v>1</v>
      </c>
      <c r="AB1300">
        <v>0</v>
      </c>
      <c r="AC1300">
        <f>VLOOKUP(A:A,[1]android_repos_all_metrics!B:K,4,FALSE)</f>
        <v>155</v>
      </c>
      <c r="AD1300">
        <f>VLOOKUP(A:A,[1]android_repos_all_metrics!B:K,5,FALSE)</f>
        <v>1</v>
      </c>
      <c r="AE1300">
        <f>VLOOKUP(A:A,[1]android_repos_all_metrics!B:K,6,FALSE)</f>
        <v>3</v>
      </c>
      <c r="AF1300">
        <f>VLOOKUP(A:A,[1]android_repos_all_metrics!B:K,7,FALSE)</f>
        <v>4068</v>
      </c>
      <c r="AG1300">
        <f>VLOOKUP(A:A,[1]android_repos_all_metrics!B:K,8,FALSE)</f>
        <v>1</v>
      </c>
      <c r="AH1300">
        <f>VLOOKUP(A:A,[1]android_repos_all_metrics!B:K,9,FALSE)</f>
        <v>3</v>
      </c>
      <c r="AI1300">
        <f>VLOOKUP(A:A,[1]android_repos_all_metrics!B:K,10,FALSE)</f>
        <v>3</v>
      </c>
    </row>
    <row r="1301" spans="1:35">
      <c r="A1301" t="s">
        <v>1367</v>
      </c>
      <c r="B1301" t="b">
        <v>0</v>
      </c>
      <c r="C1301" t="b">
        <v>0</v>
      </c>
      <c r="D1301" t="b">
        <v>0</v>
      </c>
      <c r="F1301" t="b">
        <v>0</v>
      </c>
      <c r="H1301" t="s">
        <v>41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>
        <v>1</v>
      </c>
      <c r="AB1301">
        <v>0</v>
      </c>
      <c r="AC1301">
        <f>VLOOKUP(A:A,[1]android_repos_all_metrics!B:K,4,FALSE)</f>
        <v>53</v>
      </c>
      <c r="AD1301">
        <f>VLOOKUP(A:A,[1]android_repos_all_metrics!B:K,5,FALSE)</f>
        <v>0</v>
      </c>
      <c r="AE1301">
        <f>VLOOKUP(A:A,[1]android_repos_all_metrics!B:K,6,FALSE)</f>
        <v>3</v>
      </c>
      <c r="AF1301">
        <f>VLOOKUP(A:A,[1]android_repos_all_metrics!B:K,7,FALSE)</f>
        <v>721</v>
      </c>
      <c r="AG1301">
        <f>VLOOKUP(A:A,[1]android_repos_all_metrics!B:K,8,FALSE)</f>
        <v>1</v>
      </c>
      <c r="AH1301">
        <f>VLOOKUP(A:A,[1]android_repos_all_metrics!B:K,9,FALSE)</f>
        <v>2</v>
      </c>
      <c r="AI1301">
        <f>VLOOKUP(A:A,[1]android_repos_all_metrics!B:K,10,FALSE)</f>
        <v>1</v>
      </c>
    </row>
    <row r="1302" spans="1:35">
      <c r="A1302" t="s">
        <v>1368</v>
      </c>
      <c r="B1302" t="b">
        <v>1</v>
      </c>
      <c r="C1302" t="b">
        <v>0</v>
      </c>
      <c r="D1302" t="b">
        <v>0</v>
      </c>
      <c r="F1302" t="b">
        <v>0</v>
      </c>
      <c r="H1302" t="s">
        <v>37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>
        <v>1</v>
      </c>
      <c r="AB1302">
        <v>0</v>
      </c>
      <c r="AC1302">
        <f>VLOOKUP(A:A,[1]android_repos_all_metrics!B:K,4,FALSE)</f>
        <v>584</v>
      </c>
      <c r="AD1302">
        <f>VLOOKUP(A:A,[1]android_repos_all_metrics!B:K,5,FALSE)</f>
        <v>69</v>
      </c>
      <c r="AE1302">
        <f>VLOOKUP(A:A,[1]android_repos_all_metrics!B:K,6,FALSE)</f>
        <v>23</v>
      </c>
      <c r="AF1302">
        <f>VLOOKUP(A:A,[1]android_repos_all_metrics!B:K,7,FALSE)</f>
        <v>16201</v>
      </c>
      <c r="AG1302">
        <f>VLOOKUP(A:A,[1]android_repos_all_metrics!B:K,8,FALSE)</f>
        <v>178</v>
      </c>
      <c r="AH1302">
        <f>VLOOKUP(A:A,[1]android_repos_all_metrics!B:K,9,FALSE)</f>
        <v>1208</v>
      </c>
      <c r="AI1302">
        <f>VLOOKUP(A:A,[1]android_repos_all_metrics!B:K,10,FALSE)</f>
        <v>446</v>
      </c>
    </row>
    <row r="1303" spans="1:35">
      <c r="A1303" t="s">
        <v>1369</v>
      </c>
      <c r="B1303" t="b">
        <v>1</v>
      </c>
      <c r="C1303" t="b">
        <v>0</v>
      </c>
      <c r="D1303" t="b">
        <v>0</v>
      </c>
      <c r="F1303" t="b">
        <v>0</v>
      </c>
      <c r="H1303" t="s">
        <v>43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>
        <v>1</v>
      </c>
      <c r="AB1303">
        <v>0</v>
      </c>
      <c r="AC1303">
        <f>VLOOKUP(A:A,[1]android_repos_all_metrics!B:K,4,FALSE)</f>
        <v>16</v>
      </c>
      <c r="AD1303">
        <f>VLOOKUP(A:A,[1]android_repos_all_metrics!B:K,5,FALSE)</f>
        <v>26</v>
      </c>
      <c r="AE1303">
        <f>VLOOKUP(A:A,[1]android_repos_all_metrics!B:K,6,FALSE)</f>
        <v>2</v>
      </c>
      <c r="AF1303">
        <f>VLOOKUP(A:A,[1]android_repos_all_metrics!B:K,7,FALSE)</f>
        <v>271</v>
      </c>
      <c r="AG1303">
        <f>VLOOKUP(A:A,[1]android_repos_all_metrics!B:K,8,FALSE)</f>
        <v>1</v>
      </c>
      <c r="AH1303">
        <f>VLOOKUP(A:A,[1]android_repos_all_metrics!B:K,9,FALSE)</f>
        <v>4</v>
      </c>
      <c r="AI1303">
        <f>VLOOKUP(A:A,[1]android_repos_all_metrics!B:K,10,FALSE)</f>
        <v>21</v>
      </c>
    </row>
    <row r="1304" spans="1:35">
      <c r="A1304" t="s">
        <v>1370</v>
      </c>
      <c r="B1304" t="b">
        <v>1</v>
      </c>
      <c r="C1304" t="b">
        <v>0</v>
      </c>
      <c r="D1304" t="b">
        <v>0</v>
      </c>
      <c r="F1304" t="b">
        <v>0</v>
      </c>
      <c r="H1304" t="s">
        <v>37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>
        <v>2</v>
      </c>
      <c r="AB1304">
        <v>0</v>
      </c>
      <c r="AC1304">
        <f>VLOOKUP(A:A,[1]android_repos_all_metrics!B:K,4,FALSE)</f>
        <v>771</v>
      </c>
      <c r="AD1304">
        <f>VLOOKUP(A:A,[1]android_repos_all_metrics!B:K,5,FALSE)</f>
        <v>120</v>
      </c>
      <c r="AE1304">
        <f>VLOOKUP(A:A,[1]android_repos_all_metrics!B:K,6,FALSE)</f>
        <v>4</v>
      </c>
      <c r="AF1304">
        <f>VLOOKUP(A:A,[1]android_repos_all_metrics!B:K,7,FALSE)</f>
        <v>78025</v>
      </c>
      <c r="AG1304">
        <f>VLOOKUP(A:A,[1]android_repos_all_metrics!B:K,8,FALSE)</f>
        <v>1</v>
      </c>
      <c r="AH1304">
        <f>VLOOKUP(A:A,[1]android_repos_all_metrics!B:K,9,FALSE)</f>
        <v>37</v>
      </c>
      <c r="AI1304">
        <f>VLOOKUP(A:A,[1]android_repos_all_metrics!B:K,10,FALSE)</f>
        <v>4</v>
      </c>
    </row>
    <row r="1305" spans="1:35">
      <c r="A1305" t="s">
        <v>1371</v>
      </c>
      <c r="B1305" t="b">
        <v>1</v>
      </c>
      <c r="C1305" t="b">
        <v>0</v>
      </c>
      <c r="D1305" t="b">
        <v>0</v>
      </c>
      <c r="F1305" t="b">
        <v>0</v>
      </c>
      <c r="H1305" t="s">
        <v>41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>
        <v>1</v>
      </c>
      <c r="AB1305">
        <v>0</v>
      </c>
      <c r="AC1305">
        <f>VLOOKUP(A:A,[1]android_repos_all_metrics!B:K,4,FALSE)</f>
        <v>29</v>
      </c>
      <c r="AD1305">
        <f>VLOOKUP(A:A,[1]android_repos_all_metrics!B:K,5,FALSE)</f>
        <v>0</v>
      </c>
      <c r="AE1305">
        <f>VLOOKUP(A:A,[1]android_repos_all_metrics!B:K,6,FALSE)</f>
        <v>1</v>
      </c>
      <c r="AF1305">
        <f>VLOOKUP(A:A,[1]android_repos_all_metrics!B:K,7,FALSE)</f>
        <v>205</v>
      </c>
      <c r="AG1305">
        <f>VLOOKUP(A:A,[1]android_repos_all_metrics!B:K,8,FALSE)</f>
        <v>0</v>
      </c>
      <c r="AH1305">
        <f>VLOOKUP(A:A,[1]android_repos_all_metrics!B:K,9,FALSE)</f>
        <v>1</v>
      </c>
      <c r="AI1305">
        <f>VLOOKUP(A:A,[1]android_repos_all_metrics!B:K,10,FALSE)</f>
        <v>0</v>
      </c>
    </row>
    <row r="1306" spans="1:35">
      <c r="A1306" t="s">
        <v>1372</v>
      </c>
      <c r="B1306" t="b">
        <v>1</v>
      </c>
      <c r="C1306" t="b">
        <v>0</v>
      </c>
      <c r="D1306" t="b">
        <v>0</v>
      </c>
      <c r="F1306" t="b">
        <v>0</v>
      </c>
      <c r="H1306" t="s">
        <v>37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>
        <v>1</v>
      </c>
      <c r="AB1306">
        <v>0</v>
      </c>
      <c r="AC1306">
        <f>VLOOKUP(A:A,[1]android_repos_all_metrics!B:K,4,FALSE)</f>
        <v>181</v>
      </c>
      <c r="AD1306">
        <f>VLOOKUP(A:A,[1]android_repos_all_metrics!B:K,5,FALSE)</f>
        <v>40</v>
      </c>
      <c r="AE1306">
        <f>VLOOKUP(A:A,[1]android_repos_all_metrics!B:K,6,FALSE)</f>
        <v>3</v>
      </c>
      <c r="AF1306">
        <f>VLOOKUP(A:A,[1]android_repos_all_metrics!B:K,7,FALSE)</f>
        <v>154484</v>
      </c>
      <c r="AG1306">
        <f>VLOOKUP(A:A,[1]android_repos_all_metrics!B:K,8,FALSE)</f>
        <v>2</v>
      </c>
      <c r="AH1306">
        <f>VLOOKUP(A:A,[1]android_repos_all_metrics!B:K,9,FALSE)</f>
        <v>10</v>
      </c>
      <c r="AI1306">
        <f>VLOOKUP(A:A,[1]android_repos_all_metrics!B:K,10,FALSE)</f>
        <v>5</v>
      </c>
    </row>
    <row r="1307" spans="1:35">
      <c r="A1307" t="s">
        <v>1373</v>
      </c>
      <c r="B1307" t="b">
        <v>0</v>
      </c>
      <c r="C1307" t="b">
        <v>0</v>
      </c>
      <c r="D1307" t="b">
        <v>0</v>
      </c>
      <c r="F1307" t="b">
        <v>0</v>
      </c>
      <c r="H1307" t="s">
        <v>41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>
        <v>1</v>
      </c>
      <c r="AB1307">
        <v>0</v>
      </c>
      <c r="AC1307">
        <f>VLOOKUP(A:A,[1]android_repos_all_metrics!B:K,4,FALSE)</f>
        <v>60</v>
      </c>
      <c r="AD1307">
        <f>VLOOKUP(A:A,[1]android_repos_all_metrics!B:K,5,FALSE)</f>
        <v>0</v>
      </c>
      <c r="AE1307">
        <f>VLOOKUP(A:A,[1]android_repos_all_metrics!B:K,6,FALSE)</f>
        <v>1</v>
      </c>
      <c r="AF1307">
        <f>VLOOKUP(A:A,[1]android_repos_all_metrics!B:K,7,FALSE)</f>
        <v>24384</v>
      </c>
      <c r="AG1307">
        <f>VLOOKUP(A:A,[1]android_repos_all_metrics!B:K,8,FALSE)</f>
        <v>0</v>
      </c>
      <c r="AH1307">
        <f>VLOOKUP(A:A,[1]android_repos_all_metrics!B:K,9,FALSE)</f>
        <v>5</v>
      </c>
      <c r="AI1307">
        <f>VLOOKUP(A:A,[1]android_repos_all_metrics!B:K,10,FALSE)</f>
        <v>0</v>
      </c>
    </row>
    <row r="1308" spans="1:35">
      <c r="A1308" t="s">
        <v>1374</v>
      </c>
      <c r="B1308" t="b">
        <v>1</v>
      </c>
      <c r="C1308" t="b">
        <v>0</v>
      </c>
      <c r="D1308" t="b">
        <v>0</v>
      </c>
      <c r="F1308" t="b">
        <v>0</v>
      </c>
      <c r="H1308" t="s">
        <v>308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>
        <v>2</v>
      </c>
      <c r="AB1308">
        <v>0</v>
      </c>
      <c r="AC1308">
        <f>VLOOKUP(A:A,[1]android_repos_all_metrics!B:K,4,FALSE)</f>
        <v>87</v>
      </c>
      <c r="AD1308">
        <f>VLOOKUP(A:A,[1]android_repos_all_metrics!B:K,5,FALSE)</f>
        <v>8</v>
      </c>
      <c r="AE1308">
        <f>VLOOKUP(A:A,[1]android_repos_all_metrics!B:K,6,FALSE)</f>
        <v>2</v>
      </c>
      <c r="AF1308">
        <f>VLOOKUP(A:A,[1]android_repos_all_metrics!B:K,7,FALSE)</f>
        <v>6701</v>
      </c>
      <c r="AG1308">
        <f>VLOOKUP(A:A,[1]android_repos_all_metrics!B:K,8,FALSE)</f>
        <v>4</v>
      </c>
      <c r="AH1308">
        <f>VLOOKUP(A:A,[1]android_repos_all_metrics!B:K,9,FALSE)</f>
        <v>7</v>
      </c>
      <c r="AI1308">
        <f>VLOOKUP(A:A,[1]android_repos_all_metrics!B:K,10,FALSE)</f>
        <v>4</v>
      </c>
    </row>
    <row r="1309" spans="1:35">
      <c r="A1309" t="s">
        <v>1375</v>
      </c>
      <c r="B1309" t="b">
        <v>1</v>
      </c>
      <c r="C1309" t="b">
        <v>0</v>
      </c>
      <c r="D1309" t="b">
        <v>0</v>
      </c>
      <c r="F1309" t="b">
        <v>0</v>
      </c>
      <c r="H1309" t="s">
        <v>37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>
        <v>3</v>
      </c>
      <c r="AB1309">
        <v>0</v>
      </c>
      <c r="AC1309">
        <f>VLOOKUP(A:A,[1]android_repos_all_metrics!B:K,4,FALSE)</f>
        <v>1469</v>
      </c>
      <c r="AD1309">
        <f>VLOOKUP(A:A,[1]android_repos_all_metrics!B:K,5,FALSE)</f>
        <v>80</v>
      </c>
      <c r="AE1309">
        <f>VLOOKUP(A:A,[1]android_repos_all_metrics!B:K,6,FALSE)</f>
        <v>21</v>
      </c>
      <c r="AF1309">
        <f>VLOOKUP(A:A,[1]android_repos_all_metrics!B:K,7,FALSE)</f>
        <v>63752</v>
      </c>
      <c r="AG1309">
        <f>VLOOKUP(A:A,[1]android_repos_all_metrics!B:K,8,FALSE)</f>
        <v>69</v>
      </c>
      <c r="AH1309">
        <f>VLOOKUP(A:A,[1]android_repos_all_metrics!B:K,9,FALSE)</f>
        <v>510</v>
      </c>
      <c r="AI1309">
        <f>VLOOKUP(A:A,[1]android_repos_all_metrics!B:K,10,FALSE)</f>
        <v>33</v>
      </c>
    </row>
    <row r="1310" spans="1:35">
      <c r="A1310" t="s">
        <v>1376</v>
      </c>
      <c r="B1310" t="b">
        <v>1</v>
      </c>
      <c r="C1310" t="b">
        <v>0</v>
      </c>
      <c r="D1310" t="b">
        <v>0</v>
      </c>
      <c r="F1310" t="b">
        <v>0</v>
      </c>
      <c r="H1310" t="s">
        <v>37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>
        <v>1</v>
      </c>
      <c r="AB1310">
        <v>0</v>
      </c>
      <c r="AC1310">
        <f>VLOOKUP(A:A,[1]android_repos_all_metrics!B:K,4,FALSE)</f>
        <v>115</v>
      </c>
      <c r="AD1310">
        <f>VLOOKUP(A:A,[1]android_repos_all_metrics!B:K,5,FALSE)</f>
        <v>9</v>
      </c>
      <c r="AE1310">
        <f>VLOOKUP(A:A,[1]android_repos_all_metrics!B:K,6,FALSE)</f>
        <v>2</v>
      </c>
      <c r="AF1310">
        <f>VLOOKUP(A:A,[1]android_repos_all_metrics!B:K,7,FALSE)</f>
        <v>1420</v>
      </c>
      <c r="AG1310">
        <f>VLOOKUP(A:A,[1]android_repos_all_metrics!B:K,8,FALSE)</f>
        <v>59</v>
      </c>
      <c r="AH1310">
        <f>VLOOKUP(A:A,[1]android_repos_all_metrics!B:K,9,FALSE)</f>
        <v>494</v>
      </c>
      <c r="AI1310">
        <f>VLOOKUP(A:A,[1]android_repos_all_metrics!B:K,10,FALSE)</f>
        <v>7</v>
      </c>
    </row>
    <row r="1311" spans="1:35">
      <c r="A1311" t="s">
        <v>1377</v>
      </c>
      <c r="B1311" t="b">
        <v>1</v>
      </c>
      <c r="C1311" t="b">
        <v>0</v>
      </c>
      <c r="D1311" t="b">
        <v>0</v>
      </c>
      <c r="F1311" t="b">
        <v>0</v>
      </c>
      <c r="H1311" t="s">
        <v>37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>
        <v>1</v>
      </c>
      <c r="AB1311">
        <v>0</v>
      </c>
      <c r="AC1311">
        <f>VLOOKUP(A:A,[1]android_repos_all_metrics!B:K,4,FALSE)</f>
        <v>205</v>
      </c>
      <c r="AD1311">
        <f>VLOOKUP(A:A,[1]android_repos_all_metrics!B:K,5,FALSE)</f>
        <v>32</v>
      </c>
      <c r="AE1311">
        <f>VLOOKUP(A:A,[1]android_repos_all_metrics!B:K,6,FALSE)</f>
        <v>13</v>
      </c>
      <c r="AF1311">
        <f>VLOOKUP(A:A,[1]android_repos_all_metrics!B:K,7,FALSE)</f>
        <v>645</v>
      </c>
      <c r="AG1311">
        <f>VLOOKUP(A:A,[1]android_repos_all_metrics!B:K,8,FALSE)</f>
        <v>60</v>
      </c>
      <c r="AH1311">
        <f>VLOOKUP(A:A,[1]android_repos_all_metrics!B:K,9,FALSE)</f>
        <v>467</v>
      </c>
      <c r="AI1311">
        <f>VLOOKUP(A:A,[1]android_repos_all_metrics!B:K,10,FALSE)</f>
        <v>11</v>
      </c>
    </row>
    <row r="1312" spans="1:35">
      <c r="A1312" t="s">
        <v>1378</v>
      </c>
      <c r="B1312" t="b">
        <v>1</v>
      </c>
      <c r="C1312" t="b">
        <v>0</v>
      </c>
      <c r="D1312" t="b">
        <v>0</v>
      </c>
      <c r="F1312" t="b">
        <v>0</v>
      </c>
      <c r="H1312" t="s">
        <v>37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>
        <v>1</v>
      </c>
      <c r="AB1312">
        <v>0</v>
      </c>
      <c r="AC1312">
        <f>VLOOKUP(A:A,[1]android_repos_all_metrics!B:K,4,FALSE)</f>
        <v>130</v>
      </c>
      <c r="AD1312">
        <f>VLOOKUP(A:A,[1]android_repos_all_metrics!B:K,5,FALSE)</f>
        <v>90</v>
      </c>
      <c r="AE1312">
        <f>VLOOKUP(A:A,[1]android_repos_all_metrics!B:K,6,FALSE)</f>
        <v>6</v>
      </c>
      <c r="AF1312">
        <f>VLOOKUP(A:A,[1]android_repos_all_metrics!B:K,7,FALSE)</f>
        <v>607</v>
      </c>
      <c r="AG1312">
        <f>VLOOKUP(A:A,[1]android_repos_all_metrics!B:K,8,FALSE)</f>
        <v>1</v>
      </c>
      <c r="AH1312">
        <f>VLOOKUP(A:A,[1]android_repos_all_metrics!B:K,9,FALSE)</f>
        <v>14</v>
      </c>
      <c r="AI1312">
        <f>VLOOKUP(A:A,[1]android_repos_all_metrics!B:K,10,FALSE)</f>
        <v>40</v>
      </c>
    </row>
    <row r="1313" spans="1:35">
      <c r="A1313" t="s">
        <v>1379</v>
      </c>
      <c r="B1313" t="b">
        <v>1</v>
      </c>
      <c r="C1313" t="b">
        <v>0</v>
      </c>
      <c r="D1313" t="b">
        <v>0</v>
      </c>
      <c r="F1313" t="b">
        <v>0</v>
      </c>
      <c r="H1313" t="s">
        <v>37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>
        <v>1</v>
      </c>
      <c r="AB1313">
        <v>0</v>
      </c>
      <c r="AC1313">
        <f>VLOOKUP(A:A,[1]android_repos_all_metrics!B:K,4,FALSE)</f>
        <v>38</v>
      </c>
      <c r="AD1313">
        <f>VLOOKUP(A:A,[1]android_repos_all_metrics!B:K,5,FALSE)</f>
        <v>1</v>
      </c>
      <c r="AE1313">
        <f>VLOOKUP(A:A,[1]android_repos_all_metrics!B:K,6,FALSE)</f>
        <v>2</v>
      </c>
      <c r="AF1313">
        <f>VLOOKUP(A:A,[1]android_repos_all_metrics!B:K,7,FALSE)</f>
        <v>5629</v>
      </c>
      <c r="AG1313">
        <f>VLOOKUP(A:A,[1]android_repos_all_metrics!B:K,8,FALSE)</f>
        <v>1</v>
      </c>
      <c r="AH1313">
        <f>VLOOKUP(A:A,[1]android_repos_all_metrics!B:K,9,FALSE)</f>
        <v>11</v>
      </c>
      <c r="AI1313">
        <f>VLOOKUP(A:A,[1]android_repos_all_metrics!B:K,10,FALSE)</f>
        <v>0</v>
      </c>
    </row>
    <row r="1314" spans="1:35">
      <c r="A1314" t="s">
        <v>1380</v>
      </c>
      <c r="B1314" t="b">
        <v>1</v>
      </c>
      <c r="C1314" t="b">
        <v>0</v>
      </c>
      <c r="D1314" t="b">
        <v>0</v>
      </c>
      <c r="F1314" t="b">
        <v>0</v>
      </c>
      <c r="H1314" t="s">
        <v>37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>
        <v>2</v>
      </c>
      <c r="AB1314">
        <v>0</v>
      </c>
      <c r="AC1314">
        <f>VLOOKUP(A:A,[1]android_repos_all_metrics!B:K,4,FALSE)</f>
        <v>103</v>
      </c>
      <c r="AD1314">
        <f>VLOOKUP(A:A,[1]android_repos_all_metrics!B:K,5,FALSE)</f>
        <v>1</v>
      </c>
      <c r="AE1314">
        <f>VLOOKUP(A:A,[1]android_repos_all_metrics!B:K,6,FALSE)</f>
        <v>2</v>
      </c>
      <c r="AF1314">
        <f>VLOOKUP(A:A,[1]android_repos_all_metrics!B:K,7,FALSE)</f>
        <v>21424</v>
      </c>
      <c r="AG1314">
        <f>VLOOKUP(A:A,[1]android_repos_all_metrics!B:K,8,FALSE)</f>
        <v>0</v>
      </c>
      <c r="AH1314">
        <f>VLOOKUP(A:A,[1]android_repos_all_metrics!B:K,9,FALSE)</f>
        <v>8</v>
      </c>
      <c r="AI1314">
        <f>VLOOKUP(A:A,[1]android_repos_all_metrics!B:K,10,FALSE)</f>
        <v>0</v>
      </c>
    </row>
    <row r="1315" spans="1:35">
      <c r="A1315" t="s">
        <v>1381</v>
      </c>
      <c r="B1315" t="b">
        <v>1</v>
      </c>
      <c r="C1315" t="b">
        <v>0</v>
      </c>
      <c r="D1315" t="b">
        <v>0</v>
      </c>
      <c r="F1315" t="b">
        <v>0</v>
      </c>
      <c r="H1315" t="s">
        <v>308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>
        <v>3</v>
      </c>
      <c r="AB1315">
        <v>0</v>
      </c>
      <c r="AC1315">
        <f>VLOOKUP(A:A,[1]android_repos_all_metrics!B:K,4,FALSE)</f>
        <v>2206</v>
      </c>
      <c r="AD1315">
        <f>VLOOKUP(A:A,[1]android_repos_all_metrics!B:K,5,FALSE)</f>
        <v>40</v>
      </c>
      <c r="AE1315">
        <f>VLOOKUP(A:A,[1]android_repos_all_metrics!B:K,6,FALSE)</f>
        <v>15</v>
      </c>
      <c r="AF1315">
        <f>VLOOKUP(A:A,[1]android_repos_all_metrics!B:K,7,FALSE)</f>
        <v>62058</v>
      </c>
      <c r="AG1315">
        <f>VLOOKUP(A:A,[1]android_repos_all_metrics!B:K,8,FALSE)</f>
        <v>20</v>
      </c>
      <c r="AH1315">
        <f>VLOOKUP(A:A,[1]android_repos_all_metrics!B:K,9,FALSE)</f>
        <v>43</v>
      </c>
      <c r="AI1315">
        <f>VLOOKUP(A:A,[1]android_repos_all_metrics!B:K,10,FALSE)</f>
        <v>5</v>
      </c>
    </row>
    <row r="1316" spans="1:35">
      <c r="A1316" t="s">
        <v>1382</v>
      </c>
      <c r="B1316" t="b">
        <v>1</v>
      </c>
      <c r="C1316" t="b">
        <v>0</v>
      </c>
      <c r="D1316" t="b">
        <v>0</v>
      </c>
      <c r="F1316" t="b">
        <v>0</v>
      </c>
      <c r="H1316" t="s">
        <v>37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>
        <v>1</v>
      </c>
      <c r="AB1316">
        <v>0</v>
      </c>
      <c r="AC1316">
        <f>VLOOKUP(A:A,[1]android_repos_all_metrics!B:K,4,FALSE)</f>
        <v>276</v>
      </c>
      <c r="AD1316">
        <f>VLOOKUP(A:A,[1]android_repos_all_metrics!B:K,5,FALSE)</f>
        <v>2</v>
      </c>
      <c r="AE1316">
        <f>VLOOKUP(A:A,[1]android_repos_all_metrics!B:K,6,FALSE)</f>
        <v>3</v>
      </c>
      <c r="AF1316">
        <f>VLOOKUP(A:A,[1]android_repos_all_metrics!B:K,7,FALSE)</f>
        <v>88528</v>
      </c>
      <c r="AG1316">
        <f>VLOOKUP(A:A,[1]android_repos_all_metrics!B:K,8,FALSE)</f>
        <v>16</v>
      </c>
      <c r="AH1316">
        <f>VLOOKUP(A:A,[1]android_repos_all_metrics!B:K,9,FALSE)</f>
        <v>57</v>
      </c>
      <c r="AI1316">
        <f>VLOOKUP(A:A,[1]android_repos_all_metrics!B:K,10,FALSE)</f>
        <v>11</v>
      </c>
    </row>
    <row r="1317" spans="1:35">
      <c r="A1317" t="s">
        <v>1383</v>
      </c>
      <c r="B1317" t="b">
        <v>1</v>
      </c>
      <c r="C1317" t="b">
        <v>0</v>
      </c>
      <c r="D1317" t="b">
        <v>0</v>
      </c>
      <c r="F1317" t="b">
        <v>0</v>
      </c>
      <c r="H1317" t="s">
        <v>37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>
        <v>1</v>
      </c>
      <c r="AB1317">
        <v>0</v>
      </c>
      <c r="AC1317">
        <f>VLOOKUP(A:A,[1]android_repos_all_metrics!B:K,4,FALSE)</f>
        <v>48</v>
      </c>
      <c r="AD1317">
        <f>VLOOKUP(A:A,[1]android_repos_all_metrics!B:K,5,FALSE)</f>
        <v>0</v>
      </c>
      <c r="AE1317">
        <f>VLOOKUP(A:A,[1]android_repos_all_metrics!B:K,6,FALSE)</f>
        <v>4</v>
      </c>
      <c r="AF1317">
        <f>VLOOKUP(A:A,[1]android_repos_all_metrics!B:K,7,FALSE)</f>
        <v>448</v>
      </c>
      <c r="AG1317">
        <f>VLOOKUP(A:A,[1]android_repos_all_metrics!B:K,8,FALSE)</f>
        <v>0</v>
      </c>
      <c r="AH1317">
        <f>VLOOKUP(A:A,[1]android_repos_all_metrics!B:K,9,FALSE)</f>
        <v>2</v>
      </c>
      <c r="AI1317">
        <f>VLOOKUP(A:A,[1]android_repos_all_metrics!B:K,10,FALSE)</f>
        <v>0</v>
      </c>
    </row>
    <row r="1318" spans="1:35">
      <c r="A1318" t="s">
        <v>1384</v>
      </c>
      <c r="B1318" t="b">
        <v>1</v>
      </c>
      <c r="C1318" t="b">
        <v>0</v>
      </c>
      <c r="D1318" t="b">
        <v>0</v>
      </c>
      <c r="F1318" t="b">
        <v>0</v>
      </c>
      <c r="H1318" t="s">
        <v>37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>
        <v>1</v>
      </c>
      <c r="AB1318">
        <v>0</v>
      </c>
      <c r="AC1318">
        <f>VLOOKUP(A:A,[1]android_repos_all_metrics!B:K,4,FALSE)</f>
        <v>333</v>
      </c>
      <c r="AD1318">
        <f>VLOOKUP(A:A,[1]android_repos_all_metrics!B:K,5,FALSE)</f>
        <v>154</v>
      </c>
      <c r="AE1318">
        <f>VLOOKUP(A:A,[1]android_repos_all_metrics!B:K,6,FALSE)</f>
        <v>31</v>
      </c>
      <c r="AF1318">
        <f>VLOOKUP(A:A,[1]android_repos_all_metrics!B:K,7,FALSE)</f>
        <v>27899</v>
      </c>
      <c r="AG1318">
        <f>VLOOKUP(A:A,[1]android_repos_all_metrics!B:K,8,FALSE)</f>
        <v>122</v>
      </c>
      <c r="AH1318">
        <f>VLOOKUP(A:A,[1]android_repos_all_metrics!B:K,9,FALSE)</f>
        <v>280</v>
      </c>
      <c r="AI1318">
        <f>VLOOKUP(A:A,[1]android_repos_all_metrics!B:K,10,FALSE)</f>
        <v>13</v>
      </c>
    </row>
    <row r="1319" spans="1:35">
      <c r="A1319" t="s">
        <v>1385</v>
      </c>
      <c r="B1319" t="b">
        <v>1</v>
      </c>
      <c r="C1319" t="b">
        <v>0</v>
      </c>
      <c r="D1319" t="b">
        <v>0</v>
      </c>
      <c r="F1319" t="b">
        <v>0</v>
      </c>
      <c r="H1319" t="s">
        <v>37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>
        <v>1</v>
      </c>
      <c r="AB1319">
        <v>0</v>
      </c>
      <c r="AC1319">
        <f>VLOOKUP(A:A,[1]android_repos_all_metrics!B:K,4,FALSE)</f>
        <v>11</v>
      </c>
      <c r="AD1319">
        <f>VLOOKUP(A:A,[1]android_repos_all_metrics!B:K,5,FALSE)</f>
        <v>9</v>
      </c>
      <c r="AE1319">
        <f>VLOOKUP(A:A,[1]android_repos_all_metrics!B:K,6,FALSE)</f>
        <v>3</v>
      </c>
      <c r="AF1319">
        <f>VLOOKUP(A:A,[1]android_repos_all_metrics!B:K,7,FALSE)</f>
        <v>9127</v>
      </c>
      <c r="AG1319">
        <f>VLOOKUP(A:A,[1]android_repos_all_metrics!B:K,8,FALSE)</f>
        <v>6</v>
      </c>
      <c r="AH1319">
        <f>VLOOKUP(A:A,[1]android_repos_all_metrics!B:K,9,FALSE)</f>
        <v>5</v>
      </c>
      <c r="AI1319">
        <f>VLOOKUP(A:A,[1]android_repos_all_metrics!B:K,10,FALSE)</f>
        <v>8</v>
      </c>
    </row>
    <row r="1320" spans="1:35">
      <c r="A1320" t="s">
        <v>1386</v>
      </c>
      <c r="B1320" t="b">
        <v>1</v>
      </c>
      <c r="C1320" t="b">
        <v>0</v>
      </c>
      <c r="D1320" t="b">
        <v>0</v>
      </c>
      <c r="F1320" t="b">
        <v>0</v>
      </c>
      <c r="H1320" t="s">
        <v>41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>
        <v>1</v>
      </c>
      <c r="AB1320">
        <v>0</v>
      </c>
      <c r="AC1320">
        <f>VLOOKUP(A:A,[1]android_repos_all_metrics!B:K,4,FALSE)</f>
        <v>196</v>
      </c>
      <c r="AD1320">
        <f>VLOOKUP(A:A,[1]android_repos_all_metrics!B:K,5,FALSE)</f>
        <v>14</v>
      </c>
      <c r="AE1320">
        <f>VLOOKUP(A:A,[1]android_repos_all_metrics!B:K,6,FALSE)</f>
        <v>5</v>
      </c>
      <c r="AF1320">
        <f>VLOOKUP(A:A,[1]android_repos_all_metrics!B:K,7,FALSE)</f>
        <v>65700</v>
      </c>
      <c r="AG1320">
        <f>VLOOKUP(A:A,[1]android_repos_all_metrics!B:K,8,FALSE)</f>
        <v>6</v>
      </c>
      <c r="AH1320">
        <f>VLOOKUP(A:A,[1]android_repos_all_metrics!B:K,9,FALSE)</f>
        <v>10</v>
      </c>
      <c r="AI1320">
        <f>VLOOKUP(A:A,[1]android_repos_all_metrics!B:K,10,FALSE)</f>
        <v>4</v>
      </c>
    </row>
    <row r="1321" spans="1:35">
      <c r="A1321" t="s">
        <v>1387</v>
      </c>
      <c r="B1321" t="b">
        <v>1</v>
      </c>
      <c r="C1321" t="b">
        <v>0</v>
      </c>
      <c r="D1321" t="b">
        <v>0</v>
      </c>
      <c r="F1321" t="b">
        <v>0</v>
      </c>
      <c r="H1321" t="s">
        <v>1054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>
        <v>3</v>
      </c>
      <c r="AB1321">
        <v>0</v>
      </c>
      <c r="AC1321">
        <f>VLOOKUP(A:A,[1]android_repos_all_metrics!B:K,4,FALSE)</f>
        <v>64</v>
      </c>
      <c r="AD1321">
        <f>VLOOKUP(A:A,[1]android_repos_all_metrics!B:K,5,FALSE)</f>
        <v>2</v>
      </c>
      <c r="AE1321">
        <f>VLOOKUP(A:A,[1]android_repos_all_metrics!B:K,6,FALSE)</f>
        <v>3</v>
      </c>
      <c r="AF1321">
        <f>VLOOKUP(A:A,[1]android_repos_all_metrics!B:K,7,FALSE)</f>
        <v>1686</v>
      </c>
      <c r="AG1321">
        <f>VLOOKUP(A:A,[1]android_repos_all_metrics!B:K,8,FALSE)</f>
        <v>0</v>
      </c>
      <c r="AH1321">
        <f>VLOOKUP(A:A,[1]android_repos_all_metrics!B:K,9,FALSE)</f>
        <v>7</v>
      </c>
      <c r="AI1321">
        <f>VLOOKUP(A:A,[1]android_repos_all_metrics!B:K,10,FALSE)</f>
        <v>2</v>
      </c>
    </row>
    <row r="1322" spans="1:35">
      <c r="A1322" t="s">
        <v>1388</v>
      </c>
      <c r="B1322" t="b">
        <v>1</v>
      </c>
      <c r="C1322" t="b">
        <v>0</v>
      </c>
      <c r="D1322" t="b">
        <v>0</v>
      </c>
      <c r="F1322" t="b">
        <v>0</v>
      </c>
      <c r="H1322" t="s">
        <v>37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>
        <v>4</v>
      </c>
      <c r="AB1322">
        <v>0</v>
      </c>
      <c r="AC1322">
        <f>VLOOKUP(A:A,[1]android_repos_all_metrics!B:K,4,FALSE)</f>
        <v>330</v>
      </c>
      <c r="AD1322">
        <f>VLOOKUP(A:A,[1]android_repos_all_metrics!B:K,5,FALSE)</f>
        <v>760</v>
      </c>
      <c r="AE1322">
        <f>VLOOKUP(A:A,[1]android_repos_all_metrics!B:K,6,FALSE)</f>
        <v>115</v>
      </c>
      <c r="AF1322">
        <f>VLOOKUP(A:A,[1]android_repos_all_metrics!B:K,7,FALSE)</f>
        <v>233869</v>
      </c>
      <c r="AG1322">
        <f>VLOOKUP(A:A,[1]android_repos_all_metrics!B:K,8,FALSE)</f>
        <v>380</v>
      </c>
      <c r="AH1322">
        <f>VLOOKUP(A:A,[1]android_repos_all_metrics!B:K,9,FALSE)</f>
        <v>156</v>
      </c>
      <c r="AI1322">
        <f>VLOOKUP(A:A,[1]android_repos_all_metrics!B:K,10,FALSE)</f>
        <v>124</v>
      </c>
    </row>
    <row r="1323" spans="1:35">
      <c r="A1323" t="s">
        <v>1389</v>
      </c>
      <c r="B1323" t="b">
        <v>1</v>
      </c>
      <c r="C1323" t="b">
        <v>0</v>
      </c>
      <c r="D1323" t="b">
        <v>0</v>
      </c>
      <c r="F1323" t="b">
        <v>0</v>
      </c>
      <c r="H1323" t="s">
        <v>37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>
        <v>1</v>
      </c>
      <c r="AB1323">
        <v>0</v>
      </c>
      <c r="AC1323">
        <f>VLOOKUP(A:A,[1]android_repos_all_metrics!B:K,4,FALSE)</f>
        <v>473</v>
      </c>
      <c r="AD1323">
        <f>VLOOKUP(A:A,[1]android_repos_all_metrics!B:K,5,FALSE)</f>
        <v>35</v>
      </c>
      <c r="AE1323">
        <f>VLOOKUP(A:A,[1]android_repos_all_metrics!B:K,6,FALSE)</f>
        <v>1</v>
      </c>
      <c r="AF1323">
        <f>VLOOKUP(A:A,[1]android_repos_all_metrics!B:K,7,FALSE)</f>
        <v>13574</v>
      </c>
      <c r="AG1323">
        <f>VLOOKUP(A:A,[1]android_repos_all_metrics!B:K,8,FALSE)</f>
        <v>0</v>
      </c>
      <c r="AH1323">
        <f>VLOOKUP(A:A,[1]android_repos_all_metrics!B:K,9,FALSE)</f>
        <v>5</v>
      </c>
      <c r="AI1323">
        <f>VLOOKUP(A:A,[1]android_repos_all_metrics!B:K,10,FALSE)</f>
        <v>0</v>
      </c>
    </row>
    <row r="1324" spans="1:35">
      <c r="A1324" t="s">
        <v>1390</v>
      </c>
      <c r="B1324" t="b">
        <v>0</v>
      </c>
      <c r="C1324" t="b">
        <v>0</v>
      </c>
      <c r="D1324" t="b">
        <v>0</v>
      </c>
      <c r="F1324" t="b">
        <v>0</v>
      </c>
      <c r="H1324" t="s">
        <v>41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>
        <v>1</v>
      </c>
      <c r="AB1324">
        <v>0</v>
      </c>
      <c r="AC1324">
        <f>VLOOKUP(A:A,[1]android_repos_all_metrics!B:K,4,FALSE)</f>
        <v>176</v>
      </c>
      <c r="AD1324">
        <f>VLOOKUP(A:A,[1]android_repos_all_metrics!B:K,5,FALSE)</f>
        <v>1</v>
      </c>
      <c r="AE1324">
        <f>VLOOKUP(A:A,[1]android_repos_all_metrics!B:K,6,FALSE)</f>
        <v>1</v>
      </c>
      <c r="AF1324">
        <f>VLOOKUP(A:A,[1]android_repos_all_metrics!B:K,7,FALSE)</f>
        <v>2256</v>
      </c>
      <c r="AG1324">
        <f>VLOOKUP(A:A,[1]android_repos_all_metrics!B:K,8,FALSE)</f>
        <v>11</v>
      </c>
      <c r="AH1324">
        <f>VLOOKUP(A:A,[1]android_repos_all_metrics!B:K,9,FALSE)</f>
        <v>43</v>
      </c>
      <c r="AI1324">
        <f>VLOOKUP(A:A,[1]android_repos_all_metrics!B:K,10,FALSE)</f>
        <v>4</v>
      </c>
    </row>
    <row r="1325" spans="1:35">
      <c r="A1325" t="s">
        <v>1391</v>
      </c>
      <c r="B1325" t="b">
        <v>1</v>
      </c>
      <c r="C1325" t="b">
        <v>0</v>
      </c>
      <c r="D1325" t="b">
        <v>0</v>
      </c>
      <c r="F1325" t="b">
        <v>0</v>
      </c>
      <c r="H1325" t="s">
        <v>37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>
        <v>1</v>
      </c>
      <c r="AB1325">
        <v>0</v>
      </c>
      <c r="AC1325">
        <f>VLOOKUP(A:A,[1]android_repos_all_metrics!B:K,4,FALSE)</f>
        <v>34</v>
      </c>
      <c r="AD1325">
        <f>VLOOKUP(A:A,[1]android_repos_all_metrics!B:K,5,FALSE)</f>
        <v>4</v>
      </c>
      <c r="AE1325">
        <f>VLOOKUP(A:A,[1]android_repos_all_metrics!B:K,6,FALSE)</f>
        <v>2</v>
      </c>
      <c r="AF1325">
        <f>VLOOKUP(A:A,[1]android_repos_all_metrics!B:K,7,FALSE)</f>
        <v>7464</v>
      </c>
      <c r="AG1325">
        <f>VLOOKUP(A:A,[1]android_repos_all_metrics!B:K,8,FALSE)</f>
        <v>2</v>
      </c>
      <c r="AH1325">
        <f>VLOOKUP(A:A,[1]android_repos_all_metrics!B:K,9,FALSE)</f>
        <v>1</v>
      </c>
      <c r="AI1325">
        <f>VLOOKUP(A:A,[1]android_repos_all_metrics!B:K,10,FALSE)</f>
        <v>0</v>
      </c>
    </row>
    <row r="1326" spans="1:35">
      <c r="A1326" t="s">
        <v>1392</v>
      </c>
      <c r="B1326" t="b">
        <v>1</v>
      </c>
      <c r="C1326" t="b">
        <v>0</v>
      </c>
      <c r="D1326" t="b">
        <v>0</v>
      </c>
      <c r="F1326" t="b">
        <v>0</v>
      </c>
      <c r="H1326" t="s">
        <v>37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>
        <v>1</v>
      </c>
      <c r="AB1326">
        <v>0</v>
      </c>
      <c r="AC1326">
        <f>VLOOKUP(A:A,[1]android_repos_all_metrics!B:K,4,FALSE)</f>
        <v>243</v>
      </c>
      <c r="AD1326">
        <f>VLOOKUP(A:A,[1]android_repos_all_metrics!B:K,5,FALSE)</f>
        <v>1</v>
      </c>
      <c r="AE1326">
        <f>VLOOKUP(A:A,[1]android_repos_all_metrics!B:K,6,FALSE)</f>
        <v>1</v>
      </c>
      <c r="AF1326">
        <f>VLOOKUP(A:A,[1]android_repos_all_metrics!B:K,7,FALSE)</f>
        <v>731</v>
      </c>
      <c r="AG1326">
        <f>VLOOKUP(A:A,[1]android_repos_all_metrics!B:K,8,FALSE)</f>
        <v>1</v>
      </c>
      <c r="AH1326">
        <f>VLOOKUP(A:A,[1]android_repos_all_metrics!B:K,9,FALSE)</f>
        <v>3</v>
      </c>
      <c r="AI1326">
        <f>VLOOKUP(A:A,[1]android_repos_all_metrics!B:K,10,FALSE)</f>
        <v>10</v>
      </c>
    </row>
    <row r="1327" spans="1:35">
      <c r="A1327" t="s">
        <v>1393</v>
      </c>
      <c r="B1327" t="b">
        <v>1</v>
      </c>
      <c r="C1327" t="b">
        <v>0</v>
      </c>
      <c r="D1327" t="b">
        <v>0</v>
      </c>
      <c r="F1327" t="b">
        <v>0</v>
      </c>
      <c r="H1327" t="s">
        <v>37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>
        <v>1</v>
      </c>
      <c r="AB1327">
        <v>0</v>
      </c>
      <c r="AC1327">
        <f>VLOOKUP(A:A,[1]android_repos_all_metrics!B:K,4,FALSE)</f>
        <v>67</v>
      </c>
      <c r="AD1327">
        <f>VLOOKUP(A:A,[1]android_repos_all_metrics!B:K,5,FALSE)</f>
        <v>48</v>
      </c>
      <c r="AE1327">
        <f>VLOOKUP(A:A,[1]android_repos_all_metrics!B:K,6,FALSE)</f>
        <v>14</v>
      </c>
      <c r="AF1327">
        <f>VLOOKUP(A:A,[1]android_repos_all_metrics!B:K,7,FALSE)</f>
        <v>3165</v>
      </c>
      <c r="AG1327">
        <f>VLOOKUP(A:A,[1]android_repos_all_metrics!B:K,8,FALSE)</f>
        <v>16</v>
      </c>
      <c r="AH1327">
        <f>VLOOKUP(A:A,[1]android_repos_all_metrics!B:K,9,FALSE)</f>
        <v>5</v>
      </c>
      <c r="AI1327">
        <f>VLOOKUP(A:A,[1]android_repos_all_metrics!B:K,10,FALSE)</f>
        <v>3</v>
      </c>
    </row>
    <row r="1328" spans="1:35">
      <c r="A1328" t="s">
        <v>1394</v>
      </c>
      <c r="B1328" t="b">
        <v>1</v>
      </c>
      <c r="C1328" t="b">
        <v>0</v>
      </c>
      <c r="D1328" t="b">
        <v>0</v>
      </c>
      <c r="F1328" t="b">
        <v>0</v>
      </c>
      <c r="H1328" t="s">
        <v>37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>
        <v>2</v>
      </c>
      <c r="AB1328">
        <v>0</v>
      </c>
      <c r="AC1328">
        <f>VLOOKUP(A:A,[1]android_repos_all_metrics!B:K,4,FALSE)</f>
        <v>227</v>
      </c>
      <c r="AD1328">
        <f>VLOOKUP(A:A,[1]android_repos_all_metrics!B:K,5,FALSE)</f>
        <v>107</v>
      </c>
      <c r="AE1328">
        <f>VLOOKUP(A:A,[1]android_repos_all_metrics!B:K,6,FALSE)</f>
        <v>3</v>
      </c>
      <c r="AF1328">
        <f>VLOOKUP(A:A,[1]android_repos_all_metrics!B:K,7,FALSE)</f>
        <v>1307</v>
      </c>
      <c r="AG1328">
        <f>VLOOKUP(A:A,[1]android_repos_all_metrics!B:K,8,FALSE)</f>
        <v>0</v>
      </c>
      <c r="AH1328">
        <f>VLOOKUP(A:A,[1]android_repos_all_metrics!B:K,9,FALSE)</f>
        <v>2</v>
      </c>
      <c r="AI1328">
        <f>VLOOKUP(A:A,[1]android_repos_all_metrics!B:K,10,FALSE)</f>
        <v>7</v>
      </c>
    </row>
    <row r="1329" spans="1:35">
      <c r="A1329" t="s">
        <v>1395</v>
      </c>
      <c r="B1329" t="b">
        <v>1</v>
      </c>
      <c r="C1329" t="b">
        <v>1</v>
      </c>
      <c r="D1329" t="b">
        <v>1</v>
      </c>
      <c r="E1329" t="s">
        <v>36</v>
      </c>
      <c r="F1329" t="b">
        <v>0</v>
      </c>
      <c r="H1329" t="s">
        <v>37</v>
      </c>
      <c r="I1329" t="s">
        <v>37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>
        <v>1</v>
      </c>
      <c r="AA1329">
        <v>2</v>
      </c>
      <c r="AB1329">
        <v>0</v>
      </c>
      <c r="AC1329">
        <f>VLOOKUP(A:A,[1]android_repos_all_metrics!B:K,4,FALSE)</f>
        <v>338</v>
      </c>
      <c r="AD1329">
        <f>VLOOKUP(A:A,[1]android_repos_all_metrics!B:K,5,FALSE)</f>
        <v>20</v>
      </c>
      <c r="AE1329">
        <f>VLOOKUP(A:A,[1]android_repos_all_metrics!B:K,6,FALSE)</f>
        <v>31</v>
      </c>
      <c r="AF1329">
        <f>VLOOKUP(A:A,[1]android_repos_all_metrics!B:K,7,FALSE)</f>
        <v>51095</v>
      </c>
      <c r="AG1329">
        <f>VLOOKUP(A:A,[1]android_repos_all_metrics!B:K,8,FALSE)</f>
        <v>11</v>
      </c>
      <c r="AH1329">
        <f>VLOOKUP(A:A,[1]android_repos_all_metrics!B:K,9,FALSE)</f>
        <v>52</v>
      </c>
      <c r="AI1329">
        <f>VLOOKUP(A:A,[1]android_repos_all_metrics!B:K,10,FALSE)</f>
        <v>8</v>
      </c>
    </row>
    <row r="1330" spans="1:35">
      <c r="A1330" t="s">
        <v>1396</v>
      </c>
      <c r="B1330" t="b">
        <v>1</v>
      </c>
      <c r="C1330" t="b">
        <v>0</v>
      </c>
      <c r="D1330" t="b">
        <v>0</v>
      </c>
      <c r="F1330" t="b">
        <v>0</v>
      </c>
      <c r="H1330" t="s">
        <v>41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>
        <v>1</v>
      </c>
      <c r="AB1330">
        <v>0</v>
      </c>
      <c r="AC1330">
        <f>VLOOKUP(A:A,[1]android_repos_all_metrics!B:K,4,FALSE)</f>
        <v>92</v>
      </c>
      <c r="AD1330">
        <f>VLOOKUP(A:A,[1]android_repos_all_metrics!B:K,5,FALSE)</f>
        <v>0</v>
      </c>
      <c r="AE1330">
        <f>VLOOKUP(A:A,[1]android_repos_all_metrics!B:K,6,FALSE)</f>
        <v>1</v>
      </c>
      <c r="AF1330">
        <f>VLOOKUP(A:A,[1]android_repos_all_metrics!B:K,7,FALSE)</f>
        <v>27280</v>
      </c>
      <c r="AG1330">
        <f>VLOOKUP(A:A,[1]android_repos_all_metrics!B:K,8,FALSE)</f>
        <v>19</v>
      </c>
      <c r="AH1330">
        <f>VLOOKUP(A:A,[1]android_repos_all_metrics!B:K,9,FALSE)</f>
        <v>55</v>
      </c>
      <c r="AI1330">
        <f>VLOOKUP(A:A,[1]android_repos_all_metrics!B:K,10,FALSE)</f>
        <v>0</v>
      </c>
    </row>
    <row r="1331" spans="1:35">
      <c r="A1331" t="s">
        <v>1397</v>
      </c>
      <c r="B1331" t="b">
        <v>1</v>
      </c>
      <c r="C1331" t="b">
        <v>0</v>
      </c>
      <c r="D1331" t="b">
        <v>0</v>
      </c>
      <c r="F1331" t="b">
        <v>0</v>
      </c>
      <c r="H1331" t="s">
        <v>37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>
        <v>1</v>
      </c>
      <c r="AB1331">
        <v>0</v>
      </c>
      <c r="AC1331">
        <f>VLOOKUP(A:A,[1]android_repos_all_metrics!B:K,4,FALSE)</f>
        <v>422</v>
      </c>
      <c r="AD1331">
        <f>VLOOKUP(A:A,[1]android_repos_all_metrics!B:K,5,FALSE)</f>
        <v>2</v>
      </c>
      <c r="AE1331">
        <f>VLOOKUP(A:A,[1]android_repos_all_metrics!B:K,6,FALSE)</f>
        <v>5</v>
      </c>
      <c r="AF1331">
        <f>VLOOKUP(A:A,[1]android_repos_all_metrics!B:K,7,FALSE)</f>
        <v>8576</v>
      </c>
      <c r="AG1331">
        <f>VLOOKUP(A:A,[1]android_repos_all_metrics!B:K,8,FALSE)</f>
        <v>8</v>
      </c>
      <c r="AH1331">
        <f>VLOOKUP(A:A,[1]android_repos_all_metrics!B:K,9,FALSE)</f>
        <v>8</v>
      </c>
      <c r="AI1331">
        <f>VLOOKUP(A:A,[1]android_repos_all_metrics!B:K,10,FALSE)</f>
        <v>7</v>
      </c>
    </row>
    <row r="1332" spans="1:35">
      <c r="A1332" t="s">
        <v>1398</v>
      </c>
      <c r="B1332" t="b">
        <v>1</v>
      </c>
      <c r="C1332" t="b">
        <v>0</v>
      </c>
      <c r="D1332" t="b">
        <v>0</v>
      </c>
      <c r="F1332" t="b">
        <v>0</v>
      </c>
      <c r="H1332" t="s">
        <v>37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>
        <v>3</v>
      </c>
      <c r="AB1332">
        <v>0</v>
      </c>
      <c r="AC1332">
        <f>VLOOKUP(A:A,[1]android_repos_all_metrics!B:K,4,FALSE)</f>
        <v>274</v>
      </c>
      <c r="AD1332">
        <f>VLOOKUP(A:A,[1]android_repos_all_metrics!B:K,5,FALSE)</f>
        <v>172</v>
      </c>
      <c r="AE1332">
        <f>VLOOKUP(A:A,[1]android_repos_all_metrics!B:K,6,FALSE)</f>
        <v>4</v>
      </c>
      <c r="AF1332">
        <f>VLOOKUP(A:A,[1]android_repos_all_metrics!B:K,7,FALSE)</f>
        <v>14284</v>
      </c>
      <c r="AG1332">
        <f>VLOOKUP(A:A,[1]android_repos_all_metrics!B:K,8,FALSE)</f>
        <v>1</v>
      </c>
      <c r="AH1332">
        <f>VLOOKUP(A:A,[1]android_repos_all_metrics!B:K,9,FALSE)</f>
        <v>2</v>
      </c>
      <c r="AI1332">
        <f>VLOOKUP(A:A,[1]android_repos_all_metrics!B:K,10,FALSE)</f>
        <v>22</v>
      </c>
    </row>
    <row r="1333" spans="1:35">
      <c r="A1333" t="s">
        <v>1399</v>
      </c>
      <c r="B1333" t="b">
        <v>1</v>
      </c>
      <c r="C1333" t="b">
        <v>0</v>
      </c>
      <c r="D1333" t="b">
        <v>0</v>
      </c>
      <c r="F1333" t="b">
        <v>0</v>
      </c>
      <c r="H1333" t="s">
        <v>41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>
        <v>1</v>
      </c>
      <c r="AB1333">
        <v>0</v>
      </c>
      <c r="AC1333">
        <f>VLOOKUP(A:A,[1]android_repos_all_metrics!B:K,4,FALSE)</f>
        <v>4679</v>
      </c>
      <c r="AD1333">
        <f>VLOOKUP(A:A,[1]android_repos_all_metrics!B:K,5,FALSE)</f>
        <v>736</v>
      </c>
      <c r="AE1333">
        <f>VLOOKUP(A:A,[1]android_repos_all_metrics!B:K,6,FALSE)</f>
        <v>98</v>
      </c>
      <c r="AF1333">
        <f>VLOOKUP(A:A,[1]android_repos_all_metrics!B:K,7,FALSE)</f>
        <v>69624</v>
      </c>
      <c r="AG1333">
        <f>VLOOKUP(A:A,[1]android_repos_all_metrics!B:K,8,FALSE)</f>
        <v>61</v>
      </c>
      <c r="AH1333">
        <f>VLOOKUP(A:A,[1]android_repos_all_metrics!B:K,9,FALSE)</f>
        <v>417</v>
      </c>
      <c r="AI1333">
        <f>VLOOKUP(A:A,[1]android_repos_all_metrics!B:K,10,FALSE)</f>
        <v>45</v>
      </c>
    </row>
    <row r="1334" spans="1:35">
      <c r="A1334" t="s">
        <v>1400</v>
      </c>
      <c r="B1334" t="b">
        <v>1</v>
      </c>
      <c r="C1334" t="b">
        <v>0</v>
      </c>
      <c r="D1334" t="b">
        <v>0</v>
      </c>
      <c r="F1334" t="b">
        <v>0</v>
      </c>
      <c r="H1334" t="s">
        <v>37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>
        <v>1</v>
      </c>
      <c r="AB1334">
        <v>0</v>
      </c>
      <c r="AC1334">
        <f>VLOOKUP(A:A,[1]android_repos_all_metrics!B:K,4,FALSE)</f>
        <v>13</v>
      </c>
      <c r="AD1334">
        <f>VLOOKUP(A:A,[1]android_repos_all_metrics!B:K,5,FALSE)</f>
        <v>0</v>
      </c>
      <c r="AE1334">
        <f>VLOOKUP(A:A,[1]android_repos_all_metrics!B:K,6,FALSE)</f>
        <v>1</v>
      </c>
      <c r="AF1334">
        <f>VLOOKUP(A:A,[1]android_repos_all_metrics!B:K,7,FALSE)</f>
        <v>14902</v>
      </c>
      <c r="AG1334">
        <f>VLOOKUP(A:A,[1]android_repos_all_metrics!B:K,8,FALSE)</f>
        <v>1</v>
      </c>
      <c r="AH1334">
        <f>VLOOKUP(A:A,[1]android_repos_all_metrics!B:K,9,FALSE)</f>
        <v>8</v>
      </c>
      <c r="AI1334">
        <f>VLOOKUP(A:A,[1]android_repos_all_metrics!B:K,10,FALSE)</f>
        <v>0</v>
      </c>
    </row>
    <row r="1335" spans="1:35">
      <c r="A1335" t="s">
        <v>1401</v>
      </c>
      <c r="B1335" t="b">
        <v>0</v>
      </c>
      <c r="C1335" t="b">
        <v>0</v>
      </c>
      <c r="D1335" t="b">
        <v>0</v>
      </c>
      <c r="F1335" t="b">
        <v>0</v>
      </c>
      <c r="H1335" t="s">
        <v>41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>
        <v>1</v>
      </c>
      <c r="AB1335">
        <v>0</v>
      </c>
      <c r="AC1335">
        <f>VLOOKUP(A:A,[1]android_repos_all_metrics!B:K,4,FALSE)</f>
        <v>225</v>
      </c>
      <c r="AD1335">
        <f>VLOOKUP(A:A,[1]android_repos_all_metrics!B:K,5,FALSE)</f>
        <v>5</v>
      </c>
      <c r="AE1335">
        <f>VLOOKUP(A:A,[1]android_repos_all_metrics!B:K,6,FALSE)</f>
        <v>4</v>
      </c>
      <c r="AF1335">
        <f>VLOOKUP(A:A,[1]android_repos_all_metrics!B:K,7,FALSE)</f>
        <v>4722</v>
      </c>
      <c r="AG1335">
        <f>VLOOKUP(A:A,[1]android_repos_all_metrics!B:K,8,FALSE)</f>
        <v>37</v>
      </c>
      <c r="AH1335">
        <f>VLOOKUP(A:A,[1]android_repos_all_metrics!B:K,9,FALSE)</f>
        <v>49</v>
      </c>
      <c r="AI1335">
        <f>VLOOKUP(A:A,[1]android_repos_all_metrics!B:K,10,FALSE)</f>
        <v>7</v>
      </c>
    </row>
    <row r="1336" spans="1:35">
      <c r="A1336" t="s">
        <v>1402</v>
      </c>
      <c r="B1336" t="b">
        <v>1</v>
      </c>
      <c r="C1336" t="b">
        <v>0</v>
      </c>
      <c r="D1336" t="b">
        <v>0</v>
      </c>
      <c r="F1336" t="b">
        <v>0</v>
      </c>
      <c r="H1336" t="s">
        <v>37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>
        <v>1</v>
      </c>
      <c r="AB1336">
        <v>0</v>
      </c>
      <c r="AC1336">
        <f>VLOOKUP(A:A,[1]android_repos_all_metrics!B:K,4,FALSE)</f>
        <v>843</v>
      </c>
      <c r="AD1336">
        <f>VLOOKUP(A:A,[1]android_repos_all_metrics!B:K,5,FALSE)</f>
        <v>155</v>
      </c>
      <c r="AE1336">
        <f>VLOOKUP(A:A,[1]android_repos_all_metrics!B:K,6,FALSE)</f>
        <v>49</v>
      </c>
      <c r="AF1336">
        <f>VLOOKUP(A:A,[1]android_repos_all_metrics!B:K,7,FALSE)</f>
        <v>9808</v>
      </c>
      <c r="AG1336">
        <f>VLOOKUP(A:A,[1]android_repos_all_metrics!B:K,8,FALSE)</f>
        <v>151</v>
      </c>
      <c r="AH1336">
        <f>VLOOKUP(A:A,[1]android_repos_all_metrics!B:K,9,FALSE)</f>
        <v>941</v>
      </c>
      <c r="AI1336">
        <f>VLOOKUP(A:A,[1]android_repos_all_metrics!B:K,10,FALSE)</f>
        <v>261</v>
      </c>
    </row>
    <row r="1337" spans="1:35">
      <c r="A1337" t="s">
        <v>1403</v>
      </c>
      <c r="B1337" t="b">
        <v>1</v>
      </c>
      <c r="C1337" t="b">
        <v>0</v>
      </c>
      <c r="D1337" t="b">
        <v>0</v>
      </c>
      <c r="F1337" t="b">
        <v>0</v>
      </c>
      <c r="H1337" t="s">
        <v>37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>
        <v>4</v>
      </c>
      <c r="AB1337">
        <v>0</v>
      </c>
      <c r="AC1337">
        <f>VLOOKUP(A:A,[1]android_repos_all_metrics!B:K,4,FALSE)</f>
        <v>38</v>
      </c>
      <c r="AD1337">
        <f>VLOOKUP(A:A,[1]android_repos_all_metrics!B:K,5,FALSE)</f>
        <v>15</v>
      </c>
      <c r="AE1337">
        <f>VLOOKUP(A:A,[1]android_repos_all_metrics!B:K,6,FALSE)</f>
        <v>19</v>
      </c>
      <c r="AF1337">
        <f>VLOOKUP(A:A,[1]android_repos_all_metrics!B:K,7,FALSE)</f>
        <v>90284</v>
      </c>
      <c r="AG1337">
        <f>VLOOKUP(A:A,[1]android_repos_all_metrics!B:K,8,FALSE)</f>
        <v>2</v>
      </c>
      <c r="AH1337">
        <f>VLOOKUP(A:A,[1]android_repos_all_metrics!B:K,9,FALSE)</f>
        <v>76</v>
      </c>
      <c r="AI1337">
        <f>VLOOKUP(A:A,[1]android_repos_all_metrics!B:K,10,FALSE)</f>
        <v>16</v>
      </c>
    </row>
    <row r="1338" spans="1:35">
      <c r="A1338" t="s">
        <v>1404</v>
      </c>
      <c r="B1338" t="b">
        <v>1</v>
      </c>
      <c r="C1338" t="b">
        <v>0</v>
      </c>
      <c r="D1338" t="b">
        <v>0</v>
      </c>
      <c r="F1338" t="b">
        <v>0</v>
      </c>
      <c r="H1338" t="s">
        <v>43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>
        <v>1</v>
      </c>
      <c r="AB1338">
        <v>0</v>
      </c>
      <c r="AC1338">
        <f>VLOOKUP(A:A,[1]android_repos_all_metrics!B:K,4,FALSE)</f>
        <v>1062</v>
      </c>
      <c r="AD1338">
        <f>VLOOKUP(A:A,[1]android_repos_all_metrics!B:K,5,FALSE)</f>
        <v>160</v>
      </c>
      <c r="AE1338">
        <f>VLOOKUP(A:A,[1]android_repos_all_metrics!B:K,6,FALSE)</f>
        <v>8</v>
      </c>
      <c r="AF1338">
        <f>VLOOKUP(A:A,[1]android_repos_all_metrics!B:K,7,FALSE)</f>
        <v>49253</v>
      </c>
      <c r="AG1338">
        <f>VLOOKUP(A:A,[1]android_repos_all_metrics!B:K,8,FALSE)</f>
        <v>21</v>
      </c>
      <c r="AH1338">
        <f>VLOOKUP(A:A,[1]android_repos_all_metrics!B:K,9,FALSE)</f>
        <v>52</v>
      </c>
      <c r="AI1338">
        <f>VLOOKUP(A:A,[1]android_repos_all_metrics!B:K,10,FALSE)</f>
        <v>6</v>
      </c>
    </row>
    <row r="1339" spans="1:35">
      <c r="A1339" t="s">
        <v>1405</v>
      </c>
      <c r="B1339" t="b">
        <v>1</v>
      </c>
      <c r="C1339" t="b">
        <v>1</v>
      </c>
      <c r="D1339" t="b">
        <v>0</v>
      </c>
      <c r="F1339" t="b">
        <v>1</v>
      </c>
      <c r="G1339" t="s">
        <v>39</v>
      </c>
      <c r="H1339" t="s">
        <v>86</v>
      </c>
      <c r="I1339" t="s">
        <v>41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>
        <v>2</v>
      </c>
      <c r="AB1339">
        <v>0</v>
      </c>
      <c r="AC1339">
        <f>VLOOKUP(A:A,[1]android_repos_all_metrics!B:K,4,FALSE)</f>
        <v>367</v>
      </c>
      <c r="AD1339">
        <f>VLOOKUP(A:A,[1]android_repos_all_metrics!B:K,5,FALSE)</f>
        <v>12</v>
      </c>
      <c r="AE1339">
        <f>VLOOKUP(A:A,[1]android_repos_all_metrics!B:K,6,FALSE)</f>
        <v>6</v>
      </c>
      <c r="AF1339">
        <f>VLOOKUP(A:A,[1]android_repos_all_metrics!B:K,7,FALSE)</f>
        <v>16536</v>
      </c>
      <c r="AG1339">
        <f>VLOOKUP(A:A,[1]android_repos_all_metrics!B:K,8,FALSE)</f>
        <v>22</v>
      </c>
      <c r="AH1339">
        <f>VLOOKUP(A:A,[1]android_repos_all_metrics!B:K,9,FALSE)</f>
        <v>40</v>
      </c>
      <c r="AI1339">
        <f>VLOOKUP(A:A,[1]android_repos_all_metrics!B:K,10,FALSE)</f>
        <v>11</v>
      </c>
    </row>
    <row r="1340" spans="1:35">
      <c r="A1340" t="s">
        <v>1406</v>
      </c>
      <c r="B1340" t="b">
        <v>0</v>
      </c>
      <c r="C1340" t="b">
        <v>0</v>
      </c>
      <c r="D1340" t="b">
        <v>0</v>
      </c>
      <c r="F1340" t="b">
        <v>0</v>
      </c>
      <c r="H1340" t="s">
        <v>41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>
        <v>1</v>
      </c>
      <c r="AB1340">
        <v>0</v>
      </c>
      <c r="AC1340">
        <f>VLOOKUP(A:A,[1]android_repos_all_metrics!B:K,4,FALSE)</f>
        <v>35</v>
      </c>
      <c r="AD1340">
        <f>VLOOKUP(A:A,[1]android_repos_all_metrics!B:K,5,FALSE)</f>
        <v>0</v>
      </c>
      <c r="AE1340">
        <f>VLOOKUP(A:A,[1]android_repos_all_metrics!B:K,6,FALSE)</f>
        <v>1</v>
      </c>
      <c r="AF1340">
        <f>VLOOKUP(A:A,[1]android_repos_all_metrics!B:K,7,FALSE)</f>
        <v>122251</v>
      </c>
      <c r="AG1340">
        <f>VLOOKUP(A:A,[1]android_repos_all_metrics!B:K,8,FALSE)</f>
        <v>0</v>
      </c>
      <c r="AH1340">
        <f>VLOOKUP(A:A,[1]android_repos_all_metrics!B:K,9,FALSE)</f>
        <v>5</v>
      </c>
      <c r="AI1340">
        <f>VLOOKUP(A:A,[1]android_repos_all_metrics!B:K,10,FALSE)</f>
        <v>0</v>
      </c>
    </row>
    <row r="1341" spans="1:35">
      <c r="A1341" t="s">
        <v>1407</v>
      </c>
      <c r="B1341" t="b">
        <v>1</v>
      </c>
      <c r="C1341" t="b">
        <v>0</v>
      </c>
      <c r="D1341" t="b">
        <v>0</v>
      </c>
      <c r="F1341" t="b">
        <v>0</v>
      </c>
      <c r="H1341" t="s">
        <v>37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>
        <v>1</v>
      </c>
      <c r="AB1341">
        <v>0</v>
      </c>
      <c r="AC1341">
        <f>VLOOKUP(A:A,[1]android_repos_all_metrics!B:K,4,FALSE)</f>
        <v>68</v>
      </c>
      <c r="AD1341">
        <f>VLOOKUP(A:A,[1]android_repos_all_metrics!B:K,5,FALSE)</f>
        <v>4</v>
      </c>
      <c r="AE1341">
        <f>VLOOKUP(A:A,[1]android_repos_all_metrics!B:K,6,FALSE)</f>
        <v>1</v>
      </c>
      <c r="AF1341">
        <f>VLOOKUP(A:A,[1]android_repos_all_metrics!B:K,7,FALSE)</f>
        <v>4195</v>
      </c>
      <c r="AG1341">
        <f>VLOOKUP(A:A,[1]android_repos_all_metrics!B:K,8,FALSE)</f>
        <v>0</v>
      </c>
      <c r="AH1341">
        <f>VLOOKUP(A:A,[1]android_repos_all_metrics!B:K,9,FALSE)</f>
        <v>1</v>
      </c>
      <c r="AI1341">
        <f>VLOOKUP(A:A,[1]android_repos_all_metrics!B:K,10,FALSE)</f>
        <v>1</v>
      </c>
    </row>
    <row r="1342" spans="1:35">
      <c r="A1342" t="s">
        <v>1408</v>
      </c>
      <c r="B1342" t="b">
        <v>0</v>
      </c>
      <c r="C1342" t="b">
        <v>0</v>
      </c>
      <c r="D1342" t="b">
        <v>0</v>
      </c>
      <c r="F1342" t="b">
        <v>0</v>
      </c>
      <c r="H1342" t="s">
        <v>37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>
        <v>2</v>
      </c>
      <c r="AB1342">
        <v>0</v>
      </c>
      <c r="AC1342">
        <f>VLOOKUP(A:A,[1]android_repos_all_metrics!B:K,4,FALSE)</f>
        <v>6657</v>
      </c>
      <c r="AD1342">
        <f>VLOOKUP(A:A,[1]android_repos_all_metrics!B:K,5,FALSE)</f>
        <v>887</v>
      </c>
      <c r="AE1342">
        <f>VLOOKUP(A:A,[1]android_repos_all_metrics!B:K,6,FALSE)</f>
        <v>13</v>
      </c>
      <c r="AF1342">
        <f>VLOOKUP(A:A,[1]android_repos_all_metrics!B:K,7,FALSE)</f>
        <v>13221</v>
      </c>
      <c r="AG1342">
        <f>VLOOKUP(A:A,[1]android_repos_all_metrics!B:K,8,FALSE)</f>
        <v>15</v>
      </c>
      <c r="AH1342">
        <f>VLOOKUP(A:A,[1]android_repos_all_metrics!B:K,9,FALSE)</f>
        <v>148</v>
      </c>
      <c r="AI1342">
        <f>VLOOKUP(A:A,[1]android_repos_all_metrics!B:K,10,FALSE)</f>
        <v>118</v>
      </c>
    </row>
    <row r="1343" spans="1:35">
      <c r="A1343" t="s">
        <v>1409</v>
      </c>
      <c r="B1343" t="b">
        <v>1</v>
      </c>
      <c r="C1343" t="b">
        <v>0</v>
      </c>
      <c r="D1343" t="b">
        <v>0</v>
      </c>
      <c r="F1343" t="b">
        <v>0</v>
      </c>
      <c r="H1343" t="s">
        <v>37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>
        <v>1</v>
      </c>
      <c r="AB1343">
        <v>0</v>
      </c>
      <c r="AC1343">
        <f>VLOOKUP(A:A,[1]android_repos_all_metrics!B:K,4,FALSE)</f>
        <v>39</v>
      </c>
      <c r="AD1343">
        <f>VLOOKUP(A:A,[1]android_repos_all_metrics!B:K,5,FALSE)</f>
        <v>8</v>
      </c>
      <c r="AE1343">
        <f>VLOOKUP(A:A,[1]android_repos_all_metrics!B:K,6,FALSE)</f>
        <v>3</v>
      </c>
      <c r="AF1343">
        <f>VLOOKUP(A:A,[1]android_repos_all_metrics!B:K,7,FALSE)</f>
        <v>133</v>
      </c>
      <c r="AG1343">
        <f>VLOOKUP(A:A,[1]android_repos_all_metrics!B:K,8,FALSE)</f>
        <v>3</v>
      </c>
      <c r="AH1343">
        <f>VLOOKUP(A:A,[1]android_repos_all_metrics!B:K,9,FALSE)</f>
        <v>9</v>
      </c>
      <c r="AI1343">
        <f>VLOOKUP(A:A,[1]android_repos_all_metrics!B:K,10,FALSE)</f>
        <v>0</v>
      </c>
    </row>
    <row r="1344" spans="1:35">
      <c r="A1344" t="s">
        <v>1410</v>
      </c>
      <c r="B1344" t="b">
        <v>1</v>
      </c>
      <c r="C1344" t="b">
        <v>0</v>
      </c>
      <c r="D1344" t="b">
        <v>0</v>
      </c>
      <c r="F1344" t="b">
        <v>0</v>
      </c>
      <c r="H1344" t="s">
        <v>37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>
        <v>1</v>
      </c>
      <c r="AB1344">
        <v>0</v>
      </c>
      <c r="AC1344">
        <f>VLOOKUP(A:A,[1]android_repos_all_metrics!B:K,4,FALSE)</f>
        <v>1385</v>
      </c>
      <c r="AD1344">
        <f>VLOOKUP(A:A,[1]android_repos_all_metrics!B:K,5,FALSE)</f>
        <v>57</v>
      </c>
      <c r="AE1344">
        <f>VLOOKUP(A:A,[1]android_repos_all_metrics!B:K,6,FALSE)</f>
        <v>3</v>
      </c>
      <c r="AF1344">
        <f>VLOOKUP(A:A,[1]android_repos_all_metrics!B:K,7,FALSE)</f>
        <v>25953</v>
      </c>
      <c r="AG1344">
        <f>VLOOKUP(A:A,[1]android_repos_all_metrics!B:K,8,FALSE)</f>
        <v>0</v>
      </c>
      <c r="AH1344">
        <f>VLOOKUP(A:A,[1]android_repos_all_metrics!B:K,9,FALSE)</f>
        <v>9</v>
      </c>
      <c r="AI1344">
        <f>VLOOKUP(A:A,[1]android_repos_all_metrics!B:K,10,FALSE)</f>
        <v>22</v>
      </c>
    </row>
    <row r="1345" spans="1:35">
      <c r="A1345" t="s">
        <v>1411</v>
      </c>
      <c r="B1345" t="b">
        <v>1</v>
      </c>
      <c r="C1345" t="b">
        <v>0</v>
      </c>
      <c r="D1345" t="b">
        <v>0</v>
      </c>
      <c r="F1345" t="b">
        <v>0</v>
      </c>
      <c r="H1345" t="s">
        <v>76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>
        <v>1</v>
      </c>
      <c r="AB1345">
        <v>0</v>
      </c>
      <c r="AC1345">
        <f>VLOOKUP(A:A,[1]android_repos_all_metrics!B:K,4,FALSE)</f>
        <v>3055</v>
      </c>
      <c r="AD1345">
        <f>VLOOKUP(A:A,[1]android_repos_all_metrics!B:K,5,FALSE)</f>
        <v>17</v>
      </c>
      <c r="AE1345">
        <f>VLOOKUP(A:A,[1]android_repos_all_metrics!B:K,6,FALSE)</f>
        <v>17</v>
      </c>
      <c r="AF1345">
        <f>VLOOKUP(A:A,[1]android_repos_all_metrics!B:K,7,FALSE)</f>
        <v>51179</v>
      </c>
      <c r="AG1345">
        <f>VLOOKUP(A:A,[1]android_repos_all_metrics!B:K,8,FALSE)</f>
        <v>5</v>
      </c>
      <c r="AH1345">
        <f>VLOOKUP(A:A,[1]android_repos_all_metrics!B:K,9,FALSE)</f>
        <v>38</v>
      </c>
      <c r="AI1345">
        <f>VLOOKUP(A:A,[1]android_repos_all_metrics!B:K,10,FALSE)</f>
        <v>3</v>
      </c>
    </row>
    <row r="1346" spans="1:35">
      <c r="A1346" t="s">
        <v>1412</v>
      </c>
      <c r="B1346" t="b">
        <v>1</v>
      </c>
      <c r="C1346" t="b">
        <v>0</v>
      </c>
      <c r="D1346" t="b">
        <v>0</v>
      </c>
      <c r="F1346" t="b">
        <v>0</v>
      </c>
      <c r="H1346" t="s">
        <v>37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>
        <v>3</v>
      </c>
      <c r="AB1346">
        <v>0</v>
      </c>
      <c r="AC1346">
        <f>VLOOKUP(A:A,[1]android_repos_all_metrics!B:K,4,FALSE)</f>
        <v>16476</v>
      </c>
      <c r="AD1346">
        <f>VLOOKUP(A:A,[1]android_repos_all_metrics!B:K,5,FALSE)</f>
        <v>4721</v>
      </c>
      <c r="AE1346">
        <f>VLOOKUP(A:A,[1]android_repos_all_metrics!B:K,6,FALSE)</f>
        <v>384</v>
      </c>
      <c r="AF1346">
        <f>VLOOKUP(A:A,[1]android_repos_all_metrics!B:K,7,FALSE)</f>
        <v>1821796</v>
      </c>
      <c r="AG1346">
        <f>VLOOKUP(A:A,[1]android_repos_all_metrics!B:K,8,FALSE)</f>
        <v>2414</v>
      </c>
      <c r="AH1346">
        <f>VLOOKUP(A:A,[1]android_repos_all_metrics!B:K,9,FALSE)</f>
        <v>17339</v>
      </c>
      <c r="AI1346">
        <f>VLOOKUP(A:A,[1]android_repos_all_metrics!B:K,10,FALSE)</f>
        <v>160</v>
      </c>
    </row>
    <row r="1347" spans="1:35">
      <c r="A1347" t="s">
        <v>1413</v>
      </c>
      <c r="B1347" t="b">
        <v>1</v>
      </c>
      <c r="C1347" t="b">
        <v>0</v>
      </c>
      <c r="D1347" t="b">
        <v>0</v>
      </c>
      <c r="F1347" t="b">
        <v>0</v>
      </c>
      <c r="H1347" t="s">
        <v>37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>
        <v>2</v>
      </c>
      <c r="AB1347">
        <v>0</v>
      </c>
      <c r="AC1347">
        <f>VLOOKUP(A:A,[1]android_repos_all_metrics!B:K,4,FALSE)</f>
        <v>80</v>
      </c>
      <c r="AD1347">
        <f>VLOOKUP(A:A,[1]android_repos_all_metrics!B:K,5,FALSE)</f>
        <v>0</v>
      </c>
      <c r="AE1347">
        <f>VLOOKUP(A:A,[1]android_repos_all_metrics!B:K,6,FALSE)</f>
        <v>2</v>
      </c>
      <c r="AF1347">
        <f>VLOOKUP(A:A,[1]android_repos_all_metrics!B:K,7,FALSE)</f>
        <v>203</v>
      </c>
      <c r="AG1347">
        <f>VLOOKUP(A:A,[1]android_repos_all_metrics!B:K,8,FALSE)</f>
        <v>0</v>
      </c>
      <c r="AH1347">
        <f>VLOOKUP(A:A,[1]android_repos_all_metrics!B:K,9,FALSE)</f>
        <v>13</v>
      </c>
      <c r="AI1347">
        <f>VLOOKUP(A:A,[1]android_repos_all_metrics!B:K,10,FALSE)</f>
        <v>0</v>
      </c>
    </row>
    <row r="1348" spans="1:35">
      <c r="A1348" t="s">
        <v>1414</v>
      </c>
      <c r="B1348" t="b">
        <v>0</v>
      </c>
      <c r="C1348" t="b">
        <v>0</v>
      </c>
      <c r="D1348" t="b">
        <v>0</v>
      </c>
      <c r="F1348" t="b">
        <v>0</v>
      </c>
      <c r="H1348" t="s">
        <v>41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>
        <v>1</v>
      </c>
      <c r="AB1348">
        <v>0</v>
      </c>
      <c r="AC1348">
        <f>VLOOKUP(A:A,[1]android_repos_all_metrics!B:K,4,FALSE)</f>
        <v>739</v>
      </c>
      <c r="AD1348">
        <f>VLOOKUP(A:A,[1]android_repos_all_metrics!B:K,5,FALSE)</f>
        <v>4</v>
      </c>
      <c r="AE1348">
        <f>VLOOKUP(A:A,[1]android_repos_all_metrics!B:K,6,FALSE)</f>
        <v>3</v>
      </c>
      <c r="AF1348">
        <f>VLOOKUP(A:A,[1]android_repos_all_metrics!B:K,7,FALSE)</f>
        <v>51430</v>
      </c>
      <c r="AG1348">
        <f>VLOOKUP(A:A,[1]android_repos_all_metrics!B:K,8,FALSE)</f>
        <v>74</v>
      </c>
      <c r="AH1348">
        <f>VLOOKUP(A:A,[1]android_repos_all_metrics!B:K,9,FALSE)</f>
        <v>233</v>
      </c>
      <c r="AI1348">
        <f>VLOOKUP(A:A,[1]android_repos_all_metrics!B:K,10,FALSE)</f>
        <v>10</v>
      </c>
    </row>
    <row r="1349" spans="1:35">
      <c r="A1349" t="s">
        <v>1415</v>
      </c>
      <c r="B1349" t="b">
        <v>1</v>
      </c>
      <c r="C1349" t="b">
        <v>0</v>
      </c>
      <c r="D1349" t="b">
        <v>0</v>
      </c>
      <c r="F1349" t="b">
        <v>0</v>
      </c>
      <c r="H1349" t="s">
        <v>41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>
        <v>1</v>
      </c>
      <c r="AB1349">
        <v>0</v>
      </c>
      <c r="AC1349">
        <f>VLOOKUP(A:A,[1]android_repos_all_metrics!B:K,4,FALSE)</f>
        <v>72</v>
      </c>
      <c r="AD1349">
        <f>VLOOKUP(A:A,[1]android_repos_all_metrics!B:K,5,FALSE)</f>
        <v>31</v>
      </c>
      <c r="AE1349">
        <f>VLOOKUP(A:A,[1]android_repos_all_metrics!B:K,6,FALSE)</f>
        <v>3</v>
      </c>
      <c r="AF1349">
        <f>VLOOKUP(A:A,[1]android_repos_all_metrics!B:K,7,FALSE)</f>
        <v>819</v>
      </c>
      <c r="AG1349">
        <f>VLOOKUP(A:A,[1]android_repos_all_metrics!B:K,8,FALSE)</f>
        <v>10</v>
      </c>
      <c r="AH1349">
        <f>VLOOKUP(A:A,[1]android_repos_all_metrics!B:K,9,FALSE)</f>
        <v>42</v>
      </c>
      <c r="AI1349">
        <f>VLOOKUP(A:A,[1]android_repos_all_metrics!B:K,10,FALSE)</f>
        <v>0</v>
      </c>
    </row>
    <row r="1350" spans="1:35">
      <c r="A1350" t="s">
        <v>1416</v>
      </c>
      <c r="B1350" t="b">
        <v>0</v>
      </c>
      <c r="C1350" t="b">
        <v>0</v>
      </c>
      <c r="D1350" t="b">
        <v>0</v>
      </c>
      <c r="F1350" t="b">
        <v>0</v>
      </c>
      <c r="H1350" t="s">
        <v>41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>
        <v>1</v>
      </c>
      <c r="AB1350">
        <v>0</v>
      </c>
      <c r="AC1350">
        <f>VLOOKUP(A:A,[1]android_repos_all_metrics!B:K,4,FALSE)</f>
        <v>153</v>
      </c>
      <c r="AD1350">
        <f>VLOOKUP(A:A,[1]android_repos_all_metrics!B:K,5,FALSE)</f>
        <v>98</v>
      </c>
      <c r="AE1350">
        <f>VLOOKUP(A:A,[1]android_repos_all_metrics!B:K,6,FALSE)</f>
        <v>14</v>
      </c>
      <c r="AF1350">
        <f>VLOOKUP(A:A,[1]android_repos_all_metrics!B:K,7,FALSE)</f>
        <v>17725</v>
      </c>
      <c r="AG1350">
        <f>VLOOKUP(A:A,[1]android_repos_all_metrics!B:K,8,FALSE)</f>
        <v>1020</v>
      </c>
      <c r="AH1350">
        <f>VLOOKUP(A:A,[1]android_repos_all_metrics!B:K,9,FALSE)</f>
        <v>2122</v>
      </c>
      <c r="AI1350">
        <f>VLOOKUP(A:A,[1]android_repos_all_metrics!B:K,10,FALSE)</f>
        <v>98</v>
      </c>
    </row>
    <row r="1351" spans="1:35">
      <c r="A1351" t="s">
        <v>1417</v>
      </c>
      <c r="B1351" t="b">
        <v>1</v>
      </c>
      <c r="C1351" t="b">
        <v>0</v>
      </c>
      <c r="D1351" t="b">
        <v>0</v>
      </c>
      <c r="F1351" t="b">
        <v>0</v>
      </c>
      <c r="H1351" t="s">
        <v>86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>
        <v>2</v>
      </c>
      <c r="AB1351">
        <v>0</v>
      </c>
      <c r="AC1351">
        <f>VLOOKUP(A:A,[1]android_repos_all_metrics!B:K,4,FALSE)</f>
        <v>57</v>
      </c>
      <c r="AD1351">
        <f>VLOOKUP(A:A,[1]android_repos_all_metrics!B:K,5,FALSE)</f>
        <v>13</v>
      </c>
      <c r="AE1351">
        <f>VLOOKUP(A:A,[1]android_repos_all_metrics!B:K,6,FALSE)</f>
        <v>5</v>
      </c>
      <c r="AF1351">
        <f>VLOOKUP(A:A,[1]android_repos_all_metrics!B:K,7,FALSE)</f>
        <v>11230</v>
      </c>
      <c r="AG1351">
        <f>VLOOKUP(A:A,[1]android_repos_all_metrics!B:K,8,FALSE)</f>
        <v>12</v>
      </c>
      <c r="AH1351">
        <f>VLOOKUP(A:A,[1]android_repos_all_metrics!B:K,9,FALSE)</f>
        <v>8</v>
      </c>
      <c r="AI1351">
        <f>VLOOKUP(A:A,[1]android_repos_all_metrics!B:K,10,FALSE)</f>
        <v>4</v>
      </c>
    </row>
    <row r="1352" spans="1:35">
      <c r="A1352" t="s">
        <v>1418</v>
      </c>
      <c r="B1352" t="b">
        <v>1</v>
      </c>
      <c r="C1352" t="b">
        <v>0</v>
      </c>
      <c r="D1352" t="b">
        <v>0</v>
      </c>
      <c r="F1352" t="b">
        <v>0</v>
      </c>
      <c r="H1352" t="s">
        <v>37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>
        <v>1</v>
      </c>
      <c r="AB1352">
        <v>0</v>
      </c>
      <c r="AC1352">
        <f>VLOOKUP(A:A,[1]android_repos_all_metrics!B:K,4,FALSE)</f>
        <v>107</v>
      </c>
      <c r="AD1352">
        <f>VLOOKUP(A:A,[1]android_repos_all_metrics!B:K,5,FALSE)</f>
        <v>1</v>
      </c>
      <c r="AE1352">
        <f>VLOOKUP(A:A,[1]android_repos_all_metrics!B:K,6,FALSE)</f>
        <v>2</v>
      </c>
      <c r="AF1352">
        <f>VLOOKUP(A:A,[1]android_repos_all_metrics!B:K,7,FALSE)</f>
        <v>5195</v>
      </c>
      <c r="AG1352">
        <f>VLOOKUP(A:A,[1]android_repos_all_metrics!B:K,8,FALSE)</f>
        <v>6</v>
      </c>
      <c r="AH1352">
        <f>VLOOKUP(A:A,[1]android_repos_all_metrics!B:K,9,FALSE)</f>
        <v>17</v>
      </c>
      <c r="AI1352">
        <f>VLOOKUP(A:A,[1]android_repos_all_metrics!B:K,10,FALSE)</f>
        <v>0</v>
      </c>
    </row>
    <row r="1353" spans="1:35">
      <c r="A1353" t="s">
        <v>1419</v>
      </c>
      <c r="B1353" t="b">
        <v>0</v>
      </c>
      <c r="C1353" t="b">
        <v>0</v>
      </c>
      <c r="D1353" t="b">
        <v>0</v>
      </c>
      <c r="F1353" t="b">
        <v>0</v>
      </c>
      <c r="H1353" t="s">
        <v>41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>
        <v>1</v>
      </c>
      <c r="AB1353">
        <v>0</v>
      </c>
      <c r="AC1353">
        <f>VLOOKUP(A:A,[1]android_repos_all_metrics!B:K,4,FALSE)</f>
        <v>24</v>
      </c>
      <c r="AD1353">
        <f>VLOOKUP(A:A,[1]android_repos_all_metrics!B:K,5,FALSE)</f>
        <v>3</v>
      </c>
      <c r="AE1353">
        <f>VLOOKUP(A:A,[1]android_repos_all_metrics!B:K,6,FALSE)</f>
        <v>3</v>
      </c>
      <c r="AF1353">
        <f>VLOOKUP(A:A,[1]android_repos_all_metrics!B:K,7,FALSE)</f>
        <v>656</v>
      </c>
      <c r="AG1353">
        <f>VLOOKUP(A:A,[1]android_repos_all_metrics!B:K,8,FALSE)</f>
        <v>0</v>
      </c>
      <c r="AH1353">
        <f>VLOOKUP(A:A,[1]android_repos_all_metrics!B:K,9,FALSE)</f>
        <v>2</v>
      </c>
      <c r="AI1353">
        <f>VLOOKUP(A:A,[1]android_repos_all_metrics!B:K,10,FALSE)</f>
        <v>0</v>
      </c>
    </row>
    <row r="1354" spans="1:35">
      <c r="A1354" t="s">
        <v>1420</v>
      </c>
      <c r="B1354" t="b">
        <v>1</v>
      </c>
      <c r="C1354" t="b">
        <v>0</v>
      </c>
      <c r="D1354" t="b">
        <v>0</v>
      </c>
      <c r="F1354" t="b">
        <v>0</v>
      </c>
      <c r="H1354" t="s">
        <v>41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>
        <v>1</v>
      </c>
      <c r="AB1354">
        <v>0</v>
      </c>
      <c r="AC1354">
        <f>VLOOKUP(A:A,[1]android_repos_all_metrics!B:K,4,FALSE)</f>
        <v>3725</v>
      </c>
      <c r="AD1354">
        <f>VLOOKUP(A:A,[1]android_repos_all_metrics!B:K,5,FALSE)</f>
        <v>20</v>
      </c>
      <c r="AE1354">
        <f>VLOOKUP(A:A,[1]android_repos_all_metrics!B:K,6,FALSE)</f>
        <v>9</v>
      </c>
      <c r="AF1354">
        <f>VLOOKUP(A:A,[1]android_repos_all_metrics!B:K,7,FALSE)</f>
        <v>106238</v>
      </c>
      <c r="AG1354">
        <f>VLOOKUP(A:A,[1]android_repos_all_metrics!B:K,8,FALSE)</f>
        <v>120</v>
      </c>
      <c r="AH1354">
        <f>VLOOKUP(A:A,[1]android_repos_all_metrics!B:K,9,FALSE)</f>
        <v>390</v>
      </c>
      <c r="AI1354">
        <f>VLOOKUP(A:A,[1]android_repos_all_metrics!B:K,10,FALSE)</f>
        <v>54</v>
      </c>
    </row>
    <row r="1355" spans="1:35">
      <c r="A1355" t="s">
        <v>1421</v>
      </c>
      <c r="B1355" t="b">
        <v>1</v>
      </c>
      <c r="C1355" t="b">
        <v>0</v>
      </c>
      <c r="D1355" t="b">
        <v>0</v>
      </c>
      <c r="F1355" t="b">
        <v>0</v>
      </c>
      <c r="H1355" t="s">
        <v>37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>
        <v>1</v>
      </c>
      <c r="AB1355">
        <v>0</v>
      </c>
      <c r="AC1355">
        <f>VLOOKUP(A:A,[1]android_repos_all_metrics!B:K,4,FALSE)</f>
        <v>39</v>
      </c>
      <c r="AD1355">
        <f>VLOOKUP(A:A,[1]android_repos_all_metrics!B:K,5,FALSE)</f>
        <v>3</v>
      </c>
      <c r="AE1355">
        <f>VLOOKUP(A:A,[1]android_repos_all_metrics!B:K,6,FALSE)</f>
        <v>1</v>
      </c>
      <c r="AF1355">
        <f>VLOOKUP(A:A,[1]android_repos_all_metrics!B:K,7,FALSE)</f>
        <v>381</v>
      </c>
      <c r="AG1355">
        <f>VLOOKUP(A:A,[1]android_repos_all_metrics!B:K,8,FALSE)</f>
        <v>0</v>
      </c>
      <c r="AH1355">
        <f>VLOOKUP(A:A,[1]android_repos_all_metrics!B:K,9,FALSE)</f>
        <v>1</v>
      </c>
      <c r="AI1355">
        <f>VLOOKUP(A:A,[1]android_repos_all_metrics!B:K,10,FALSE)</f>
        <v>4</v>
      </c>
    </row>
    <row r="1356" spans="1:35">
      <c r="A1356" t="s">
        <v>1422</v>
      </c>
      <c r="B1356" t="b">
        <v>1</v>
      </c>
      <c r="C1356" t="b">
        <v>0</v>
      </c>
      <c r="D1356" t="b">
        <v>0</v>
      </c>
      <c r="F1356" t="b">
        <v>0</v>
      </c>
      <c r="H1356" t="s">
        <v>37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>
        <v>1</v>
      </c>
      <c r="AB1356">
        <v>0</v>
      </c>
      <c r="AC1356">
        <f>VLOOKUP(A:A,[1]android_repos_all_metrics!B:K,4,FALSE)</f>
        <v>140</v>
      </c>
      <c r="AD1356">
        <f>VLOOKUP(A:A,[1]android_repos_all_metrics!B:K,5,FALSE)</f>
        <v>4</v>
      </c>
      <c r="AE1356">
        <f>VLOOKUP(A:A,[1]android_repos_all_metrics!B:K,6,FALSE)</f>
        <v>2</v>
      </c>
      <c r="AF1356">
        <f>VLOOKUP(A:A,[1]android_repos_all_metrics!B:K,7,FALSE)</f>
        <v>43628</v>
      </c>
      <c r="AG1356">
        <f>VLOOKUP(A:A,[1]android_repos_all_metrics!B:K,8,FALSE)</f>
        <v>2</v>
      </c>
      <c r="AH1356">
        <f>VLOOKUP(A:A,[1]android_repos_all_metrics!B:K,9,FALSE)</f>
        <v>7</v>
      </c>
      <c r="AI1356">
        <f>VLOOKUP(A:A,[1]android_repos_all_metrics!B:K,10,FALSE)</f>
        <v>6</v>
      </c>
    </row>
    <row r="1357" spans="1:35">
      <c r="A1357" t="s">
        <v>1423</v>
      </c>
      <c r="B1357" t="b">
        <v>1</v>
      </c>
      <c r="C1357" t="b">
        <v>0</v>
      </c>
      <c r="D1357" t="b">
        <v>0</v>
      </c>
      <c r="F1357" t="b">
        <v>0</v>
      </c>
      <c r="H1357" t="s">
        <v>43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>
        <v>1</v>
      </c>
      <c r="AB1357">
        <v>0</v>
      </c>
      <c r="AC1357">
        <f>VLOOKUP(A:A,[1]android_repos_all_metrics!B:K,4,FALSE)</f>
        <v>439</v>
      </c>
      <c r="AD1357">
        <f>VLOOKUP(A:A,[1]android_repos_all_metrics!B:K,5,FALSE)</f>
        <v>23</v>
      </c>
      <c r="AE1357">
        <f>VLOOKUP(A:A,[1]android_repos_all_metrics!B:K,6,FALSE)</f>
        <v>1</v>
      </c>
      <c r="AF1357">
        <f>VLOOKUP(A:A,[1]android_repos_all_metrics!B:K,7,FALSE)</f>
        <v>1064</v>
      </c>
      <c r="AG1357">
        <f>VLOOKUP(A:A,[1]android_repos_all_metrics!B:K,8,FALSE)</f>
        <v>5</v>
      </c>
      <c r="AH1357">
        <f>VLOOKUP(A:A,[1]android_repos_all_metrics!B:K,9,FALSE)</f>
        <v>39</v>
      </c>
      <c r="AI1357">
        <f>VLOOKUP(A:A,[1]android_repos_all_metrics!B:K,10,FALSE)</f>
        <v>10</v>
      </c>
    </row>
    <row r="1358" spans="1:35">
      <c r="A1358" t="s">
        <v>1424</v>
      </c>
      <c r="B1358" t="b">
        <v>1</v>
      </c>
      <c r="C1358" t="b">
        <v>0</v>
      </c>
      <c r="D1358" t="b">
        <v>0</v>
      </c>
      <c r="F1358" t="b">
        <v>0</v>
      </c>
      <c r="H1358" t="s">
        <v>37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>
        <v>1</v>
      </c>
      <c r="AB1358">
        <v>0</v>
      </c>
      <c r="AC1358">
        <f>VLOOKUP(A:A,[1]android_repos_all_metrics!B:K,4,FALSE)</f>
        <v>25</v>
      </c>
      <c r="AD1358">
        <f>VLOOKUP(A:A,[1]android_repos_all_metrics!B:K,5,FALSE)</f>
        <v>2</v>
      </c>
      <c r="AE1358">
        <f>VLOOKUP(A:A,[1]android_repos_all_metrics!B:K,6,FALSE)</f>
        <v>1</v>
      </c>
      <c r="AF1358">
        <f>VLOOKUP(A:A,[1]android_repos_all_metrics!B:K,7,FALSE)</f>
        <v>234</v>
      </c>
      <c r="AG1358">
        <f>VLOOKUP(A:A,[1]android_repos_all_metrics!B:K,8,FALSE)</f>
        <v>1</v>
      </c>
      <c r="AH1358">
        <f>VLOOKUP(A:A,[1]android_repos_all_metrics!B:K,9,FALSE)</f>
        <v>6</v>
      </c>
      <c r="AI1358">
        <f>VLOOKUP(A:A,[1]android_repos_all_metrics!B:K,10,FALSE)</f>
        <v>1</v>
      </c>
    </row>
    <row r="1359" spans="1:35">
      <c r="A1359" t="s">
        <v>1425</v>
      </c>
      <c r="B1359" t="b">
        <v>1</v>
      </c>
      <c r="C1359" t="b">
        <v>0</v>
      </c>
      <c r="D1359" t="b">
        <v>0</v>
      </c>
      <c r="F1359" t="b">
        <v>0</v>
      </c>
      <c r="H1359" t="s">
        <v>37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>
        <v>2</v>
      </c>
      <c r="AB1359">
        <v>0</v>
      </c>
      <c r="AC1359">
        <f>VLOOKUP(A:A,[1]android_repos_all_metrics!B:K,4,FALSE)</f>
        <v>522</v>
      </c>
      <c r="AD1359">
        <f>VLOOKUP(A:A,[1]android_repos_all_metrics!B:K,5,FALSE)</f>
        <v>13</v>
      </c>
      <c r="AE1359">
        <f>VLOOKUP(A:A,[1]android_repos_all_metrics!B:K,6,FALSE)</f>
        <v>9</v>
      </c>
      <c r="AF1359">
        <f>VLOOKUP(A:A,[1]android_repos_all_metrics!B:K,7,FALSE)</f>
        <v>5476</v>
      </c>
      <c r="AG1359">
        <f>VLOOKUP(A:A,[1]android_repos_all_metrics!B:K,8,FALSE)</f>
        <v>11</v>
      </c>
      <c r="AH1359">
        <f>VLOOKUP(A:A,[1]android_repos_all_metrics!B:K,9,FALSE)</f>
        <v>217</v>
      </c>
      <c r="AI1359">
        <f>VLOOKUP(A:A,[1]android_repos_all_metrics!B:K,10,FALSE)</f>
        <v>2</v>
      </c>
    </row>
    <row r="1360" spans="1:35">
      <c r="A1360" t="s">
        <v>1426</v>
      </c>
      <c r="B1360" t="b">
        <v>1</v>
      </c>
      <c r="C1360" t="b">
        <v>0</v>
      </c>
      <c r="D1360" t="b">
        <v>0</v>
      </c>
      <c r="F1360" t="b">
        <v>0</v>
      </c>
      <c r="H1360" t="s">
        <v>37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>
        <v>1</v>
      </c>
      <c r="AB1360">
        <v>0</v>
      </c>
      <c r="AC1360">
        <f>VLOOKUP(A:A,[1]android_repos_all_metrics!B:K,4,FALSE)</f>
        <v>8</v>
      </c>
      <c r="AD1360">
        <f>VLOOKUP(A:A,[1]android_repos_all_metrics!B:K,5,FALSE)</f>
        <v>3</v>
      </c>
      <c r="AE1360">
        <f>VLOOKUP(A:A,[1]android_repos_all_metrics!B:K,6,FALSE)</f>
        <v>1</v>
      </c>
      <c r="AF1360">
        <f>VLOOKUP(A:A,[1]android_repos_all_metrics!B:K,7,FALSE)</f>
        <v>3076</v>
      </c>
      <c r="AG1360">
        <f>VLOOKUP(A:A,[1]android_repos_all_metrics!B:K,8,FALSE)</f>
        <v>0</v>
      </c>
      <c r="AH1360">
        <f>VLOOKUP(A:A,[1]android_repos_all_metrics!B:K,9,FALSE)</f>
        <v>2</v>
      </c>
      <c r="AI1360">
        <f>VLOOKUP(A:A,[1]android_repos_all_metrics!B:K,10,FALSE)</f>
        <v>0</v>
      </c>
    </row>
    <row r="1361" spans="1:35">
      <c r="A1361" t="s">
        <v>1427</v>
      </c>
      <c r="B1361" t="b">
        <v>1</v>
      </c>
      <c r="C1361" t="b">
        <v>1</v>
      </c>
      <c r="D1361" t="b">
        <v>0</v>
      </c>
      <c r="F1361" t="b">
        <v>1</v>
      </c>
      <c r="G1361" t="s">
        <v>39</v>
      </c>
      <c r="H1361" t="s">
        <v>41</v>
      </c>
      <c r="I1361" t="s">
        <v>41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>
        <v>1</v>
      </c>
      <c r="AB1361">
        <v>0</v>
      </c>
      <c r="AC1361">
        <f>VLOOKUP(A:A,[1]android_repos_all_metrics!B:K,4,FALSE)</f>
        <v>2</v>
      </c>
      <c r="AD1361">
        <f>VLOOKUP(A:A,[1]android_repos_all_metrics!B:K,5,FALSE)</f>
        <v>1</v>
      </c>
      <c r="AE1361">
        <f>VLOOKUP(A:A,[1]android_repos_all_metrics!B:K,6,FALSE)</f>
        <v>1</v>
      </c>
      <c r="AF1361">
        <f>VLOOKUP(A:A,[1]android_repos_all_metrics!B:K,7,FALSE)</f>
        <v>22863</v>
      </c>
      <c r="AG1361">
        <f>VLOOKUP(A:A,[1]android_repos_all_metrics!B:K,8,FALSE)</f>
        <v>5</v>
      </c>
      <c r="AH1361">
        <f>VLOOKUP(A:A,[1]android_repos_all_metrics!B:K,9,FALSE)</f>
        <v>3</v>
      </c>
      <c r="AI1361">
        <f>VLOOKUP(A:A,[1]android_repos_all_metrics!B:K,10,FALSE)</f>
        <v>3</v>
      </c>
    </row>
    <row r="1362" spans="1:35">
      <c r="A1362" t="s">
        <v>1428</v>
      </c>
      <c r="B1362" t="b">
        <v>1</v>
      </c>
      <c r="C1362" t="b">
        <v>0</v>
      </c>
      <c r="D1362" t="b">
        <v>0</v>
      </c>
      <c r="F1362" t="b">
        <v>0</v>
      </c>
      <c r="H1362" t="s">
        <v>37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>
        <v>1</v>
      </c>
      <c r="AB1362">
        <v>0</v>
      </c>
      <c r="AC1362">
        <f>VLOOKUP(A:A,[1]android_repos_all_metrics!B:K,4,FALSE)</f>
        <v>447</v>
      </c>
      <c r="AD1362">
        <f>VLOOKUP(A:A,[1]android_repos_all_metrics!B:K,5,FALSE)</f>
        <v>11</v>
      </c>
      <c r="AE1362">
        <f>VLOOKUP(A:A,[1]android_repos_all_metrics!B:K,6,FALSE)</f>
        <v>2</v>
      </c>
      <c r="AF1362">
        <f>VLOOKUP(A:A,[1]android_repos_all_metrics!B:K,7,FALSE)</f>
        <v>1048</v>
      </c>
      <c r="AG1362">
        <f>VLOOKUP(A:A,[1]android_repos_all_metrics!B:K,8,FALSE)</f>
        <v>0</v>
      </c>
      <c r="AH1362">
        <f>VLOOKUP(A:A,[1]android_repos_all_metrics!B:K,9,FALSE)</f>
        <v>2</v>
      </c>
      <c r="AI1362">
        <f>VLOOKUP(A:A,[1]android_repos_all_metrics!B:K,10,FALSE)</f>
        <v>6</v>
      </c>
    </row>
    <row r="1363" spans="1:35">
      <c r="A1363" t="s">
        <v>1429</v>
      </c>
      <c r="B1363" t="b">
        <v>0</v>
      </c>
      <c r="C1363" t="b">
        <v>0</v>
      </c>
      <c r="D1363" t="b">
        <v>0</v>
      </c>
      <c r="F1363" t="b">
        <v>0</v>
      </c>
      <c r="H1363" t="s">
        <v>41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>
        <v>1</v>
      </c>
      <c r="AB1363">
        <v>0</v>
      </c>
      <c r="AC1363">
        <f>VLOOKUP(A:A,[1]android_repos_all_metrics!B:K,4,FALSE)</f>
        <v>72</v>
      </c>
      <c r="AD1363">
        <f>VLOOKUP(A:A,[1]android_repos_all_metrics!B:K,5,FALSE)</f>
        <v>3</v>
      </c>
      <c r="AE1363">
        <f>VLOOKUP(A:A,[1]android_repos_all_metrics!B:K,6,FALSE)</f>
        <v>3</v>
      </c>
      <c r="AF1363">
        <f>VLOOKUP(A:A,[1]android_repos_all_metrics!B:K,7,FALSE)</f>
        <v>1185</v>
      </c>
      <c r="AG1363">
        <f>VLOOKUP(A:A,[1]android_repos_all_metrics!B:K,8,FALSE)</f>
        <v>168</v>
      </c>
      <c r="AH1363">
        <f>VLOOKUP(A:A,[1]android_repos_all_metrics!B:K,9,FALSE)</f>
        <v>1386</v>
      </c>
      <c r="AI1363">
        <f>VLOOKUP(A:A,[1]android_repos_all_metrics!B:K,10,FALSE)</f>
        <v>13</v>
      </c>
    </row>
    <row r="1364" spans="1:35">
      <c r="A1364" t="s">
        <v>1430</v>
      </c>
      <c r="B1364" t="b">
        <v>1</v>
      </c>
      <c r="C1364" t="b">
        <v>0</v>
      </c>
      <c r="D1364" t="b">
        <v>0</v>
      </c>
      <c r="F1364" t="b">
        <v>0</v>
      </c>
      <c r="H1364" t="s">
        <v>41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>
        <v>1</v>
      </c>
      <c r="AB1364">
        <v>0</v>
      </c>
      <c r="AC1364">
        <f>VLOOKUP(A:A,[1]android_repos_all_metrics!B:K,4,FALSE)</f>
        <v>303</v>
      </c>
      <c r="AD1364">
        <f>VLOOKUP(A:A,[1]android_repos_all_metrics!B:K,5,FALSE)</f>
        <v>12</v>
      </c>
      <c r="AE1364">
        <f>VLOOKUP(A:A,[1]android_repos_all_metrics!B:K,6,FALSE)</f>
        <v>2</v>
      </c>
      <c r="AF1364">
        <f>VLOOKUP(A:A,[1]android_repos_all_metrics!B:K,7,FALSE)</f>
        <v>5712</v>
      </c>
      <c r="AG1364">
        <f>VLOOKUP(A:A,[1]android_repos_all_metrics!B:K,8,FALSE)</f>
        <v>410</v>
      </c>
      <c r="AH1364">
        <f>VLOOKUP(A:A,[1]android_repos_all_metrics!B:K,9,FALSE)</f>
        <v>1170</v>
      </c>
      <c r="AI1364">
        <f>VLOOKUP(A:A,[1]android_repos_all_metrics!B:K,10,FALSE)</f>
        <v>7</v>
      </c>
    </row>
    <row r="1365" spans="1:35">
      <c r="A1365" t="s">
        <v>1431</v>
      </c>
      <c r="B1365" t="b">
        <v>1</v>
      </c>
      <c r="C1365" t="b">
        <v>0</v>
      </c>
      <c r="D1365" t="b">
        <v>0</v>
      </c>
      <c r="F1365" t="b">
        <v>0</v>
      </c>
      <c r="H1365" t="s">
        <v>37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>
        <v>1</v>
      </c>
      <c r="AA1365">
        <v>4</v>
      </c>
      <c r="AB1365">
        <v>0</v>
      </c>
      <c r="AC1365">
        <f>VLOOKUP(A:A,[1]android_repos_all_metrics!B:K,4,FALSE)</f>
        <v>390</v>
      </c>
      <c r="AD1365">
        <f>VLOOKUP(A:A,[1]android_repos_all_metrics!B:K,5,FALSE)</f>
        <v>162</v>
      </c>
      <c r="AE1365">
        <f>VLOOKUP(A:A,[1]android_repos_all_metrics!B:K,6,FALSE)</f>
        <v>3</v>
      </c>
      <c r="AF1365">
        <f>VLOOKUP(A:A,[1]android_repos_all_metrics!B:K,7,FALSE)</f>
        <v>9435</v>
      </c>
      <c r="AG1365">
        <f>VLOOKUP(A:A,[1]android_repos_all_metrics!B:K,8,FALSE)</f>
        <v>1</v>
      </c>
      <c r="AH1365">
        <f>VLOOKUP(A:A,[1]android_repos_all_metrics!B:K,9,FALSE)</f>
        <v>3</v>
      </c>
      <c r="AI1365">
        <f>VLOOKUP(A:A,[1]android_repos_all_metrics!B:K,10,FALSE)</f>
        <v>0</v>
      </c>
    </row>
    <row r="1366" spans="1:35">
      <c r="A1366" t="s">
        <v>1432</v>
      </c>
      <c r="B1366" t="b">
        <v>1</v>
      </c>
      <c r="C1366" t="b">
        <v>1</v>
      </c>
      <c r="D1366" t="b">
        <v>1</v>
      </c>
      <c r="E1366" t="s">
        <v>36</v>
      </c>
      <c r="F1366" t="b">
        <v>0</v>
      </c>
      <c r="H1366" t="s">
        <v>86</v>
      </c>
      <c r="I1366" t="s">
        <v>37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b">
        <v>0</v>
      </c>
      <c r="Z1366">
        <v>1</v>
      </c>
      <c r="AA1366">
        <v>9</v>
      </c>
      <c r="AB1366">
        <v>0</v>
      </c>
      <c r="AC1366">
        <f>VLOOKUP(A:A,[1]android_repos_all_metrics!B:K,4,FALSE)</f>
        <v>141</v>
      </c>
      <c r="AD1366">
        <f>VLOOKUP(A:A,[1]android_repos_all_metrics!B:K,5,FALSE)</f>
        <v>35</v>
      </c>
      <c r="AE1366">
        <f>VLOOKUP(A:A,[1]android_repos_all_metrics!B:K,6,FALSE)</f>
        <v>4</v>
      </c>
      <c r="AF1366">
        <f>VLOOKUP(A:A,[1]android_repos_all_metrics!B:K,7,FALSE)</f>
        <v>48407</v>
      </c>
      <c r="AG1366">
        <f>VLOOKUP(A:A,[1]android_repos_all_metrics!B:K,8,FALSE)</f>
        <v>1</v>
      </c>
      <c r="AH1366">
        <f>VLOOKUP(A:A,[1]android_repos_all_metrics!B:K,9,FALSE)</f>
        <v>2</v>
      </c>
      <c r="AI1366">
        <f>VLOOKUP(A:A,[1]android_repos_all_metrics!B:K,10,FALSE)</f>
        <v>14</v>
      </c>
    </row>
    <row r="1367" spans="1:35">
      <c r="A1367" t="s">
        <v>1433</v>
      </c>
      <c r="B1367" t="b">
        <v>1</v>
      </c>
      <c r="C1367" t="b">
        <v>0</v>
      </c>
      <c r="D1367" t="b">
        <v>0</v>
      </c>
      <c r="F1367" t="b">
        <v>0</v>
      </c>
      <c r="H1367" t="s">
        <v>37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>
        <v>1</v>
      </c>
      <c r="AB1367">
        <v>0</v>
      </c>
      <c r="AC1367">
        <f>VLOOKUP(A:A,[1]android_repos_all_metrics!B:K,4,FALSE)</f>
        <v>583</v>
      </c>
      <c r="AD1367">
        <f>VLOOKUP(A:A,[1]android_repos_all_metrics!B:K,5,FALSE)</f>
        <v>30</v>
      </c>
      <c r="AE1367">
        <f>VLOOKUP(A:A,[1]android_repos_all_metrics!B:K,6,FALSE)</f>
        <v>7</v>
      </c>
      <c r="AF1367">
        <f>VLOOKUP(A:A,[1]android_repos_all_metrics!B:K,7,FALSE)</f>
        <v>86585</v>
      </c>
      <c r="AG1367">
        <f>VLOOKUP(A:A,[1]android_repos_all_metrics!B:K,8,FALSE)</f>
        <v>6</v>
      </c>
      <c r="AH1367">
        <f>VLOOKUP(A:A,[1]android_repos_all_metrics!B:K,9,FALSE)</f>
        <v>31</v>
      </c>
      <c r="AI1367">
        <f>VLOOKUP(A:A,[1]android_repos_all_metrics!B:K,10,FALSE)</f>
        <v>6</v>
      </c>
    </row>
    <row r="1368" spans="1:35">
      <c r="A1368" t="s">
        <v>1434</v>
      </c>
      <c r="B1368" t="b">
        <v>0</v>
      </c>
      <c r="C1368" t="b">
        <v>1</v>
      </c>
      <c r="D1368" t="b">
        <v>1</v>
      </c>
      <c r="E1368" t="s">
        <v>36</v>
      </c>
      <c r="F1368" t="b">
        <v>1</v>
      </c>
      <c r="G1368" t="s">
        <v>606</v>
      </c>
      <c r="H1368" t="s">
        <v>37</v>
      </c>
      <c r="I1368" t="s">
        <v>37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>
        <v>1</v>
      </c>
      <c r="AA1368">
        <v>3</v>
      </c>
      <c r="AB1368">
        <v>0</v>
      </c>
      <c r="AC1368">
        <f>VLOOKUP(A:A,[1]android_repos_all_metrics!B:K,4,FALSE)</f>
        <v>162</v>
      </c>
      <c r="AD1368">
        <f>VLOOKUP(A:A,[1]android_repos_all_metrics!B:K,5,FALSE)</f>
        <v>0</v>
      </c>
      <c r="AE1368">
        <f>VLOOKUP(A:A,[1]android_repos_all_metrics!B:K,6,FALSE)</f>
        <v>1</v>
      </c>
      <c r="AF1368">
        <f>VLOOKUP(A:A,[1]android_repos_all_metrics!B:K,7,FALSE)</f>
        <v>4730</v>
      </c>
      <c r="AG1368">
        <f>VLOOKUP(A:A,[1]android_repos_all_metrics!B:K,8,FALSE)</f>
        <v>0</v>
      </c>
      <c r="AH1368">
        <f>VLOOKUP(A:A,[1]android_repos_all_metrics!B:K,9,FALSE)</f>
        <v>6</v>
      </c>
      <c r="AI1368">
        <f>VLOOKUP(A:A,[1]android_repos_all_metrics!B:K,10,FALSE)</f>
        <v>0</v>
      </c>
    </row>
    <row r="1369" spans="1:35">
      <c r="A1369" t="s">
        <v>1435</v>
      </c>
      <c r="B1369" t="b">
        <v>0</v>
      </c>
      <c r="C1369" t="b">
        <v>0</v>
      </c>
      <c r="D1369" t="b">
        <v>0</v>
      </c>
      <c r="F1369" t="b">
        <v>0</v>
      </c>
      <c r="H1369" t="s">
        <v>41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>
        <v>1</v>
      </c>
      <c r="AB1369">
        <v>0</v>
      </c>
      <c r="AC1369">
        <f>VLOOKUP(A:A,[1]android_repos_all_metrics!B:K,4,FALSE)</f>
        <v>140</v>
      </c>
      <c r="AD1369">
        <f>VLOOKUP(A:A,[1]android_repos_all_metrics!B:K,5,FALSE)</f>
        <v>5</v>
      </c>
      <c r="AE1369">
        <f>VLOOKUP(A:A,[1]android_repos_all_metrics!B:K,6,FALSE)</f>
        <v>3</v>
      </c>
      <c r="AF1369">
        <f>VLOOKUP(A:A,[1]android_repos_all_metrics!B:K,7,FALSE)</f>
        <v>24749</v>
      </c>
      <c r="AG1369">
        <f>VLOOKUP(A:A,[1]android_repos_all_metrics!B:K,8,FALSE)</f>
        <v>7</v>
      </c>
      <c r="AH1369">
        <f>VLOOKUP(A:A,[1]android_repos_all_metrics!B:K,9,FALSE)</f>
        <v>10</v>
      </c>
      <c r="AI1369">
        <f>VLOOKUP(A:A,[1]android_repos_all_metrics!B:K,10,FALSE)</f>
        <v>1</v>
      </c>
    </row>
    <row r="1370" spans="1:35">
      <c r="A1370" t="s">
        <v>1436</v>
      </c>
      <c r="B1370" t="b">
        <v>1</v>
      </c>
      <c r="C1370" t="b">
        <v>1</v>
      </c>
      <c r="D1370" t="b">
        <v>0</v>
      </c>
      <c r="F1370" t="b">
        <v>1</v>
      </c>
      <c r="G1370" t="s">
        <v>39</v>
      </c>
      <c r="H1370" t="s">
        <v>41</v>
      </c>
      <c r="I1370" t="s">
        <v>41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>
        <v>1</v>
      </c>
      <c r="AB1370">
        <v>0</v>
      </c>
      <c r="AC1370">
        <f>VLOOKUP(A:A,[1]android_repos_all_metrics!B:K,4,FALSE)</f>
        <v>48</v>
      </c>
      <c r="AD1370">
        <f>VLOOKUP(A:A,[1]android_repos_all_metrics!B:K,5,FALSE)</f>
        <v>0</v>
      </c>
      <c r="AE1370">
        <f>VLOOKUP(A:A,[1]android_repos_all_metrics!B:K,6,FALSE)</f>
        <v>1</v>
      </c>
      <c r="AF1370">
        <f>VLOOKUP(A:A,[1]android_repos_all_metrics!B:K,7,FALSE)</f>
        <v>45489</v>
      </c>
      <c r="AG1370">
        <f>VLOOKUP(A:A,[1]android_repos_all_metrics!B:K,8,FALSE)</f>
        <v>0</v>
      </c>
      <c r="AH1370">
        <f>VLOOKUP(A:A,[1]android_repos_all_metrics!B:K,9,FALSE)</f>
        <v>16</v>
      </c>
      <c r="AI1370">
        <f>VLOOKUP(A:A,[1]android_repos_all_metrics!B:K,10,FALSE)</f>
        <v>3</v>
      </c>
    </row>
    <row r="1371" spans="1:35">
      <c r="A1371" t="s">
        <v>1437</v>
      </c>
      <c r="B1371" t="b">
        <v>1</v>
      </c>
      <c r="C1371" t="b">
        <v>0</v>
      </c>
      <c r="D1371" t="b">
        <v>0</v>
      </c>
      <c r="F1371" t="b">
        <v>0</v>
      </c>
      <c r="H1371" t="s">
        <v>37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>
        <v>3</v>
      </c>
      <c r="AB1371">
        <v>0</v>
      </c>
      <c r="AC1371">
        <f>VLOOKUP(A:A,[1]android_repos_all_metrics!B:K,4,FALSE)</f>
        <v>99</v>
      </c>
      <c r="AD1371">
        <f>VLOOKUP(A:A,[1]android_repos_all_metrics!B:K,5,FALSE)</f>
        <v>83</v>
      </c>
      <c r="AE1371">
        <f>VLOOKUP(A:A,[1]android_repos_all_metrics!B:K,6,FALSE)</f>
        <v>5</v>
      </c>
      <c r="AF1371">
        <f>VLOOKUP(A:A,[1]android_repos_all_metrics!B:K,7,FALSE)</f>
        <v>2322</v>
      </c>
      <c r="AG1371">
        <f>VLOOKUP(A:A,[1]android_repos_all_metrics!B:K,8,FALSE)</f>
        <v>24</v>
      </c>
      <c r="AH1371">
        <f>VLOOKUP(A:A,[1]android_repos_all_metrics!B:K,9,FALSE)</f>
        <v>84</v>
      </c>
      <c r="AI1371">
        <f>VLOOKUP(A:A,[1]android_repos_all_metrics!B:K,10,FALSE)</f>
        <v>25</v>
      </c>
    </row>
    <row r="1372" spans="1:35">
      <c r="A1372" t="s">
        <v>1438</v>
      </c>
      <c r="B1372" t="b">
        <v>1</v>
      </c>
      <c r="C1372" t="b">
        <v>0</v>
      </c>
      <c r="D1372" t="b">
        <v>0</v>
      </c>
      <c r="F1372" t="b">
        <v>0</v>
      </c>
      <c r="H1372" t="s">
        <v>37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>
        <v>2</v>
      </c>
      <c r="AB1372">
        <v>0</v>
      </c>
      <c r="AC1372">
        <f>VLOOKUP(A:A,[1]android_repos_all_metrics!B:K,4,FALSE)</f>
        <v>37</v>
      </c>
      <c r="AD1372">
        <f>VLOOKUP(A:A,[1]android_repos_all_metrics!B:K,5,FALSE)</f>
        <v>21</v>
      </c>
      <c r="AE1372">
        <f>VLOOKUP(A:A,[1]android_repos_all_metrics!B:K,6,FALSE)</f>
        <v>2</v>
      </c>
      <c r="AF1372">
        <f>VLOOKUP(A:A,[1]android_repos_all_metrics!B:K,7,FALSE)</f>
        <v>52902</v>
      </c>
      <c r="AG1372">
        <f>VLOOKUP(A:A,[1]android_repos_all_metrics!B:K,8,FALSE)</f>
        <v>1</v>
      </c>
      <c r="AH1372">
        <f>VLOOKUP(A:A,[1]android_repos_all_metrics!B:K,9,FALSE)</f>
        <v>4</v>
      </c>
      <c r="AI1372">
        <f>VLOOKUP(A:A,[1]android_repos_all_metrics!B:K,10,FALSE)</f>
        <v>9</v>
      </c>
    </row>
    <row r="1373" spans="1:35">
      <c r="A1373" t="s">
        <v>1439</v>
      </c>
      <c r="B1373" t="b">
        <v>1</v>
      </c>
      <c r="C1373" t="b">
        <v>1</v>
      </c>
      <c r="D1373" t="b">
        <v>1</v>
      </c>
      <c r="E1373" t="s">
        <v>36</v>
      </c>
      <c r="F1373" t="b">
        <v>0</v>
      </c>
      <c r="H1373" t="s">
        <v>37</v>
      </c>
      <c r="I1373" t="s">
        <v>37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>
        <v>7</v>
      </c>
      <c r="AB1373">
        <v>0</v>
      </c>
      <c r="AC1373">
        <f>VLOOKUP(A:A,[1]android_repos_all_metrics!B:K,4,FALSE)</f>
        <v>1267</v>
      </c>
      <c r="AD1373">
        <f>VLOOKUP(A:A,[1]android_repos_all_metrics!B:K,5,FALSE)</f>
        <v>560</v>
      </c>
      <c r="AE1373">
        <f>VLOOKUP(A:A,[1]android_repos_all_metrics!B:K,6,FALSE)</f>
        <v>5</v>
      </c>
      <c r="AF1373">
        <f>VLOOKUP(A:A,[1]android_repos_all_metrics!B:K,7,FALSE)</f>
        <v>645751</v>
      </c>
      <c r="AG1373">
        <f>VLOOKUP(A:A,[1]android_repos_all_metrics!B:K,8,FALSE)</f>
        <v>3</v>
      </c>
      <c r="AH1373">
        <f>VLOOKUP(A:A,[1]android_repos_all_metrics!B:K,9,FALSE)</f>
        <v>9</v>
      </c>
      <c r="AI1373">
        <f>VLOOKUP(A:A,[1]android_repos_all_metrics!B:K,10,FALSE)</f>
        <v>2</v>
      </c>
    </row>
    <row r="1374" spans="1:35">
      <c r="A1374" t="s">
        <v>1440</v>
      </c>
      <c r="B1374" t="b">
        <v>1</v>
      </c>
      <c r="C1374" t="b">
        <v>0</v>
      </c>
      <c r="D1374" t="b">
        <v>0</v>
      </c>
      <c r="F1374" t="b">
        <v>0</v>
      </c>
      <c r="H1374" t="s">
        <v>37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>
        <v>1</v>
      </c>
      <c r="AB1374">
        <v>0</v>
      </c>
      <c r="AC1374">
        <f>VLOOKUP(A:A,[1]android_repos_all_metrics!B:K,4,FALSE)</f>
        <v>45</v>
      </c>
      <c r="AD1374">
        <f>VLOOKUP(A:A,[1]android_repos_all_metrics!B:K,5,FALSE)</f>
        <v>11</v>
      </c>
      <c r="AE1374">
        <f>VLOOKUP(A:A,[1]android_repos_all_metrics!B:K,6,FALSE)</f>
        <v>2</v>
      </c>
      <c r="AF1374">
        <f>VLOOKUP(A:A,[1]android_repos_all_metrics!B:K,7,FALSE)</f>
        <v>5883</v>
      </c>
      <c r="AG1374">
        <f>VLOOKUP(A:A,[1]android_repos_all_metrics!B:K,8,FALSE)</f>
        <v>11</v>
      </c>
      <c r="AH1374">
        <f>VLOOKUP(A:A,[1]android_repos_all_metrics!B:K,9,FALSE)</f>
        <v>71</v>
      </c>
      <c r="AI1374">
        <f>VLOOKUP(A:A,[1]android_repos_all_metrics!B:K,10,FALSE)</f>
        <v>0</v>
      </c>
    </row>
    <row r="1375" spans="1:35">
      <c r="A1375" t="s">
        <v>1441</v>
      </c>
      <c r="B1375" t="b">
        <v>1</v>
      </c>
      <c r="C1375" t="b">
        <v>0</v>
      </c>
      <c r="D1375" t="b">
        <v>0</v>
      </c>
      <c r="F1375" t="b">
        <v>0</v>
      </c>
      <c r="H1375" t="s">
        <v>43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>
        <v>1</v>
      </c>
      <c r="AB1375">
        <v>0</v>
      </c>
      <c r="AC1375">
        <f>VLOOKUP(A:A,[1]android_repos_all_metrics!B:K,4,FALSE)</f>
        <v>28</v>
      </c>
      <c r="AD1375">
        <f>VLOOKUP(A:A,[1]android_repos_all_metrics!B:K,5,FALSE)</f>
        <v>0</v>
      </c>
      <c r="AE1375">
        <f>VLOOKUP(A:A,[1]android_repos_all_metrics!B:K,6,FALSE)</f>
        <v>1</v>
      </c>
      <c r="AF1375">
        <f>VLOOKUP(A:A,[1]android_repos_all_metrics!B:K,7,FALSE)</f>
        <v>738</v>
      </c>
      <c r="AG1375">
        <f>VLOOKUP(A:A,[1]android_repos_all_metrics!B:K,8,FALSE)</f>
        <v>0</v>
      </c>
      <c r="AH1375">
        <f>VLOOKUP(A:A,[1]android_repos_all_metrics!B:K,9,FALSE)</f>
        <v>2</v>
      </c>
      <c r="AI1375">
        <f>VLOOKUP(A:A,[1]android_repos_all_metrics!B:K,10,FALSE)</f>
        <v>0</v>
      </c>
    </row>
    <row r="1376" spans="1:35">
      <c r="A1376" t="s">
        <v>1442</v>
      </c>
      <c r="B1376" t="b">
        <v>1</v>
      </c>
      <c r="C1376" t="b">
        <v>0</v>
      </c>
      <c r="D1376" t="b">
        <v>0</v>
      </c>
      <c r="F1376" t="b">
        <v>0</v>
      </c>
      <c r="H1376" t="s">
        <v>43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>
        <v>1</v>
      </c>
      <c r="AB1376">
        <v>0</v>
      </c>
      <c r="AC1376">
        <f>VLOOKUP(A:A,[1]android_repos_all_metrics!B:K,4,FALSE)</f>
        <v>27</v>
      </c>
      <c r="AD1376">
        <f>VLOOKUP(A:A,[1]android_repos_all_metrics!B:K,5,FALSE)</f>
        <v>0</v>
      </c>
      <c r="AE1376">
        <f>VLOOKUP(A:A,[1]android_repos_all_metrics!B:K,6,FALSE)</f>
        <v>1</v>
      </c>
      <c r="AF1376">
        <f>VLOOKUP(A:A,[1]android_repos_all_metrics!B:K,7,FALSE)</f>
        <v>13261</v>
      </c>
      <c r="AG1376">
        <f>VLOOKUP(A:A,[1]android_repos_all_metrics!B:K,8,FALSE)</f>
        <v>0</v>
      </c>
      <c r="AH1376">
        <f>VLOOKUP(A:A,[1]android_repos_all_metrics!B:K,9,FALSE)</f>
        <v>5</v>
      </c>
      <c r="AI1376">
        <f>VLOOKUP(A:A,[1]android_repos_all_metrics!B:K,10,FALSE)</f>
        <v>0</v>
      </c>
    </row>
    <row r="1377" spans="1:35">
      <c r="A1377" t="s">
        <v>1443</v>
      </c>
      <c r="B1377" t="b">
        <v>1</v>
      </c>
      <c r="C1377" t="b">
        <v>0</v>
      </c>
      <c r="D1377" t="b">
        <v>0</v>
      </c>
      <c r="F1377" t="b">
        <v>0</v>
      </c>
      <c r="H1377" t="s">
        <v>37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>
        <v>1</v>
      </c>
      <c r="AB1377">
        <v>0</v>
      </c>
      <c r="AC1377">
        <f>VLOOKUP(A:A,[1]android_repos_all_metrics!B:K,4,FALSE)</f>
        <v>189</v>
      </c>
      <c r="AD1377">
        <f>VLOOKUP(A:A,[1]android_repos_all_metrics!B:K,5,FALSE)</f>
        <v>6</v>
      </c>
      <c r="AE1377">
        <f>VLOOKUP(A:A,[1]android_repos_all_metrics!B:K,6,FALSE)</f>
        <v>1</v>
      </c>
      <c r="AF1377">
        <f>VLOOKUP(A:A,[1]android_repos_all_metrics!B:K,7,FALSE)</f>
        <v>28250</v>
      </c>
      <c r="AG1377">
        <f>VLOOKUP(A:A,[1]android_repos_all_metrics!B:K,8,FALSE)</f>
        <v>0</v>
      </c>
      <c r="AH1377">
        <f>VLOOKUP(A:A,[1]android_repos_all_metrics!B:K,9,FALSE)</f>
        <v>10</v>
      </c>
      <c r="AI1377">
        <f>VLOOKUP(A:A,[1]android_repos_all_metrics!B:K,10,FALSE)</f>
        <v>1</v>
      </c>
    </row>
    <row r="1378" spans="1:35">
      <c r="A1378" t="s">
        <v>1444</v>
      </c>
      <c r="B1378" t="b">
        <v>1</v>
      </c>
      <c r="C1378" t="b">
        <v>0</v>
      </c>
      <c r="D1378" t="b">
        <v>0</v>
      </c>
      <c r="F1378" t="b">
        <v>0</v>
      </c>
      <c r="H1378" t="s">
        <v>37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>
        <v>1</v>
      </c>
      <c r="AB1378">
        <v>0</v>
      </c>
      <c r="AC1378">
        <f>VLOOKUP(A:A,[1]android_repos_all_metrics!B:K,4,FALSE)</f>
        <v>240</v>
      </c>
      <c r="AD1378">
        <f>VLOOKUP(A:A,[1]android_repos_all_metrics!B:K,5,FALSE)</f>
        <v>69</v>
      </c>
      <c r="AE1378">
        <f>VLOOKUP(A:A,[1]android_repos_all_metrics!B:K,6,FALSE)</f>
        <v>5</v>
      </c>
      <c r="AF1378">
        <f>VLOOKUP(A:A,[1]android_repos_all_metrics!B:K,7,FALSE)</f>
        <v>973</v>
      </c>
      <c r="AG1378">
        <f>VLOOKUP(A:A,[1]android_repos_all_metrics!B:K,8,FALSE)</f>
        <v>0</v>
      </c>
      <c r="AH1378">
        <f>VLOOKUP(A:A,[1]android_repos_all_metrics!B:K,9,FALSE)</f>
        <v>2</v>
      </c>
      <c r="AI1378">
        <f>VLOOKUP(A:A,[1]android_repos_all_metrics!B:K,10,FALSE)</f>
        <v>0</v>
      </c>
    </row>
    <row r="1379" spans="1:35">
      <c r="A1379" t="s">
        <v>1445</v>
      </c>
      <c r="B1379" t="b">
        <v>1</v>
      </c>
      <c r="C1379" t="b">
        <v>0</v>
      </c>
      <c r="D1379" t="b">
        <v>0</v>
      </c>
      <c r="F1379" t="b">
        <v>0</v>
      </c>
      <c r="H1379" t="s">
        <v>43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>
        <v>1</v>
      </c>
      <c r="AB1379">
        <v>0</v>
      </c>
      <c r="AC1379">
        <f>VLOOKUP(A:A,[1]android_repos_all_metrics!B:K,4,FALSE)</f>
        <v>233</v>
      </c>
      <c r="AD1379">
        <f>VLOOKUP(A:A,[1]android_repos_all_metrics!B:K,5,FALSE)</f>
        <v>6</v>
      </c>
      <c r="AE1379">
        <f>VLOOKUP(A:A,[1]android_repos_all_metrics!B:K,6,FALSE)</f>
        <v>1</v>
      </c>
      <c r="AF1379">
        <f>VLOOKUP(A:A,[1]android_repos_all_metrics!B:K,7,FALSE)</f>
        <v>3034</v>
      </c>
      <c r="AG1379">
        <f>VLOOKUP(A:A,[1]android_repos_all_metrics!B:K,8,FALSE)</f>
        <v>1</v>
      </c>
      <c r="AH1379">
        <f>VLOOKUP(A:A,[1]android_repos_all_metrics!B:K,9,FALSE)</f>
        <v>13</v>
      </c>
      <c r="AI1379">
        <f>VLOOKUP(A:A,[1]android_repos_all_metrics!B:K,10,FALSE)</f>
        <v>17</v>
      </c>
    </row>
    <row r="1380" spans="1:35">
      <c r="A1380" t="s">
        <v>1446</v>
      </c>
      <c r="B1380" t="b">
        <v>1</v>
      </c>
      <c r="C1380" t="b">
        <v>0</v>
      </c>
      <c r="D1380" t="b">
        <v>0</v>
      </c>
      <c r="F1380" t="b">
        <v>0</v>
      </c>
      <c r="H1380" t="s">
        <v>41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>
        <v>1</v>
      </c>
      <c r="AB1380">
        <v>0</v>
      </c>
      <c r="AC1380">
        <f>VLOOKUP(A:A,[1]android_repos_all_metrics!B:K,4,FALSE)</f>
        <v>174</v>
      </c>
      <c r="AD1380">
        <f>VLOOKUP(A:A,[1]android_repos_all_metrics!B:K,5,FALSE)</f>
        <v>27</v>
      </c>
      <c r="AE1380">
        <f>VLOOKUP(A:A,[1]android_repos_all_metrics!B:K,6,FALSE)</f>
        <v>1</v>
      </c>
      <c r="AF1380">
        <f>VLOOKUP(A:A,[1]android_repos_all_metrics!B:K,7,FALSE)</f>
        <v>3204</v>
      </c>
      <c r="AG1380">
        <f>VLOOKUP(A:A,[1]android_repos_all_metrics!B:K,8,FALSE)</f>
        <v>1</v>
      </c>
      <c r="AH1380">
        <f>VLOOKUP(A:A,[1]android_repos_all_metrics!B:K,9,FALSE)</f>
        <v>4</v>
      </c>
      <c r="AI1380">
        <f>VLOOKUP(A:A,[1]android_repos_all_metrics!B:K,10,FALSE)</f>
        <v>26</v>
      </c>
    </row>
    <row r="1381" spans="1:35">
      <c r="A1381" t="s">
        <v>1447</v>
      </c>
      <c r="B1381" t="b">
        <v>0</v>
      </c>
      <c r="C1381" t="b">
        <v>0</v>
      </c>
      <c r="D1381" t="b">
        <v>0</v>
      </c>
      <c r="F1381" t="b">
        <v>0</v>
      </c>
      <c r="H1381" t="s">
        <v>43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>
        <v>1</v>
      </c>
      <c r="AB1381">
        <v>0</v>
      </c>
      <c r="AC1381">
        <f>VLOOKUP(A:A,[1]android_repos_all_metrics!B:K,4,FALSE)</f>
        <v>22</v>
      </c>
      <c r="AD1381">
        <f>VLOOKUP(A:A,[1]android_repos_all_metrics!B:K,5,FALSE)</f>
        <v>4</v>
      </c>
      <c r="AE1381">
        <f>VLOOKUP(A:A,[1]android_repos_all_metrics!B:K,6,FALSE)</f>
        <v>1</v>
      </c>
      <c r="AF1381">
        <f>VLOOKUP(A:A,[1]android_repos_all_metrics!B:K,7,FALSE)</f>
        <v>168</v>
      </c>
      <c r="AG1381">
        <f>VLOOKUP(A:A,[1]android_repos_all_metrics!B:K,8,FALSE)</f>
        <v>1</v>
      </c>
      <c r="AH1381">
        <f>VLOOKUP(A:A,[1]android_repos_all_metrics!B:K,9,FALSE)</f>
        <v>19</v>
      </c>
      <c r="AI1381">
        <f>VLOOKUP(A:A,[1]android_repos_all_metrics!B:K,10,FALSE)</f>
        <v>0</v>
      </c>
    </row>
    <row r="1382" spans="1:35">
      <c r="A1382" t="s">
        <v>1448</v>
      </c>
      <c r="B1382" t="b">
        <v>1</v>
      </c>
      <c r="C1382" t="b">
        <v>0</v>
      </c>
      <c r="D1382" t="b">
        <v>0</v>
      </c>
      <c r="F1382" t="b">
        <v>0</v>
      </c>
      <c r="H1382" t="s">
        <v>37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>
        <v>1</v>
      </c>
      <c r="AB1382">
        <v>0</v>
      </c>
      <c r="AC1382">
        <f>VLOOKUP(A:A,[1]android_repos_all_metrics!B:K,4,FALSE)</f>
        <v>767</v>
      </c>
      <c r="AD1382">
        <f>VLOOKUP(A:A,[1]android_repos_all_metrics!B:K,5,FALSE)</f>
        <v>46</v>
      </c>
      <c r="AE1382">
        <f>VLOOKUP(A:A,[1]android_repos_all_metrics!B:K,6,FALSE)</f>
        <v>3</v>
      </c>
      <c r="AF1382">
        <f>VLOOKUP(A:A,[1]android_repos_all_metrics!B:K,7,FALSE)</f>
        <v>3408</v>
      </c>
      <c r="AG1382">
        <f>VLOOKUP(A:A,[1]android_repos_all_metrics!B:K,8,FALSE)</f>
        <v>25</v>
      </c>
      <c r="AH1382">
        <f>VLOOKUP(A:A,[1]android_repos_all_metrics!B:K,9,FALSE)</f>
        <v>111</v>
      </c>
      <c r="AI1382">
        <f>VLOOKUP(A:A,[1]android_repos_all_metrics!B:K,10,FALSE)</f>
        <v>10</v>
      </c>
    </row>
    <row r="1383" spans="1:35">
      <c r="A1383" t="s">
        <v>1449</v>
      </c>
      <c r="B1383" t="b">
        <v>1</v>
      </c>
      <c r="C1383" t="b">
        <v>0</v>
      </c>
      <c r="D1383" t="b">
        <v>0</v>
      </c>
      <c r="F1383" t="b">
        <v>0</v>
      </c>
      <c r="H1383" t="s">
        <v>37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>
        <v>1</v>
      </c>
      <c r="AB1383">
        <v>0</v>
      </c>
      <c r="AC1383">
        <f>VLOOKUP(A:A,[1]android_repos_all_metrics!B:K,4,FALSE)</f>
        <v>325</v>
      </c>
      <c r="AD1383">
        <f>VLOOKUP(A:A,[1]android_repos_all_metrics!B:K,5,FALSE)</f>
        <v>161</v>
      </c>
      <c r="AE1383">
        <f>VLOOKUP(A:A,[1]android_repos_all_metrics!B:K,6,FALSE)</f>
        <v>2</v>
      </c>
      <c r="AF1383">
        <f>VLOOKUP(A:A,[1]android_repos_all_metrics!B:K,7,FALSE)</f>
        <v>911158</v>
      </c>
      <c r="AG1383">
        <f>VLOOKUP(A:A,[1]android_repos_all_metrics!B:K,8,FALSE)</f>
        <v>4</v>
      </c>
      <c r="AH1383">
        <f>VLOOKUP(A:A,[1]android_repos_all_metrics!B:K,9,FALSE)</f>
        <v>68</v>
      </c>
      <c r="AI1383">
        <f>VLOOKUP(A:A,[1]android_repos_all_metrics!B:K,10,FALSE)</f>
        <v>2</v>
      </c>
    </row>
    <row r="1384" spans="1:35">
      <c r="A1384" t="s">
        <v>1450</v>
      </c>
      <c r="B1384" t="b">
        <v>1</v>
      </c>
      <c r="C1384" t="b">
        <v>0</v>
      </c>
      <c r="D1384" t="b">
        <v>0</v>
      </c>
      <c r="F1384" t="b">
        <v>0</v>
      </c>
      <c r="H1384" t="s">
        <v>37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>
        <v>1</v>
      </c>
      <c r="AB1384">
        <v>0</v>
      </c>
      <c r="AC1384">
        <f>VLOOKUP(A:A,[1]android_repos_all_metrics!B:K,4,FALSE)</f>
        <v>45</v>
      </c>
      <c r="AD1384">
        <f>VLOOKUP(A:A,[1]android_repos_all_metrics!B:K,5,FALSE)</f>
        <v>2</v>
      </c>
      <c r="AE1384">
        <f>VLOOKUP(A:A,[1]android_repos_all_metrics!B:K,6,FALSE)</f>
        <v>1</v>
      </c>
      <c r="AF1384">
        <f>VLOOKUP(A:A,[1]android_repos_all_metrics!B:K,7,FALSE)</f>
        <v>211</v>
      </c>
      <c r="AG1384">
        <f>VLOOKUP(A:A,[1]android_repos_all_metrics!B:K,8,FALSE)</f>
        <v>1</v>
      </c>
      <c r="AH1384">
        <f>VLOOKUP(A:A,[1]android_repos_all_metrics!B:K,9,FALSE)</f>
        <v>4</v>
      </c>
      <c r="AI1384">
        <f>VLOOKUP(A:A,[1]android_repos_all_metrics!B:K,10,FALSE)</f>
        <v>0</v>
      </c>
    </row>
    <row r="1385" spans="1:35">
      <c r="A1385" t="s">
        <v>1451</v>
      </c>
      <c r="B1385" t="b">
        <v>1</v>
      </c>
      <c r="C1385" t="b">
        <v>0</v>
      </c>
      <c r="D1385" t="b">
        <v>0</v>
      </c>
      <c r="F1385" t="b">
        <v>0</v>
      </c>
      <c r="H1385" t="s">
        <v>37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>
        <v>1</v>
      </c>
      <c r="AB1385">
        <v>0</v>
      </c>
      <c r="AC1385">
        <f>VLOOKUP(A:A,[1]android_repos_all_metrics!B:K,4,FALSE)</f>
        <v>920</v>
      </c>
      <c r="AD1385">
        <f>VLOOKUP(A:A,[1]android_repos_all_metrics!B:K,5,FALSE)</f>
        <v>90</v>
      </c>
      <c r="AE1385">
        <f>VLOOKUP(A:A,[1]android_repos_all_metrics!B:K,6,FALSE)</f>
        <v>2</v>
      </c>
      <c r="AF1385">
        <f>VLOOKUP(A:A,[1]android_repos_all_metrics!B:K,7,FALSE)</f>
        <v>4908</v>
      </c>
      <c r="AG1385">
        <f>VLOOKUP(A:A,[1]android_repos_all_metrics!B:K,8,FALSE)</f>
        <v>29</v>
      </c>
      <c r="AH1385">
        <f>VLOOKUP(A:A,[1]android_repos_all_metrics!B:K,9,FALSE)</f>
        <v>174</v>
      </c>
      <c r="AI1385">
        <f>VLOOKUP(A:A,[1]android_repos_all_metrics!B:K,10,FALSE)</f>
        <v>32</v>
      </c>
    </row>
    <row r="1386" spans="1:35">
      <c r="A1386" t="s">
        <v>1452</v>
      </c>
      <c r="B1386" t="b">
        <v>0</v>
      </c>
      <c r="C1386" t="b">
        <v>0</v>
      </c>
      <c r="D1386" t="b">
        <v>0</v>
      </c>
      <c r="F1386" t="b">
        <v>0</v>
      </c>
      <c r="H1386" t="s">
        <v>407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>
        <v>1</v>
      </c>
      <c r="AB1386">
        <v>0</v>
      </c>
      <c r="AC1386" t="e">
        <f>VLOOKUP(A:A,[1]android_repos_all_metrics!B:K,4,FALSE)</f>
        <v>#N/A</v>
      </c>
      <c r="AD1386" t="e">
        <f>VLOOKUP(A:A,[1]android_repos_all_metrics!B:K,5,FALSE)</f>
        <v>#N/A</v>
      </c>
      <c r="AE1386" t="e">
        <f>VLOOKUP(A:A,[1]android_repos_all_metrics!B:K,6,FALSE)</f>
        <v>#N/A</v>
      </c>
      <c r="AF1386" t="e">
        <f>VLOOKUP(A:A,[1]android_repos_all_metrics!B:K,7,FALSE)</f>
        <v>#N/A</v>
      </c>
      <c r="AG1386" t="e">
        <f>VLOOKUP(A:A,[1]android_repos_all_metrics!B:K,8,FALSE)</f>
        <v>#N/A</v>
      </c>
      <c r="AH1386" t="e">
        <f>VLOOKUP(A:A,[1]android_repos_all_metrics!B:K,9,FALSE)</f>
        <v>#N/A</v>
      </c>
      <c r="AI1386" t="e">
        <f>VLOOKUP(A:A,[1]android_repos_all_metrics!B:K,10,FALSE)</f>
        <v>#N/A</v>
      </c>
    </row>
    <row r="1387" spans="1:35">
      <c r="A1387" t="s">
        <v>1453</v>
      </c>
      <c r="B1387" t="b">
        <v>1</v>
      </c>
      <c r="C1387" t="b">
        <v>0</v>
      </c>
      <c r="D1387" t="b">
        <v>0</v>
      </c>
      <c r="F1387" t="b">
        <v>0</v>
      </c>
      <c r="H1387" t="s">
        <v>37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>
        <v>4</v>
      </c>
      <c r="AB1387">
        <v>0</v>
      </c>
      <c r="AC1387">
        <f>VLOOKUP(A:A,[1]android_repos_all_metrics!B:K,4,FALSE)</f>
        <v>1059</v>
      </c>
      <c r="AD1387">
        <f>VLOOKUP(A:A,[1]android_repos_all_metrics!B:K,5,FALSE)</f>
        <v>16</v>
      </c>
      <c r="AE1387">
        <f>VLOOKUP(A:A,[1]android_repos_all_metrics!B:K,6,FALSE)</f>
        <v>6</v>
      </c>
      <c r="AF1387">
        <f>VLOOKUP(A:A,[1]android_repos_all_metrics!B:K,7,FALSE)</f>
        <v>19496</v>
      </c>
      <c r="AG1387">
        <f>VLOOKUP(A:A,[1]android_repos_all_metrics!B:K,8,FALSE)</f>
        <v>4</v>
      </c>
      <c r="AH1387">
        <f>VLOOKUP(A:A,[1]android_repos_all_metrics!B:K,9,FALSE)</f>
        <v>14</v>
      </c>
      <c r="AI1387">
        <f>VLOOKUP(A:A,[1]android_repos_all_metrics!B:K,10,FALSE)</f>
        <v>0</v>
      </c>
    </row>
    <row r="1388" spans="1:35">
      <c r="A1388" t="s">
        <v>1454</v>
      </c>
      <c r="B1388" t="b">
        <v>1</v>
      </c>
      <c r="C1388" t="b">
        <v>1</v>
      </c>
      <c r="D1388" t="b">
        <v>1</v>
      </c>
      <c r="E1388" t="s">
        <v>36</v>
      </c>
      <c r="F1388" t="b">
        <v>0</v>
      </c>
      <c r="H1388" t="s">
        <v>37</v>
      </c>
      <c r="I1388" t="s">
        <v>37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>
        <v>1</v>
      </c>
      <c r="AA1388">
        <v>1</v>
      </c>
      <c r="AB1388">
        <v>0</v>
      </c>
      <c r="AC1388">
        <f>VLOOKUP(A:A,[1]android_repos_all_metrics!B:K,4,FALSE)</f>
        <v>351</v>
      </c>
      <c r="AD1388">
        <f>VLOOKUP(A:A,[1]android_repos_all_metrics!B:K,5,FALSE)</f>
        <v>8</v>
      </c>
      <c r="AE1388">
        <f>VLOOKUP(A:A,[1]android_repos_all_metrics!B:K,6,FALSE)</f>
        <v>4</v>
      </c>
      <c r="AF1388">
        <f>VLOOKUP(A:A,[1]android_repos_all_metrics!B:K,7,FALSE)</f>
        <v>1769</v>
      </c>
      <c r="AG1388">
        <f>VLOOKUP(A:A,[1]android_repos_all_metrics!B:K,8,FALSE)</f>
        <v>18</v>
      </c>
      <c r="AH1388">
        <f>VLOOKUP(A:A,[1]android_repos_all_metrics!B:K,9,FALSE)</f>
        <v>161</v>
      </c>
      <c r="AI1388">
        <f>VLOOKUP(A:A,[1]android_repos_all_metrics!B:K,10,FALSE)</f>
        <v>7</v>
      </c>
    </row>
    <row r="1389" spans="1:35">
      <c r="A1389" t="s">
        <v>1455</v>
      </c>
      <c r="B1389" t="b">
        <v>0</v>
      </c>
      <c r="C1389" t="b">
        <v>0</v>
      </c>
      <c r="D1389" t="b">
        <v>0</v>
      </c>
      <c r="F1389" t="b">
        <v>0</v>
      </c>
      <c r="H1389" t="s">
        <v>41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>
        <v>1</v>
      </c>
      <c r="AB1389">
        <v>0</v>
      </c>
      <c r="AC1389">
        <f>VLOOKUP(A:A,[1]android_repos_all_metrics!B:K,4,FALSE)</f>
        <v>204</v>
      </c>
      <c r="AD1389">
        <f>VLOOKUP(A:A,[1]android_repos_all_metrics!B:K,5,FALSE)</f>
        <v>1</v>
      </c>
      <c r="AE1389">
        <f>VLOOKUP(A:A,[1]android_repos_all_metrics!B:K,6,FALSE)</f>
        <v>3</v>
      </c>
      <c r="AF1389">
        <f>VLOOKUP(A:A,[1]android_repos_all_metrics!B:K,7,FALSE)</f>
        <v>1085</v>
      </c>
      <c r="AG1389">
        <f>VLOOKUP(A:A,[1]android_repos_all_metrics!B:K,8,FALSE)</f>
        <v>22</v>
      </c>
      <c r="AH1389">
        <f>VLOOKUP(A:A,[1]android_repos_all_metrics!B:K,9,FALSE)</f>
        <v>191</v>
      </c>
      <c r="AI1389">
        <f>VLOOKUP(A:A,[1]android_repos_all_metrics!B:K,10,FALSE)</f>
        <v>0</v>
      </c>
    </row>
    <row r="1390" spans="1:35">
      <c r="A1390" t="s">
        <v>1456</v>
      </c>
      <c r="B1390" t="b">
        <v>1</v>
      </c>
      <c r="C1390" t="b">
        <v>0</v>
      </c>
      <c r="D1390" t="b">
        <v>0</v>
      </c>
      <c r="F1390" t="b">
        <v>0</v>
      </c>
      <c r="H1390" t="s">
        <v>37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>
        <v>2</v>
      </c>
      <c r="AB1390">
        <v>0</v>
      </c>
      <c r="AC1390">
        <f>VLOOKUP(A:A,[1]android_repos_all_metrics!B:K,4,FALSE)</f>
        <v>61</v>
      </c>
      <c r="AD1390">
        <f>VLOOKUP(A:A,[1]android_repos_all_metrics!B:K,5,FALSE)</f>
        <v>10</v>
      </c>
      <c r="AE1390">
        <f>VLOOKUP(A:A,[1]android_repos_all_metrics!B:K,6,FALSE)</f>
        <v>3</v>
      </c>
      <c r="AF1390">
        <f>VLOOKUP(A:A,[1]android_repos_all_metrics!B:K,7,FALSE)</f>
        <v>13464</v>
      </c>
      <c r="AG1390">
        <f>VLOOKUP(A:A,[1]android_repos_all_metrics!B:K,8,FALSE)</f>
        <v>0</v>
      </c>
      <c r="AH1390">
        <f>VLOOKUP(A:A,[1]android_repos_all_metrics!B:K,9,FALSE)</f>
        <v>22</v>
      </c>
      <c r="AI1390">
        <f>VLOOKUP(A:A,[1]android_repos_all_metrics!B:K,10,FALSE)</f>
        <v>1</v>
      </c>
    </row>
    <row r="1391" spans="1:35">
      <c r="A1391" t="s">
        <v>1457</v>
      </c>
      <c r="B1391" t="b">
        <v>1</v>
      </c>
      <c r="C1391" t="b">
        <v>0</v>
      </c>
      <c r="D1391" t="b">
        <v>0</v>
      </c>
      <c r="F1391" t="b">
        <v>0</v>
      </c>
      <c r="H1391" t="s">
        <v>37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>
        <v>1</v>
      </c>
      <c r="AB1391">
        <v>0</v>
      </c>
      <c r="AC1391">
        <f>VLOOKUP(A:A,[1]android_repos_all_metrics!B:K,4,FALSE)</f>
        <v>20</v>
      </c>
      <c r="AD1391">
        <f>VLOOKUP(A:A,[1]android_repos_all_metrics!B:K,5,FALSE)</f>
        <v>0</v>
      </c>
      <c r="AE1391">
        <f>VLOOKUP(A:A,[1]android_repos_all_metrics!B:K,6,FALSE)</f>
        <v>1</v>
      </c>
      <c r="AF1391">
        <f>VLOOKUP(A:A,[1]android_repos_all_metrics!B:K,7,FALSE)</f>
        <v>137</v>
      </c>
      <c r="AG1391">
        <f>VLOOKUP(A:A,[1]android_repos_all_metrics!B:K,8,FALSE)</f>
        <v>3</v>
      </c>
      <c r="AH1391">
        <f>VLOOKUP(A:A,[1]android_repos_all_metrics!B:K,9,FALSE)</f>
        <v>27</v>
      </c>
      <c r="AI1391">
        <f>VLOOKUP(A:A,[1]android_repos_all_metrics!B:K,10,FALSE)</f>
        <v>1</v>
      </c>
    </row>
    <row r="1392" spans="1:35">
      <c r="A1392" t="s">
        <v>1458</v>
      </c>
      <c r="B1392" t="b">
        <v>1</v>
      </c>
      <c r="C1392" t="b">
        <v>0</v>
      </c>
      <c r="D1392" t="b">
        <v>0</v>
      </c>
      <c r="F1392" t="b">
        <v>0</v>
      </c>
      <c r="H1392" t="s">
        <v>76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>
        <v>1</v>
      </c>
      <c r="AB1392">
        <v>0</v>
      </c>
      <c r="AC1392">
        <f>VLOOKUP(A:A,[1]android_repos_all_metrics!B:K,4,FALSE)</f>
        <v>37</v>
      </c>
      <c r="AD1392">
        <f>VLOOKUP(A:A,[1]android_repos_all_metrics!B:K,5,FALSE)</f>
        <v>0</v>
      </c>
      <c r="AE1392">
        <f>VLOOKUP(A:A,[1]android_repos_all_metrics!B:K,6,FALSE)</f>
        <v>6</v>
      </c>
      <c r="AF1392">
        <f>VLOOKUP(A:A,[1]android_repos_all_metrics!B:K,7,FALSE)</f>
        <v>619</v>
      </c>
      <c r="AG1392">
        <f>VLOOKUP(A:A,[1]android_repos_all_metrics!B:K,8,FALSE)</f>
        <v>2</v>
      </c>
      <c r="AH1392">
        <f>VLOOKUP(A:A,[1]android_repos_all_metrics!B:K,9,FALSE)</f>
        <v>8</v>
      </c>
      <c r="AI1392">
        <f>VLOOKUP(A:A,[1]android_repos_all_metrics!B:K,10,FALSE)</f>
        <v>0</v>
      </c>
    </row>
    <row r="1393" spans="1:35">
      <c r="A1393" t="s">
        <v>1459</v>
      </c>
      <c r="B1393" t="b">
        <v>1</v>
      </c>
      <c r="C1393" t="b">
        <v>0</v>
      </c>
      <c r="D1393" t="b">
        <v>0</v>
      </c>
      <c r="F1393" t="b">
        <v>0</v>
      </c>
      <c r="H1393" t="s">
        <v>86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>
        <v>2</v>
      </c>
      <c r="AB1393">
        <v>0</v>
      </c>
      <c r="AC1393">
        <f>VLOOKUP(A:A,[1]android_repos_all_metrics!B:K,4,FALSE)</f>
        <v>66</v>
      </c>
      <c r="AD1393">
        <f>VLOOKUP(A:A,[1]android_repos_all_metrics!B:K,5,FALSE)</f>
        <v>72</v>
      </c>
      <c r="AE1393">
        <f>VLOOKUP(A:A,[1]android_repos_all_metrics!B:K,6,FALSE)</f>
        <v>3</v>
      </c>
      <c r="AF1393">
        <f>VLOOKUP(A:A,[1]android_repos_all_metrics!B:K,7,FALSE)</f>
        <v>403</v>
      </c>
      <c r="AG1393">
        <f>VLOOKUP(A:A,[1]android_repos_all_metrics!B:K,8,FALSE)</f>
        <v>1</v>
      </c>
      <c r="AH1393">
        <f>VLOOKUP(A:A,[1]android_repos_all_metrics!B:K,9,FALSE)</f>
        <v>18</v>
      </c>
      <c r="AI1393">
        <f>VLOOKUP(A:A,[1]android_repos_all_metrics!B:K,10,FALSE)</f>
        <v>2</v>
      </c>
    </row>
    <row r="1394" spans="1:35">
      <c r="A1394" t="s">
        <v>1460</v>
      </c>
      <c r="B1394" t="b">
        <v>1</v>
      </c>
      <c r="C1394" t="b">
        <v>1</v>
      </c>
      <c r="D1394" t="b">
        <v>0</v>
      </c>
      <c r="F1394" t="b">
        <v>1</v>
      </c>
      <c r="G1394" t="s">
        <v>39</v>
      </c>
      <c r="H1394" t="s">
        <v>86</v>
      </c>
      <c r="I1394" t="s">
        <v>41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>
        <v>2</v>
      </c>
      <c r="AB1394">
        <v>0</v>
      </c>
      <c r="AC1394">
        <f>VLOOKUP(A:A,[1]android_repos_all_metrics!B:K,4,FALSE)</f>
        <v>32</v>
      </c>
      <c r="AD1394">
        <f>VLOOKUP(A:A,[1]android_repos_all_metrics!B:K,5,FALSE)</f>
        <v>6</v>
      </c>
      <c r="AE1394">
        <f>VLOOKUP(A:A,[1]android_repos_all_metrics!B:K,6,FALSE)</f>
        <v>1</v>
      </c>
      <c r="AF1394">
        <f>VLOOKUP(A:A,[1]android_repos_all_metrics!B:K,7,FALSE)</f>
        <v>478</v>
      </c>
      <c r="AG1394">
        <f>VLOOKUP(A:A,[1]android_repos_all_metrics!B:K,8,FALSE)</f>
        <v>1</v>
      </c>
      <c r="AH1394">
        <f>VLOOKUP(A:A,[1]android_repos_all_metrics!B:K,9,FALSE)</f>
        <v>1</v>
      </c>
      <c r="AI1394">
        <f>VLOOKUP(A:A,[1]android_repos_all_metrics!B:K,10,FALSE)</f>
        <v>0</v>
      </c>
    </row>
    <row r="1395" spans="1:35">
      <c r="A1395" t="s">
        <v>1461</v>
      </c>
      <c r="B1395" t="b">
        <v>1</v>
      </c>
      <c r="C1395" t="b">
        <v>0</v>
      </c>
      <c r="D1395" t="b">
        <v>0</v>
      </c>
      <c r="F1395" t="b">
        <v>0</v>
      </c>
      <c r="H1395" t="s">
        <v>37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>
        <v>1</v>
      </c>
      <c r="AB1395">
        <v>0</v>
      </c>
      <c r="AC1395">
        <f>VLOOKUP(A:A,[1]android_repos_all_metrics!B:K,4,FALSE)</f>
        <v>9</v>
      </c>
      <c r="AD1395">
        <f>VLOOKUP(A:A,[1]android_repos_all_metrics!B:K,5,FALSE)</f>
        <v>0</v>
      </c>
      <c r="AE1395">
        <f>VLOOKUP(A:A,[1]android_repos_all_metrics!B:K,6,FALSE)</f>
        <v>1</v>
      </c>
      <c r="AF1395">
        <f>VLOOKUP(A:A,[1]android_repos_all_metrics!B:K,7,FALSE)</f>
        <v>415</v>
      </c>
      <c r="AG1395">
        <f>VLOOKUP(A:A,[1]android_repos_all_metrics!B:K,8,FALSE)</f>
        <v>1</v>
      </c>
      <c r="AH1395">
        <f>VLOOKUP(A:A,[1]android_repos_all_metrics!B:K,9,FALSE)</f>
        <v>4</v>
      </c>
      <c r="AI1395">
        <f>VLOOKUP(A:A,[1]android_repos_all_metrics!B:K,10,FALSE)</f>
        <v>0</v>
      </c>
    </row>
    <row r="1396" spans="1:35">
      <c r="A1396" t="s">
        <v>1462</v>
      </c>
      <c r="B1396" t="b">
        <v>1</v>
      </c>
      <c r="C1396" t="b">
        <v>1</v>
      </c>
      <c r="D1396" t="b">
        <v>0</v>
      </c>
      <c r="F1396" t="b">
        <v>1</v>
      </c>
      <c r="G1396" t="s">
        <v>39</v>
      </c>
      <c r="H1396" t="s">
        <v>41</v>
      </c>
      <c r="I1396" t="s">
        <v>41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>
        <v>1</v>
      </c>
      <c r="AB1396">
        <v>0</v>
      </c>
      <c r="AC1396">
        <f>VLOOKUP(A:A,[1]android_repos_all_metrics!B:K,4,FALSE)</f>
        <v>279</v>
      </c>
      <c r="AD1396">
        <f>VLOOKUP(A:A,[1]android_repos_all_metrics!B:K,5,FALSE)</f>
        <v>9</v>
      </c>
      <c r="AE1396">
        <f>VLOOKUP(A:A,[1]android_repos_all_metrics!B:K,6,FALSE)</f>
        <v>1</v>
      </c>
      <c r="AF1396">
        <f>VLOOKUP(A:A,[1]android_repos_all_metrics!B:K,7,FALSE)</f>
        <v>1623</v>
      </c>
      <c r="AG1396">
        <f>VLOOKUP(A:A,[1]android_repos_all_metrics!B:K,8,FALSE)</f>
        <v>0</v>
      </c>
      <c r="AH1396">
        <f>VLOOKUP(A:A,[1]android_repos_all_metrics!B:K,9,FALSE)</f>
        <v>2</v>
      </c>
      <c r="AI1396">
        <f>VLOOKUP(A:A,[1]android_repos_all_metrics!B:K,10,FALSE)</f>
        <v>0</v>
      </c>
    </row>
    <row r="1397" spans="1:35">
      <c r="A1397" t="s">
        <v>1463</v>
      </c>
      <c r="B1397" t="b">
        <v>1</v>
      </c>
      <c r="C1397" t="b">
        <v>0</v>
      </c>
      <c r="D1397" t="b">
        <v>0</v>
      </c>
      <c r="F1397" t="b">
        <v>0</v>
      </c>
      <c r="H1397" t="s">
        <v>110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>
        <v>3</v>
      </c>
      <c r="AB1397">
        <v>0</v>
      </c>
      <c r="AC1397">
        <f>VLOOKUP(A:A,[1]android_repos_all_metrics!B:K,4,FALSE)</f>
        <v>218</v>
      </c>
      <c r="AD1397">
        <f>VLOOKUP(A:A,[1]android_repos_all_metrics!B:K,5,FALSE)</f>
        <v>3</v>
      </c>
      <c r="AE1397">
        <f>VLOOKUP(A:A,[1]android_repos_all_metrics!B:K,6,FALSE)</f>
        <v>1</v>
      </c>
      <c r="AF1397">
        <f>VLOOKUP(A:A,[1]android_repos_all_metrics!B:K,7,FALSE)</f>
        <v>872</v>
      </c>
      <c r="AG1397">
        <f>VLOOKUP(A:A,[1]android_repos_all_metrics!B:K,8,FALSE)</f>
        <v>0</v>
      </c>
      <c r="AH1397">
        <f>VLOOKUP(A:A,[1]android_repos_all_metrics!B:K,9,FALSE)</f>
        <v>2</v>
      </c>
      <c r="AI1397">
        <f>VLOOKUP(A:A,[1]android_repos_all_metrics!B:K,10,FALSE)</f>
        <v>0</v>
      </c>
    </row>
    <row r="1398" spans="1:35">
      <c r="A1398" t="s">
        <v>1464</v>
      </c>
      <c r="B1398" t="b">
        <v>1</v>
      </c>
      <c r="C1398" t="b">
        <v>0</v>
      </c>
      <c r="D1398" t="b">
        <v>0</v>
      </c>
      <c r="F1398" t="b">
        <v>0</v>
      </c>
      <c r="H1398" t="s">
        <v>37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>
        <v>1</v>
      </c>
      <c r="AB1398">
        <v>0</v>
      </c>
      <c r="AC1398">
        <f>VLOOKUP(A:A,[1]android_repos_all_metrics!B:K,4,FALSE)</f>
        <v>21</v>
      </c>
      <c r="AD1398">
        <f>VLOOKUP(A:A,[1]android_repos_all_metrics!B:K,5,FALSE)</f>
        <v>1</v>
      </c>
      <c r="AE1398">
        <f>VLOOKUP(A:A,[1]android_repos_all_metrics!B:K,6,FALSE)</f>
        <v>1</v>
      </c>
      <c r="AF1398">
        <f>VLOOKUP(A:A,[1]android_repos_all_metrics!B:K,7,FALSE)</f>
        <v>486</v>
      </c>
      <c r="AG1398">
        <f>VLOOKUP(A:A,[1]android_repos_all_metrics!B:K,8,FALSE)</f>
        <v>0</v>
      </c>
      <c r="AH1398">
        <f>VLOOKUP(A:A,[1]android_repos_all_metrics!B:K,9,FALSE)</f>
        <v>3</v>
      </c>
      <c r="AI1398">
        <f>VLOOKUP(A:A,[1]android_repos_all_metrics!B:K,10,FALSE)</f>
        <v>0</v>
      </c>
    </row>
    <row r="1399" spans="1:35">
      <c r="A1399" t="s">
        <v>1465</v>
      </c>
      <c r="B1399" t="b">
        <v>1</v>
      </c>
      <c r="C1399" t="b">
        <v>1</v>
      </c>
      <c r="D1399" t="b">
        <v>0</v>
      </c>
      <c r="F1399" t="b">
        <v>1</v>
      </c>
      <c r="G1399" t="s">
        <v>39</v>
      </c>
      <c r="H1399" t="s">
        <v>41</v>
      </c>
      <c r="I1399" t="s">
        <v>41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>
        <v>1</v>
      </c>
      <c r="AB1399">
        <v>0</v>
      </c>
      <c r="AC1399">
        <f>VLOOKUP(A:A,[1]android_repos_all_metrics!B:K,4,FALSE)</f>
        <v>83</v>
      </c>
      <c r="AD1399">
        <f>VLOOKUP(A:A,[1]android_repos_all_metrics!B:K,5,FALSE)</f>
        <v>0</v>
      </c>
      <c r="AE1399">
        <f>VLOOKUP(A:A,[1]android_repos_all_metrics!B:K,6,FALSE)</f>
        <v>1</v>
      </c>
      <c r="AF1399">
        <f>VLOOKUP(A:A,[1]android_repos_all_metrics!B:K,7,FALSE)</f>
        <v>7920</v>
      </c>
      <c r="AG1399">
        <f>VLOOKUP(A:A,[1]android_repos_all_metrics!B:K,8,FALSE)</f>
        <v>3</v>
      </c>
      <c r="AH1399">
        <f>VLOOKUP(A:A,[1]android_repos_all_metrics!B:K,9,FALSE)</f>
        <v>4</v>
      </c>
      <c r="AI1399">
        <f>VLOOKUP(A:A,[1]android_repos_all_metrics!B:K,10,FALSE)</f>
        <v>1</v>
      </c>
    </row>
    <row r="1400" spans="1:35">
      <c r="A1400" t="s">
        <v>1466</v>
      </c>
      <c r="B1400" t="b">
        <v>1</v>
      </c>
      <c r="C1400" t="b">
        <v>0</v>
      </c>
      <c r="D1400" t="b">
        <v>0</v>
      </c>
      <c r="F1400" t="b">
        <v>0</v>
      </c>
      <c r="H1400" t="s">
        <v>37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>
        <v>2</v>
      </c>
      <c r="AB1400">
        <v>0</v>
      </c>
      <c r="AC1400">
        <f>VLOOKUP(A:A,[1]android_repos_all_metrics!B:K,4,FALSE)</f>
        <v>343</v>
      </c>
      <c r="AD1400">
        <f>VLOOKUP(A:A,[1]android_repos_all_metrics!B:K,5,FALSE)</f>
        <v>92</v>
      </c>
      <c r="AE1400">
        <f>VLOOKUP(A:A,[1]android_repos_all_metrics!B:K,6,FALSE)</f>
        <v>1</v>
      </c>
      <c r="AF1400">
        <f>VLOOKUP(A:A,[1]android_repos_all_metrics!B:K,7,FALSE)</f>
        <v>1045</v>
      </c>
      <c r="AG1400">
        <f>VLOOKUP(A:A,[1]android_repos_all_metrics!B:K,8,FALSE)</f>
        <v>4</v>
      </c>
      <c r="AH1400">
        <f>VLOOKUP(A:A,[1]android_repos_all_metrics!B:K,9,FALSE)</f>
        <v>6</v>
      </c>
      <c r="AI1400">
        <f>VLOOKUP(A:A,[1]android_repos_all_metrics!B:K,10,FALSE)</f>
        <v>4</v>
      </c>
    </row>
    <row r="1401" spans="1:35">
      <c r="A1401" t="s">
        <v>1467</v>
      </c>
      <c r="B1401" t="b">
        <v>0</v>
      </c>
      <c r="C1401" t="b">
        <v>0</v>
      </c>
      <c r="D1401" t="b">
        <v>0</v>
      </c>
      <c r="F1401" t="b">
        <v>0</v>
      </c>
      <c r="H1401" t="s">
        <v>41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>
        <v>1</v>
      </c>
      <c r="AB1401">
        <v>0</v>
      </c>
      <c r="AC1401">
        <f>VLOOKUP(A:A,[1]android_repos_all_metrics!B:K,4,FALSE)</f>
        <v>247</v>
      </c>
      <c r="AD1401">
        <f>VLOOKUP(A:A,[1]android_repos_all_metrics!B:K,5,FALSE)</f>
        <v>1</v>
      </c>
      <c r="AE1401">
        <f>VLOOKUP(A:A,[1]android_repos_all_metrics!B:K,6,FALSE)</f>
        <v>1</v>
      </c>
      <c r="AF1401">
        <f>VLOOKUP(A:A,[1]android_repos_all_metrics!B:K,7,FALSE)</f>
        <v>1424</v>
      </c>
      <c r="AG1401">
        <f>VLOOKUP(A:A,[1]android_repos_all_metrics!B:K,8,FALSE)</f>
        <v>27</v>
      </c>
      <c r="AH1401">
        <f>VLOOKUP(A:A,[1]android_repos_all_metrics!B:K,9,FALSE)</f>
        <v>124</v>
      </c>
      <c r="AI1401">
        <f>VLOOKUP(A:A,[1]android_repos_all_metrics!B:K,10,FALSE)</f>
        <v>4</v>
      </c>
    </row>
    <row r="1402" spans="1:35">
      <c r="A1402" t="s">
        <v>1468</v>
      </c>
      <c r="B1402" t="b">
        <v>1</v>
      </c>
      <c r="C1402" t="b">
        <v>0</v>
      </c>
      <c r="D1402" t="b">
        <v>0</v>
      </c>
      <c r="F1402" t="b">
        <v>0</v>
      </c>
      <c r="H1402" t="s">
        <v>37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>
        <v>3</v>
      </c>
      <c r="AB1402">
        <v>0</v>
      </c>
      <c r="AC1402">
        <f>VLOOKUP(A:A,[1]android_repos_all_metrics!B:K,4,FALSE)</f>
        <v>71</v>
      </c>
      <c r="AD1402">
        <f>VLOOKUP(A:A,[1]android_repos_all_metrics!B:K,5,FALSE)</f>
        <v>2</v>
      </c>
      <c r="AE1402">
        <f>VLOOKUP(A:A,[1]android_repos_all_metrics!B:K,6,FALSE)</f>
        <v>1</v>
      </c>
      <c r="AF1402">
        <f>VLOOKUP(A:A,[1]android_repos_all_metrics!B:K,7,FALSE)</f>
        <v>11080</v>
      </c>
      <c r="AG1402">
        <f>VLOOKUP(A:A,[1]android_repos_all_metrics!B:K,8,FALSE)</f>
        <v>9</v>
      </c>
      <c r="AH1402">
        <f>VLOOKUP(A:A,[1]android_repos_all_metrics!B:K,9,FALSE)</f>
        <v>30</v>
      </c>
      <c r="AI1402">
        <f>VLOOKUP(A:A,[1]android_repos_all_metrics!B:K,10,FALSE)</f>
        <v>0</v>
      </c>
    </row>
    <row r="1403" spans="1:35">
      <c r="A1403" t="s">
        <v>1469</v>
      </c>
      <c r="B1403" t="b">
        <v>1</v>
      </c>
      <c r="C1403" t="b">
        <v>0</v>
      </c>
      <c r="D1403" t="b">
        <v>0</v>
      </c>
      <c r="F1403" t="b">
        <v>0</v>
      </c>
      <c r="H1403" t="s">
        <v>37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>
        <v>4</v>
      </c>
      <c r="AB1403">
        <v>0</v>
      </c>
      <c r="AC1403">
        <f>VLOOKUP(A:A,[1]android_repos_all_metrics!B:K,4,FALSE)</f>
        <v>54</v>
      </c>
      <c r="AD1403">
        <f>VLOOKUP(A:A,[1]android_repos_all_metrics!B:K,5,FALSE)</f>
        <v>5</v>
      </c>
      <c r="AE1403">
        <f>VLOOKUP(A:A,[1]android_repos_all_metrics!B:K,6,FALSE)</f>
        <v>3</v>
      </c>
      <c r="AF1403">
        <f>VLOOKUP(A:A,[1]android_repos_all_metrics!B:K,7,FALSE)</f>
        <v>24204</v>
      </c>
      <c r="AG1403">
        <f>VLOOKUP(A:A,[1]android_repos_all_metrics!B:K,8,FALSE)</f>
        <v>1</v>
      </c>
      <c r="AH1403">
        <f>VLOOKUP(A:A,[1]android_repos_all_metrics!B:K,9,FALSE)</f>
        <v>12</v>
      </c>
      <c r="AI1403">
        <f>VLOOKUP(A:A,[1]android_repos_all_metrics!B:K,10,FALSE)</f>
        <v>0</v>
      </c>
    </row>
    <row r="1404" spans="1:35">
      <c r="A1404" t="s">
        <v>1470</v>
      </c>
      <c r="B1404" t="b">
        <v>1</v>
      </c>
      <c r="C1404" t="b">
        <v>0</v>
      </c>
      <c r="D1404" t="b">
        <v>0</v>
      </c>
      <c r="F1404" t="b">
        <v>0</v>
      </c>
      <c r="H1404" t="s">
        <v>41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>
        <v>1</v>
      </c>
      <c r="AB1404">
        <v>0</v>
      </c>
      <c r="AC1404">
        <f>VLOOKUP(A:A,[1]android_repos_all_metrics!B:K,4,FALSE)</f>
        <v>69</v>
      </c>
      <c r="AD1404">
        <f>VLOOKUP(A:A,[1]android_repos_all_metrics!B:K,5,FALSE)</f>
        <v>7</v>
      </c>
      <c r="AE1404">
        <f>VLOOKUP(A:A,[1]android_repos_all_metrics!B:K,6,FALSE)</f>
        <v>1</v>
      </c>
      <c r="AF1404">
        <f>VLOOKUP(A:A,[1]android_repos_all_metrics!B:K,7,FALSE)</f>
        <v>4396</v>
      </c>
      <c r="AG1404">
        <f>VLOOKUP(A:A,[1]android_repos_all_metrics!B:K,8,FALSE)</f>
        <v>0</v>
      </c>
      <c r="AH1404">
        <f>VLOOKUP(A:A,[1]android_repos_all_metrics!B:K,9,FALSE)</f>
        <v>3</v>
      </c>
      <c r="AI1404">
        <f>VLOOKUP(A:A,[1]android_repos_all_metrics!B:K,10,FALSE)</f>
        <v>4</v>
      </c>
    </row>
    <row r="1405" spans="1:35">
      <c r="A1405" t="s">
        <v>1471</v>
      </c>
      <c r="B1405" t="b">
        <v>1</v>
      </c>
      <c r="C1405" t="b">
        <v>0</v>
      </c>
      <c r="D1405" t="b">
        <v>0</v>
      </c>
      <c r="F1405" t="b">
        <v>0</v>
      </c>
      <c r="H1405" t="s">
        <v>37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>
        <v>1</v>
      </c>
      <c r="AB1405">
        <v>0</v>
      </c>
      <c r="AC1405">
        <f>VLOOKUP(A:A,[1]android_repos_all_metrics!B:K,4,FALSE)</f>
        <v>261</v>
      </c>
      <c r="AD1405">
        <f>VLOOKUP(A:A,[1]android_repos_all_metrics!B:K,5,FALSE)</f>
        <v>3</v>
      </c>
      <c r="AE1405">
        <f>VLOOKUP(A:A,[1]android_repos_all_metrics!B:K,6,FALSE)</f>
        <v>1</v>
      </c>
      <c r="AF1405">
        <f>VLOOKUP(A:A,[1]android_repos_all_metrics!B:K,7,FALSE)</f>
        <v>126437</v>
      </c>
      <c r="AG1405">
        <f>VLOOKUP(A:A,[1]android_repos_all_metrics!B:K,8,FALSE)</f>
        <v>32</v>
      </c>
      <c r="AH1405">
        <f>VLOOKUP(A:A,[1]android_repos_all_metrics!B:K,9,FALSE)</f>
        <v>196</v>
      </c>
      <c r="AI1405">
        <f>VLOOKUP(A:A,[1]android_repos_all_metrics!B:K,10,FALSE)</f>
        <v>3</v>
      </c>
    </row>
    <row r="1406" spans="1:35">
      <c r="A1406" t="s">
        <v>1472</v>
      </c>
      <c r="B1406" t="b">
        <v>1</v>
      </c>
      <c r="C1406" t="b">
        <v>0</v>
      </c>
      <c r="D1406" t="b">
        <v>0</v>
      </c>
      <c r="F1406" t="b">
        <v>0</v>
      </c>
      <c r="H1406" t="s">
        <v>37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>
        <v>1</v>
      </c>
      <c r="AB1406">
        <v>0</v>
      </c>
      <c r="AC1406">
        <f>VLOOKUP(A:A,[1]android_repos_all_metrics!B:K,4,FALSE)</f>
        <v>46</v>
      </c>
      <c r="AD1406">
        <f>VLOOKUP(A:A,[1]android_repos_all_metrics!B:K,5,FALSE)</f>
        <v>1</v>
      </c>
      <c r="AE1406">
        <f>VLOOKUP(A:A,[1]android_repos_all_metrics!B:K,6,FALSE)</f>
        <v>2</v>
      </c>
      <c r="AF1406">
        <f>VLOOKUP(A:A,[1]android_repos_all_metrics!B:K,7,FALSE)</f>
        <v>405</v>
      </c>
      <c r="AG1406">
        <f>VLOOKUP(A:A,[1]android_repos_all_metrics!B:K,8,FALSE)</f>
        <v>5</v>
      </c>
      <c r="AH1406">
        <f>VLOOKUP(A:A,[1]android_repos_all_metrics!B:K,9,FALSE)</f>
        <v>12</v>
      </c>
      <c r="AI1406">
        <f>VLOOKUP(A:A,[1]android_repos_all_metrics!B:K,10,FALSE)</f>
        <v>0</v>
      </c>
    </row>
    <row r="1407" spans="1:35">
      <c r="A1407" t="s">
        <v>1473</v>
      </c>
      <c r="B1407" t="b">
        <v>1</v>
      </c>
      <c r="C1407" t="b">
        <v>1</v>
      </c>
      <c r="D1407" t="b">
        <v>0</v>
      </c>
      <c r="F1407" t="b">
        <v>1</v>
      </c>
      <c r="G1407" t="s">
        <v>109</v>
      </c>
      <c r="H1407" t="s">
        <v>37</v>
      </c>
      <c r="I1407" t="s">
        <v>37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>
        <v>6</v>
      </c>
      <c r="AB1407">
        <v>0</v>
      </c>
      <c r="AC1407">
        <f>VLOOKUP(A:A,[1]android_repos_all_metrics!B:K,4,FALSE)</f>
        <v>1162</v>
      </c>
      <c r="AD1407">
        <f>VLOOKUP(A:A,[1]android_repos_all_metrics!B:K,5,FALSE)</f>
        <v>107</v>
      </c>
      <c r="AE1407">
        <f>VLOOKUP(A:A,[1]android_repos_all_metrics!B:K,6,FALSE)</f>
        <v>2</v>
      </c>
      <c r="AF1407">
        <f>VLOOKUP(A:A,[1]android_repos_all_metrics!B:K,7,FALSE)</f>
        <v>13943</v>
      </c>
      <c r="AG1407">
        <f>VLOOKUP(A:A,[1]android_repos_all_metrics!B:K,8,FALSE)</f>
        <v>1</v>
      </c>
      <c r="AH1407">
        <f>VLOOKUP(A:A,[1]android_repos_all_metrics!B:K,9,FALSE)</f>
        <v>15</v>
      </c>
      <c r="AI1407">
        <f>VLOOKUP(A:A,[1]android_repos_all_metrics!B:K,10,FALSE)</f>
        <v>9</v>
      </c>
    </row>
    <row r="1408" spans="1:35">
      <c r="A1408" t="s">
        <v>1474</v>
      </c>
      <c r="B1408" t="b">
        <v>1</v>
      </c>
      <c r="C1408" t="b">
        <v>0</v>
      </c>
      <c r="D1408" t="b">
        <v>0</v>
      </c>
      <c r="F1408" t="b">
        <v>0</v>
      </c>
      <c r="H1408" t="s">
        <v>37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>
        <v>1</v>
      </c>
      <c r="AB1408">
        <v>0</v>
      </c>
      <c r="AC1408">
        <f>VLOOKUP(A:A,[1]android_repos_all_metrics!B:K,4,FALSE)</f>
        <v>16211</v>
      </c>
      <c r="AD1408">
        <f>VLOOKUP(A:A,[1]android_repos_all_metrics!B:K,5,FALSE)</f>
        <v>500</v>
      </c>
      <c r="AE1408">
        <f>VLOOKUP(A:A,[1]android_repos_all_metrics!B:K,6,FALSE)</f>
        <v>264</v>
      </c>
      <c r="AF1408">
        <f>VLOOKUP(A:A,[1]android_repos_all_metrics!B:K,7,FALSE)</f>
        <v>53703</v>
      </c>
      <c r="AG1408">
        <f>VLOOKUP(A:A,[1]android_repos_all_metrics!B:K,8,FALSE)</f>
        <v>323</v>
      </c>
      <c r="AH1408">
        <f>VLOOKUP(A:A,[1]android_repos_all_metrics!B:K,9,FALSE)</f>
        <v>1879</v>
      </c>
      <c r="AI1408">
        <f>VLOOKUP(A:A,[1]android_repos_all_metrics!B:K,10,FALSE)</f>
        <v>160</v>
      </c>
    </row>
    <row r="1409" spans="1:35">
      <c r="A1409" t="s">
        <v>1475</v>
      </c>
      <c r="B1409" t="b">
        <v>1</v>
      </c>
      <c r="C1409" t="b">
        <v>0</v>
      </c>
      <c r="D1409" t="b">
        <v>0</v>
      </c>
      <c r="F1409" t="b">
        <v>0</v>
      </c>
      <c r="H1409" t="s">
        <v>37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>
        <v>1</v>
      </c>
      <c r="AB1409">
        <v>0</v>
      </c>
      <c r="AC1409">
        <f>VLOOKUP(A:A,[1]android_repos_all_metrics!B:K,4,FALSE)</f>
        <v>28</v>
      </c>
      <c r="AD1409">
        <f>VLOOKUP(A:A,[1]android_repos_all_metrics!B:K,5,FALSE)</f>
        <v>3</v>
      </c>
      <c r="AE1409">
        <f>VLOOKUP(A:A,[1]android_repos_all_metrics!B:K,6,FALSE)</f>
        <v>2</v>
      </c>
      <c r="AF1409">
        <f>VLOOKUP(A:A,[1]android_repos_all_metrics!B:K,7,FALSE)</f>
        <v>977</v>
      </c>
      <c r="AG1409">
        <f>VLOOKUP(A:A,[1]android_repos_all_metrics!B:K,8,FALSE)</f>
        <v>1</v>
      </c>
      <c r="AH1409">
        <f>VLOOKUP(A:A,[1]android_repos_all_metrics!B:K,9,FALSE)</f>
        <v>9</v>
      </c>
      <c r="AI1409">
        <f>VLOOKUP(A:A,[1]android_repos_all_metrics!B:K,10,FALSE)</f>
        <v>0</v>
      </c>
    </row>
    <row r="1410" spans="1:35">
      <c r="A1410" t="s">
        <v>1476</v>
      </c>
      <c r="B1410" t="b">
        <v>0</v>
      </c>
      <c r="C1410" t="b">
        <v>0</v>
      </c>
      <c r="D1410" t="b">
        <v>0</v>
      </c>
      <c r="F1410" t="b">
        <v>0</v>
      </c>
      <c r="H1410" t="s">
        <v>86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>
        <v>2</v>
      </c>
      <c r="AB1410">
        <v>0</v>
      </c>
      <c r="AC1410">
        <f>VLOOKUP(A:A,[1]android_repos_all_metrics!B:K,4,FALSE)</f>
        <v>827</v>
      </c>
      <c r="AD1410">
        <f>VLOOKUP(A:A,[1]android_repos_all_metrics!B:K,5,FALSE)</f>
        <v>113</v>
      </c>
      <c r="AE1410">
        <f>VLOOKUP(A:A,[1]android_repos_all_metrics!B:K,6,FALSE)</f>
        <v>46</v>
      </c>
      <c r="AF1410">
        <f>VLOOKUP(A:A,[1]android_repos_all_metrics!B:K,7,FALSE)</f>
        <v>12477</v>
      </c>
      <c r="AG1410">
        <f>VLOOKUP(A:A,[1]android_repos_all_metrics!B:K,8,FALSE)</f>
        <v>190</v>
      </c>
      <c r="AH1410">
        <f>VLOOKUP(A:A,[1]android_repos_all_metrics!B:K,9,FALSE)</f>
        <v>1376</v>
      </c>
      <c r="AI1410">
        <f>VLOOKUP(A:A,[1]android_repos_all_metrics!B:K,10,FALSE)</f>
        <v>152</v>
      </c>
    </row>
    <row r="1411" spans="1:35">
      <c r="A1411" t="s">
        <v>1477</v>
      </c>
      <c r="B1411" t="b">
        <v>1</v>
      </c>
      <c r="C1411" t="b">
        <v>0</v>
      </c>
      <c r="D1411" t="b">
        <v>0</v>
      </c>
      <c r="F1411" t="b">
        <v>0</v>
      </c>
      <c r="H1411" t="s">
        <v>37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>
        <v>3</v>
      </c>
      <c r="AB1411">
        <v>0</v>
      </c>
      <c r="AC1411">
        <f>VLOOKUP(A:A,[1]android_repos_all_metrics!B:K,4,FALSE)</f>
        <v>438</v>
      </c>
      <c r="AD1411">
        <f>VLOOKUP(A:A,[1]android_repos_all_metrics!B:K,5,FALSE)</f>
        <v>198</v>
      </c>
      <c r="AE1411">
        <f>VLOOKUP(A:A,[1]android_repos_all_metrics!B:K,6,FALSE)</f>
        <v>2</v>
      </c>
      <c r="AF1411">
        <f>VLOOKUP(A:A,[1]android_repos_all_metrics!B:K,7,FALSE)</f>
        <v>12069</v>
      </c>
      <c r="AG1411">
        <f>VLOOKUP(A:A,[1]android_repos_all_metrics!B:K,8,FALSE)</f>
        <v>1</v>
      </c>
      <c r="AH1411">
        <f>VLOOKUP(A:A,[1]android_repos_all_metrics!B:K,9,FALSE)</f>
        <v>10</v>
      </c>
      <c r="AI1411">
        <f>VLOOKUP(A:A,[1]android_repos_all_metrics!B:K,10,FALSE)</f>
        <v>0</v>
      </c>
    </row>
    <row r="1412" spans="1:35">
      <c r="A1412" t="s">
        <v>1478</v>
      </c>
      <c r="B1412" t="b">
        <v>1</v>
      </c>
      <c r="C1412" t="b">
        <v>0</v>
      </c>
      <c r="D1412" t="b">
        <v>0</v>
      </c>
      <c r="F1412" t="b">
        <v>0</v>
      </c>
      <c r="H1412" t="s">
        <v>37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>
        <v>1</v>
      </c>
      <c r="AB1412">
        <v>0</v>
      </c>
      <c r="AC1412">
        <f>VLOOKUP(A:A,[1]android_repos_all_metrics!B:K,4,FALSE)</f>
        <v>25</v>
      </c>
      <c r="AD1412">
        <f>VLOOKUP(A:A,[1]android_repos_all_metrics!B:K,5,FALSE)</f>
        <v>1</v>
      </c>
      <c r="AE1412">
        <f>VLOOKUP(A:A,[1]android_repos_all_metrics!B:K,6,FALSE)</f>
        <v>1</v>
      </c>
      <c r="AF1412">
        <f>VLOOKUP(A:A,[1]android_repos_all_metrics!B:K,7,FALSE)</f>
        <v>2563</v>
      </c>
      <c r="AG1412">
        <f>VLOOKUP(A:A,[1]android_repos_all_metrics!B:K,8,FALSE)</f>
        <v>5</v>
      </c>
      <c r="AH1412">
        <f>VLOOKUP(A:A,[1]android_repos_all_metrics!B:K,9,FALSE)</f>
        <v>32</v>
      </c>
      <c r="AI1412">
        <f>VLOOKUP(A:A,[1]android_repos_all_metrics!B:K,10,FALSE)</f>
        <v>0</v>
      </c>
    </row>
    <row r="1413" spans="1:35">
      <c r="A1413" t="s">
        <v>1479</v>
      </c>
      <c r="B1413" t="b">
        <v>1</v>
      </c>
      <c r="C1413" t="b">
        <v>0</v>
      </c>
      <c r="D1413" t="b">
        <v>0</v>
      </c>
      <c r="F1413" t="b">
        <v>0</v>
      </c>
      <c r="H1413" t="s">
        <v>43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>
        <v>1</v>
      </c>
      <c r="AB1413">
        <v>0</v>
      </c>
      <c r="AC1413">
        <f>VLOOKUP(A:A,[1]android_repos_all_metrics!B:K,4,FALSE)</f>
        <v>2209</v>
      </c>
      <c r="AD1413">
        <f>VLOOKUP(A:A,[1]android_repos_all_metrics!B:K,5,FALSE)</f>
        <v>163</v>
      </c>
      <c r="AE1413">
        <f>VLOOKUP(A:A,[1]android_repos_all_metrics!B:K,6,FALSE)</f>
        <v>28</v>
      </c>
      <c r="AF1413">
        <f>VLOOKUP(A:A,[1]android_repos_all_metrics!B:K,7,FALSE)</f>
        <v>900320</v>
      </c>
      <c r="AG1413">
        <f>VLOOKUP(A:A,[1]android_repos_all_metrics!B:K,8,FALSE)</f>
        <v>73</v>
      </c>
      <c r="AH1413">
        <f>VLOOKUP(A:A,[1]android_repos_all_metrics!B:K,9,FALSE)</f>
        <v>260</v>
      </c>
      <c r="AI1413">
        <f>VLOOKUP(A:A,[1]android_repos_all_metrics!B:K,10,FALSE)</f>
        <v>30</v>
      </c>
    </row>
    <row r="1414" spans="1:35">
      <c r="A1414" t="s">
        <v>1480</v>
      </c>
      <c r="B1414" t="b">
        <v>1</v>
      </c>
      <c r="C1414" t="b">
        <v>0</v>
      </c>
      <c r="D1414" t="b">
        <v>0</v>
      </c>
      <c r="F1414" t="b">
        <v>0</v>
      </c>
      <c r="H1414" t="s">
        <v>41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>
        <v>1</v>
      </c>
      <c r="AB1414">
        <v>0</v>
      </c>
      <c r="AC1414">
        <f>VLOOKUP(A:A,[1]android_repos_all_metrics!B:K,4,FALSE)</f>
        <v>234</v>
      </c>
      <c r="AD1414">
        <f>VLOOKUP(A:A,[1]android_repos_all_metrics!B:K,5,FALSE)</f>
        <v>2</v>
      </c>
      <c r="AE1414">
        <f>VLOOKUP(A:A,[1]android_repos_all_metrics!B:K,6,FALSE)</f>
        <v>6</v>
      </c>
      <c r="AF1414">
        <f>VLOOKUP(A:A,[1]android_repos_all_metrics!B:K,7,FALSE)</f>
        <v>3075</v>
      </c>
      <c r="AG1414">
        <f>VLOOKUP(A:A,[1]android_repos_all_metrics!B:K,8,FALSE)</f>
        <v>6</v>
      </c>
      <c r="AH1414">
        <f>VLOOKUP(A:A,[1]android_repos_all_metrics!B:K,9,FALSE)</f>
        <v>16</v>
      </c>
      <c r="AI1414">
        <f>VLOOKUP(A:A,[1]android_repos_all_metrics!B:K,10,FALSE)</f>
        <v>0</v>
      </c>
    </row>
    <row r="1415" spans="1:35">
      <c r="A1415" t="s">
        <v>1481</v>
      </c>
      <c r="B1415" t="b">
        <v>1</v>
      </c>
      <c r="C1415" t="b">
        <v>0</v>
      </c>
      <c r="D1415" t="b">
        <v>0</v>
      </c>
      <c r="F1415" t="b">
        <v>0</v>
      </c>
      <c r="H1415" t="s">
        <v>37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>
        <v>2</v>
      </c>
      <c r="AB1415">
        <v>0</v>
      </c>
      <c r="AC1415">
        <f>VLOOKUP(A:A,[1]android_repos_all_metrics!B:K,4,FALSE)</f>
        <v>155</v>
      </c>
      <c r="AD1415">
        <f>VLOOKUP(A:A,[1]android_repos_all_metrics!B:K,5,FALSE)</f>
        <v>32</v>
      </c>
      <c r="AE1415">
        <f>VLOOKUP(A:A,[1]android_repos_all_metrics!B:K,6,FALSE)</f>
        <v>5</v>
      </c>
      <c r="AF1415">
        <f>VLOOKUP(A:A,[1]android_repos_all_metrics!B:K,7,FALSE)</f>
        <v>315714</v>
      </c>
      <c r="AG1415">
        <f>VLOOKUP(A:A,[1]android_repos_all_metrics!B:K,8,FALSE)</f>
        <v>0</v>
      </c>
      <c r="AH1415">
        <f>VLOOKUP(A:A,[1]android_repos_all_metrics!B:K,9,FALSE)</f>
        <v>3</v>
      </c>
      <c r="AI1415">
        <f>VLOOKUP(A:A,[1]android_repos_all_metrics!B:K,10,FALSE)</f>
        <v>7</v>
      </c>
    </row>
    <row r="1416" spans="1:35">
      <c r="A1416" t="s">
        <v>1482</v>
      </c>
      <c r="B1416" t="b">
        <v>1</v>
      </c>
      <c r="C1416" t="b">
        <v>0</v>
      </c>
      <c r="D1416" t="b">
        <v>0</v>
      </c>
      <c r="F1416" t="b">
        <v>0</v>
      </c>
      <c r="H1416" t="s">
        <v>37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>
        <v>4</v>
      </c>
      <c r="AB1416">
        <v>0</v>
      </c>
      <c r="AC1416">
        <f>VLOOKUP(A:A,[1]android_repos_all_metrics!B:K,4,FALSE)</f>
        <v>336</v>
      </c>
      <c r="AD1416">
        <f>VLOOKUP(A:A,[1]android_repos_all_metrics!B:K,5,FALSE)</f>
        <v>23</v>
      </c>
      <c r="AE1416">
        <f>VLOOKUP(A:A,[1]android_repos_all_metrics!B:K,6,FALSE)</f>
        <v>4</v>
      </c>
      <c r="AF1416">
        <f>VLOOKUP(A:A,[1]android_repos_all_metrics!B:K,7,FALSE)</f>
        <v>18809</v>
      </c>
      <c r="AG1416">
        <f>VLOOKUP(A:A,[1]android_repos_all_metrics!B:K,8,FALSE)</f>
        <v>2</v>
      </c>
      <c r="AH1416">
        <f>VLOOKUP(A:A,[1]android_repos_all_metrics!B:K,9,FALSE)</f>
        <v>44</v>
      </c>
      <c r="AI1416">
        <f>VLOOKUP(A:A,[1]android_repos_all_metrics!B:K,10,FALSE)</f>
        <v>18</v>
      </c>
    </row>
    <row r="1417" spans="1:35">
      <c r="A1417" t="s">
        <v>1483</v>
      </c>
      <c r="B1417" t="b">
        <v>1</v>
      </c>
      <c r="C1417" t="b">
        <v>0</v>
      </c>
      <c r="D1417" t="b">
        <v>0</v>
      </c>
      <c r="F1417" t="b">
        <v>0</v>
      </c>
      <c r="H1417" t="s">
        <v>37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>
        <v>19</v>
      </c>
      <c r="AB1417">
        <v>0</v>
      </c>
      <c r="AC1417">
        <f>VLOOKUP(A:A,[1]android_repos_all_metrics!B:K,4,FALSE)</f>
        <v>17216</v>
      </c>
      <c r="AD1417">
        <f>VLOOKUP(A:A,[1]android_repos_all_metrics!B:K,5,FALSE)</f>
        <v>3926</v>
      </c>
      <c r="AE1417">
        <f>VLOOKUP(A:A,[1]android_repos_all_metrics!B:K,6,FALSE)</f>
        <v>71</v>
      </c>
      <c r="AF1417">
        <f>VLOOKUP(A:A,[1]android_repos_all_metrics!B:K,7,FALSE)</f>
        <v>103797</v>
      </c>
      <c r="AG1417">
        <f>VLOOKUP(A:A,[1]android_repos_all_metrics!B:K,8,FALSE)</f>
        <v>286</v>
      </c>
      <c r="AH1417">
        <f>VLOOKUP(A:A,[1]android_repos_all_metrics!B:K,9,FALSE)</f>
        <v>3693</v>
      </c>
      <c r="AI1417">
        <f>VLOOKUP(A:A,[1]android_repos_all_metrics!B:K,10,FALSE)</f>
        <v>259</v>
      </c>
    </row>
    <row r="1418" spans="1:35">
      <c r="A1418" t="s">
        <v>1484</v>
      </c>
      <c r="B1418" t="b">
        <v>1</v>
      </c>
      <c r="C1418" t="b">
        <v>0</v>
      </c>
      <c r="D1418" t="b">
        <v>0</v>
      </c>
      <c r="F1418" t="b">
        <v>0</v>
      </c>
      <c r="H1418" t="s">
        <v>37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>
        <v>1</v>
      </c>
      <c r="AB1418">
        <v>0</v>
      </c>
      <c r="AC1418">
        <f>VLOOKUP(A:A,[1]android_repos_all_metrics!B:K,4,FALSE)</f>
        <v>16</v>
      </c>
      <c r="AD1418">
        <f>VLOOKUP(A:A,[1]android_repos_all_metrics!B:K,5,FALSE)</f>
        <v>1</v>
      </c>
      <c r="AE1418">
        <f>VLOOKUP(A:A,[1]android_repos_all_metrics!B:K,6,FALSE)</f>
        <v>2</v>
      </c>
      <c r="AF1418">
        <f>VLOOKUP(A:A,[1]android_repos_all_metrics!B:K,7,FALSE)</f>
        <v>25310</v>
      </c>
      <c r="AG1418">
        <f>VLOOKUP(A:A,[1]android_repos_all_metrics!B:K,8,FALSE)</f>
        <v>91</v>
      </c>
      <c r="AH1418">
        <f>VLOOKUP(A:A,[1]android_repos_all_metrics!B:K,9,FALSE)</f>
        <v>675</v>
      </c>
      <c r="AI1418">
        <f>VLOOKUP(A:A,[1]android_repos_all_metrics!B:K,10,FALSE)</f>
        <v>1</v>
      </c>
    </row>
    <row r="1419" spans="1:35">
      <c r="A1419" t="s">
        <v>1485</v>
      </c>
      <c r="B1419" t="b">
        <v>1</v>
      </c>
      <c r="C1419" t="b">
        <v>0</v>
      </c>
      <c r="D1419" t="b">
        <v>0</v>
      </c>
      <c r="F1419" t="b">
        <v>0</v>
      </c>
      <c r="H1419" t="s">
        <v>37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>
        <v>1</v>
      </c>
      <c r="AB1419">
        <v>0</v>
      </c>
      <c r="AC1419">
        <f>VLOOKUP(A:A,[1]android_repos_all_metrics!B:K,4,FALSE)</f>
        <v>105</v>
      </c>
      <c r="AD1419">
        <f>VLOOKUP(A:A,[1]android_repos_all_metrics!B:K,5,FALSE)</f>
        <v>47</v>
      </c>
      <c r="AE1419">
        <f>VLOOKUP(A:A,[1]android_repos_all_metrics!B:K,6,FALSE)</f>
        <v>14</v>
      </c>
      <c r="AF1419">
        <f>VLOOKUP(A:A,[1]android_repos_all_metrics!B:K,7,FALSE)</f>
        <v>238</v>
      </c>
      <c r="AG1419">
        <f>VLOOKUP(A:A,[1]android_repos_all_metrics!B:K,8,FALSE)</f>
        <v>11</v>
      </c>
      <c r="AH1419">
        <f>VLOOKUP(A:A,[1]android_repos_all_metrics!B:K,9,FALSE)</f>
        <v>144</v>
      </c>
      <c r="AI1419">
        <f>VLOOKUP(A:A,[1]android_repos_all_metrics!B:K,10,FALSE)</f>
        <v>4</v>
      </c>
    </row>
    <row r="1420" spans="1:35">
      <c r="A1420" t="s">
        <v>1486</v>
      </c>
      <c r="B1420" t="b">
        <v>1</v>
      </c>
      <c r="C1420" t="b">
        <v>0</v>
      </c>
      <c r="D1420" t="b">
        <v>0</v>
      </c>
      <c r="F1420" t="b">
        <v>0</v>
      </c>
      <c r="H1420" t="s">
        <v>37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>
        <v>1</v>
      </c>
      <c r="AB1420">
        <v>0</v>
      </c>
      <c r="AC1420">
        <f>VLOOKUP(A:A,[1]android_repos_all_metrics!B:K,4,FALSE)</f>
        <v>111</v>
      </c>
      <c r="AD1420">
        <f>VLOOKUP(A:A,[1]android_repos_all_metrics!B:K,5,FALSE)</f>
        <v>22</v>
      </c>
      <c r="AE1420">
        <f>VLOOKUP(A:A,[1]android_repos_all_metrics!B:K,6,FALSE)</f>
        <v>2</v>
      </c>
      <c r="AF1420">
        <f>VLOOKUP(A:A,[1]android_repos_all_metrics!B:K,7,FALSE)</f>
        <v>1267</v>
      </c>
      <c r="AG1420">
        <f>VLOOKUP(A:A,[1]android_repos_all_metrics!B:K,8,FALSE)</f>
        <v>0</v>
      </c>
      <c r="AH1420">
        <f>VLOOKUP(A:A,[1]android_repos_all_metrics!B:K,9,FALSE)</f>
        <v>2</v>
      </c>
      <c r="AI1420">
        <f>VLOOKUP(A:A,[1]android_repos_all_metrics!B:K,10,FALSE)</f>
        <v>11</v>
      </c>
    </row>
    <row r="1421" spans="1:35">
      <c r="A1421" t="s">
        <v>1487</v>
      </c>
      <c r="B1421" t="b">
        <v>0</v>
      </c>
      <c r="C1421" t="b">
        <v>0</v>
      </c>
      <c r="D1421" t="b">
        <v>0</v>
      </c>
      <c r="F1421" t="b">
        <v>0</v>
      </c>
      <c r="H1421" t="s">
        <v>41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>
        <v>1</v>
      </c>
      <c r="AB1421">
        <v>0</v>
      </c>
      <c r="AC1421">
        <f>VLOOKUP(A:A,[1]android_repos_all_metrics!B:K,4,FALSE)</f>
        <v>21</v>
      </c>
      <c r="AD1421">
        <f>VLOOKUP(A:A,[1]android_repos_all_metrics!B:K,5,FALSE)</f>
        <v>0</v>
      </c>
      <c r="AE1421">
        <f>VLOOKUP(A:A,[1]android_repos_all_metrics!B:K,6,FALSE)</f>
        <v>1</v>
      </c>
      <c r="AF1421">
        <f>VLOOKUP(A:A,[1]android_repos_all_metrics!B:K,7,FALSE)</f>
        <v>433</v>
      </c>
      <c r="AG1421">
        <f>VLOOKUP(A:A,[1]android_repos_all_metrics!B:K,8,FALSE)</f>
        <v>2</v>
      </c>
      <c r="AH1421">
        <f>VLOOKUP(A:A,[1]android_repos_all_metrics!B:K,9,FALSE)</f>
        <v>2</v>
      </c>
      <c r="AI1421">
        <f>VLOOKUP(A:A,[1]android_repos_all_metrics!B:K,10,FALSE)</f>
        <v>0</v>
      </c>
    </row>
    <row r="1422" spans="1:35">
      <c r="A1422" t="s">
        <v>1488</v>
      </c>
      <c r="B1422" t="b">
        <v>0</v>
      </c>
      <c r="C1422" t="b">
        <v>0</v>
      </c>
      <c r="D1422" t="b">
        <v>0</v>
      </c>
      <c r="F1422" t="b">
        <v>0</v>
      </c>
      <c r="H1422" t="s">
        <v>43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>
        <v>1</v>
      </c>
      <c r="AB1422">
        <v>0</v>
      </c>
      <c r="AC1422">
        <f>VLOOKUP(A:A,[1]android_repos_all_metrics!B:K,4,FALSE)</f>
        <v>147</v>
      </c>
      <c r="AD1422">
        <f>VLOOKUP(A:A,[1]android_repos_all_metrics!B:K,5,FALSE)</f>
        <v>9</v>
      </c>
      <c r="AE1422">
        <f>VLOOKUP(A:A,[1]android_repos_all_metrics!B:K,6,FALSE)</f>
        <v>2</v>
      </c>
      <c r="AF1422">
        <f>VLOOKUP(A:A,[1]android_repos_all_metrics!B:K,7,FALSE)</f>
        <v>2759</v>
      </c>
      <c r="AG1422">
        <f>VLOOKUP(A:A,[1]android_repos_all_metrics!B:K,8,FALSE)</f>
        <v>4</v>
      </c>
      <c r="AH1422">
        <f>VLOOKUP(A:A,[1]android_repos_all_metrics!B:K,9,FALSE)</f>
        <v>8</v>
      </c>
      <c r="AI1422">
        <f>VLOOKUP(A:A,[1]android_repos_all_metrics!B:K,10,FALSE)</f>
        <v>2</v>
      </c>
    </row>
    <row r="1423" spans="1:35">
      <c r="A1423" t="s">
        <v>1489</v>
      </c>
      <c r="B1423" t="b">
        <v>1</v>
      </c>
      <c r="C1423" t="b">
        <v>0</v>
      </c>
      <c r="D1423" t="b">
        <v>0</v>
      </c>
      <c r="F1423" t="b">
        <v>0</v>
      </c>
      <c r="H1423" t="s">
        <v>41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>
        <v>1</v>
      </c>
      <c r="AB1423">
        <v>0</v>
      </c>
      <c r="AC1423">
        <f>VLOOKUP(A:A,[1]android_repos_all_metrics!B:K,4,FALSE)</f>
        <v>780</v>
      </c>
      <c r="AD1423">
        <f>VLOOKUP(A:A,[1]android_repos_all_metrics!B:K,5,FALSE)</f>
        <v>57</v>
      </c>
      <c r="AE1423">
        <f>VLOOKUP(A:A,[1]android_repos_all_metrics!B:K,6,FALSE)</f>
        <v>17</v>
      </c>
      <c r="AF1423">
        <f>VLOOKUP(A:A,[1]android_repos_all_metrics!B:K,7,FALSE)</f>
        <v>20926</v>
      </c>
      <c r="AG1423">
        <f>VLOOKUP(A:A,[1]android_repos_all_metrics!B:K,8,FALSE)</f>
        <v>22</v>
      </c>
      <c r="AH1423">
        <f>VLOOKUP(A:A,[1]android_repos_all_metrics!B:K,9,FALSE)</f>
        <v>32</v>
      </c>
      <c r="AI1423">
        <f>VLOOKUP(A:A,[1]android_repos_all_metrics!B:K,10,FALSE)</f>
        <v>76</v>
      </c>
    </row>
    <row r="1424" spans="1:35">
      <c r="A1424" t="s">
        <v>1490</v>
      </c>
      <c r="B1424" t="b">
        <v>1</v>
      </c>
      <c r="C1424" t="b">
        <v>0</v>
      </c>
      <c r="D1424" t="b">
        <v>0</v>
      </c>
      <c r="F1424" t="b">
        <v>0</v>
      </c>
      <c r="H1424" t="s">
        <v>37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>
        <v>2</v>
      </c>
      <c r="AB1424">
        <v>0</v>
      </c>
      <c r="AC1424">
        <f>VLOOKUP(A:A,[1]android_repos_all_metrics!B:K,4,FALSE)</f>
        <v>191</v>
      </c>
      <c r="AD1424">
        <f>VLOOKUP(A:A,[1]android_repos_all_metrics!B:K,5,FALSE)</f>
        <v>21</v>
      </c>
      <c r="AE1424">
        <f>VLOOKUP(A:A,[1]android_repos_all_metrics!B:K,6,FALSE)</f>
        <v>4</v>
      </c>
      <c r="AF1424">
        <f>VLOOKUP(A:A,[1]android_repos_all_metrics!B:K,7,FALSE)</f>
        <v>3767</v>
      </c>
      <c r="AG1424">
        <f>VLOOKUP(A:A,[1]android_repos_all_metrics!B:K,8,FALSE)</f>
        <v>1</v>
      </c>
      <c r="AH1424">
        <f>VLOOKUP(A:A,[1]android_repos_all_metrics!B:K,9,FALSE)</f>
        <v>1</v>
      </c>
      <c r="AI1424">
        <f>VLOOKUP(A:A,[1]android_repos_all_metrics!B:K,10,FALSE)</f>
        <v>17</v>
      </c>
    </row>
    <row r="1425" spans="1:35">
      <c r="A1425" t="s">
        <v>1491</v>
      </c>
      <c r="B1425" t="b">
        <v>1</v>
      </c>
      <c r="C1425" t="b">
        <v>0</v>
      </c>
      <c r="D1425" t="b">
        <v>0</v>
      </c>
      <c r="F1425" t="b">
        <v>0</v>
      </c>
      <c r="H1425" t="s">
        <v>37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>
        <v>1</v>
      </c>
      <c r="AB1425">
        <v>0</v>
      </c>
      <c r="AC1425">
        <f>VLOOKUP(A:A,[1]android_repos_all_metrics!B:K,4,FALSE)</f>
        <v>6817</v>
      </c>
      <c r="AD1425">
        <f>VLOOKUP(A:A,[1]android_repos_all_metrics!B:K,5,FALSE)</f>
        <v>190</v>
      </c>
      <c r="AE1425">
        <f>VLOOKUP(A:A,[1]android_repos_all_metrics!B:K,6,FALSE)</f>
        <v>38</v>
      </c>
      <c r="AF1425">
        <f>VLOOKUP(A:A,[1]android_repos_all_metrics!B:K,7,FALSE)</f>
        <v>167350</v>
      </c>
      <c r="AG1425">
        <f>VLOOKUP(A:A,[1]android_repos_all_metrics!B:K,8,FALSE)</f>
        <v>93</v>
      </c>
      <c r="AH1425">
        <f>VLOOKUP(A:A,[1]android_repos_all_metrics!B:K,9,FALSE)</f>
        <v>336</v>
      </c>
      <c r="AI1425">
        <f>VLOOKUP(A:A,[1]android_repos_all_metrics!B:K,10,FALSE)</f>
        <v>48</v>
      </c>
    </row>
    <row r="1426" spans="1:35">
      <c r="A1426" t="s">
        <v>1492</v>
      </c>
      <c r="B1426" t="b">
        <v>1</v>
      </c>
      <c r="C1426" t="b">
        <v>0</v>
      </c>
      <c r="D1426" t="b">
        <v>0</v>
      </c>
      <c r="F1426" t="b">
        <v>0</v>
      </c>
      <c r="H1426" t="s">
        <v>37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>
        <v>2</v>
      </c>
      <c r="AB1426">
        <v>0</v>
      </c>
      <c r="AC1426">
        <f>VLOOKUP(A:A,[1]android_repos_all_metrics!B:K,4,FALSE)</f>
        <v>88</v>
      </c>
      <c r="AD1426">
        <f>VLOOKUP(A:A,[1]android_repos_all_metrics!B:K,5,FALSE)</f>
        <v>1</v>
      </c>
      <c r="AE1426">
        <f>VLOOKUP(A:A,[1]android_repos_all_metrics!B:K,6,FALSE)</f>
        <v>1</v>
      </c>
      <c r="AF1426">
        <f>VLOOKUP(A:A,[1]android_repos_all_metrics!B:K,7,FALSE)</f>
        <v>391</v>
      </c>
      <c r="AG1426">
        <f>VLOOKUP(A:A,[1]android_repos_all_metrics!B:K,8,FALSE)</f>
        <v>0</v>
      </c>
      <c r="AH1426">
        <f>VLOOKUP(A:A,[1]android_repos_all_metrics!B:K,9,FALSE)</f>
        <v>2</v>
      </c>
      <c r="AI1426">
        <f>VLOOKUP(A:A,[1]android_repos_all_metrics!B:K,10,FALSE)</f>
        <v>0</v>
      </c>
    </row>
    <row r="1427" spans="1:35">
      <c r="A1427" t="s">
        <v>1493</v>
      </c>
      <c r="B1427" t="b">
        <v>1</v>
      </c>
      <c r="C1427" t="b">
        <v>0</v>
      </c>
      <c r="D1427" t="b">
        <v>0</v>
      </c>
      <c r="F1427" t="b">
        <v>0</v>
      </c>
      <c r="H1427" t="s">
        <v>37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>
        <v>1</v>
      </c>
      <c r="AB1427">
        <v>0</v>
      </c>
      <c r="AC1427">
        <f>VLOOKUP(A:A,[1]android_repos_all_metrics!B:K,4,FALSE)</f>
        <v>35</v>
      </c>
      <c r="AD1427">
        <f>VLOOKUP(A:A,[1]android_repos_all_metrics!B:K,5,FALSE)</f>
        <v>2</v>
      </c>
      <c r="AE1427">
        <f>VLOOKUP(A:A,[1]android_repos_all_metrics!B:K,6,FALSE)</f>
        <v>2</v>
      </c>
      <c r="AF1427">
        <f>VLOOKUP(A:A,[1]android_repos_all_metrics!B:K,7,FALSE)</f>
        <v>132755</v>
      </c>
      <c r="AG1427">
        <f>VLOOKUP(A:A,[1]android_repos_all_metrics!B:K,8,FALSE)</f>
        <v>7</v>
      </c>
      <c r="AH1427">
        <f>VLOOKUP(A:A,[1]android_repos_all_metrics!B:K,9,FALSE)</f>
        <v>15</v>
      </c>
      <c r="AI1427">
        <f>VLOOKUP(A:A,[1]android_repos_all_metrics!B:K,10,FALSE)</f>
        <v>2</v>
      </c>
    </row>
    <row r="1428" spans="1:35">
      <c r="A1428" t="s">
        <v>1494</v>
      </c>
      <c r="B1428" t="b">
        <v>1</v>
      </c>
      <c r="C1428" t="b">
        <v>0</v>
      </c>
      <c r="D1428" t="b">
        <v>0</v>
      </c>
      <c r="F1428" t="b">
        <v>0</v>
      </c>
      <c r="H1428" t="s">
        <v>37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>
        <v>1</v>
      </c>
      <c r="AB1428">
        <v>0</v>
      </c>
      <c r="AC1428">
        <f>VLOOKUP(A:A,[1]android_repos_all_metrics!B:K,4,FALSE)</f>
        <v>2740</v>
      </c>
      <c r="AD1428">
        <f>VLOOKUP(A:A,[1]android_repos_all_metrics!B:K,5,FALSE)</f>
        <v>222</v>
      </c>
      <c r="AE1428">
        <f>VLOOKUP(A:A,[1]android_repos_all_metrics!B:K,6,FALSE)</f>
        <v>66</v>
      </c>
      <c r="AF1428">
        <f>VLOOKUP(A:A,[1]android_repos_all_metrics!B:K,7,FALSE)</f>
        <v>77975</v>
      </c>
      <c r="AG1428">
        <f>VLOOKUP(A:A,[1]android_repos_all_metrics!B:K,8,FALSE)</f>
        <v>176</v>
      </c>
      <c r="AH1428">
        <f>VLOOKUP(A:A,[1]android_repos_all_metrics!B:K,9,FALSE)</f>
        <v>1262</v>
      </c>
      <c r="AI1428">
        <f>VLOOKUP(A:A,[1]android_repos_all_metrics!B:K,10,FALSE)</f>
        <v>75</v>
      </c>
    </row>
    <row r="1429" spans="1:35">
      <c r="A1429" t="s">
        <v>1495</v>
      </c>
      <c r="B1429" t="b">
        <v>1</v>
      </c>
      <c r="C1429" t="b">
        <v>0</v>
      </c>
      <c r="D1429" t="b">
        <v>0</v>
      </c>
      <c r="F1429" t="b">
        <v>0</v>
      </c>
      <c r="H1429" t="s">
        <v>37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>
        <v>4</v>
      </c>
      <c r="AB1429">
        <v>0</v>
      </c>
      <c r="AC1429">
        <f>VLOOKUP(A:A,[1]android_repos_all_metrics!B:K,4,FALSE)</f>
        <v>771</v>
      </c>
      <c r="AD1429">
        <f>VLOOKUP(A:A,[1]android_repos_all_metrics!B:K,5,FALSE)</f>
        <v>208</v>
      </c>
      <c r="AE1429">
        <f>VLOOKUP(A:A,[1]android_repos_all_metrics!B:K,6,FALSE)</f>
        <v>15</v>
      </c>
      <c r="AF1429">
        <f>VLOOKUP(A:A,[1]android_repos_all_metrics!B:K,7,FALSE)</f>
        <v>39407</v>
      </c>
      <c r="AG1429">
        <f>VLOOKUP(A:A,[1]android_repos_all_metrics!B:K,8,FALSE)</f>
        <v>25</v>
      </c>
      <c r="AH1429">
        <f>VLOOKUP(A:A,[1]android_repos_all_metrics!B:K,9,FALSE)</f>
        <v>100</v>
      </c>
      <c r="AI1429">
        <f>VLOOKUP(A:A,[1]android_repos_all_metrics!B:K,10,FALSE)</f>
        <v>33</v>
      </c>
    </row>
    <row r="1430" spans="1:35">
      <c r="A1430" t="s">
        <v>1496</v>
      </c>
      <c r="B1430" t="b">
        <v>0</v>
      </c>
      <c r="C1430" t="b">
        <v>0</v>
      </c>
      <c r="D1430" t="b">
        <v>0</v>
      </c>
      <c r="F1430" t="b">
        <v>0</v>
      </c>
      <c r="H1430" t="s">
        <v>41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>
        <v>1</v>
      </c>
      <c r="AB1430">
        <v>0</v>
      </c>
      <c r="AC1430">
        <f>VLOOKUP(A:A,[1]android_repos_all_metrics!B:K,4,FALSE)</f>
        <v>165</v>
      </c>
      <c r="AD1430">
        <f>VLOOKUP(A:A,[1]android_repos_all_metrics!B:K,5,FALSE)</f>
        <v>0</v>
      </c>
      <c r="AE1430">
        <f>VLOOKUP(A:A,[1]android_repos_all_metrics!B:K,6,FALSE)</f>
        <v>1</v>
      </c>
      <c r="AF1430">
        <f>VLOOKUP(A:A,[1]android_repos_all_metrics!B:K,7,FALSE)</f>
        <v>7767</v>
      </c>
      <c r="AG1430">
        <f>VLOOKUP(A:A,[1]android_repos_all_metrics!B:K,8,FALSE)</f>
        <v>5</v>
      </c>
      <c r="AH1430">
        <f>VLOOKUP(A:A,[1]android_repos_all_metrics!B:K,9,FALSE)</f>
        <v>23</v>
      </c>
      <c r="AI1430">
        <f>VLOOKUP(A:A,[1]android_repos_all_metrics!B:K,10,FALSE)</f>
        <v>0</v>
      </c>
    </row>
    <row r="1431" spans="1:35">
      <c r="A1431" t="s">
        <v>1497</v>
      </c>
      <c r="B1431" t="b">
        <v>1</v>
      </c>
      <c r="C1431" t="b">
        <v>0</v>
      </c>
      <c r="D1431" t="b">
        <v>0</v>
      </c>
      <c r="F1431" t="b">
        <v>0</v>
      </c>
      <c r="H1431" t="s">
        <v>37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>
        <v>7</v>
      </c>
      <c r="AB1431">
        <v>0</v>
      </c>
      <c r="AC1431">
        <f>VLOOKUP(A:A,[1]android_repos_all_metrics!B:K,4,FALSE)</f>
        <v>913</v>
      </c>
      <c r="AD1431">
        <f>VLOOKUP(A:A,[1]android_repos_all_metrics!B:K,5,FALSE)</f>
        <v>71</v>
      </c>
      <c r="AE1431">
        <f>VLOOKUP(A:A,[1]android_repos_all_metrics!B:K,6,FALSE)</f>
        <v>31</v>
      </c>
      <c r="AF1431">
        <f>VLOOKUP(A:A,[1]android_repos_all_metrics!B:K,7,FALSE)</f>
        <v>12458</v>
      </c>
      <c r="AG1431">
        <f>VLOOKUP(A:A,[1]android_repos_all_metrics!B:K,8,FALSE)</f>
        <v>66</v>
      </c>
      <c r="AH1431">
        <f>VLOOKUP(A:A,[1]android_repos_all_metrics!B:K,9,FALSE)</f>
        <v>810</v>
      </c>
      <c r="AI1431">
        <f>VLOOKUP(A:A,[1]android_repos_all_metrics!B:K,10,FALSE)</f>
        <v>2</v>
      </c>
    </row>
    <row r="1432" spans="1:35">
      <c r="A1432" t="s">
        <v>1498</v>
      </c>
      <c r="B1432" t="b">
        <v>0</v>
      </c>
      <c r="C1432" t="b">
        <v>0</v>
      </c>
      <c r="D1432" t="b">
        <v>0</v>
      </c>
      <c r="F1432" t="b">
        <v>0</v>
      </c>
      <c r="H1432" t="s">
        <v>41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>
        <v>1</v>
      </c>
      <c r="AB1432">
        <v>0</v>
      </c>
      <c r="AC1432">
        <f>VLOOKUP(A:A,[1]android_repos_all_metrics!B:K,4,FALSE)</f>
        <v>127</v>
      </c>
      <c r="AD1432">
        <f>VLOOKUP(A:A,[1]android_repos_all_metrics!B:K,5,FALSE)</f>
        <v>3</v>
      </c>
      <c r="AE1432">
        <f>VLOOKUP(A:A,[1]android_repos_all_metrics!B:K,6,FALSE)</f>
        <v>1</v>
      </c>
      <c r="AF1432">
        <f>VLOOKUP(A:A,[1]android_repos_all_metrics!B:K,7,FALSE)</f>
        <v>12085</v>
      </c>
      <c r="AG1432">
        <f>VLOOKUP(A:A,[1]android_repos_all_metrics!B:K,8,FALSE)</f>
        <v>0</v>
      </c>
      <c r="AH1432">
        <f>VLOOKUP(A:A,[1]android_repos_all_metrics!B:K,9,FALSE)</f>
        <v>3</v>
      </c>
      <c r="AI1432">
        <f>VLOOKUP(A:A,[1]android_repos_all_metrics!B:K,10,FALSE)</f>
        <v>7</v>
      </c>
    </row>
    <row r="1433" spans="1:35">
      <c r="A1433" t="s">
        <v>1499</v>
      </c>
      <c r="B1433" t="b">
        <v>0</v>
      </c>
      <c r="C1433" t="b">
        <v>0</v>
      </c>
      <c r="D1433" t="b">
        <v>0</v>
      </c>
      <c r="F1433" t="b">
        <v>0</v>
      </c>
      <c r="H1433" t="s">
        <v>37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>
        <v>1</v>
      </c>
      <c r="AB1433">
        <v>0</v>
      </c>
      <c r="AC1433">
        <f>VLOOKUP(A:A,[1]android_repos_all_metrics!B:K,4,FALSE)</f>
        <v>4</v>
      </c>
      <c r="AD1433">
        <f>VLOOKUP(A:A,[1]android_repos_all_metrics!B:K,5,FALSE)</f>
        <v>0</v>
      </c>
      <c r="AE1433">
        <f>VLOOKUP(A:A,[1]android_repos_all_metrics!B:K,6,FALSE)</f>
        <v>1</v>
      </c>
      <c r="AF1433">
        <f>VLOOKUP(A:A,[1]android_repos_all_metrics!B:K,7,FALSE)</f>
        <v>144</v>
      </c>
      <c r="AG1433">
        <f>VLOOKUP(A:A,[1]android_repos_all_metrics!B:K,8,FALSE)</f>
        <v>0</v>
      </c>
      <c r="AH1433">
        <f>VLOOKUP(A:A,[1]android_repos_all_metrics!B:K,9,FALSE)</f>
        <v>2</v>
      </c>
      <c r="AI1433">
        <f>VLOOKUP(A:A,[1]android_repos_all_metrics!B:K,10,FALSE)</f>
        <v>1</v>
      </c>
    </row>
    <row r="1434" spans="1:35">
      <c r="A1434" t="s">
        <v>1500</v>
      </c>
      <c r="B1434" t="b">
        <v>1</v>
      </c>
      <c r="C1434" t="b">
        <v>0</v>
      </c>
      <c r="D1434" t="b">
        <v>0</v>
      </c>
      <c r="F1434" t="b">
        <v>0</v>
      </c>
      <c r="H1434" t="s">
        <v>37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>
        <v>1</v>
      </c>
      <c r="AB1434">
        <v>0</v>
      </c>
      <c r="AC1434">
        <f>VLOOKUP(A:A,[1]android_repos_all_metrics!B:K,4,FALSE)</f>
        <v>29</v>
      </c>
      <c r="AD1434">
        <f>VLOOKUP(A:A,[1]android_repos_all_metrics!B:K,5,FALSE)</f>
        <v>3</v>
      </c>
      <c r="AE1434">
        <f>VLOOKUP(A:A,[1]android_repos_all_metrics!B:K,6,FALSE)</f>
        <v>3</v>
      </c>
      <c r="AF1434">
        <f>VLOOKUP(A:A,[1]android_repos_all_metrics!B:K,7,FALSE)</f>
        <v>994</v>
      </c>
      <c r="AG1434">
        <f>VLOOKUP(A:A,[1]android_repos_all_metrics!B:K,8,FALSE)</f>
        <v>17</v>
      </c>
      <c r="AH1434">
        <f>VLOOKUP(A:A,[1]android_repos_all_metrics!B:K,9,FALSE)</f>
        <v>59</v>
      </c>
      <c r="AI1434">
        <f>VLOOKUP(A:A,[1]android_repos_all_metrics!B:K,10,FALSE)</f>
        <v>6</v>
      </c>
    </row>
    <row r="1435" spans="1:35">
      <c r="A1435" t="s">
        <v>1501</v>
      </c>
      <c r="B1435" t="b">
        <v>0</v>
      </c>
      <c r="C1435" t="b">
        <v>0</v>
      </c>
      <c r="D1435" t="b">
        <v>0</v>
      </c>
      <c r="F1435" t="b">
        <v>0</v>
      </c>
      <c r="H1435" t="s">
        <v>41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>
        <v>1</v>
      </c>
      <c r="AB1435">
        <v>0</v>
      </c>
      <c r="AC1435">
        <f>VLOOKUP(A:A,[1]android_repos_all_metrics!B:K,4,FALSE)</f>
        <v>13</v>
      </c>
      <c r="AD1435">
        <f>VLOOKUP(A:A,[1]android_repos_all_metrics!B:K,5,FALSE)</f>
        <v>0</v>
      </c>
      <c r="AE1435">
        <f>VLOOKUP(A:A,[1]android_repos_all_metrics!B:K,6,FALSE)</f>
        <v>1</v>
      </c>
      <c r="AF1435">
        <f>VLOOKUP(A:A,[1]android_repos_all_metrics!B:K,7,FALSE)</f>
        <v>7070</v>
      </c>
      <c r="AG1435">
        <f>VLOOKUP(A:A,[1]android_repos_all_metrics!B:K,8,FALSE)</f>
        <v>22</v>
      </c>
      <c r="AH1435">
        <f>VLOOKUP(A:A,[1]android_repos_all_metrics!B:K,9,FALSE)</f>
        <v>54</v>
      </c>
      <c r="AI1435">
        <f>VLOOKUP(A:A,[1]android_repos_all_metrics!B:K,10,FALSE)</f>
        <v>0</v>
      </c>
    </row>
    <row r="1436" spans="1:35">
      <c r="A1436" t="s">
        <v>1502</v>
      </c>
      <c r="B1436" t="b">
        <v>1</v>
      </c>
      <c r="C1436" t="b">
        <v>0</v>
      </c>
      <c r="D1436" t="b">
        <v>0</v>
      </c>
      <c r="F1436" t="b">
        <v>0</v>
      </c>
      <c r="H1436" t="s">
        <v>41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>
        <v>1</v>
      </c>
      <c r="AB1436">
        <v>0</v>
      </c>
      <c r="AC1436">
        <f>VLOOKUP(A:A,[1]android_repos_all_metrics!B:K,4,FALSE)</f>
        <v>64</v>
      </c>
      <c r="AD1436">
        <f>VLOOKUP(A:A,[1]android_repos_all_metrics!B:K,5,FALSE)</f>
        <v>10</v>
      </c>
      <c r="AE1436">
        <f>VLOOKUP(A:A,[1]android_repos_all_metrics!B:K,6,FALSE)</f>
        <v>2</v>
      </c>
      <c r="AF1436">
        <f>VLOOKUP(A:A,[1]android_repos_all_metrics!B:K,7,FALSE)</f>
        <v>211</v>
      </c>
      <c r="AG1436">
        <f>VLOOKUP(A:A,[1]android_repos_all_metrics!B:K,8,FALSE)</f>
        <v>1</v>
      </c>
      <c r="AH1436">
        <f>VLOOKUP(A:A,[1]android_repos_all_metrics!B:K,9,FALSE)</f>
        <v>1</v>
      </c>
      <c r="AI1436">
        <f>VLOOKUP(A:A,[1]android_repos_all_metrics!B:K,10,FALSE)</f>
        <v>4</v>
      </c>
    </row>
    <row r="1437" spans="1:35">
      <c r="A1437" t="s">
        <v>1503</v>
      </c>
      <c r="B1437" t="b">
        <v>1</v>
      </c>
      <c r="C1437" t="b">
        <v>0</v>
      </c>
      <c r="D1437" t="b">
        <v>0</v>
      </c>
      <c r="F1437" t="b">
        <v>0</v>
      </c>
      <c r="H1437" t="s">
        <v>37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>
        <v>1</v>
      </c>
      <c r="AB1437">
        <v>0</v>
      </c>
      <c r="AC1437">
        <f>VLOOKUP(A:A,[1]android_repos_all_metrics!B:K,4,FALSE)</f>
        <v>211</v>
      </c>
      <c r="AD1437">
        <f>VLOOKUP(A:A,[1]android_repos_all_metrics!B:K,5,FALSE)</f>
        <v>1</v>
      </c>
      <c r="AE1437">
        <f>VLOOKUP(A:A,[1]android_repos_all_metrics!B:K,6,FALSE)</f>
        <v>2</v>
      </c>
      <c r="AF1437">
        <f>VLOOKUP(A:A,[1]android_repos_all_metrics!B:K,7,FALSE)</f>
        <v>684</v>
      </c>
      <c r="AG1437">
        <f>VLOOKUP(A:A,[1]android_repos_all_metrics!B:K,8,FALSE)</f>
        <v>8</v>
      </c>
      <c r="AH1437">
        <f>VLOOKUP(A:A,[1]android_repos_all_metrics!B:K,9,FALSE)</f>
        <v>103</v>
      </c>
      <c r="AI1437">
        <f>VLOOKUP(A:A,[1]android_repos_all_metrics!B:K,10,FALSE)</f>
        <v>2</v>
      </c>
    </row>
    <row r="1438" spans="1:35">
      <c r="A1438" t="s">
        <v>1504</v>
      </c>
      <c r="B1438" t="b">
        <v>1</v>
      </c>
      <c r="C1438" t="b">
        <v>0</v>
      </c>
      <c r="D1438" t="b">
        <v>0</v>
      </c>
      <c r="F1438" t="b">
        <v>0</v>
      </c>
      <c r="H1438" t="s">
        <v>37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>
        <v>2</v>
      </c>
      <c r="AB1438">
        <v>0</v>
      </c>
      <c r="AC1438">
        <f>VLOOKUP(A:A,[1]android_repos_all_metrics!B:K,4,FALSE)</f>
        <v>436</v>
      </c>
      <c r="AD1438">
        <f>VLOOKUP(A:A,[1]android_repos_all_metrics!B:K,5,FALSE)</f>
        <v>10</v>
      </c>
      <c r="AE1438">
        <f>VLOOKUP(A:A,[1]android_repos_all_metrics!B:K,6,FALSE)</f>
        <v>3</v>
      </c>
      <c r="AF1438">
        <f>VLOOKUP(A:A,[1]android_repos_all_metrics!B:K,7,FALSE)</f>
        <v>2592</v>
      </c>
      <c r="AG1438">
        <f>VLOOKUP(A:A,[1]android_repos_all_metrics!B:K,8,FALSE)</f>
        <v>12</v>
      </c>
      <c r="AH1438">
        <f>VLOOKUP(A:A,[1]android_repos_all_metrics!B:K,9,FALSE)</f>
        <v>45</v>
      </c>
      <c r="AI1438">
        <f>VLOOKUP(A:A,[1]android_repos_all_metrics!B:K,10,FALSE)</f>
        <v>1</v>
      </c>
    </row>
    <row r="1439" spans="1:35">
      <c r="A1439" t="s">
        <v>1505</v>
      </c>
      <c r="B1439" t="b">
        <v>1</v>
      </c>
      <c r="C1439" t="b">
        <v>0</v>
      </c>
      <c r="D1439" t="b">
        <v>0</v>
      </c>
      <c r="F1439" t="b">
        <v>0</v>
      </c>
      <c r="H1439" t="s">
        <v>37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>
        <v>3</v>
      </c>
      <c r="AB1439">
        <v>0</v>
      </c>
      <c r="AC1439">
        <f>VLOOKUP(A:A,[1]android_repos_all_metrics!B:K,4,FALSE)</f>
        <v>0</v>
      </c>
      <c r="AD1439">
        <f>VLOOKUP(A:A,[1]android_repos_all_metrics!B:K,5,FALSE)</f>
        <v>0</v>
      </c>
      <c r="AE1439">
        <f>VLOOKUP(A:A,[1]android_repos_all_metrics!B:K,6,FALSE)</f>
        <v>0</v>
      </c>
      <c r="AF1439">
        <f>VLOOKUP(A:A,[1]android_repos_all_metrics!B:K,7,FALSE)</f>
        <v>32374</v>
      </c>
      <c r="AG1439">
        <f>VLOOKUP(A:A,[1]android_repos_all_metrics!B:K,8,FALSE)</f>
        <v>3</v>
      </c>
      <c r="AH1439">
        <f>VLOOKUP(A:A,[1]android_repos_all_metrics!B:K,9,FALSE)</f>
        <v>5</v>
      </c>
      <c r="AI1439">
        <f>VLOOKUP(A:A,[1]android_repos_all_metrics!B:K,10,FALSE)</f>
        <v>0</v>
      </c>
    </row>
    <row r="1440" spans="1:35">
      <c r="A1440" t="s">
        <v>1506</v>
      </c>
      <c r="B1440" t="b">
        <v>1</v>
      </c>
      <c r="C1440" t="b">
        <v>0</v>
      </c>
      <c r="D1440" t="b">
        <v>0</v>
      </c>
      <c r="F1440" t="b">
        <v>0</v>
      </c>
      <c r="H1440" t="s">
        <v>37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>
        <v>3</v>
      </c>
      <c r="AB1440">
        <v>0</v>
      </c>
      <c r="AC1440">
        <f>VLOOKUP(A:A,[1]android_repos_all_metrics!B:K,4,FALSE)</f>
        <v>37</v>
      </c>
      <c r="AD1440">
        <f>VLOOKUP(A:A,[1]android_repos_all_metrics!B:K,5,FALSE)</f>
        <v>2</v>
      </c>
      <c r="AE1440">
        <f>VLOOKUP(A:A,[1]android_repos_all_metrics!B:K,6,FALSE)</f>
        <v>1</v>
      </c>
      <c r="AF1440">
        <f>VLOOKUP(A:A,[1]android_repos_all_metrics!B:K,7,FALSE)</f>
        <v>401</v>
      </c>
      <c r="AG1440">
        <f>VLOOKUP(A:A,[1]android_repos_all_metrics!B:K,8,FALSE)</f>
        <v>0</v>
      </c>
      <c r="AH1440">
        <f>VLOOKUP(A:A,[1]android_repos_all_metrics!B:K,9,FALSE)</f>
        <v>2</v>
      </c>
      <c r="AI1440">
        <f>VLOOKUP(A:A,[1]android_repos_all_metrics!B:K,10,FALSE)</f>
        <v>5</v>
      </c>
    </row>
    <row r="1441" spans="1:35">
      <c r="A1441" t="s">
        <v>1507</v>
      </c>
      <c r="B1441" t="b">
        <v>1</v>
      </c>
      <c r="C1441" t="b">
        <v>0</v>
      </c>
      <c r="D1441" t="b">
        <v>0</v>
      </c>
      <c r="F1441" t="b">
        <v>0</v>
      </c>
      <c r="H1441" t="s">
        <v>37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>
        <v>1</v>
      </c>
      <c r="AB1441">
        <v>0</v>
      </c>
      <c r="AC1441">
        <f>VLOOKUP(A:A,[1]android_repos_all_metrics!B:K,4,FALSE)</f>
        <v>116</v>
      </c>
      <c r="AD1441">
        <f>VLOOKUP(A:A,[1]android_repos_all_metrics!B:K,5,FALSE)</f>
        <v>0</v>
      </c>
      <c r="AE1441">
        <f>VLOOKUP(A:A,[1]android_repos_all_metrics!B:K,6,FALSE)</f>
        <v>1</v>
      </c>
      <c r="AF1441">
        <f>VLOOKUP(A:A,[1]android_repos_all_metrics!B:K,7,FALSE)</f>
        <v>25468</v>
      </c>
      <c r="AG1441">
        <f>VLOOKUP(A:A,[1]android_repos_all_metrics!B:K,8,FALSE)</f>
        <v>3</v>
      </c>
      <c r="AH1441">
        <f>VLOOKUP(A:A,[1]android_repos_all_metrics!B:K,9,FALSE)</f>
        <v>11</v>
      </c>
      <c r="AI1441">
        <f>VLOOKUP(A:A,[1]android_repos_all_metrics!B:K,10,FALSE)</f>
        <v>0</v>
      </c>
    </row>
    <row r="1442" spans="1:35">
      <c r="A1442" t="s">
        <v>1508</v>
      </c>
      <c r="B1442" t="b">
        <v>1</v>
      </c>
      <c r="C1442" t="b">
        <v>0</v>
      </c>
      <c r="D1442" t="b">
        <v>0</v>
      </c>
      <c r="F1442" t="b">
        <v>0</v>
      </c>
      <c r="H1442" t="s">
        <v>37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>
        <v>1</v>
      </c>
      <c r="AB1442">
        <v>0</v>
      </c>
      <c r="AC1442">
        <f>VLOOKUP(A:A,[1]android_repos_all_metrics!B:K,4,FALSE)</f>
        <v>109</v>
      </c>
      <c r="AD1442">
        <f>VLOOKUP(A:A,[1]android_repos_all_metrics!B:K,5,FALSE)</f>
        <v>32</v>
      </c>
      <c r="AE1442">
        <f>VLOOKUP(A:A,[1]android_repos_all_metrics!B:K,6,FALSE)</f>
        <v>14</v>
      </c>
      <c r="AF1442">
        <f>VLOOKUP(A:A,[1]android_repos_all_metrics!B:K,7,FALSE)</f>
        <v>673</v>
      </c>
      <c r="AG1442">
        <f>VLOOKUP(A:A,[1]android_repos_all_metrics!B:K,8,FALSE)</f>
        <v>12</v>
      </c>
      <c r="AH1442">
        <f>VLOOKUP(A:A,[1]android_repos_all_metrics!B:K,9,FALSE)</f>
        <v>8</v>
      </c>
      <c r="AI1442">
        <f>VLOOKUP(A:A,[1]android_repos_all_metrics!B:K,10,FALSE)</f>
        <v>6</v>
      </c>
    </row>
    <row r="1443" spans="1:35">
      <c r="A1443" t="s">
        <v>1509</v>
      </c>
      <c r="B1443" t="b">
        <v>1</v>
      </c>
      <c r="C1443" t="b">
        <v>1</v>
      </c>
      <c r="D1443" t="b">
        <v>1</v>
      </c>
      <c r="E1443" t="s">
        <v>36</v>
      </c>
      <c r="F1443" t="b">
        <v>0</v>
      </c>
      <c r="H1443" t="s">
        <v>37</v>
      </c>
      <c r="I1443" t="s">
        <v>37</v>
      </c>
      <c r="J1443" t="b">
        <v>0</v>
      </c>
      <c r="K1443" t="b">
        <v>0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1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>
        <v>3</v>
      </c>
      <c r="AA1443">
        <v>1</v>
      </c>
      <c r="AB1443">
        <v>0</v>
      </c>
      <c r="AC1443">
        <f>VLOOKUP(A:A,[1]android_repos_all_metrics!B:K,4,FALSE)</f>
        <v>3</v>
      </c>
      <c r="AD1443">
        <f>VLOOKUP(A:A,[1]android_repos_all_metrics!B:K,5,FALSE)</f>
        <v>0</v>
      </c>
      <c r="AE1443">
        <f>VLOOKUP(A:A,[1]android_repos_all_metrics!B:K,6,FALSE)</f>
        <v>1</v>
      </c>
      <c r="AF1443">
        <f>VLOOKUP(A:A,[1]android_repos_all_metrics!B:K,7,FALSE)</f>
        <v>20452</v>
      </c>
      <c r="AG1443">
        <f>VLOOKUP(A:A,[1]android_repos_all_metrics!B:K,8,FALSE)</f>
        <v>1</v>
      </c>
      <c r="AH1443">
        <f>VLOOKUP(A:A,[1]android_repos_all_metrics!B:K,9,FALSE)</f>
        <v>4</v>
      </c>
      <c r="AI1443">
        <f>VLOOKUP(A:A,[1]android_repos_all_metrics!B:K,10,FALSE)</f>
        <v>0</v>
      </c>
    </row>
    <row r="1444" spans="1:35">
      <c r="A1444" t="s">
        <v>1510</v>
      </c>
      <c r="B1444" t="b">
        <v>1</v>
      </c>
      <c r="C1444" t="b">
        <v>0</v>
      </c>
      <c r="D1444" t="b">
        <v>0</v>
      </c>
      <c r="F1444" t="b">
        <v>0</v>
      </c>
      <c r="H1444" t="s">
        <v>41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>
        <v>1</v>
      </c>
      <c r="AB1444">
        <v>0</v>
      </c>
      <c r="AC1444">
        <f>VLOOKUP(A:A,[1]android_repos_all_metrics!B:K,4,FALSE)</f>
        <v>262</v>
      </c>
      <c r="AD1444">
        <f>VLOOKUP(A:A,[1]android_repos_all_metrics!B:K,5,FALSE)</f>
        <v>93</v>
      </c>
      <c r="AE1444">
        <f>VLOOKUP(A:A,[1]android_repos_all_metrics!B:K,6,FALSE)</f>
        <v>15</v>
      </c>
      <c r="AF1444">
        <f>VLOOKUP(A:A,[1]android_repos_all_metrics!B:K,7,FALSE)</f>
        <v>4087</v>
      </c>
      <c r="AG1444">
        <f>VLOOKUP(A:A,[1]android_repos_all_metrics!B:K,8,FALSE)</f>
        <v>6</v>
      </c>
      <c r="AH1444">
        <f>VLOOKUP(A:A,[1]android_repos_all_metrics!B:K,9,FALSE)</f>
        <v>3</v>
      </c>
      <c r="AI1444">
        <f>VLOOKUP(A:A,[1]android_repos_all_metrics!B:K,10,FALSE)</f>
        <v>20</v>
      </c>
    </row>
    <row r="1445" spans="1:35">
      <c r="A1445" t="s">
        <v>1511</v>
      </c>
      <c r="B1445" t="b">
        <v>0</v>
      </c>
      <c r="C1445" t="b">
        <v>0</v>
      </c>
      <c r="D1445" t="b">
        <v>0</v>
      </c>
      <c r="F1445" t="b">
        <v>0</v>
      </c>
      <c r="H1445" t="s">
        <v>41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>
        <v>1</v>
      </c>
      <c r="AB1445">
        <v>0</v>
      </c>
      <c r="AC1445">
        <f>VLOOKUP(A:A,[1]android_repos_all_metrics!B:K,4,FALSE)</f>
        <v>37</v>
      </c>
      <c r="AD1445">
        <f>VLOOKUP(A:A,[1]android_repos_all_metrics!B:K,5,FALSE)</f>
        <v>7</v>
      </c>
      <c r="AE1445">
        <f>VLOOKUP(A:A,[1]android_repos_all_metrics!B:K,6,FALSE)</f>
        <v>2</v>
      </c>
      <c r="AF1445">
        <f>VLOOKUP(A:A,[1]android_repos_all_metrics!B:K,7,FALSE)</f>
        <v>3069</v>
      </c>
      <c r="AG1445">
        <f>VLOOKUP(A:A,[1]android_repos_all_metrics!B:K,8,FALSE)</f>
        <v>1</v>
      </c>
      <c r="AH1445">
        <f>VLOOKUP(A:A,[1]android_repos_all_metrics!B:K,9,FALSE)</f>
        <v>3</v>
      </c>
      <c r="AI1445">
        <f>VLOOKUP(A:A,[1]android_repos_all_metrics!B:K,10,FALSE)</f>
        <v>0</v>
      </c>
    </row>
    <row r="1446" spans="1:35">
      <c r="A1446" t="s">
        <v>1512</v>
      </c>
      <c r="B1446" t="b">
        <v>1</v>
      </c>
      <c r="C1446" t="b">
        <v>1</v>
      </c>
      <c r="D1446" t="b">
        <v>0</v>
      </c>
      <c r="F1446" t="b">
        <v>1</v>
      </c>
      <c r="G1446" t="s">
        <v>39</v>
      </c>
      <c r="H1446" t="s">
        <v>41</v>
      </c>
      <c r="I1446" t="s">
        <v>41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>
        <v>1</v>
      </c>
      <c r="AB1446">
        <v>0</v>
      </c>
      <c r="AC1446">
        <f>VLOOKUP(A:A,[1]android_repos_all_metrics!B:K,4,FALSE)</f>
        <v>25</v>
      </c>
      <c r="AD1446">
        <f>VLOOKUP(A:A,[1]android_repos_all_metrics!B:K,5,FALSE)</f>
        <v>1</v>
      </c>
      <c r="AE1446">
        <f>VLOOKUP(A:A,[1]android_repos_all_metrics!B:K,6,FALSE)</f>
        <v>1</v>
      </c>
      <c r="AF1446">
        <f>VLOOKUP(A:A,[1]android_repos_all_metrics!B:K,7,FALSE)</f>
        <v>610</v>
      </c>
      <c r="AG1446">
        <f>VLOOKUP(A:A,[1]android_repos_all_metrics!B:K,8,FALSE)</f>
        <v>3</v>
      </c>
      <c r="AH1446">
        <f>VLOOKUP(A:A,[1]android_repos_all_metrics!B:K,9,FALSE)</f>
        <v>6</v>
      </c>
      <c r="AI1446">
        <f>VLOOKUP(A:A,[1]android_repos_all_metrics!B:K,10,FALSE)</f>
        <v>0</v>
      </c>
    </row>
    <row r="1447" spans="1:35">
      <c r="A1447" t="s">
        <v>1513</v>
      </c>
      <c r="B1447" t="b">
        <v>0</v>
      </c>
      <c r="C1447" t="b">
        <v>0</v>
      </c>
      <c r="D1447" t="b">
        <v>0</v>
      </c>
      <c r="F1447" t="b">
        <v>0</v>
      </c>
      <c r="H1447" t="s">
        <v>41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>
        <v>1</v>
      </c>
      <c r="AB1447">
        <v>0</v>
      </c>
      <c r="AC1447">
        <f>VLOOKUP(A:A,[1]android_repos_all_metrics!B:K,4,FALSE)</f>
        <v>44</v>
      </c>
      <c r="AD1447">
        <f>VLOOKUP(A:A,[1]android_repos_all_metrics!B:K,5,FALSE)</f>
        <v>0</v>
      </c>
      <c r="AE1447">
        <f>VLOOKUP(A:A,[1]android_repos_all_metrics!B:K,6,FALSE)</f>
        <v>1</v>
      </c>
      <c r="AF1447">
        <f>VLOOKUP(A:A,[1]android_repos_all_metrics!B:K,7,FALSE)</f>
        <v>12680</v>
      </c>
      <c r="AG1447">
        <f>VLOOKUP(A:A,[1]android_repos_all_metrics!B:K,8,FALSE)</f>
        <v>0</v>
      </c>
      <c r="AH1447">
        <f>VLOOKUP(A:A,[1]android_repos_all_metrics!B:K,9,FALSE)</f>
        <v>1</v>
      </c>
      <c r="AI1447">
        <f>VLOOKUP(A:A,[1]android_repos_all_metrics!B:K,10,FALSE)</f>
        <v>0</v>
      </c>
    </row>
    <row r="1448" spans="1:35">
      <c r="A1448" t="s">
        <v>1514</v>
      </c>
      <c r="B1448" t="b">
        <v>1</v>
      </c>
      <c r="C1448" t="b">
        <v>0</v>
      </c>
      <c r="D1448" t="b">
        <v>0</v>
      </c>
      <c r="F1448" t="b">
        <v>0</v>
      </c>
      <c r="H1448" t="s">
        <v>37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>
        <v>1</v>
      </c>
      <c r="AB1448">
        <v>0</v>
      </c>
      <c r="AC1448">
        <f>VLOOKUP(A:A,[1]android_repos_all_metrics!B:K,4,FALSE)</f>
        <v>47</v>
      </c>
      <c r="AD1448">
        <f>VLOOKUP(A:A,[1]android_repos_all_metrics!B:K,5,FALSE)</f>
        <v>1</v>
      </c>
      <c r="AE1448">
        <f>VLOOKUP(A:A,[1]android_repos_all_metrics!B:K,6,FALSE)</f>
        <v>1</v>
      </c>
      <c r="AF1448">
        <f>VLOOKUP(A:A,[1]android_repos_all_metrics!B:K,7,FALSE)</f>
        <v>3136</v>
      </c>
      <c r="AG1448">
        <f>VLOOKUP(A:A,[1]android_repos_all_metrics!B:K,8,FALSE)</f>
        <v>0</v>
      </c>
      <c r="AH1448">
        <f>VLOOKUP(A:A,[1]android_repos_all_metrics!B:K,9,FALSE)</f>
        <v>2</v>
      </c>
      <c r="AI1448">
        <f>VLOOKUP(A:A,[1]android_repos_all_metrics!B:K,10,FALSE)</f>
        <v>0</v>
      </c>
    </row>
    <row r="1449" spans="1:35">
      <c r="A1449" t="s">
        <v>1515</v>
      </c>
      <c r="B1449" t="b">
        <v>1</v>
      </c>
      <c r="C1449" t="b">
        <v>0</v>
      </c>
      <c r="D1449" t="b">
        <v>0</v>
      </c>
      <c r="F1449" t="b">
        <v>0</v>
      </c>
      <c r="H1449" t="s">
        <v>43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>
        <v>1</v>
      </c>
      <c r="AB1449">
        <v>0</v>
      </c>
      <c r="AC1449">
        <f>VLOOKUP(A:A,[1]android_repos_all_metrics!B:K,4,FALSE)</f>
        <v>428</v>
      </c>
      <c r="AD1449">
        <f>VLOOKUP(A:A,[1]android_repos_all_metrics!B:K,5,FALSE)</f>
        <v>37</v>
      </c>
      <c r="AE1449">
        <f>VLOOKUP(A:A,[1]android_repos_all_metrics!B:K,6,FALSE)</f>
        <v>9</v>
      </c>
      <c r="AF1449">
        <f>VLOOKUP(A:A,[1]android_repos_all_metrics!B:K,7,FALSE)</f>
        <v>1257</v>
      </c>
      <c r="AG1449">
        <f>VLOOKUP(A:A,[1]android_repos_all_metrics!B:K,8,FALSE)</f>
        <v>30</v>
      </c>
      <c r="AH1449">
        <f>VLOOKUP(A:A,[1]android_repos_all_metrics!B:K,9,FALSE)</f>
        <v>42</v>
      </c>
      <c r="AI1449">
        <f>VLOOKUP(A:A,[1]android_repos_all_metrics!B:K,10,FALSE)</f>
        <v>26</v>
      </c>
    </row>
    <row r="1450" spans="1:35">
      <c r="A1450" t="s">
        <v>1516</v>
      </c>
      <c r="B1450" t="b">
        <v>1</v>
      </c>
      <c r="C1450" t="b">
        <v>0</v>
      </c>
      <c r="D1450" t="b">
        <v>0</v>
      </c>
      <c r="F1450" t="b">
        <v>0</v>
      </c>
      <c r="H1450" t="s">
        <v>43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>
        <v>1</v>
      </c>
      <c r="AB1450">
        <v>0</v>
      </c>
      <c r="AC1450">
        <f>VLOOKUP(A:A,[1]android_repos_all_metrics!B:K,4,FALSE)</f>
        <v>62</v>
      </c>
      <c r="AD1450">
        <f>VLOOKUP(A:A,[1]android_repos_all_metrics!B:K,5,FALSE)</f>
        <v>6</v>
      </c>
      <c r="AE1450">
        <f>VLOOKUP(A:A,[1]android_repos_all_metrics!B:K,6,FALSE)</f>
        <v>4</v>
      </c>
      <c r="AF1450">
        <f>VLOOKUP(A:A,[1]android_repos_all_metrics!B:K,7,FALSE)</f>
        <v>1330</v>
      </c>
      <c r="AG1450">
        <f>VLOOKUP(A:A,[1]android_repos_all_metrics!B:K,8,FALSE)</f>
        <v>14</v>
      </c>
      <c r="AH1450">
        <f>VLOOKUP(A:A,[1]android_repos_all_metrics!B:K,9,FALSE)</f>
        <v>29</v>
      </c>
      <c r="AI1450">
        <f>VLOOKUP(A:A,[1]android_repos_all_metrics!B:K,10,FALSE)</f>
        <v>14</v>
      </c>
    </row>
    <row r="1451" spans="1:35">
      <c r="A1451" t="s">
        <v>1517</v>
      </c>
      <c r="B1451" t="b">
        <v>1</v>
      </c>
      <c r="C1451" t="b">
        <v>0</v>
      </c>
      <c r="D1451" t="b">
        <v>0</v>
      </c>
      <c r="F1451" t="b">
        <v>0</v>
      </c>
      <c r="H1451" t="s">
        <v>37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>
        <v>1</v>
      </c>
      <c r="AB1451">
        <v>0</v>
      </c>
      <c r="AC1451">
        <f>VLOOKUP(A:A,[1]android_repos_all_metrics!B:K,4,FALSE)</f>
        <v>453</v>
      </c>
      <c r="AD1451">
        <f>VLOOKUP(A:A,[1]android_repos_all_metrics!B:K,5,FALSE)</f>
        <v>7</v>
      </c>
      <c r="AE1451">
        <f>VLOOKUP(A:A,[1]android_repos_all_metrics!B:K,6,FALSE)</f>
        <v>1</v>
      </c>
      <c r="AF1451">
        <f>VLOOKUP(A:A,[1]android_repos_all_metrics!B:K,7,FALSE)</f>
        <v>60563</v>
      </c>
      <c r="AG1451">
        <f>VLOOKUP(A:A,[1]android_repos_all_metrics!B:K,8,FALSE)</f>
        <v>11</v>
      </c>
      <c r="AH1451">
        <f>VLOOKUP(A:A,[1]android_repos_all_metrics!B:K,9,FALSE)</f>
        <v>43</v>
      </c>
      <c r="AI1451">
        <f>VLOOKUP(A:A,[1]android_repos_all_metrics!B:K,10,FALSE)</f>
        <v>1</v>
      </c>
    </row>
    <row r="1452" spans="1:35">
      <c r="A1452" t="s">
        <v>1518</v>
      </c>
      <c r="B1452" t="b">
        <v>1</v>
      </c>
      <c r="C1452" t="b">
        <v>1</v>
      </c>
      <c r="D1452" t="b">
        <v>0</v>
      </c>
      <c r="F1452" t="b">
        <v>1</v>
      </c>
      <c r="G1452" t="s">
        <v>39</v>
      </c>
      <c r="H1452" t="s">
        <v>41</v>
      </c>
      <c r="I1452" t="s">
        <v>41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>
        <v>1</v>
      </c>
      <c r="AB1452">
        <v>0</v>
      </c>
      <c r="AC1452">
        <f>VLOOKUP(A:A,[1]android_repos_all_metrics!B:K,4,FALSE)</f>
        <v>267</v>
      </c>
      <c r="AD1452">
        <f>VLOOKUP(A:A,[1]android_repos_all_metrics!B:K,5,FALSE)</f>
        <v>2</v>
      </c>
      <c r="AE1452">
        <f>VLOOKUP(A:A,[1]android_repos_all_metrics!B:K,6,FALSE)</f>
        <v>2</v>
      </c>
      <c r="AF1452">
        <f>VLOOKUP(A:A,[1]android_repos_all_metrics!B:K,7,FALSE)</f>
        <v>8288</v>
      </c>
      <c r="AG1452">
        <f>VLOOKUP(A:A,[1]android_repos_all_metrics!B:K,8,FALSE)</f>
        <v>28</v>
      </c>
      <c r="AH1452">
        <f>VLOOKUP(A:A,[1]android_repos_all_metrics!B:K,9,FALSE)</f>
        <v>45</v>
      </c>
      <c r="AI1452">
        <f>VLOOKUP(A:A,[1]android_repos_all_metrics!B:K,10,FALSE)</f>
        <v>2</v>
      </c>
    </row>
    <row r="1453" spans="1:35">
      <c r="A1453" t="s">
        <v>1519</v>
      </c>
      <c r="B1453" t="b">
        <v>1</v>
      </c>
      <c r="C1453" t="b">
        <v>0</v>
      </c>
      <c r="D1453" t="b">
        <v>0</v>
      </c>
      <c r="F1453" t="b">
        <v>0</v>
      </c>
      <c r="H1453" t="s">
        <v>407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>
        <v>1</v>
      </c>
      <c r="AB1453">
        <v>0</v>
      </c>
      <c r="AC1453" t="e">
        <f>VLOOKUP(A:A,[1]android_repos_all_metrics!B:K,4,FALSE)</f>
        <v>#N/A</v>
      </c>
      <c r="AD1453" t="e">
        <f>VLOOKUP(A:A,[1]android_repos_all_metrics!B:K,5,FALSE)</f>
        <v>#N/A</v>
      </c>
      <c r="AE1453" t="e">
        <f>VLOOKUP(A:A,[1]android_repos_all_metrics!B:K,6,FALSE)</f>
        <v>#N/A</v>
      </c>
      <c r="AF1453" t="e">
        <f>VLOOKUP(A:A,[1]android_repos_all_metrics!B:K,7,FALSE)</f>
        <v>#N/A</v>
      </c>
      <c r="AG1453" t="e">
        <f>VLOOKUP(A:A,[1]android_repos_all_metrics!B:K,8,FALSE)</f>
        <v>#N/A</v>
      </c>
      <c r="AH1453" t="e">
        <f>VLOOKUP(A:A,[1]android_repos_all_metrics!B:K,9,FALSE)</f>
        <v>#N/A</v>
      </c>
      <c r="AI1453" t="e">
        <f>VLOOKUP(A:A,[1]android_repos_all_metrics!B:K,10,FALSE)</f>
        <v>#N/A</v>
      </c>
    </row>
    <row r="1454" spans="1:35">
      <c r="A1454" t="s">
        <v>1520</v>
      </c>
      <c r="B1454" t="b">
        <v>1</v>
      </c>
      <c r="C1454" t="b">
        <v>0</v>
      </c>
      <c r="D1454" t="b">
        <v>0</v>
      </c>
      <c r="F1454" t="b">
        <v>0</v>
      </c>
      <c r="H1454" t="s">
        <v>37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>
        <v>2</v>
      </c>
      <c r="AB1454">
        <v>0</v>
      </c>
      <c r="AC1454">
        <f>VLOOKUP(A:A,[1]android_repos_all_metrics!B:K,4,FALSE)</f>
        <v>0</v>
      </c>
      <c r="AD1454">
        <f>VLOOKUP(A:A,[1]android_repos_all_metrics!B:K,5,FALSE)</f>
        <v>0</v>
      </c>
      <c r="AE1454">
        <f>VLOOKUP(A:A,[1]android_repos_all_metrics!B:K,6,FALSE)</f>
        <v>0</v>
      </c>
      <c r="AF1454">
        <f>VLOOKUP(A:A,[1]android_repos_all_metrics!B:K,7,FALSE)</f>
        <v>6631</v>
      </c>
      <c r="AG1454">
        <f>VLOOKUP(A:A,[1]android_repos_all_metrics!B:K,8,FALSE)</f>
        <v>1</v>
      </c>
      <c r="AH1454">
        <f>VLOOKUP(A:A,[1]android_repos_all_metrics!B:K,9,FALSE)</f>
        <v>1</v>
      </c>
      <c r="AI1454">
        <f>VLOOKUP(A:A,[1]android_repos_all_metrics!B:K,10,FALSE)</f>
        <v>16</v>
      </c>
    </row>
    <row r="1455" spans="1:35">
      <c r="A1455" t="s">
        <v>1521</v>
      </c>
      <c r="B1455" t="b">
        <v>1</v>
      </c>
      <c r="C1455" t="b">
        <v>0</v>
      </c>
      <c r="D1455" t="b">
        <v>0</v>
      </c>
      <c r="F1455" t="b">
        <v>0</v>
      </c>
      <c r="H1455" t="s">
        <v>37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>
        <v>1</v>
      </c>
      <c r="AB1455">
        <v>0</v>
      </c>
      <c r="AC1455">
        <f>VLOOKUP(A:A,[1]android_repos_all_metrics!B:K,4,FALSE)</f>
        <v>36</v>
      </c>
      <c r="AD1455">
        <f>VLOOKUP(A:A,[1]android_repos_all_metrics!B:K,5,FALSE)</f>
        <v>1</v>
      </c>
      <c r="AE1455">
        <f>VLOOKUP(A:A,[1]android_repos_all_metrics!B:K,6,FALSE)</f>
        <v>2</v>
      </c>
      <c r="AF1455">
        <f>VLOOKUP(A:A,[1]android_repos_all_metrics!B:K,7,FALSE)</f>
        <v>6218</v>
      </c>
      <c r="AG1455">
        <f>VLOOKUP(A:A,[1]android_repos_all_metrics!B:K,8,FALSE)</f>
        <v>1</v>
      </c>
      <c r="AH1455">
        <f>VLOOKUP(A:A,[1]android_repos_all_metrics!B:K,9,FALSE)</f>
        <v>2</v>
      </c>
      <c r="AI1455">
        <f>VLOOKUP(A:A,[1]android_repos_all_metrics!B:K,10,FALSE)</f>
        <v>0</v>
      </c>
    </row>
    <row r="1456" spans="1:35">
      <c r="A1456" t="s">
        <v>1522</v>
      </c>
      <c r="B1456" t="b">
        <v>1</v>
      </c>
      <c r="C1456" t="b">
        <v>0</v>
      </c>
      <c r="D1456" t="b">
        <v>0</v>
      </c>
      <c r="F1456" t="b">
        <v>0</v>
      </c>
      <c r="H1456" t="s">
        <v>41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>
        <v>1</v>
      </c>
      <c r="AB1456">
        <v>0</v>
      </c>
      <c r="AC1456">
        <f>VLOOKUP(A:A,[1]android_repos_all_metrics!B:K,4,FALSE)</f>
        <v>199</v>
      </c>
      <c r="AD1456">
        <f>VLOOKUP(A:A,[1]android_repos_all_metrics!B:K,5,FALSE)</f>
        <v>6</v>
      </c>
      <c r="AE1456">
        <f>VLOOKUP(A:A,[1]android_repos_all_metrics!B:K,6,FALSE)</f>
        <v>2</v>
      </c>
      <c r="AF1456">
        <f>VLOOKUP(A:A,[1]android_repos_all_metrics!B:K,7,FALSE)</f>
        <v>1966</v>
      </c>
      <c r="AG1456">
        <f>VLOOKUP(A:A,[1]android_repos_all_metrics!B:K,8,FALSE)</f>
        <v>4</v>
      </c>
      <c r="AH1456">
        <f>VLOOKUP(A:A,[1]android_repos_all_metrics!B:K,9,FALSE)</f>
        <v>14</v>
      </c>
      <c r="AI1456">
        <f>VLOOKUP(A:A,[1]android_repos_all_metrics!B:K,10,FALSE)</f>
        <v>9</v>
      </c>
    </row>
    <row r="1457" spans="1:35">
      <c r="A1457" t="s">
        <v>1523</v>
      </c>
      <c r="B1457" t="b">
        <v>1</v>
      </c>
      <c r="C1457" t="b">
        <v>0</v>
      </c>
      <c r="D1457" t="b">
        <v>0</v>
      </c>
      <c r="F1457" t="b">
        <v>0</v>
      </c>
      <c r="H1457" t="s">
        <v>76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>
        <v>1</v>
      </c>
      <c r="AB1457">
        <v>0</v>
      </c>
      <c r="AC1457">
        <f>VLOOKUP(A:A,[1]android_repos_all_metrics!B:K,4,FALSE)</f>
        <v>2232</v>
      </c>
      <c r="AD1457">
        <f>VLOOKUP(A:A,[1]android_repos_all_metrics!B:K,5,FALSE)</f>
        <v>621</v>
      </c>
      <c r="AE1457">
        <f>VLOOKUP(A:A,[1]android_repos_all_metrics!B:K,6,FALSE)</f>
        <v>26</v>
      </c>
      <c r="AF1457">
        <f>VLOOKUP(A:A,[1]android_repos_all_metrics!B:K,7,FALSE)</f>
        <v>33823</v>
      </c>
      <c r="AG1457">
        <f>VLOOKUP(A:A,[1]android_repos_all_metrics!B:K,8,FALSE)</f>
        <v>47</v>
      </c>
      <c r="AH1457">
        <f>VLOOKUP(A:A,[1]android_repos_all_metrics!B:K,9,FALSE)</f>
        <v>168</v>
      </c>
      <c r="AI1457">
        <f>VLOOKUP(A:A,[1]android_repos_all_metrics!B:K,10,FALSE)</f>
        <v>41</v>
      </c>
    </row>
    <row r="1458" spans="1:35">
      <c r="A1458" t="s">
        <v>1524</v>
      </c>
      <c r="B1458" t="b">
        <v>1</v>
      </c>
      <c r="C1458" t="b">
        <v>1</v>
      </c>
      <c r="D1458" t="b">
        <v>1</v>
      </c>
      <c r="E1458" t="s">
        <v>36</v>
      </c>
      <c r="F1458" t="b">
        <v>0</v>
      </c>
      <c r="H1458" t="s">
        <v>37</v>
      </c>
      <c r="I1458" t="s">
        <v>37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>
        <v>1</v>
      </c>
      <c r="AA1458">
        <v>1</v>
      </c>
      <c r="AB1458">
        <v>0</v>
      </c>
      <c r="AC1458">
        <f>VLOOKUP(A:A,[1]android_repos_all_metrics!B:K,4,FALSE)</f>
        <v>84</v>
      </c>
      <c r="AD1458">
        <f>VLOOKUP(A:A,[1]android_repos_all_metrics!B:K,5,FALSE)</f>
        <v>0</v>
      </c>
      <c r="AE1458">
        <f>VLOOKUP(A:A,[1]android_repos_all_metrics!B:K,6,FALSE)</f>
        <v>2</v>
      </c>
      <c r="AF1458">
        <f>VLOOKUP(A:A,[1]android_repos_all_metrics!B:K,7,FALSE)</f>
        <v>1126</v>
      </c>
      <c r="AG1458">
        <f>VLOOKUP(A:A,[1]android_repos_all_metrics!B:K,8,FALSE)</f>
        <v>0</v>
      </c>
      <c r="AH1458">
        <f>VLOOKUP(A:A,[1]android_repos_all_metrics!B:K,9,FALSE)</f>
        <v>3</v>
      </c>
      <c r="AI1458">
        <f>VLOOKUP(A:A,[1]android_repos_all_metrics!B:K,10,FALSE)</f>
        <v>0</v>
      </c>
    </row>
    <row r="1459" spans="1:35">
      <c r="A1459" t="s">
        <v>1525</v>
      </c>
      <c r="B1459" t="b">
        <v>1</v>
      </c>
      <c r="C1459" t="b">
        <v>0</v>
      </c>
      <c r="D1459" t="b">
        <v>0</v>
      </c>
      <c r="F1459" t="b">
        <v>0</v>
      </c>
      <c r="H1459" t="s">
        <v>407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>
        <v>1</v>
      </c>
      <c r="AB1459">
        <v>0</v>
      </c>
      <c r="AC1459" t="e">
        <f>VLOOKUP(A:A,[1]android_repos_all_metrics!B:K,4,FALSE)</f>
        <v>#N/A</v>
      </c>
      <c r="AD1459" t="e">
        <f>VLOOKUP(A:A,[1]android_repos_all_metrics!B:K,5,FALSE)</f>
        <v>#N/A</v>
      </c>
      <c r="AE1459" t="e">
        <f>VLOOKUP(A:A,[1]android_repos_all_metrics!B:K,6,FALSE)</f>
        <v>#N/A</v>
      </c>
      <c r="AF1459" t="e">
        <f>VLOOKUP(A:A,[1]android_repos_all_metrics!B:K,7,FALSE)</f>
        <v>#N/A</v>
      </c>
      <c r="AG1459" t="e">
        <f>VLOOKUP(A:A,[1]android_repos_all_metrics!B:K,8,FALSE)</f>
        <v>#N/A</v>
      </c>
      <c r="AH1459" t="e">
        <f>VLOOKUP(A:A,[1]android_repos_all_metrics!B:K,9,FALSE)</f>
        <v>#N/A</v>
      </c>
      <c r="AI1459" t="e">
        <f>VLOOKUP(A:A,[1]android_repos_all_metrics!B:K,10,FALSE)</f>
        <v>#N/A</v>
      </c>
    </row>
    <row r="1460" spans="1:35">
      <c r="A1460" t="s">
        <v>1526</v>
      </c>
      <c r="B1460" t="b">
        <v>1</v>
      </c>
      <c r="C1460" t="b">
        <v>0</v>
      </c>
      <c r="D1460" t="b">
        <v>0</v>
      </c>
      <c r="F1460" t="b">
        <v>0</v>
      </c>
      <c r="H1460" t="s">
        <v>37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>
        <v>1</v>
      </c>
      <c r="AB1460">
        <v>0</v>
      </c>
      <c r="AC1460">
        <f>VLOOKUP(A:A,[1]android_repos_all_metrics!B:K,4,FALSE)</f>
        <v>145</v>
      </c>
      <c r="AD1460">
        <f>VLOOKUP(A:A,[1]android_repos_all_metrics!B:K,5,FALSE)</f>
        <v>6</v>
      </c>
      <c r="AE1460">
        <f>VLOOKUP(A:A,[1]android_repos_all_metrics!B:K,6,FALSE)</f>
        <v>1</v>
      </c>
      <c r="AF1460">
        <f>VLOOKUP(A:A,[1]android_repos_all_metrics!B:K,7,FALSE)</f>
        <v>5949</v>
      </c>
      <c r="AG1460">
        <f>VLOOKUP(A:A,[1]android_repos_all_metrics!B:K,8,FALSE)</f>
        <v>0</v>
      </c>
      <c r="AH1460">
        <f>VLOOKUP(A:A,[1]android_repos_all_metrics!B:K,9,FALSE)</f>
        <v>6</v>
      </c>
      <c r="AI1460">
        <f>VLOOKUP(A:A,[1]android_repos_all_metrics!B:K,10,FALSE)</f>
        <v>3</v>
      </c>
    </row>
    <row r="1461" spans="1:35">
      <c r="A1461" t="s">
        <v>1527</v>
      </c>
      <c r="B1461" t="b">
        <v>0</v>
      </c>
      <c r="C1461" t="b">
        <v>0</v>
      </c>
      <c r="D1461" t="b">
        <v>0</v>
      </c>
      <c r="F1461" t="b">
        <v>0</v>
      </c>
      <c r="H1461" t="s">
        <v>41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>
        <v>1</v>
      </c>
      <c r="AB1461">
        <v>0</v>
      </c>
      <c r="AC1461">
        <f>VLOOKUP(A:A,[1]android_repos_all_metrics!B:K,4,FALSE)</f>
        <v>5</v>
      </c>
      <c r="AD1461">
        <f>VLOOKUP(A:A,[1]android_repos_all_metrics!B:K,5,FALSE)</f>
        <v>0</v>
      </c>
      <c r="AE1461">
        <f>VLOOKUP(A:A,[1]android_repos_all_metrics!B:K,6,FALSE)</f>
        <v>1</v>
      </c>
      <c r="AF1461">
        <f>VLOOKUP(A:A,[1]android_repos_all_metrics!B:K,7,FALSE)</f>
        <v>6518</v>
      </c>
      <c r="AG1461">
        <f>VLOOKUP(A:A,[1]android_repos_all_metrics!B:K,8,FALSE)</f>
        <v>3</v>
      </c>
      <c r="AH1461">
        <f>VLOOKUP(A:A,[1]android_repos_all_metrics!B:K,9,FALSE)</f>
        <v>11</v>
      </c>
      <c r="AI1461">
        <f>VLOOKUP(A:A,[1]android_repos_all_metrics!B:K,10,FALSE)</f>
        <v>0</v>
      </c>
    </row>
    <row r="1462" spans="1:35">
      <c r="A1462" t="s">
        <v>1528</v>
      </c>
      <c r="B1462" t="b">
        <v>1</v>
      </c>
      <c r="C1462" t="b">
        <v>0</v>
      </c>
      <c r="D1462" t="b">
        <v>0</v>
      </c>
      <c r="F1462" t="b">
        <v>0</v>
      </c>
      <c r="H1462" t="s">
        <v>1529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>
        <v>4</v>
      </c>
      <c r="AB1462">
        <v>0</v>
      </c>
      <c r="AC1462">
        <f>VLOOKUP(A:A,[1]android_repos_all_metrics!B:K,4,FALSE)</f>
        <v>29</v>
      </c>
      <c r="AD1462">
        <f>VLOOKUP(A:A,[1]android_repos_all_metrics!B:K,5,FALSE)</f>
        <v>27</v>
      </c>
      <c r="AE1462">
        <f>VLOOKUP(A:A,[1]android_repos_all_metrics!B:K,6,FALSE)</f>
        <v>3</v>
      </c>
      <c r="AF1462">
        <f>VLOOKUP(A:A,[1]android_repos_all_metrics!B:K,7,FALSE)</f>
        <v>1333</v>
      </c>
      <c r="AG1462">
        <f>VLOOKUP(A:A,[1]android_repos_all_metrics!B:K,8,FALSE)</f>
        <v>13</v>
      </c>
      <c r="AH1462">
        <f>VLOOKUP(A:A,[1]android_repos_all_metrics!B:K,9,FALSE)</f>
        <v>10</v>
      </c>
      <c r="AI1462">
        <f>VLOOKUP(A:A,[1]android_repos_all_metrics!B:K,10,FALSE)</f>
        <v>19</v>
      </c>
    </row>
    <row r="1463" spans="1:35">
      <c r="A1463" t="s">
        <v>1530</v>
      </c>
      <c r="B1463" t="b">
        <v>1</v>
      </c>
      <c r="C1463" t="b">
        <v>0</v>
      </c>
      <c r="D1463" t="b">
        <v>0</v>
      </c>
      <c r="F1463" t="b">
        <v>0</v>
      </c>
      <c r="H1463" t="s">
        <v>86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>
        <v>3</v>
      </c>
      <c r="AB1463">
        <v>0</v>
      </c>
      <c r="AC1463">
        <f>VLOOKUP(A:A,[1]android_repos_all_metrics!B:K,4,FALSE)</f>
        <v>444</v>
      </c>
      <c r="AD1463">
        <f>VLOOKUP(A:A,[1]android_repos_all_metrics!B:K,5,FALSE)</f>
        <v>91</v>
      </c>
      <c r="AE1463">
        <f>VLOOKUP(A:A,[1]android_repos_all_metrics!B:K,6,FALSE)</f>
        <v>2</v>
      </c>
      <c r="AF1463">
        <f>VLOOKUP(A:A,[1]android_repos_all_metrics!B:K,7,FALSE)</f>
        <v>65491</v>
      </c>
      <c r="AG1463">
        <f>VLOOKUP(A:A,[1]android_repos_all_metrics!B:K,8,FALSE)</f>
        <v>10</v>
      </c>
      <c r="AH1463">
        <f>VLOOKUP(A:A,[1]android_repos_all_metrics!B:K,9,FALSE)</f>
        <v>40</v>
      </c>
      <c r="AI1463">
        <f>VLOOKUP(A:A,[1]android_repos_all_metrics!B:K,10,FALSE)</f>
        <v>24</v>
      </c>
    </row>
    <row r="1464" spans="1:35">
      <c r="A1464" t="s">
        <v>1531</v>
      </c>
      <c r="B1464" t="b">
        <v>1</v>
      </c>
      <c r="C1464" t="b">
        <v>1</v>
      </c>
      <c r="D1464" t="b">
        <v>0</v>
      </c>
      <c r="F1464" t="b">
        <v>1</v>
      </c>
      <c r="G1464" t="s">
        <v>39</v>
      </c>
      <c r="H1464" t="s">
        <v>41</v>
      </c>
      <c r="I1464" t="s">
        <v>41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>
        <v>1</v>
      </c>
      <c r="AB1464">
        <v>0</v>
      </c>
      <c r="AC1464">
        <f>VLOOKUP(A:A,[1]android_repos_all_metrics!B:K,4,FALSE)</f>
        <v>231</v>
      </c>
      <c r="AD1464">
        <f>VLOOKUP(A:A,[1]android_repos_all_metrics!B:K,5,FALSE)</f>
        <v>47</v>
      </c>
      <c r="AE1464">
        <f>VLOOKUP(A:A,[1]android_repos_all_metrics!B:K,6,FALSE)</f>
        <v>11</v>
      </c>
      <c r="AF1464">
        <f>VLOOKUP(A:A,[1]android_repos_all_metrics!B:K,7,FALSE)</f>
        <v>5486</v>
      </c>
      <c r="AG1464">
        <f>VLOOKUP(A:A,[1]android_repos_all_metrics!B:K,8,FALSE)</f>
        <v>21</v>
      </c>
      <c r="AH1464">
        <f>VLOOKUP(A:A,[1]android_repos_all_metrics!B:K,9,FALSE)</f>
        <v>71</v>
      </c>
      <c r="AI1464">
        <f>VLOOKUP(A:A,[1]android_repos_all_metrics!B:K,10,FALSE)</f>
        <v>5</v>
      </c>
    </row>
    <row r="1465" spans="1:35">
      <c r="A1465" t="s">
        <v>1532</v>
      </c>
      <c r="B1465" t="b">
        <v>1</v>
      </c>
      <c r="C1465" t="b">
        <v>0</v>
      </c>
      <c r="D1465" t="b">
        <v>0</v>
      </c>
      <c r="F1465" t="b">
        <v>0</v>
      </c>
      <c r="H1465" t="s">
        <v>37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>
        <v>1</v>
      </c>
      <c r="AB1465">
        <v>0</v>
      </c>
      <c r="AC1465">
        <f>VLOOKUP(A:A,[1]android_repos_all_metrics!B:K,4,FALSE)</f>
        <v>226</v>
      </c>
      <c r="AD1465">
        <f>VLOOKUP(A:A,[1]android_repos_all_metrics!B:K,5,FALSE)</f>
        <v>0</v>
      </c>
      <c r="AE1465">
        <f>VLOOKUP(A:A,[1]android_repos_all_metrics!B:K,6,FALSE)</f>
        <v>1</v>
      </c>
      <c r="AF1465">
        <f>VLOOKUP(A:A,[1]android_repos_all_metrics!B:K,7,FALSE)</f>
        <v>1584</v>
      </c>
      <c r="AG1465">
        <f>VLOOKUP(A:A,[1]android_repos_all_metrics!B:K,8,FALSE)</f>
        <v>2</v>
      </c>
      <c r="AH1465">
        <f>VLOOKUP(A:A,[1]android_repos_all_metrics!B:K,9,FALSE)</f>
        <v>7</v>
      </c>
      <c r="AI1465">
        <f>VLOOKUP(A:A,[1]android_repos_all_metrics!B:K,10,FALSE)</f>
        <v>0</v>
      </c>
    </row>
    <row r="1466" spans="1:35">
      <c r="A1466" t="s">
        <v>1533</v>
      </c>
      <c r="B1466" t="b">
        <v>1</v>
      </c>
      <c r="C1466" t="b">
        <v>0</v>
      </c>
      <c r="D1466" t="b">
        <v>0</v>
      </c>
      <c r="F1466" t="b">
        <v>0</v>
      </c>
      <c r="H1466" t="s">
        <v>37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>
        <v>6</v>
      </c>
      <c r="AB1466">
        <v>0</v>
      </c>
      <c r="AC1466">
        <f>VLOOKUP(A:A,[1]android_repos_all_metrics!B:K,4,FALSE)</f>
        <v>441</v>
      </c>
      <c r="AD1466">
        <f>VLOOKUP(A:A,[1]android_repos_all_metrics!B:K,5,FALSE)</f>
        <v>1</v>
      </c>
      <c r="AE1466">
        <f>VLOOKUP(A:A,[1]android_repos_all_metrics!B:K,6,FALSE)</f>
        <v>1</v>
      </c>
      <c r="AF1466">
        <f>VLOOKUP(A:A,[1]android_repos_all_metrics!B:K,7,FALSE)</f>
        <v>3555</v>
      </c>
      <c r="AG1466">
        <f>VLOOKUP(A:A,[1]android_repos_all_metrics!B:K,8,FALSE)</f>
        <v>54</v>
      </c>
      <c r="AH1466">
        <f>VLOOKUP(A:A,[1]android_repos_all_metrics!B:K,9,FALSE)</f>
        <v>807</v>
      </c>
      <c r="AI1466">
        <f>VLOOKUP(A:A,[1]android_repos_all_metrics!B:K,10,FALSE)</f>
        <v>1</v>
      </c>
    </row>
    <row r="1467" spans="1:35">
      <c r="A1467" t="s">
        <v>1534</v>
      </c>
      <c r="B1467" t="b">
        <v>0</v>
      </c>
      <c r="C1467" t="b">
        <v>0</v>
      </c>
      <c r="D1467" t="b">
        <v>0</v>
      </c>
      <c r="F1467" t="b">
        <v>0</v>
      </c>
      <c r="H1467" t="s">
        <v>41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>
        <v>1</v>
      </c>
      <c r="AB1467">
        <v>0</v>
      </c>
      <c r="AC1467">
        <f>VLOOKUP(A:A,[1]android_repos_all_metrics!B:K,4,FALSE)</f>
        <v>856</v>
      </c>
      <c r="AD1467">
        <f>VLOOKUP(A:A,[1]android_repos_all_metrics!B:K,5,FALSE)</f>
        <v>88</v>
      </c>
      <c r="AE1467">
        <f>VLOOKUP(A:A,[1]android_repos_all_metrics!B:K,6,FALSE)</f>
        <v>15</v>
      </c>
      <c r="AF1467">
        <f>VLOOKUP(A:A,[1]android_repos_all_metrics!B:K,7,FALSE)</f>
        <v>90143</v>
      </c>
      <c r="AG1467">
        <f>VLOOKUP(A:A,[1]android_repos_all_metrics!B:K,8,FALSE)</f>
        <v>36</v>
      </c>
      <c r="AH1467">
        <f>VLOOKUP(A:A,[1]android_repos_all_metrics!B:K,9,FALSE)</f>
        <v>89</v>
      </c>
      <c r="AI1467">
        <f>VLOOKUP(A:A,[1]android_repos_all_metrics!B:K,10,FALSE)</f>
        <v>61</v>
      </c>
    </row>
    <row r="1468" spans="1:35">
      <c r="A1468" t="s">
        <v>1535</v>
      </c>
      <c r="B1468" t="b">
        <v>1</v>
      </c>
      <c r="C1468" t="b">
        <v>0</v>
      </c>
      <c r="D1468" t="b">
        <v>0</v>
      </c>
      <c r="F1468" t="b">
        <v>0</v>
      </c>
      <c r="H1468" t="s">
        <v>37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>
        <v>1</v>
      </c>
      <c r="AB1468">
        <v>0</v>
      </c>
      <c r="AC1468">
        <f>VLOOKUP(A:A,[1]android_repos_all_metrics!B:K,4,FALSE)</f>
        <v>300</v>
      </c>
      <c r="AD1468">
        <f>VLOOKUP(A:A,[1]android_repos_all_metrics!B:K,5,FALSE)</f>
        <v>0</v>
      </c>
      <c r="AE1468">
        <f>VLOOKUP(A:A,[1]android_repos_all_metrics!B:K,6,FALSE)</f>
        <v>1</v>
      </c>
      <c r="AF1468">
        <f>VLOOKUP(A:A,[1]android_repos_all_metrics!B:K,7,FALSE)</f>
        <v>3345</v>
      </c>
      <c r="AG1468">
        <f>VLOOKUP(A:A,[1]android_repos_all_metrics!B:K,8,FALSE)</f>
        <v>0</v>
      </c>
      <c r="AH1468">
        <f>VLOOKUP(A:A,[1]android_repos_all_metrics!B:K,9,FALSE)</f>
        <v>5</v>
      </c>
      <c r="AI1468">
        <f>VLOOKUP(A:A,[1]android_repos_all_metrics!B:K,10,FALSE)</f>
        <v>0</v>
      </c>
    </row>
    <row r="1469" spans="1:35">
      <c r="A1469" t="s">
        <v>1536</v>
      </c>
      <c r="B1469" t="b">
        <v>1</v>
      </c>
      <c r="C1469" t="b">
        <v>0</v>
      </c>
      <c r="D1469" t="b">
        <v>0</v>
      </c>
      <c r="F1469" t="b">
        <v>0</v>
      </c>
      <c r="H1469" t="s">
        <v>41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>
        <v>1</v>
      </c>
      <c r="AB1469">
        <v>0</v>
      </c>
      <c r="AC1469">
        <f>VLOOKUP(A:A,[1]android_repos_all_metrics!B:K,4,FALSE)</f>
        <v>110</v>
      </c>
      <c r="AD1469">
        <f>VLOOKUP(A:A,[1]android_repos_all_metrics!B:K,5,FALSE)</f>
        <v>1</v>
      </c>
      <c r="AE1469">
        <f>VLOOKUP(A:A,[1]android_repos_all_metrics!B:K,6,FALSE)</f>
        <v>1</v>
      </c>
      <c r="AF1469">
        <f>VLOOKUP(A:A,[1]android_repos_all_metrics!B:K,7,FALSE)</f>
        <v>12315</v>
      </c>
      <c r="AG1469">
        <f>VLOOKUP(A:A,[1]android_repos_all_metrics!B:K,8,FALSE)</f>
        <v>37</v>
      </c>
      <c r="AH1469">
        <f>VLOOKUP(A:A,[1]android_repos_all_metrics!B:K,9,FALSE)</f>
        <v>90</v>
      </c>
      <c r="AI1469">
        <f>VLOOKUP(A:A,[1]android_repos_all_metrics!B:K,10,FALSE)</f>
        <v>3</v>
      </c>
    </row>
    <row r="1470" spans="1:35">
      <c r="A1470" t="s">
        <v>1537</v>
      </c>
      <c r="B1470" t="b">
        <v>0</v>
      </c>
      <c r="C1470" t="b">
        <v>0</v>
      </c>
      <c r="D1470" t="b">
        <v>0</v>
      </c>
      <c r="F1470" t="b">
        <v>0</v>
      </c>
      <c r="H1470" t="s">
        <v>41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>
        <v>1</v>
      </c>
      <c r="AB1470">
        <v>0</v>
      </c>
      <c r="AC1470">
        <f>VLOOKUP(A:A,[1]android_repos_all_metrics!B:K,4,FALSE)</f>
        <v>20</v>
      </c>
      <c r="AD1470">
        <f>VLOOKUP(A:A,[1]android_repos_all_metrics!B:K,5,FALSE)</f>
        <v>0</v>
      </c>
      <c r="AE1470">
        <f>VLOOKUP(A:A,[1]android_repos_all_metrics!B:K,6,FALSE)</f>
        <v>1</v>
      </c>
      <c r="AF1470">
        <f>VLOOKUP(A:A,[1]android_repos_all_metrics!B:K,7,FALSE)</f>
        <v>163</v>
      </c>
      <c r="AG1470">
        <f>VLOOKUP(A:A,[1]android_repos_all_metrics!B:K,8,FALSE)</f>
        <v>11</v>
      </c>
      <c r="AH1470">
        <f>VLOOKUP(A:A,[1]android_repos_all_metrics!B:K,9,FALSE)</f>
        <v>103</v>
      </c>
      <c r="AI1470">
        <f>VLOOKUP(A:A,[1]android_repos_all_metrics!B:K,10,FALSE)</f>
        <v>8</v>
      </c>
    </row>
    <row r="1471" spans="1:35">
      <c r="A1471" t="s">
        <v>1538</v>
      </c>
      <c r="B1471" t="b">
        <v>1</v>
      </c>
      <c r="C1471" t="b">
        <v>0</v>
      </c>
      <c r="D1471" t="b">
        <v>0</v>
      </c>
      <c r="F1471" t="b">
        <v>0</v>
      </c>
      <c r="H1471" t="s">
        <v>37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>
        <v>4</v>
      </c>
      <c r="AB1471">
        <v>0</v>
      </c>
      <c r="AC1471">
        <f>VLOOKUP(A:A,[1]android_repos_all_metrics!B:K,4,FALSE)</f>
        <v>6036</v>
      </c>
      <c r="AD1471">
        <f>VLOOKUP(A:A,[1]android_repos_all_metrics!B:K,5,FALSE)</f>
        <v>611</v>
      </c>
      <c r="AE1471">
        <f>VLOOKUP(A:A,[1]android_repos_all_metrics!B:K,6,FALSE)</f>
        <v>113</v>
      </c>
      <c r="AF1471">
        <f>VLOOKUP(A:A,[1]android_repos_all_metrics!B:K,7,FALSE)</f>
        <v>101187</v>
      </c>
      <c r="AG1471">
        <f>VLOOKUP(A:A,[1]android_repos_all_metrics!B:K,8,FALSE)</f>
        <v>94</v>
      </c>
      <c r="AH1471">
        <f>VLOOKUP(A:A,[1]android_repos_all_metrics!B:K,9,FALSE)</f>
        <v>1478</v>
      </c>
      <c r="AI1471">
        <f>VLOOKUP(A:A,[1]android_repos_all_metrics!B:K,10,FALSE)</f>
        <v>72</v>
      </c>
    </row>
    <row r="1472" spans="1:35">
      <c r="A1472" t="s">
        <v>1539</v>
      </c>
      <c r="B1472" t="b">
        <v>1</v>
      </c>
      <c r="C1472" t="b">
        <v>0</v>
      </c>
      <c r="D1472" t="b">
        <v>0</v>
      </c>
      <c r="F1472" t="b">
        <v>0</v>
      </c>
      <c r="H1472" t="s">
        <v>37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>
        <v>2</v>
      </c>
      <c r="AB1472">
        <v>0</v>
      </c>
      <c r="AC1472">
        <f>VLOOKUP(A:A,[1]android_repos_all_metrics!B:K,4,FALSE)</f>
        <v>2993</v>
      </c>
      <c r="AD1472">
        <f>VLOOKUP(A:A,[1]android_repos_all_metrics!B:K,5,FALSE)</f>
        <v>954</v>
      </c>
      <c r="AE1472">
        <f>VLOOKUP(A:A,[1]android_repos_all_metrics!B:K,6,FALSE)</f>
        <v>13</v>
      </c>
      <c r="AF1472">
        <f>VLOOKUP(A:A,[1]android_repos_all_metrics!B:K,7,FALSE)</f>
        <v>29473</v>
      </c>
      <c r="AG1472">
        <f>VLOOKUP(A:A,[1]android_repos_all_metrics!B:K,8,FALSE)</f>
        <v>37</v>
      </c>
      <c r="AH1472">
        <f>VLOOKUP(A:A,[1]android_repos_all_metrics!B:K,9,FALSE)</f>
        <v>315</v>
      </c>
      <c r="AI1472">
        <f>VLOOKUP(A:A,[1]android_repos_all_metrics!B:K,10,FALSE)</f>
        <v>16</v>
      </c>
    </row>
    <row r="1473" spans="1:35">
      <c r="A1473" t="s">
        <v>1540</v>
      </c>
      <c r="B1473" t="b">
        <v>1</v>
      </c>
      <c r="C1473" t="b">
        <v>0</v>
      </c>
      <c r="D1473" t="b">
        <v>0</v>
      </c>
      <c r="F1473" t="b">
        <v>0</v>
      </c>
      <c r="H1473" t="s">
        <v>37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>
        <v>2</v>
      </c>
      <c r="AB1473">
        <v>0</v>
      </c>
      <c r="AC1473">
        <f>VLOOKUP(A:A,[1]android_repos_all_metrics!B:K,4,FALSE)</f>
        <v>0</v>
      </c>
      <c r="AD1473">
        <f>VLOOKUP(A:A,[1]android_repos_all_metrics!B:K,5,FALSE)</f>
        <v>0</v>
      </c>
      <c r="AE1473">
        <f>VLOOKUP(A:A,[1]android_repos_all_metrics!B:K,6,FALSE)</f>
        <v>0</v>
      </c>
      <c r="AF1473">
        <f>VLOOKUP(A:A,[1]android_repos_all_metrics!B:K,7,FALSE)</f>
        <v>1078173</v>
      </c>
      <c r="AG1473">
        <f>VLOOKUP(A:A,[1]android_repos_all_metrics!B:K,8,FALSE)</f>
        <v>309</v>
      </c>
      <c r="AH1473">
        <f>VLOOKUP(A:A,[1]android_repos_all_metrics!B:K,9,FALSE)</f>
        <v>3746</v>
      </c>
      <c r="AI1473">
        <f>VLOOKUP(A:A,[1]android_repos_all_metrics!B:K,10,FALSE)</f>
        <v>187</v>
      </c>
    </row>
    <row r="1474" spans="1:35">
      <c r="A1474" t="s">
        <v>1541</v>
      </c>
      <c r="B1474" t="b">
        <v>1</v>
      </c>
      <c r="C1474" t="b">
        <v>0</v>
      </c>
      <c r="D1474" t="b">
        <v>0</v>
      </c>
      <c r="F1474" t="b">
        <v>0</v>
      </c>
      <c r="H1474" t="s">
        <v>37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>
        <v>1</v>
      </c>
      <c r="AB1474">
        <v>0</v>
      </c>
      <c r="AC1474">
        <f>VLOOKUP(A:A,[1]android_repos_all_metrics!B:K,4,FALSE)</f>
        <v>428</v>
      </c>
      <c r="AD1474">
        <f>VLOOKUP(A:A,[1]android_repos_all_metrics!B:K,5,FALSE)</f>
        <v>9</v>
      </c>
      <c r="AE1474">
        <f>VLOOKUP(A:A,[1]android_repos_all_metrics!B:K,6,FALSE)</f>
        <v>5</v>
      </c>
      <c r="AF1474">
        <f>VLOOKUP(A:A,[1]android_repos_all_metrics!B:K,7,FALSE)</f>
        <v>7732</v>
      </c>
      <c r="AG1474">
        <f>VLOOKUP(A:A,[1]android_repos_all_metrics!B:K,8,FALSE)</f>
        <v>77</v>
      </c>
      <c r="AH1474">
        <f>VLOOKUP(A:A,[1]android_repos_all_metrics!B:K,9,FALSE)</f>
        <v>607</v>
      </c>
      <c r="AI1474">
        <f>VLOOKUP(A:A,[1]android_repos_all_metrics!B:K,10,FALSE)</f>
        <v>31</v>
      </c>
    </row>
    <row r="1475" spans="1:35">
      <c r="A1475" t="s">
        <v>1542</v>
      </c>
      <c r="B1475" t="b">
        <v>1</v>
      </c>
      <c r="C1475" t="b">
        <v>1</v>
      </c>
      <c r="D1475" t="b">
        <v>1</v>
      </c>
      <c r="E1475" t="s">
        <v>1009</v>
      </c>
      <c r="F1475" t="b">
        <v>0</v>
      </c>
      <c r="H1475" t="s">
        <v>37</v>
      </c>
      <c r="I1475" t="s">
        <v>37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>
        <v>3</v>
      </c>
      <c r="AB1475">
        <v>0</v>
      </c>
      <c r="AC1475">
        <f>VLOOKUP(A:A,[1]android_repos_all_metrics!B:K,4,FALSE)</f>
        <v>533</v>
      </c>
      <c r="AD1475">
        <f>VLOOKUP(A:A,[1]android_repos_all_metrics!B:K,5,FALSE)</f>
        <v>230</v>
      </c>
      <c r="AE1475">
        <f>VLOOKUP(A:A,[1]android_repos_all_metrics!B:K,6,FALSE)</f>
        <v>10</v>
      </c>
      <c r="AF1475">
        <f>VLOOKUP(A:A,[1]android_repos_all_metrics!B:K,7,FALSE)</f>
        <v>116648</v>
      </c>
      <c r="AG1475">
        <f>VLOOKUP(A:A,[1]android_repos_all_metrics!B:K,8,FALSE)</f>
        <v>0</v>
      </c>
      <c r="AH1475">
        <f>VLOOKUP(A:A,[1]android_repos_all_metrics!B:K,9,FALSE)</f>
        <v>3</v>
      </c>
      <c r="AI1475">
        <f>VLOOKUP(A:A,[1]android_repos_all_metrics!B:K,10,FALSE)</f>
        <v>5</v>
      </c>
    </row>
    <row r="1476" spans="1:35">
      <c r="A1476" t="s">
        <v>1543</v>
      </c>
      <c r="B1476" t="b">
        <v>1</v>
      </c>
      <c r="C1476" t="b">
        <v>0</v>
      </c>
      <c r="D1476" t="b">
        <v>0</v>
      </c>
      <c r="F1476" t="b">
        <v>0</v>
      </c>
      <c r="H1476" t="s">
        <v>37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>
        <v>1</v>
      </c>
      <c r="AB1476">
        <v>0</v>
      </c>
      <c r="AC1476">
        <f>VLOOKUP(A:A,[1]android_repos_all_metrics!B:K,4,FALSE)</f>
        <v>633</v>
      </c>
      <c r="AD1476">
        <f>VLOOKUP(A:A,[1]android_repos_all_metrics!B:K,5,FALSE)</f>
        <v>0</v>
      </c>
      <c r="AE1476">
        <f>VLOOKUP(A:A,[1]android_repos_all_metrics!B:K,6,FALSE)</f>
        <v>1</v>
      </c>
      <c r="AF1476">
        <f>VLOOKUP(A:A,[1]android_repos_all_metrics!B:K,7,FALSE)</f>
        <v>322274</v>
      </c>
      <c r="AG1476">
        <f>VLOOKUP(A:A,[1]android_repos_all_metrics!B:K,8,FALSE)</f>
        <v>0</v>
      </c>
      <c r="AH1476">
        <f>VLOOKUP(A:A,[1]android_repos_all_metrics!B:K,9,FALSE)</f>
        <v>2</v>
      </c>
      <c r="AI1476">
        <f>VLOOKUP(A:A,[1]android_repos_all_metrics!B:K,10,FALSE)</f>
        <v>0</v>
      </c>
    </row>
    <row r="1477" spans="1:35">
      <c r="A1477" t="s">
        <v>1544</v>
      </c>
      <c r="B1477" t="b">
        <v>0</v>
      </c>
      <c r="C1477" t="b">
        <v>0</v>
      </c>
      <c r="D1477" t="b">
        <v>0</v>
      </c>
      <c r="F1477" t="b">
        <v>0</v>
      </c>
      <c r="H1477" t="s">
        <v>41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>
        <v>1</v>
      </c>
      <c r="AB1477">
        <v>0</v>
      </c>
      <c r="AC1477" t="e">
        <f>VLOOKUP(A:A,[1]android_repos_all_metrics!B:K,4,FALSE)</f>
        <v>#N/A</v>
      </c>
      <c r="AD1477" t="e">
        <f>VLOOKUP(A:A,[1]android_repos_all_metrics!B:K,5,FALSE)</f>
        <v>#N/A</v>
      </c>
      <c r="AE1477" t="e">
        <f>VLOOKUP(A:A,[1]android_repos_all_metrics!B:K,6,FALSE)</f>
        <v>#N/A</v>
      </c>
      <c r="AF1477" t="e">
        <f>VLOOKUP(A:A,[1]android_repos_all_metrics!B:K,7,FALSE)</f>
        <v>#N/A</v>
      </c>
      <c r="AG1477" t="e">
        <f>VLOOKUP(A:A,[1]android_repos_all_metrics!B:K,8,FALSE)</f>
        <v>#N/A</v>
      </c>
      <c r="AH1477" t="e">
        <f>VLOOKUP(A:A,[1]android_repos_all_metrics!B:K,9,FALSE)</f>
        <v>#N/A</v>
      </c>
      <c r="AI1477" t="e">
        <f>VLOOKUP(A:A,[1]android_repos_all_metrics!B:K,10,FALSE)</f>
        <v>#N/A</v>
      </c>
    </row>
    <row r="1478" spans="1:35">
      <c r="A1478" t="s">
        <v>1545</v>
      </c>
      <c r="B1478" t="b">
        <v>1</v>
      </c>
      <c r="C1478" t="b">
        <v>0</v>
      </c>
      <c r="D1478" t="b">
        <v>0</v>
      </c>
      <c r="F1478" t="b">
        <v>0</v>
      </c>
      <c r="H1478" t="s">
        <v>37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>
        <v>1</v>
      </c>
      <c r="AB1478">
        <v>0</v>
      </c>
      <c r="AC1478">
        <f>VLOOKUP(A:A,[1]android_repos_all_metrics!B:K,4,FALSE)</f>
        <v>38</v>
      </c>
      <c r="AD1478">
        <f>VLOOKUP(A:A,[1]android_repos_all_metrics!B:K,5,FALSE)</f>
        <v>0</v>
      </c>
      <c r="AE1478">
        <f>VLOOKUP(A:A,[1]android_repos_all_metrics!B:K,6,FALSE)</f>
        <v>1</v>
      </c>
      <c r="AF1478">
        <f>VLOOKUP(A:A,[1]android_repos_all_metrics!B:K,7,FALSE)</f>
        <v>920</v>
      </c>
      <c r="AG1478">
        <f>VLOOKUP(A:A,[1]android_repos_all_metrics!B:K,8,FALSE)</f>
        <v>1</v>
      </c>
      <c r="AH1478">
        <f>VLOOKUP(A:A,[1]android_repos_all_metrics!B:K,9,FALSE)</f>
        <v>5</v>
      </c>
      <c r="AI1478">
        <f>VLOOKUP(A:A,[1]android_repos_all_metrics!B:K,10,FALSE)</f>
        <v>0</v>
      </c>
    </row>
    <row r="1479" spans="1:35">
      <c r="A1479" t="s">
        <v>1546</v>
      </c>
      <c r="B1479" t="b">
        <v>1</v>
      </c>
      <c r="C1479" t="b">
        <v>1</v>
      </c>
      <c r="D1479" t="b">
        <v>0</v>
      </c>
      <c r="F1479" t="b">
        <v>1</v>
      </c>
      <c r="G1479" t="s">
        <v>39</v>
      </c>
      <c r="H1479" t="s">
        <v>41</v>
      </c>
      <c r="I1479" t="s">
        <v>41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>
        <v>1</v>
      </c>
      <c r="AB1479">
        <v>0</v>
      </c>
      <c r="AC1479">
        <f>VLOOKUP(A:A,[1]android_repos_all_metrics!B:K,4,FALSE)</f>
        <v>71</v>
      </c>
      <c r="AD1479">
        <f>VLOOKUP(A:A,[1]android_repos_all_metrics!B:K,5,FALSE)</f>
        <v>3</v>
      </c>
      <c r="AE1479">
        <f>VLOOKUP(A:A,[1]android_repos_all_metrics!B:K,6,FALSE)</f>
        <v>2</v>
      </c>
      <c r="AF1479">
        <f>VLOOKUP(A:A,[1]android_repos_all_metrics!B:K,7,FALSE)</f>
        <v>139</v>
      </c>
      <c r="AG1479">
        <f>VLOOKUP(A:A,[1]android_repos_all_metrics!B:K,8,FALSE)</f>
        <v>25</v>
      </c>
      <c r="AH1479">
        <f>VLOOKUP(A:A,[1]android_repos_all_metrics!B:K,9,FALSE)</f>
        <v>56</v>
      </c>
      <c r="AI1479">
        <f>VLOOKUP(A:A,[1]android_repos_all_metrics!B:K,10,FALSE)</f>
        <v>9</v>
      </c>
    </row>
    <row r="1480" spans="1:35">
      <c r="A1480" t="s">
        <v>1547</v>
      </c>
      <c r="B1480" t="b">
        <v>0</v>
      </c>
      <c r="C1480" t="b">
        <v>0</v>
      </c>
      <c r="D1480" t="b">
        <v>0</v>
      </c>
      <c r="F1480" t="b">
        <v>0</v>
      </c>
      <c r="H1480" t="s">
        <v>41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>
        <v>1</v>
      </c>
      <c r="AB1480">
        <v>0</v>
      </c>
      <c r="AC1480">
        <f>VLOOKUP(A:A,[1]android_repos_all_metrics!B:K,4,FALSE)</f>
        <v>339</v>
      </c>
      <c r="AD1480">
        <f>VLOOKUP(A:A,[1]android_repos_all_metrics!B:K,5,FALSE)</f>
        <v>410</v>
      </c>
      <c r="AE1480">
        <f>VLOOKUP(A:A,[1]android_repos_all_metrics!B:K,6,FALSE)</f>
        <v>32</v>
      </c>
      <c r="AF1480">
        <f>VLOOKUP(A:A,[1]android_repos_all_metrics!B:K,7,FALSE)</f>
        <v>140393</v>
      </c>
      <c r="AG1480">
        <f>VLOOKUP(A:A,[1]android_repos_all_metrics!B:K,8,FALSE)</f>
        <v>446</v>
      </c>
      <c r="AH1480">
        <f>VLOOKUP(A:A,[1]android_repos_all_metrics!B:K,9,FALSE)</f>
        <v>1693</v>
      </c>
      <c r="AI1480">
        <f>VLOOKUP(A:A,[1]android_repos_all_metrics!B:K,10,FALSE)</f>
        <v>70</v>
      </c>
    </row>
    <row r="1481" spans="1:35">
      <c r="A1481" t="s">
        <v>1548</v>
      </c>
      <c r="B1481" t="b">
        <v>1</v>
      </c>
      <c r="C1481" t="b">
        <v>0</v>
      </c>
      <c r="D1481" t="b">
        <v>0</v>
      </c>
      <c r="F1481" t="b">
        <v>0</v>
      </c>
      <c r="H1481" t="s">
        <v>43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>
        <v>1</v>
      </c>
      <c r="AB1481">
        <v>0</v>
      </c>
      <c r="AC1481">
        <f>VLOOKUP(A:A,[1]android_repos_all_metrics!B:K,4,FALSE)</f>
        <v>802</v>
      </c>
      <c r="AD1481">
        <f>VLOOKUP(A:A,[1]android_repos_all_metrics!B:K,5,FALSE)</f>
        <v>12</v>
      </c>
      <c r="AE1481">
        <f>VLOOKUP(A:A,[1]android_repos_all_metrics!B:K,6,FALSE)</f>
        <v>8</v>
      </c>
      <c r="AF1481">
        <f>VLOOKUP(A:A,[1]android_repos_all_metrics!B:K,7,FALSE)</f>
        <v>15770</v>
      </c>
      <c r="AG1481">
        <f>VLOOKUP(A:A,[1]android_repos_all_metrics!B:K,8,FALSE)</f>
        <v>1</v>
      </c>
      <c r="AH1481">
        <f>VLOOKUP(A:A,[1]android_repos_all_metrics!B:K,9,FALSE)</f>
        <v>4</v>
      </c>
      <c r="AI1481">
        <f>VLOOKUP(A:A,[1]android_repos_all_metrics!B:K,10,FALSE)</f>
        <v>0</v>
      </c>
    </row>
    <row r="1482" spans="1:35">
      <c r="A1482" t="s">
        <v>1549</v>
      </c>
      <c r="B1482" t="b">
        <v>1</v>
      </c>
      <c r="C1482" t="b">
        <v>1</v>
      </c>
      <c r="D1482" t="b">
        <v>1</v>
      </c>
      <c r="E1482" t="s">
        <v>36</v>
      </c>
      <c r="F1482" t="b">
        <v>0</v>
      </c>
      <c r="H1482" t="s">
        <v>37</v>
      </c>
      <c r="I1482" t="s">
        <v>37</v>
      </c>
      <c r="J1482" t="b">
        <v>0</v>
      </c>
      <c r="K1482" t="b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1</v>
      </c>
      <c r="Y1482" t="b">
        <v>0</v>
      </c>
      <c r="Z1482">
        <v>2</v>
      </c>
      <c r="AA1482">
        <v>3</v>
      </c>
      <c r="AB1482">
        <v>0</v>
      </c>
      <c r="AC1482">
        <f>VLOOKUP(A:A,[1]android_repos_all_metrics!B:K,4,FALSE)</f>
        <v>10736</v>
      </c>
      <c r="AD1482">
        <f>VLOOKUP(A:A,[1]android_repos_all_metrics!B:K,5,FALSE)</f>
        <v>1936</v>
      </c>
      <c r="AE1482">
        <f>VLOOKUP(A:A,[1]android_repos_all_metrics!B:K,6,FALSE)</f>
        <v>307</v>
      </c>
      <c r="AF1482">
        <f>VLOOKUP(A:A,[1]android_repos_all_metrics!B:K,7,FALSE)</f>
        <v>66096</v>
      </c>
      <c r="AG1482">
        <f>VLOOKUP(A:A,[1]android_repos_all_metrics!B:K,8,FALSE)</f>
        <v>2606</v>
      </c>
      <c r="AH1482">
        <f>VLOOKUP(A:A,[1]android_repos_all_metrics!B:K,9,FALSE)</f>
        <v>23035</v>
      </c>
      <c r="AI1482">
        <f>VLOOKUP(A:A,[1]android_repos_all_metrics!B:K,10,FALSE)</f>
        <v>1222</v>
      </c>
    </row>
    <row r="1483" spans="1:35">
      <c r="A1483" t="s">
        <v>1550</v>
      </c>
      <c r="B1483" t="b">
        <v>1</v>
      </c>
      <c r="C1483" t="b">
        <v>0</v>
      </c>
      <c r="D1483" t="b">
        <v>0</v>
      </c>
      <c r="F1483" t="b">
        <v>0</v>
      </c>
      <c r="H1483" t="s">
        <v>37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>
        <v>1</v>
      </c>
      <c r="AB1483">
        <v>0</v>
      </c>
      <c r="AC1483">
        <f>VLOOKUP(A:A,[1]android_repos_all_metrics!B:K,4,FALSE)</f>
        <v>929</v>
      </c>
      <c r="AD1483">
        <f>VLOOKUP(A:A,[1]android_repos_all_metrics!B:K,5,FALSE)</f>
        <v>41</v>
      </c>
      <c r="AE1483">
        <f>VLOOKUP(A:A,[1]android_repos_all_metrics!B:K,6,FALSE)</f>
        <v>18</v>
      </c>
      <c r="AF1483">
        <f>VLOOKUP(A:A,[1]android_repos_all_metrics!B:K,7,FALSE)</f>
        <v>9344</v>
      </c>
      <c r="AG1483">
        <f>VLOOKUP(A:A,[1]android_repos_all_metrics!B:K,8,FALSE)</f>
        <v>25</v>
      </c>
      <c r="AH1483">
        <f>VLOOKUP(A:A,[1]android_repos_all_metrics!B:K,9,FALSE)</f>
        <v>333</v>
      </c>
      <c r="AI1483">
        <f>VLOOKUP(A:A,[1]android_repos_all_metrics!B:K,10,FALSE)</f>
        <v>48</v>
      </c>
    </row>
    <row r="1484" spans="1:35">
      <c r="A1484" t="s">
        <v>1551</v>
      </c>
      <c r="B1484" t="b">
        <v>1</v>
      </c>
      <c r="C1484" t="b">
        <v>0</v>
      </c>
      <c r="D1484" t="b">
        <v>0</v>
      </c>
      <c r="F1484" t="b">
        <v>0</v>
      </c>
      <c r="H1484" t="s">
        <v>37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>
        <v>3</v>
      </c>
      <c r="AB1484">
        <v>0</v>
      </c>
      <c r="AC1484">
        <f>VLOOKUP(A:A,[1]android_repos_all_metrics!B:K,4,FALSE)</f>
        <v>3250</v>
      </c>
      <c r="AD1484">
        <f>VLOOKUP(A:A,[1]android_repos_all_metrics!B:K,5,FALSE)</f>
        <v>341</v>
      </c>
      <c r="AE1484">
        <f>VLOOKUP(A:A,[1]android_repos_all_metrics!B:K,6,FALSE)</f>
        <v>42</v>
      </c>
      <c r="AF1484">
        <f>VLOOKUP(A:A,[1]android_repos_all_metrics!B:K,7,FALSE)</f>
        <v>215294</v>
      </c>
      <c r="AG1484">
        <f>VLOOKUP(A:A,[1]android_repos_all_metrics!B:K,8,FALSE)</f>
        <v>240</v>
      </c>
      <c r="AH1484">
        <f>VLOOKUP(A:A,[1]android_repos_all_metrics!B:K,9,FALSE)</f>
        <v>624</v>
      </c>
      <c r="AI1484">
        <f>VLOOKUP(A:A,[1]android_repos_all_metrics!B:K,10,FALSE)</f>
        <v>97</v>
      </c>
    </row>
    <row r="1485" spans="1:35">
      <c r="A1485" t="s">
        <v>1552</v>
      </c>
      <c r="B1485" t="b">
        <v>0</v>
      </c>
      <c r="C1485" t="b">
        <v>0</v>
      </c>
      <c r="D1485" t="b">
        <v>0</v>
      </c>
      <c r="F1485" t="b">
        <v>0</v>
      </c>
      <c r="H1485" t="s">
        <v>41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>
        <v>1</v>
      </c>
      <c r="AB1485">
        <v>0</v>
      </c>
      <c r="AC1485">
        <f>VLOOKUP(A:A,[1]android_repos_all_metrics!B:K,4,FALSE)</f>
        <v>56</v>
      </c>
      <c r="AD1485">
        <f>VLOOKUP(A:A,[1]android_repos_all_metrics!B:K,5,FALSE)</f>
        <v>28</v>
      </c>
      <c r="AE1485">
        <f>VLOOKUP(A:A,[1]android_repos_all_metrics!B:K,6,FALSE)</f>
        <v>4</v>
      </c>
      <c r="AF1485">
        <f>VLOOKUP(A:A,[1]android_repos_all_metrics!B:K,7,FALSE)</f>
        <v>1052</v>
      </c>
      <c r="AG1485">
        <f>VLOOKUP(A:A,[1]android_repos_all_metrics!B:K,8,FALSE)</f>
        <v>18</v>
      </c>
      <c r="AH1485">
        <f>VLOOKUP(A:A,[1]android_repos_all_metrics!B:K,9,FALSE)</f>
        <v>27</v>
      </c>
      <c r="AI1485">
        <f>VLOOKUP(A:A,[1]android_repos_all_metrics!B:K,10,FALSE)</f>
        <v>10</v>
      </c>
    </row>
    <row r="1486" spans="1:35">
      <c r="A1486" t="s">
        <v>1553</v>
      </c>
      <c r="B1486" t="b">
        <v>1</v>
      </c>
      <c r="C1486" t="b">
        <v>1</v>
      </c>
      <c r="D1486" t="b">
        <v>1</v>
      </c>
      <c r="E1486" t="s">
        <v>104</v>
      </c>
      <c r="F1486" t="b">
        <v>0</v>
      </c>
      <c r="H1486" t="s">
        <v>37</v>
      </c>
      <c r="I1486" t="s">
        <v>37</v>
      </c>
      <c r="J1486" t="b">
        <v>0</v>
      </c>
      <c r="K1486" t="b">
        <v>0</v>
      </c>
      <c r="L1486" t="b">
        <v>1</v>
      </c>
      <c r="M1486" t="b">
        <v>0</v>
      </c>
      <c r="N1486" t="b">
        <v>1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>
        <v>3</v>
      </c>
      <c r="AA1486">
        <v>2</v>
      </c>
      <c r="AB1486">
        <v>0</v>
      </c>
      <c r="AC1486">
        <f>VLOOKUP(A:A,[1]android_repos_all_metrics!B:K,4,FALSE)</f>
        <v>21</v>
      </c>
      <c r="AD1486">
        <f>VLOOKUP(A:A,[1]android_repos_all_metrics!B:K,5,FALSE)</f>
        <v>2</v>
      </c>
      <c r="AE1486">
        <f>VLOOKUP(A:A,[1]android_repos_all_metrics!B:K,6,FALSE)</f>
        <v>2</v>
      </c>
      <c r="AF1486">
        <f>VLOOKUP(A:A,[1]android_repos_all_metrics!B:K,7,FALSE)</f>
        <v>4041</v>
      </c>
      <c r="AG1486">
        <f>VLOOKUP(A:A,[1]android_repos_all_metrics!B:K,8,FALSE)</f>
        <v>1</v>
      </c>
      <c r="AH1486">
        <f>VLOOKUP(A:A,[1]android_repos_all_metrics!B:K,9,FALSE)</f>
        <v>4</v>
      </c>
      <c r="AI1486">
        <f>VLOOKUP(A:A,[1]android_repos_all_metrics!B:K,10,FALSE)</f>
        <v>0</v>
      </c>
    </row>
    <row r="1487" spans="1:35">
      <c r="A1487" t="s">
        <v>1554</v>
      </c>
      <c r="B1487" t="b">
        <v>1</v>
      </c>
      <c r="C1487" t="b">
        <v>0</v>
      </c>
      <c r="D1487" t="b">
        <v>0</v>
      </c>
      <c r="F1487" t="b">
        <v>0</v>
      </c>
      <c r="H1487" t="s">
        <v>37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>
        <v>3</v>
      </c>
      <c r="AB1487">
        <v>0</v>
      </c>
      <c r="AC1487">
        <f>VLOOKUP(A:A,[1]android_repos_all_metrics!B:K,4,FALSE)</f>
        <v>485</v>
      </c>
      <c r="AD1487">
        <f>VLOOKUP(A:A,[1]android_repos_all_metrics!B:K,5,FALSE)</f>
        <v>76</v>
      </c>
      <c r="AE1487">
        <f>VLOOKUP(A:A,[1]android_repos_all_metrics!B:K,6,FALSE)</f>
        <v>9</v>
      </c>
      <c r="AF1487">
        <f>VLOOKUP(A:A,[1]android_repos_all_metrics!B:K,7,FALSE)</f>
        <v>3344</v>
      </c>
      <c r="AG1487">
        <f>VLOOKUP(A:A,[1]android_repos_all_metrics!B:K,8,FALSE)</f>
        <v>4</v>
      </c>
      <c r="AH1487">
        <f>VLOOKUP(A:A,[1]android_repos_all_metrics!B:K,9,FALSE)</f>
        <v>12</v>
      </c>
      <c r="AI1487">
        <f>VLOOKUP(A:A,[1]android_repos_all_metrics!B:K,10,FALSE)</f>
        <v>35</v>
      </c>
    </row>
    <row r="1488" spans="1:35">
      <c r="A1488" t="s">
        <v>1555</v>
      </c>
      <c r="B1488" t="b">
        <v>1</v>
      </c>
      <c r="C1488" t="b">
        <v>0</v>
      </c>
      <c r="D1488" t="b">
        <v>0</v>
      </c>
      <c r="F1488" t="b">
        <v>0</v>
      </c>
      <c r="H1488" t="s">
        <v>37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>
        <v>2</v>
      </c>
      <c r="AB1488">
        <v>0</v>
      </c>
      <c r="AC1488">
        <f>VLOOKUP(A:A,[1]android_repos_all_metrics!B:K,4,FALSE)</f>
        <v>4215</v>
      </c>
      <c r="AD1488">
        <f>VLOOKUP(A:A,[1]android_repos_all_metrics!B:K,5,FALSE)</f>
        <v>818</v>
      </c>
      <c r="AE1488">
        <f>VLOOKUP(A:A,[1]android_repos_all_metrics!B:K,6,FALSE)</f>
        <v>22</v>
      </c>
      <c r="AF1488">
        <f>VLOOKUP(A:A,[1]android_repos_all_metrics!B:K,7,FALSE)</f>
        <v>45592</v>
      </c>
      <c r="AG1488">
        <f>VLOOKUP(A:A,[1]android_repos_all_metrics!B:K,8,FALSE)</f>
        <v>51</v>
      </c>
      <c r="AH1488">
        <f>VLOOKUP(A:A,[1]android_repos_all_metrics!B:K,9,FALSE)</f>
        <v>429</v>
      </c>
      <c r="AI1488">
        <f>VLOOKUP(A:A,[1]android_repos_all_metrics!B:K,10,FALSE)</f>
        <v>59</v>
      </c>
    </row>
    <row r="1489" spans="1:35">
      <c r="A1489" t="s">
        <v>1556</v>
      </c>
      <c r="B1489" t="b">
        <v>1</v>
      </c>
      <c r="C1489" t="b">
        <v>0</v>
      </c>
      <c r="D1489" t="b">
        <v>0</v>
      </c>
      <c r="F1489" t="b">
        <v>0</v>
      </c>
      <c r="H1489" t="s">
        <v>37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>
        <v>1</v>
      </c>
      <c r="AB1489">
        <v>0</v>
      </c>
      <c r="AC1489">
        <f>VLOOKUP(A:A,[1]android_repos_all_metrics!B:K,4,FALSE)</f>
        <v>110</v>
      </c>
      <c r="AD1489">
        <f>VLOOKUP(A:A,[1]android_repos_all_metrics!B:K,5,FALSE)</f>
        <v>4</v>
      </c>
      <c r="AE1489">
        <f>VLOOKUP(A:A,[1]android_repos_all_metrics!B:K,6,FALSE)</f>
        <v>3</v>
      </c>
      <c r="AF1489">
        <f>VLOOKUP(A:A,[1]android_repos_all_metrics!B:K,7,FALSE)</f>
        <v>715</v>
      </c>
      <c r="AG1489">
        <f>VLOOKUP(A:A,[1]android_repos_all_metrics!B:K,8,FALSE)</f>
        <v>5</v>
      </c>
      <c r="AH1489">
        <f>VLOOKUP(A:A,[1]android_repos_all_metrics!B:K,9,FALSE)</f>
        <v>16</v>
      </c>
      <c r="AI1489">
        <f>VLOOKUP(A:A,[1]android_repos_all_metrics!B:K,10,FALSE)</f>
        <v>15</v>
      </c>
    </row>
    <row r="1490" spans="1:35">
      <c r="A1490" t="s">
        <v>1557</v>
      </c>
      <c r="B1490" t="b">
        <v>1</v>
      </c>
      <c r="C1490" t="b">
        <v>0</v>
      </c>
      <c r="D1490" t="b">
        <v>0</v>
      </c>
      <c r="F1490" t="b">
        <v>0</v>
      </c>
      <c r="H1490" t="s">
        <v>37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>
        <v>2</v>
      </c>
      <c r="AB1490">
        <v>0</v>
      </c>
      <c r="AC1490">
        <f>VLOOKUP(A:A,[1]android_repos_all_metrics!B:K,4,FALSE)</f>
        <v>160</v>
      </c>
      <c r="AD1490">
        <f>VLOOKUP(A:A,[1]android_repos_all_metrics!B:K,5,FALSE)</f>
        <v>6</v>
      </c>
      <c r="AE1490">
        <f>VLOOKUP(A:A,[1]android_repos_all_metrics!B:K,6,FALSE)</f>
        <v>4</v>
      </c>
      <c r="AF1490">
        <f>VLOOKUP(A:A,[1]android_repos_all_metrics!B:K,7,FALSE)</f>
        <v>2386</v>
      </c>
      <c r="AG1490">
        <f>VLOOKUP(A:A,[1]android_repos_all_metrics!B:K,8,FALSE)</f>
        <v>1</v>
      </c>
      <c r="AH1490">
        <f>VLOOKUP(A:A,[1]android_repos_all_metrics!B:K,9,FALSE)</f>
        <v>16</v>
      </c>
      <c r="AI1490">
        <f>VLOOKUP(A:A,[1]android_repos_all_metrics!B:K,10,FALSE)</f>
        <v>2</v>
      </c>
    </row>
    <row r="1491" spans="1:35">
      <c r="A1491" t="s">
        <v>1558</v>
      </c>
      <c r="B1491" t="b">
        <v>1</v>
      </c>
      <c r="C1491" t="b">
        <v>0</v>
      </c>
      <c r="D1491" t="b">
        <v>0</v>
      </c>
      <c r="F1491" t="b">
        <v>0</v>
      </c>
      <c r="H1491" t="s">
        <v>37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>
        <v>1</v>
      </c>
      <c r="AB1491">
        <v>0</v>
      </c>
      <c r="AC1491">
        <f>VLOOKUP(A:A,[1]android_repos_all_metrics!B:K,4,FALSE)</f>
        <v>24</v>
      </c>
      <c r="AD1491">
        <f>VLOOKUP(A:A,[1]android_repos_all_metrics!B:K,5,FALSE)</f>
        <v>4</v>
      </c>
      <c r="AE1491">
        <f>VLOOKUP(A:A,[1]android_repos_all_metrics!B:K,6,FALSE)</f>
        <v>1</v>
      </c>
      <c r="AF1491">
        <f>VLOOKUP(A:A,[1]android_repos_all_metrics!B:K,7,FALSE)</f>
        <v>2131</v>
      </c>
      <c r="AG1491">
        <f>VLOOKUP(A:A,[1]android_repos_all_metrics!B:K,8,FALSE)</f>
        <v>0</v>
      </c>
      <c r="AH1491">
        <f>VLOOKUP(A:A,[1]android_repos_all_metrics!B:K,9,FALSE)</f>
        <v>7</v>
      </c>
      <c r="AI1491">
        <f>VLOOKUP(A:A,[1]android_repos_all_metrics!B:K,10,FALSE)</f>
        <v>1</v>
      </c>
    </row>
    <row r="1492" spans="1:35">
      <c r="A1492" t="s">
        <v>1559</v>
      </c>
      <c r="B1492" t="b">
        <v>1</v>
      </c>
      <c r="C1492" t="b">
        <v>0</v>
      </c>
      <c r="D1492" t="b">
        <v>0</v>
      </c>
      <c r="F1492" t="b">
        <v>0</v>
      </c>
      <c r="H1492" t="s">
        <v>37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>
        <v>1</v>
      </c>
      <c r="AB1492">
        <v>0</v>
      </c>
      <c r="AC1492">
        <f>VLOOKUP(A:A,[1]android_repos_all_metrics!B:K,4,FALSE)</f>
        <v>184</v>
      </c>
      <c r="AD1492">
        <f>VLOOKUP(A:A,[1]android_repos_all_metrics!B:K,5,FALSE)</f>
        <v>12</v>
      </c>
      <c r="AE1492">
        <f>VLOOKUP(A:A,[1]android_repos_all_metrics!B:K,6,FALSE)</f>
        <v>6</v>
      </c>
      <c r="AF1492">
        <f>VLOOKUP(A:A,[1]android_repos_all_metrics!B:K,7,FALSE)</f>
        <v>7598</v>
      </c>
      <c r="AG1492">
        <f>VLOOKUP(A:A,[1]android_repos_all_metrics!B:K,8,FALSE)</f>
        <v>8</v>
      </c>
      <c r="AH1492">
        <f>VLOOKUP(A:A,[1]android_repos_all_metrics!B:K,9,FALSE)</f>
        <v>36</v>
      </c>
      <c r="AI1492">
        <f>VLOOKUP(A:A,[1]android_repos_all_metrics!B:K,10,FALSE)</f>
        <v>19</v>
      </c>
    </row>
    <row r="1493" spans="1:35">
      <c r="A1493" t="s">
        <v>1560</v>
      </c>
      <c r="B1493" t="b">
        <v>1</v>
      </c>
      <c r="C1493" t="b">
        <v>0</v>
      </c>
      <c r="D1493" t="b">
        <v>0</v>
      </c>
      <c r="F1493" t="b">
        <v>0</v>
      </c>
      <c r="H1493" t="s">
        <v>37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>
        <v>1</v>
      </c>
      <c r="AB1493">
        <v>0</v>
      </c>
      <c r="AC1493">
        <f>VLOOKUP(A:A,[1]android_repos_all_metrics!B:K,4,FALSE)</f>
        <v>1410</v>
      </c>
      <c r="AD1493">
        <f>VLOOKUP(A:A,[1]android_repos_all_metrics!B:K,5,FALSE)</f>
        <v>22</v>
      </c>
      <c r="AE1493">
        <f>VLOOKUP(A:A,[1]android_repos_all_metrics!B:K,6,FALSE)</f>
        <v>4</v>
      </c>
      <c r="AF1493">
        <f>VLOOKUP(A:A,[1]android_repos_all_metrics!B:K,7,FALSE)</f>
        <v>18871</v>
      </c>
      <c r="AG1493">
        <f>VLOOKUP(A:A,[1]android_repos_all_metrics!B:K,8,FALSE)</f>
        <v>2</v>
      </c>
      <c r="AH1493">
        <f>VLOOKUP(A:A,[1]android_repos_all_metrics!B:K,9,FALSE)</f>
        <v>11</v>
      </c>
      <c r="AI1493">
        <f>VLOOKUP(A:A,[1]android_repos_all_metrics!B:K,10,FALSE)</f>
        <v>0</v>
      </c>
    </row>
    <row r="1494" spans="1:35">
      <c r="A1494" t="s">
        <v>1561</v>
      </c>
      <c r="B1494" t="b">
        <v>1</v>
      </c>
      <c r="C1494" t="b">
        <v>0</v>
      </c>
      <c r="D1494" t="b">
        <v>0</v>
      </c>
      <c r="F1494" t="b">
        <v>0</v>
      </c>
      <c r="H1494" t="s">
        <v>37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>
        <v>1</v>
      </c>
      <c r="AB1494">
        <v>0</v>
      </c>
      <c r="AC1494">
        <f>VLOOKUP(A:A,[1]android_repos_all_metrics!B:K,4,FALSE)</f>
        <v>86</v>
      </c>
      <c r="AD1494">
        <f>VLOOKUP(A:A,[1]android_repos_all_metrics!B:K,5,FALSE)</f>
        <v>20</v>
      </c>
      <c r="AE1494">
        <f>VLOOKUP(A:A,[1]android_repos_all_metrics!B:K,6,FALSE)</f>
        <v>1</v>
      </c>
      <c r="AF1494">
        <f>VLOOKUP(A:A,[1]android_repos_all_metrics!B:K,7,FALSE)</f>
        <v>3758</v>
      </c>
      <c r="AG1494">
        <f>VLOOKUP(A:A,[1]android_repos_all_metrics!B:K,8,FALSE)</f>
        <v>1</v>
      </c>
      <c r="AH1494">
        <f>VLOOKUP(A:A,[1]android_repos_all_metrics!B:K,9,FALSE)</f>
        <v>4</v>
      </c>
      <c r="AI1494">
        <f>VLOOKUP(A:A,[1]android_repos_all_metrics!B:K,10,FALSE)</f>
        <v>0</v>
      </c>
    </row>
    <row r="1495" spans="1:35">
      <c r="A1495" t="s">
        <v>1562</v>
      </c>
      <c r="B1495" t="b">
        <v>0</v>
      </c>
      <c r="C1495" t="b">
        <v>0</v>
      </c>
      <c r="D1495" t="b">
        <v>0</v>
      </c>
      <c r="F1495" t="b">
        <v>0</v>
      </c>
      <c r="H1495" t="s">
        <v>41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>
        <v>1</v>
      </c>
      <c r="AB1495">
        <v>0</v>
      </c>
      <c r="AC1495">
        <f>VLOOKUP(A:A,[1]android_repos_all_metrics!B:K,4,FALSE)</f>
        <v>21</v>
      </c>
      <c r="AD1495">
        <f>VLOOKUP(A:A,[1]android_repos_all_metrics!B:K,5,FALSE)</f>
        <v>1</v>
      </c>
      <c r="AE1495">
        <f>VLOOKUP(A:A,[1]android_repos_all_metrics!B:K,6,FALSE)</f>
        <v>2</v>
      </c>
      <c r="AF1495">
        <f>VLOOKUP(A:A,[1]android_repos_all_metrics!B:K,7,FALSE)</f>
        <v>1821</v>
      </c>
      <c r="AG1495">
        <f>VLOOKUP(A:A,[1]android_repos_all_metrics!B:K,8,FALSE)</f>
        <v>13</v>
      </c>
      <c r="AH1495">
        <f>VLOOKUP(A:A,[1]android_repos_all_metrics!B:K,9,FALSE)</f>
        <v>13</v>
      </c>
      <c r="AI1495">
        <f>VLOOKUP(A:A,[1]android_repos_all_metrics!B:K,10,FALSE)</f>
        <v>0</v>
      </c>
    </row>
    <row r="1496" spans="1:35">
      <c r="A1496" t="s">
        <v>1563</v>
      </c>
      <c r="B1496" t="b">
        <v>0</v>
      </c>
      <c r="C1496" t="b">
        <v>0</v>
      </c>
      <c r="D1496" t="b">
        <v>0</v>
      </c>
      <c r="F1496" t="b">
        <v>0</v>
      </c>
      <c r="H1496" t="s">
        <v>76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>
        <v>1</v>
      </c>
      <c r="AB1496">
        <v>0</v>
      </c>
      <c r="AC1496">
        <f>VLOOKUP(A:A,[1]android_repos_all_metrics!B:K,4,FALSE)</f>
        <v>715</v>
      </c>
      <c r="AD1496">
        <f>VLOOKUP(A:A,[1]android_repos_all_metrics!B:K,5,FALSE)</f>
        <v>29</v>
      </c>
      <c r="AE1496">
        <f>VLOOKUP(A:A,[1]android_repos_all_metrics!B:K,6,FALSE)</f>
        <v>8</v>
      </c>
      <c r="AF1496">
        <f>VLOOKUP(A:A,[1]android_repos_all_metrics!B:K,7,FALSE)</f>
        <v>2896</v>
      </c>
      <c r="AG1496">
        <f>VLOOKUP(A:A,[1]android_repos_all_metrics!B:K,8,FALSE)</f>
        <v>96</v>
      </c>
      <c r="AH1496">
        <f>VLOOKUP(A:A,[1]android_repos_all_metrics!B:K,9,FALSE)</f>
        <v>647</v>
      </c>
      <c r="AI1496">
        <f>VLOOKUP(A:A,[1]android_repos_all_metrics!B:K,10,FALSE)</f>
        <v>7</v>
      </c>
    </row>
    <row r="1497" spans="1:35">
      <c r="A1497" t="s">
        <v>1564</v>
      </c>
      <c r="B1497" t="b">
        <v>1</v>
      </c>
      <c r="C1497" t="b">
        <v>0</v>
      </c>
      <c r="D1497" t="b">
        <v>0</v>
      </c>
      <c r="F1497" t="b">
        <v>0</v>
      </c>
      <c r="H1497" t="s">
        <v>37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>
        <v>3</v>
      </c>
      <c r="AB1497">
        <v>0</v>
      </c>
      <c r="AC1497">
        <f>VLOOKUP(A:A,[1]android_repos_all_metrics!B:K,4,FALSE)</f>
        <v>18</v>
      </c>
      <c r="AD1497">
        <f>VLOOKUP(A:A,[1]android_repos_all_metrics!B:K,5,FALSE)</f>
        <v>5</v>
      </c>
      <c r="AE1497">
        <f>VLOOKUP(A:A,[1]android_repos_all_metrics!B:K,6,FALSE)</f>
        <v>3</v>
      </c>
      <c r="AF1497">
        <f>VLOOKUP(A:A,[1]android_repos_all_metrics!B:K,7,FALSE)</f>
        <v>325</v>
      </c>
      <c r="AG1497">
        <f>VLOOKUP(A:A,[1]android_repos_all_metrics!B:K,8,FALSE)</f>
        <v>0</v>
      </c>
      <c r="AH1497">
        <f>VLOOKUP(A:A,[1]android_repos_all_metrics!B:K,9,FALSE)</f>
        <v>8</v>
      </c>
      <c r="AI1497">
        <f>VLOOKUP(A:A,[1]android_repos_all_metrics!B:K,10,FALSE)</f>
        <v>5</v>
      </c>
    </row>
    <row r="1498" spans="1:35">
      <c r="A1498" t="s">
        <v>1565</v>
      </c>
      <c r="B1498" t="b">
        <v>1</v>
      </c>
      <c r="C1498" t="b">
        <v>0</v>
      </c>
      <c r="D1498" t="b">
        <v>0</v>
      </c>
      <c r="F1498" t="b">
        <v>0</v>
      </c>
      <c r="H1498" t="s">
        <v>37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>
        <v>2</v>
      </c>
      <c r="AB1498">
        <v>0</v>
      </c>
      <c r="AC1498">
        <f>VLOOKUP(A:A,[1]android_repos_all_metrics!B:K,4,FALSE)</f>
        <v>412</v>
      </c>
      <c r="AD1498">
        <f>VLOOKUP(A:A,[1]android_repos_all_metrics!B:K,5,FALSE)</f>
        <v>7</v>
      </c>
      <c r="AE1498">
        <f>VLOOKUP(A:A,[1]android_repos_all_metrics!B:K,6,FALSE)</f>
        <v>9</v>
      </c>
      <c r="AF1498">
        <f>VLOOKUP(A:A,[1]android_repos_all_metrics!B:K,7,FALSE)</f>
        <v>3869</v>
      </c>
      <c r="AG1498">
        <f>VLOOKUP(A:A,[1]android_repos_all_metrics!B:K,8,FALSE)</f>
        <v>15</v>
      </c>
      <c r="AH1498">
        <f>VLOOKUP(A:A,[1]android_repos_all_metrics!B:K,9,FALSE)</f>
        <v>101</v>
      </c>
      <c r="AI1498">
        <f>VLOOKUP(A:A,[1]android_repos_all_metrics!B:K,10,FALSE)</f>
        <v>7</v>
      </c>
    </row>
    <row r="1499" spans="1:35">
      <c r="A1499" t="s">
        <v>1566</v>
      </c>
      <c r="B1499" t="b">
        <v>1</v>
      </c>
      <c r="C1499" t="b">
        <v>0</v>
      </c>
      <c r="D1499" t="b">
        <v>0</v>
      </c>
      <c r="F1499" t="b">
        <v>0</v>
      </c>
      <c r="H1499" t="s">
        <v>37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>
        <v>1</v>
      </c>
      <c r="AB1499">
        <v>0</v>
      </c>
      <c r="AC1499">
        <f>VLOOKUP(A:A,[1]android_repos_all_metrics!B:K,4,FALSE)</f>
        <v>68</v>
      </c>
      <c r="AD1499">
        <f>VLOOKUP(A:A,[1]android_repos_all_metrics!B:K,5,FALSE)</f>
        <v>1</v>
      </c>
      <c r="AE1499">
        <f>VLOOKUP(A:A,[1]android_repos_all_metrics!B:K,6,FALSE)</f>
        <v>1</v>
      </c>
      <c r="AF1499">
        <f>VLOOKUP(A:A,[1]android_repos_all_metrics!B:K,7,FALSE)</f>
        <v>1628</v>
      </c>
      <c r="AG1499">
        <f>VLOOKUP(A:A,[1]android_repos_all_metrics!B:K,8,FALSE)</f>
        <v>2</v>
      </c>
      <c r="AH1499">
        <f>VLOOKUP(A:A,[1]android_repos_all_metrics!B:K,9,FALSE)</f>
        <v>15</v>
      </c>
      <c r="AI1499">
        <f>VLOOKUP(A:A,[1]android_repos_all_metrics!B:K,10,FALSE)</f>
        <v>0</v>
      </c>
    </row>
    <row r="1500" spans="1:35">
      <c r="A1500" t="s">
        <v>1567</v>
      </c>
      <c r="B1500" t="b">
        <v>1</v>
      </c>
      <c r="C1500" t="b">
        <v>1</v>
      </c>
      <c r="D1500" t="b">
        <v>0</v>
      </c>
      <c r="F1500" t="b">
        <v>1</v>
      </c>
      <c r="G1500" t="s">
        <v>39</v>
      </c>
      <c r="H1500" t="s">
        <v>41</v>
      </c>
      <c r="I1500" t="s">
        <v>41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>
        <v>1</v>
      </c>
      <c r="AB1500">
        <v>0</v>
      </c>
      <c r="AC1500">
        <f>VLOOKUP(A:A,[1]android_repos_all_metrics!B:K,4,FALSE)</f>
        <v>115</v>
      </c>
      <c r="AD1500">
        <f>VLOOKUP(A:A,[1]android_repos_all_metrics!B:K,5,FALSE)</f>
        <v>4</v>
      </c>
      <c r="AE1500">
        <f>VLOOKUP(A:A,[1]android_repos_all_metrics!B:K,6,FALSE)</f>
        <v>1</v>
      </c>
      <c r="AF1500">
        <f>VLOOKUP(A:A,[1]android_repos_all_metrics!B:K,7,FALSE)</f>
        <v>17826</v>
      </c>
      <c r="AG1500">
        <f>VLOOKUP(A:A,[1]android_repos_all_metrics!B:K,8,FALSE)</f>
        <v>477</v>
      </c>
      <c r="AH1500">
        <f>VLOOKUP(A:A,[1]android_repos_all_metrics!B:K,9,FALSE)</f>
        <v>2167</v>
      </c>
      <c r="AI1500">
        <f>VLOOKUP(A:A,[1]android_repos_all_metrics!B:K,10,FALSE)</f>
        <v>103</v>
      </c>
    </row>
    <row r="1501" spans="1:35">
      <c r="A1501" t="s">
        <v>1568</v>
      </c>
      <c r="B1501" t="b">
        <v>0</v>
      </c>
      <c r="C1501" t="b">
        <v>0</v>
      </c>
      <c r="D1501" t="b">
        <v>0</v>
      </c>
      <c r="F1501" t="b">
        <v>0</v>
      </c>
      <c r="H1501" t="s">
        <v>41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>
        <v>1</v>
      </c>
      <c r="AB1501">
        <v>0</v>
      </c>
      <c r="AC1501">
        <f>VLOOKUP(A:A,[1]android_repos_all_metrics!B:K,4,FALSE)</f>
        <v>1102</v>
      </c>
      <c r="AD1501">
        <f>VLOOKUP(A:A,[1]android_repos_all_metrics!B:K,5,FALSE)</f>
        <v>14</v>
      </c>
      <c r="AE1501">
        <f>VLOOKUP(A:A,[1]android_repos_all_metrics!B:K,6,FALSE)</f>
        <v>7</v>
      </c>
      <c r="AF1501">
        <f>VLOOKUP(A:A,[1]android_repos_all_metrics!B:K,7,FALSE)</f>
        <v>4033</v>
      </c>
      <c r="AG1501">
        <f>VLOOKUP(A:A,[1]android_repos_all_metrics!B:K,8,FALSE)</f>
        <v>12</v>
      </c>
      <c r="AH1501">
        <f>VLOOKUP(A:A,[1]android_repos_all_metrics!B:K,9,FALSE)</f>
        <v>67</v>
      </c>
      <c r="AI1501">
        <f>VLOOKUP(A:A,[1]android_repos_all_metrics!B:K,10,FALSE)</f>
        <v>6</v>
      </c>
    </row>
    <row r="1502" spans="1:35">
      <c r="A1502" t="s">
        <v>1569</v>
      </c>
      <c r="B1502" t="b">
        <v>0</v>
      </c>
      <c r="C1502" t="b">
        <v>0</v>
      </c>
      <c r="D1502" t="b">
        <v>0</v>
      </c>
      <c r="F1502" t="b">
        <v>0</v>
      </c>
      <c r="H1502" t="s">
        <v>76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>
        <v>1</v>
      </c>
      <c r="AB1502">
        <v>0</v>
      </c>
      <c r="AC1502">
        <f>VLOOKUP(A:A,[1]android_repos_all_metrics!B:K,4,FALSE)</f>
        <v>95</v>
      </c>
      <c r="AD1502">
        <f>VLOOKUP(A:A,[1]android_repos_all_metrics!B:K,5,FALSE)</f>
        <v>136</v>
      </c>
      <c r="AE1502">
        <f>VLOOKUP(A:A,[1]android_repos_all_metrics!B:K,6,FALSE)</f>
        <v>12</v>
      </c>
      <c r="AF1502">
        <f>VLOOKUP(A:A,[1]android_repos_all_metrics!B:K,7,FALSE)</f>
        <v>2827</v>
      </c>
      <c r="AG1502">
        <f>VLOOKUP(A:A,[1]android_repos_all_metrics!B:K,8,FALSE)</f>
        <v>33</v>
      </c>
      <c r="AH1502">
        <f>VLOOKUP(A:A,[1]android_repos_all_metrics!B:K,9,FALSE)</f>
        <v>176</v>
      </c>
      <c r="AI1502">
        <f>VLOOKUP(A:A,[1]android_repos_all_metrics!B:K,10,FALSE)</f>
        <v>37</v>
      </c>
    </row>
    <row r="1503" spans="1:35">
      <c r="A1503" t="s">
        <v>1570</v>
      </c>
      <c r="B1503" t="b">
        <v>1</v>
      </c>
      <c r="C1503" t="b">
        <v>0</v>
      </c>
      <c r="D1503" t="b">
        <v>0</v>
      </c>
      <c r="F1503" t="b">
        <v>0</v>
      </c>
      <c r="H1503" t="s">
        <v>37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>
        <v>2</v>
      </c>
      <c r="AB1503">
        <v>0</v>
      </c>
      <c r="AC1503">
        <f>VLOOKUP(A:A,[1]android_repos_all_metrics!B:K,4,FALSE)</f>
        <v>20</v>
      </c>
      <c r="AD1503">
        <f>VLOOKUP(A:A,[1]android_repos_all_metrics!B:K,5,FALSE)</f>
        <v>1</v>
      </c>
      <c r="AE1503">
        <f>VLOOKUP(A:A,[1]android_repos_all_metrics!B:K,6,FALSE)</f>
        <v>1</v>
      </c>
      <c r="AF1503">
        <f>VLOOKUP(A:A,[1]android_repos_all_metrics!B:K,7,FALSE)</f>
        <v>787</v>
      </c>
      <c r="AG1503">
        <f>VLOOKUP(A:A,[1]android_repos_all_metrics!B:K,8,FALSE)</f>
        <v>5</v>
      </c>
      <c r="AH1503">
        <f>VLOOKUP(A:A,[1]android_repos_all_metrics!B:K,9,FALSE)</f>
        <v>76</v>
      </c>
      <c r="AI1503">
        <f>VLOOKUP(A:A,[1]android_repos_all_metrics!B:K,10,FALSE)</f>
        <v>3</v>
      </c>
    </row>
    <row r="1504" spans="1:35">
      <c r="A1504" t="s">
        <v>1571</v>
      </c>
      <c r="B1504" t="b">
        <v>0</v>
      </c>
      <c r="C1504" t="b">
        <v>0</v>
      </c>
      <c r="D1504" t="b">
        <v>0</v>
      </c>
      <c r="F1504" t="b">
        <v>0</v>
      </c>
      <c r="H1504" t="s">
        <v>41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>
        <v>1</v>
      </c>
      <c r="AB1504">
        <v>0</v>
      </c>
      <c r="AC1504">
        <f>VLOOKUP(A:A,[1]android_repos_all_metrics!B:K,4,FALSE)</f>
        <v>300</v>
      </c>
      <c r="AD1504">
        <f>VLOOKUP(A:A,[1]android_repos_all_metrics!B:K,5,FALSE)</f>
        <v>17</v>
      </c>
      <c r="AE1504">
        <f>VLOOKUP(A:A,[1]android_repos_all_metrics!B:K,6,FALSE)</f>
        <v>6</v>
      </c>
      <c r="AF1504">
        <f>VLOOKUP(A:A,[1]android_repos_all_metrics!B:K,7,FALSE)</f>
        <v>10859</v>
      </c>
      <c r="AG1504">
        <f>VLOOKUP(A:A,[1]android_repos_all_metrics!B:K,8,FALSE)</f>
        <v>49</v>
      </c>
      <c r="AH1504">
        <f>VLOOKUP(A:A,[1]android_repos_all_metrics!B:K,9,FALSE)</f>
        <v>190</v>
      </c>
      <c r="AI1504">
        <f>VLOOKUP(A:A,[1]android_repos_all_metrics!B:K,10,FALSE)</f>
        <v>51</v>
      </c>
    </row>
    <row r="1505" spans="1:35">
      <c r="A1505" t="s">
        <v>1572</v>
      </c>
      <c r="B1505" t="b">
        <v>1</v>
      </c>
      <c r="C1505" t="b">
        <v>0</v>
      </c>
      <c r="D1505" t="b">
        <v>0</v>
      </c>
      <c r="F1505" t="b">
        <v>0</v>
      </c>
      <c r="H1505" t="s">
        <v>37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>
        <v>2</v>
      </c>
      <c r="AB1505">
        <v>0</v>
      </c>
      <c r="AC1505">
        <f>VLOOKUP(A:A,[1]android_repos_all_metrics!B:K,4,FALSE)</f>
        <v>21</v>
      </c>
      <c r="AD1505">
        <f>VLOOKUP(A:A,[1]android_repos_all_metrics!B:K,5,FALSE)</f>
        <v>0</v>
      </c>
      <c r="AE1505">
        <f>VLOOKUP(A:A,[1]android_repos_all_metrics!B:K,6,FALSE)</f>
        <v>1</v>
      </c>
      <c r="AF1505">
        <f>VLOOKUP(A:A,[1]android_repos_all_metrics!B:K,7,FALSE)</f>
        <v>221</v>
      </c>
      <c r="AG1505">
        <f>VLOOKUP(A:A,[1]android_repos_all_metrics!B:K,8,FALSE)</f>
        <v>0</v>
      </c>
      <c r="AH1505">
        <f>VLOOKUP(A:A,[1]android_repos_all_metrics!B:K,9,FALSE)</f>
        <v>1</v>
      </c>
      <c r="AI1505">
        <f>VLOOKUP(A:A,[1]android_repos_all_metrics!B:K,10,FALSE)</f>
        <v>0</v>
      </c>
    </row>
    <row r="1506" spans="1:35">
      <c r="A1506" t="s">
        <v>1573</v>
      </c>
      <c r="B1506" t="b">
        <v>1</v>
      </c>
      <c r="C1506" t="b">
        <v>0</v>
      </c>
      <c r="D1506" t="b">
        <v>0</v>
      </c>
      <c r="F1506" t="b">
        <v>0</v>
      </c>
      <c r="H1506" t="s">
        <v>37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>
        <v>1</v>
      </c>
      <c r="AB1506">
        <v>0</v>
      </c>
      <c r="AC1506">
        <f>VLOOKUP(A:A,[1]android_repos_all_metrics!B:K,4,FALSE)</f>
        <v>142</v>
      </c>
      <c r="AD1506">
        <f>VLOOKUP(A:A,[1]android_repos_all_metrics!B:K,5,FALSE)</f>
        <v>13</v>
      </c>
      <c r="AE1506">
        <f>VLOOKUP(A:A,[1]android_repos_all_metrics!B:K,6,FALSE)</f>
        <v>6</v>
      </c>
      <c r="AF1506">
        <f>VLOOKUP(A:A,[1]android_repos_all_metrics!B:K,7,FALSE)</f>
        <v>3460</v>
      </c>
      <c r="AG1506">
        <f>VLOOKUP(A:A,[1]android_repos_all_metrics!B:K,8,FALSE)</f>
        <v>4</v>
      </c>
      <c r="AH1506">
        <f>VLOOKUP(A:A,[1]android_repos_all_metrics!B:K,9,FALSE)</f>
        <v>15</v>
      </c>
      <c r="AI1506">
        <f>VLOOKUP(A:A,[1]android_repos_all_metrics!B:K,10,FALSE)</f>
        <v>7</v>
      </c>
    </row>
    <row r="1507" spans="1:35">
      <c r="A1507" t="s">
        <v>1574</v>
      </c>
      <c r="B1507" t="b">
        <v>0</v>
      </c>
      <c r="C1507" t="b">
        <v>0</v>
      </c>
      <c r="D1507" t="b">
        <v>0</v>
      </c>
      <c r="F1507" t="b">
        <v>0</v>
      </c>
      <c r="H1507" t="s">
        <v>37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>
        <v>1</v>
      </c>
      <c r="AB1507">
        <v>0</v>
      </c>
      <c r="AC1507">
        <f>VLOOKUP(A:A,[1]android_repos_all_metrics!B:K,4,FALSE)</f>
        <v>42</v>
      </c>
      <c r="AD1507">
        <f>VLOOKUP(A:A,[1]android_repos_all_metrics!B:K,5,FALSE)</f>
        <v>37</v>
      </c>
      <c r="AE1507">
        <f>VLOOKUP(A:A,[1]android_repos_all_metrics!B:K,6,FALSE)</f>
        <v>1</v>
      </c>
      <c r="AF1507">
        <f>VLOOKUP(A:A,[1]android_repos_all_metrics!B:K,7,FALSE)</f>
        <v>1038</v>
      </c>
      <c r="AG1507">
        <f>VLOOKUP(A:A,[1]android_repos_all_metrics!B:K,8,FALSE)</f>
        <v>1</v>
      </c>
      <c r="AH1507">
        <f>VLOOKUP(A:A,[1]android_repos_all_metrics!B:K,9,FALSE)</f>
        <v>1</v>
      </c>
      <c r="AI1507">
        <f>VLOOKUP(A:A,[1]android_repos_all_metrics!B:K,10,FALSE)</f>
        <v>17</v>
      </c>
    </row>
    <row r="1508" spans="1:35">
      <c r="A1508" t="s">
        <v>1575</v>
      </c>
      <c r="B1508" t="b">
        <v>0</v>
      </c>
      <c r="C1508" t="b">
        <v>0</v>
      </c>
      <c r="D1508" t="b">
        <v>0</v>
      </c>
      <c r="F1508" t="b">
        <v>0</v>
      </c>
      <c r="H1508" t="s">
        <v>41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>
        <v>1</v>
      </c>
      <c r="AB1508">
        <v>0</v>
      </c>
      <c r="AC1508">
        <f>VLOOKUP(A:A,[1]android_repos_all_metrics!B:K,4,FALSE)</f>
        <v>71</v>
      </c>
      <c r="AD1508">
        <f>VLOOKUP(A:A,[1]android_repos_all_metrics!B:K,5,FALSE)</f>
        <v>1</v>
      </c>
      <c r="AE1508">
        <f>VLOOKUP(A:A,[1]android_repos_all_metrics!B:K,6,FALSE)</f>
        <v>2</v>
      </c>
      <c r="AF1508">
        <f>VLOOKUP(A:A,[1]android_repos_all_metrics!B:K,7,FALSE)</f>
        <v>4800</v>
      </c>
      <c r="AG1508">
        <f>VLOOKUP(A:A,[1]android_repos_all_metrics!B:K,8,FALSE)</f>
        <v>1</v>
      </c>
      <c r="AH1508">
        <f>VLOOKUP(A:A,[1]android_repos_all_metrics!B:K,9,FALSE)</f>
        <v>2</v>
      </c>
      <c r="AI1508">
        <f>VLOOKUP(A:A,[1]android_repos_all_metrics!B:K,10,FALSE)</f>
        <v>2</v>
      </c>
    </row>
    <row r="1509" spans="1:35">
      <c r="A1509" t="s">
        <v>1576</v>
      </c>
      <c r="B1509" t="b">
        <v>1</v>
      </c>
      <c r="C1509" t="b">
        <v>0</v>
      </c>
      <c r="D1509" t="b">
        <v>0</v>
      </c>
      <c r="F1509" t="b">
        <v>0</v>
      </c>
      <c r="H1509" t="s">
        <v>37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>
        <v>8</v>
      </c>
      <c r="AB1509">
        <v>0</v>
      </c>
      <c r="AC1509">
        <f>VLOOKUP(A:A,[1]android_repos_all_metrics!B:K,4,FALSE)</f>
        <v>230</v>
      </c>
      <c r="AD1509">
        <f>VLOOKUP(A:A,[1]android_repos_all_metrics!B:K,5,FALSE)</f>
        <v>2</v>
      </c>
      <c r="AE1509">
        <f>VLOOKUP(A:A,[1]android_repos_all_metrics!B:K,6,FALSE)</f>
        <v>3</v>
      </c>
      <c r="AF1509">
        <f>VLOOKUP(A:A,[1]android_repos_all_metrics!B:K,7,FALSE)</f>
        <v>4671</v>
      </c>
      <c r="AG1509">
        <f>VLOOKUP(A:A,[1]android_repos_all_metrics!B:K,8,FALSE)</f>
        <v>0</v>
      </c>
      <c r="AH1509">
        <f>VLOOKUP(A:A,[1]android_repos_all_metrics!B:K,9,FALSE)</f>
        <v>1</v>
      </c>
      <c r="AI1509">
        <f>VLOOKUP(A:A,[1]android_repos_all_metrics!B:K,10,FALSE)</f>
        <v>1</v>
      </c>
    </row>
    <row r="1510" spans="1:35">
      <c r="A1510" t="s">
        <v>1577</v>
      </c>
      <c r="B1510" t="b">
        <v>1</v>
      </c>
      <c r="C1510" t="b">
        <v>0</v>
      </c>
      <c r="D1510" t="b">
        <v>0</v>
      </c>
      <c r="F1510" t="b">
        <v>0</v>
      </c>
      <c r="H1510" t="s">
        <v>37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>
        <v>2</v>
      </c>
      <c r="AB1510">
        <v>0</v>
      </c>
      <c r="AC1510">
        <f>VLOOKUP(A:A,[1]android_repos_all_metrics!B:K,4,FALSE)</f>
        <v>153</v>
      </c>
      <c r="AD1510">
        <f>VLOOKUP(A:A,[1]android_repos_all_metrics!B:K,5,FALSE)</f>
        <v>2</v>
      </c>
      <c r="AE1510">
        <f>VLOOKUP(A:A,[1]android_repos_all_metrics!B:K,6,FALSE)</f>
        <v>2</v>
      </c>
      <c r="AF1510">
        <f>VLOOKUP(A:A,[1]android_repos_all_metrics!B:K,7,FALSE)</f>
        <v>7009</v>
      </c>
      <c r="AG1510">
        <f>VLOOKUP(A:A,[1]android_repos_all_metrics!B:K,8,FALSE)</f>
        <v>1</v>
      </c>
      <c r="AH1510">
        <f>VLOOKUP(A:A,[1]android_repos_all_metrics!B:K,9,FALSE)</f>
        <v>27</v>
      </c>
      <c r="AI1510">
        <f>VLOOKUP(A:A,[1]android_repos_all_metrics!B:K,10,FALSE)</f>
        <v>3</v>
      </c>
    </row>
    <row r="1511" spans="1:35">
      <c r="A1511" t="s">
        <v>1578</v>
      </c>
      <c r="B1511" t="b">
        <v>1</v>
      </c>
      <c r="C1511" t="b">
        <v>0</v>
      </c>
      <c r="D1511" t="b">
        <v>0</v>
      </c>
      <c r="F1511" t="b">
        <v>0</v>
      </c>
      <c r="H1511" t="s">
        <v>37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>
        <v>1</v>
      </c>
      <c r="AB1511">
        <v>0</v>
      </c>
      <c r="AC1511">
        <f>VLOOKUP(A:A,[1]android_repos_all_metrics!B:K,4,FALSE)</f>
        <v>1002</v>
      </c>
      <c r="AD1511">
        <f>VLOOKUP(A:A,[1]android_repos_all_metrics!B:K,5,FALSE)</f>
        <v>173</v>
      </c>
      <c r="AE1511">
        <f>VLOOKUP(A:A,[1]android_repos_all_metrics!B:K,6,FALSE)</f>
        <v>8</v>
      </c>
      <c r="AF1511">
        <f>VLOOKUP(A:A,[1]android_repos_all_metrics!B:K,7,FALSE)</f>
        <v>80401</v>
      </c>
      <c r="AG1511">
        <f>VLOOKUP(A:A,[1]android_repos_all_metrics!B:K,8,FALSE)</f>
        <v>41</v>
      </c>
      <c r="AH1511">
        <f>VLOOKUP(A:A,[1]android_repos_all_metrics!B:K,9,FALSE)</f>
        <v>69</v>
      </c>
      <c r="AI1511">
        <f>VLOOKUP(A:A,[1]android_repos_all_metrics!B:K,10,FALSE)</f>
        <v>73</v>
      </c>
    </row>
    <row r="1512" spans="1:35">
      <c r="A1512" t="s">
        <v>1579</v>
      </c>
      <c r="B1512" t="b">
        <v>1</v>
      </c>
      <c r="C1512" t="b">
        <v>1</v>
      </c>
      <c r="D1512" t="b">
        <v>0</v>
      </c>
      <c r="F1512" t="b">
        <v>1</v>
      </c>
      <c r="G1512" t="s">
        <v>39</v>
      </c>
      <c r="H1512" t="s">
        <v>41</v>
      </c>
      <c r="I1512" t="s">
        <v>41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>
        <v>1</v>
      </c>
      <c r="AB1512">
        <v>0</v>
      </c>
      <c r="AC1512">
        <f>VLOOKUP(A:A,[1]android_repos_all_metrics!B:K,4,FALSE)</f>
        <v>207</v>
      </c>
      <c r="AD1512">
        <f>VLOOKUP(A:A,[1]android_repos_all_metrics!B:K,5,FALSE)</f>
        <v>1</v>
      </c>
      <c r="AE1512">
        <f>VLOOKUP(A:A,[1]android_repos_all_metrics!B:K,6,FALSE)</f>
        <v>1</v>
      </c>
      <c r="AF1512">
        <f>VLOOKUP(A:A,[1]android_repos_all_metrics!B:K,7,FALSE)</f>
        <v>689</v>
      </c>
      <c r="AG1512">
        <f>VLOOKUP(A:A,[1]android_repos_all_metrics!B:K,8,FALSE)</f>
        <v>0</v>
      </c>
      <c r="AH1512">
        <f>VLOOKUP(A:A,[1]android_repos_all_metrics!B:K,9,FALSE)</f>
        <v>2</v>
      </c>
      <c r="AI1512">
        <f>VLOOKUP(A:A,[1]android_repos_all_metrics!B:K,10,FALSE)</f>
        <v>0</v>
      </c>
    </row>
    <row r="1513" spans="1:35">
      <c r="A1513" t="s">
        <v>1580</v>
      </c>
      <c r="B1513" t="b">
        <v>0</v>
      </c>
      <c r="C1513" t="b">
        <v>0</v>
      </c>
      <c r="D1513" t="b">
        <v>0</v>
      </c>
      <c r="F1513" t="b">
        <v>0</v>
      </c>
      <c r="H1513" t="s">
        <v>41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>
        <v>1</v>
      </c>
      <c r="AB1513">
        <v>0</v>
      </c>
      <c r="AC1513">
        <f>VLOOKUP(A:A,[1]android_repos_all_metrics!B:K,4,FALSE)</f>
        <v>42</v>
      </c>
      <c r="AD1513">
        <f>VLOOKUP(A:A,[1]android_repos_all_metrics!B:K,5,FALSE)</f>
        <v>16</v>
      </c>
      <c r="AE1513">
        <f>VLOOKUP(A:A,[1]android_repos_all_metrics!B:K,6,FALSE)</f>
        <v>6</v>
      </c>
      <c r="AF1513">
        <f>VLOOKUP(A:A,[1]android_repos_all_metrics!B:K,7,FALSE)</f>
        <v>184</v>
      </c>
      <c r="AG1513">
        <f>VLOOKUP(A:A,[1]android_repos_all_metrics!B:K,8,FALSE)</f>
        <v>18</v>
      </c>
      <c r="AH1513">
        <f>VLOOKUP(A:A,[1]android_repos_all_metrics!B:K,9,FALSE)</f>
        <v>61</v>
      </c>
      <c r="AI1513">
        <f>VLOOKUP(A:A,[1]android_repos_all_metrics!B:K,10,FALSE)</f>
        <v>5</v>
      </c>
    </row>
    <row r="1514" spans="1:35">
      <c r="A1514" t="s">
        <v>1581</v>
      </c>
      <c r="B1514" t="b">
        <v>1</v>
      </c>
      <c r="C1514" t="b">
        <v>0</v>
      </c>
      <c r="D1514" t="b">
        <v>0</v>
      </c>
      <c r="F1514" t="b">
        <v>0</v>
      </c>
      <c r="H1514" t="s">
        <v>37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>
        <v>1</v>
      </c>
      <c r="AB1514">
        <v>0</v>
      </c>
      <c r="AC1514">
        <f>VLOOKUP(A:A,[1]android_repos_all_metrics!B:K,4,FALSE)</f>
        <v>234</v>
      </c>
      <c r="AD1514">
        <f>VLOOKUP(A:A,[1]android_repos_all_metrics!B:K,5,FALSE)</f>
        <v>35</v>
      </c>
      <c r="AE1514">
        <f>VLOOKUP(A:A,[1]android_repos_all_metrics!B:K,6,FALSE)</f>
        <v>5</v>
      </c>
      <c r="AF1514">
        <f>VLOOKUP(A:A,[1]android_repos_all_metrics!B:K,7,FALSE)</f>
        <v>777</v>
      </c>
      <c r="AG1514">
        <f>VLOOKUP(A:A,[1]android_repos_all_metrics!B:K,8,FALSE)</f>
        <v>6</v>
      </c>
      <c r="AH1514">
        <f>VLOOKUP(A:A,[1]android_repos_all_metrics!B:K,9,FALSE)</f>
        <v>26</v>
      </c>
      <c r="AI1514">
        <f>VLOOKUP(A:A,[1]android_repos_all_metrics!B:K,10,FALSE)</f>
        <v>9</v>
      </c>
    </row>
    <row r="1515" spans="1:35">
      <c r="A1515" t="s">
        <v>1582</v>
      </c>
      <c r="B1515" t="b">
        <v>1</v>
      </c>
      <c r="C1515" t="b">
        <v>0</v>
      </c>
      <c r="D1515" t="b">
        <v>0</v>
      </c>
      <c r="F1515" t="b">
        <v>0</v>
      </c>
      <c r="H1515" t="s">
        <v>41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>
        <v>1</v>
      </c>
      <c r="AB1515">
        <v>0</v>
      </c>
      <c r="AC1515">
        <f>VLOOKUP(A:A,[1]android_repos_all_metrics!B:K,4,FALSE)</f>
        <v>93</v>
      </c>
      <c r="AD1515">
        <f>VLOOKUP(A:A,[1]android_repos_all_metrics!B:K,5,FALSE)</f>
        <v>3</v>
      </c>
      <c r="AE1515">
        <f>VLOOKUP(A:A,[1]android_repos_all_metrics!B:K,6,FALSE)</f>
        <v>1</v>
      </c>
      <c r="AF1515">
        <f>VLOOKUP(A:A,[1]android_repos_all_metrics!B:K,7,FALSE)</f>
        <v>401</v>
      </c>
      <c r="AG1515">
        <f>VLOOKUP(A:A,[1]android_repos_all_metrics!B:K,8,FALSE)</f>
        <v>13</v>
      </c>
      <c r="AH1515">
        <f>VLOOKUP(A:A,[1]android_repos_all_metrics!B:K,9,FALSE)</f>
        <v>55</v>
      </c>
      <c r="AI1515">
        <f>VLOOKUP(A:A,[1]android_repos_all_metrics!B:K,10,FALSE)</f>
        <v>3</v>
      </c>
    </row>
    <row r="1516" spans="1:35">
      <c r="A1516" t="s">
        <v>1583</v>
      </c>
      <c r="B1516" t="b">
        <v>1</v>
      </c>
      <c r="C1516" t="b">
        <v>0</v>
      </c>
      <c r="D1516" t="b">
        <v>0</v>
      </c>
      <c r="F1516" t="b">
        <v>0</v>
      </c>
      <c r="H1516" t="s">
        <v>43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>
        <v>1</v>
      </c>
      <c r="AB1516">
        <v>0</v>
      </c>
      <c r="AC1516">
        <f>VLOOKUP(A:A,[1]android_repos_all_metrics!B:K,4,FALSE)</f>
        <v>552</v>
      </c>
      <c r="AD1516">
        <f>VLOOKUP(A:A,[1]android_repos_all_metrics!B:K,5,FALSE)</f>
        <v>259</v>
      </c>
      <c r="AE1516">
        <f>VLOOKUP(A:A,[1]android_repos_all_metrics!B:K,6,FALSE)</f>
        <v>4</v>
      </c>
      <c r="AF1516">
        <f>VLOOKUP(A:A,[1]android_repos_all_metrics!B:K,7,FALSE)</f>
        <v>1456</v>
      </c>
      <c r="AG1516">
        <f>VLOOKUP(A:A,[1]android_repos_all_metrics!B:K,8,FALSE)</f>
        <v>2</v>
      </c>
      <c r="AH1516">
        <f>VLOOKUP(A:A,[1]android_repos_all_metrics!B:K,9,FALSE)</f>
        <v>19</v>
      </c>
      <c r="AI1516">
        <f>VLOOKUP(A:A,[1]android_repos_all_metrics!B:K,10,FALSE)</f>
        <v>5</v>
      </c>
    </row>
    <row r="1517" spans="1:35">
      <c r="A1517" t="s">
        <v>1584</v>
      </c>
      <c r="B1517" t="b">
        <v>0</v>
      </c>
      <c r="C1517" t="b">
        <v>0</v>
      </c>
      <c r="D1517" t="b">
        <v>0</v>
      </c>
      <c r="F1517" t="b">
        <v>0</v>
      </c>
      <c r="H1517" t="s">
        <v>41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>
        <v>1</v>
      </c>
      <c r="AB1517">
        <v>0</v>
      </c>
      <c r="AC1517">
        <f>VLOOKUP(A:A,[1]android_repos_all_metrics!B:K,4,FALSE)</f>
        <v>18</v>
      </c>
      <c r="AD1517">
        <f>VLOOKUP(A:A,[1]android_repos_all_metrics!B:K,5,FALSE)</f>
        <v>0</v>
      </c>
      <c r="AE1517">
        <f>VLOOKUP(A:A,[1]android_repos_all_metrics!B:K,6,FALSE)</f>
        <v>1</v>
      </c>
      <c r="AF1517">
        <f>VLOOKUP(A:A,[1]android_repos_all_metrics!B:K,7,FALSE)</f>
        <v>229</v>
      </c>
      <c r="AG1517">
        <f>VLOOKUP(A:A,[1]android_repos_all_metrics!B:K,8,FALSE)</f>
        <v>3</v>
      </c>
      <c r="AH1517">
        <f>VLOOKUP(A:A,[1]android_repos_all_metrics!B:K,9,FALSE)</f>
        <v>5</v>
      </c>
      <c r="AI1517">
        <f>VLOOKUP(A:A,[1]android_repos_all_metrics!B:K,10,FALSE)</f>
        <v>1</v>
      </c>
    </row>
    <row r="1518" spans="1:35">
      <c r="A1518" t="s">
        <v>1585</v>
      </c>
      <c r="B1518" t="b">
        <v>1</v>
      </c>
      <c r="C1518" t="b">
        <v>0</v>
      </c>
      <c r="D1518" t="b">
        <v>0</v>
      </c>
      <c r="F1518" t="b">
        <v>0</v>
      </c>
      <c r="H1518" t="s">
        <v>37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>
        <v>4</v>
      </c>
      <c r="AB1518">
        <v>0</v>
      </c>
      <c r="AC1518">
        <f>VLOOKUP(A:A,[1]android_repos_all_metrics!B:K,4,FALSE)</f>
        <v>953</v>
      </c>
      <c r="AD1518">
        <f>VLOOKUP(A:A,[1]android_repos_all_metrics!B:K,5,FALSE)</f>
        <v>411</v>
      </c>
      <c r="AE1518">
        <f>VLOOKUP(A:A,[1]android_repos_all_metrics!B:K,6,FALSE)</f>
        <v>17</v>
      </c>
      <c r="AF1518">
        <f>VLOOKUP(A:A,[1]android_repos_all_metrics!B:K,7,FALSE)</f>
        <v>7619</v>
      </c>
      <c r="AG1518">
        <f>VLOOKUP(A:A,[1]android_repos_all_metrics!B:K,8,FALSE)</f>
        <v>25</v>
      </c>
      <c r="AH1518">
        <f>VLOOKUP(A:A,[1]android_repos_all_metrics!B:K,9,FALSE)</f>
        <v>304</v>
      </c>
      <c r="AI1518">
        <f>VLOOKUP(A:A,[1]android_repos_all_metrics!B:K,10,FALSE)</f>
        <v>44</v>
      </c>
    </row>
    <row r="1519" spans="1:35">
      <c r="A1519" t="s">
        <v>1586</v>
      </c>
      <c r="B1519" t="b">
        <v>1</v>
      </c>
      <c r="C1519" t="b">
        <v>0</v>
      </c>
      <c r="D1519" t="b">
        <v>0</v>
      </c>
      <c r="F1519" t="b">
        <v>0</v>
      </c>
      <c r="H1519" t="s">
        <v>37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>
        <v>1</v>
      </c>
      <c r="AB1519">
        <v>0</v>
      </c>
      <c r="AC1519">
        <f>VLOOKUP(A:A,[1]android_repos_all_metrics!B:K,4,FALSE)</f>
        <v>66</v>
      </c>
      <c r="AD1519">
        <f>VLOOKUP(A:A,[1]android_repos_all_metrics!B:K,5,FALSE)</f>
        <v>28</v>
      </c>
      <c r="AE1519">
        <f>VLOOKUP(A:A,[1]android_repos_all_metrics!B:K,6,FALSE)</f>
        <v>1</v>
      </c>
      <c r="AF1519">
        <f>VLOOKUP(A:A,[1]android_repos_all_metrics!B:K,7,FALSE)</f>
        <v>1219</v>
      </c>
      <c r="AG1519">
        <f>VLOOKUP(A:A,[1]android_repos_all_metrics!B:K,8,FALSE)</f>
        <v>0</v>
      </c>
      <c r="AH1519">
        <f>VLOOKUP(A:A,[1]android_repos_all_metrics!B:K,9,FALSE)</f>
        <v>1</v>
      </c>
      <c r="AI1519">
        <f>VLOOKUP(A:A,[1]android_repos_all_metrics!B:K,10,FALSE)</f>
        <v>0</v>
      </c>
    </row>
    <row r="1520" spans="1:35">
      <c r="A1520" t="s">
        <v>1587</v>
      </c>
      <c r="B1520" t="b">
        <v>1</v>
      </c>
      <c r="C1520" t="b">
        <v>0</v>
      </c>
      <c r="D1520" t="b">
        <v>0</v>
      </c>
      <c r="F1520" t="b">
        <v>0</v>
      </c>
      <c r="H1520" t="s">
        <v>37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>
        <v>1</v>
      </c>
      <c r="AB1520">
        <v>0</v>
      </c>
      <c r="AC1520">
        <f>VLOOKUP(A:A,[1]android_repos_all_metrics!B:K,4,FALSE)</f>
        <v>536</v>
      </c>
      <c r="AD1520">
        <f>VLOOKUP(A:A,[1]android_repos_all_metrics!B:K,5,FALSE)</f>
        <v>16</v>
      </c>
      <c r="AE1520">
        <f>VLOOKUP(A:A,[1]android_repos_all_metrics!B:K,6,FALSE)</f>
        <v>1</v>
      </c>
      <c r="AF1520">
        <f>VLOOKUP(A:A,[1]android_repos_all_metrics!B:K,7,FALSE)</f>
        <v>13453</v>
      </c>
      <c r="AG1520">
        <f>VLOOKUP(A:A,[1]android_repos_all_metrics!B:K,8,FALSE)</f>
        <v>0</v>
      </c>
      <c r="AH1520">
        <f>VLOOKUP(A:A,[1]android_repos_all_metrics!B:K,9,FALSE)</f>
        <v>5</v>
      </c>
      <c r="AI1520">
        <f>VLOOKUP(A:A,[1]android_repos_all_metrics!B:K,10,FALSE)</f>
        <v>1</v>
      </c>
    </row>
    <row r="1521" spans="1:35">
      <c r="A1521" t="s">
        <v>1588</v>
      </c>
      <c r="B1521" t="b">
        <v>1</v>
      </c>
      <c r="C1521" t="b">
        <v>1</v>
      </c>
      <c r="D1521" t="b">
        <v>1</v>
      </c>
      <c r="E1521" t="s">
        <v>104</v>
      </c>
      <c r="F1521" t="b">
        <v>0</v>
      </c>
      <c r="H1521" t="s">
        <v>37</v>
      </c>
      <c r="I1521" t="s">
        <v>37</v>
      </c>
      <c r="J1521" t="b">
        <v>0</v>
      </c>
      <c r="K1521" t="b">
        <v>0</v>
      </c>
      <c r="L1521" t="b">
        <v>0</v>
      </c>
      <c r="M1521" t="b">
        <v>0</v>
      </c>
      <c r="N1521" t="b">
        <v>1</v>
      </c>
      <c r="O1521" t="b">
        <v>0</v>
      </c>
      <c r="P1521" t="b">
        <v>1</v>
      </c>
      <c r="Q1521" t="b">
        <v>0</v>
      </c>
      <c r="R1521" t="b">
        <v>1</v>
      </c>
      <c r="S1521" t="b">
        <v>0</v>
      </c>
      <c r="T1521" t="b">
        <v>1</v>
      </c>
      <c r="U1521" t="b">
        <v>0</v>
      </c>
      <c r="V1521" t="b">
        <v>1</v>
      </c>
      <c r="W1521" t="b">
        <v>0</v>
      </c>
      <c r="X1521" t="b">
        <v>1</v>
      </c>
      <c r="Y1521" t="b">
        <v>0</v>
      </c>
      <c r="Z1521">
        <v>6</v>
      </c>
      <c r="AA1521">
        <v>4</v>
      </c>
      <c r="AB1521">
        <v>0</v>
      </c>
      <c r="AC1521">
        <f>VLOOKUP(A:A,[1]android_repos_all_metrics!B:K,4,FALSE)</f>
        <v>2565</v>
      </c>
      <c r="AD1521">
        <f>VLOOKUP(A:A,[1]android_repos_all_metrics!B:K,5,FALSE)</f>
        <v>140</v>
      </c>
      <c r="AE1521">
        <f>VLOOKUP(A:A,[1]android_repos_all_metrics!B:K,6,FALSE)</f>
        <v>31</v>
      </c>
      <c r="AF1521">
        <f>VLOOKUP(A:A,[1]android_repos_all_metrics!B:K,7,FALSE)</f>
        <v>32098</v>
      </c>
      <c r="AG1521">
        <f>VLOOKUP(A:A,[1]android_repos_all_metrics!B:K,8,FALSE)</f>
        <v>159</v>
      </c>
      <c r="AH1521">
        <f>VLOOKUP(A:A,[1]android_repos_all_metrics!B:K,9,FALSE)</f>
        <v>358</v>
      </c>
      <c r="AI1521">
        <f>VLOOKUP(A:A,[1]android_repos_all_metrics!B:K,10,FALSE)</f>
        <v>30</v>
      </c>
    </row>
    <row r="1522" spans="1:35">
      <c r="A1522" t="s">
        <v>1589</v>
      </c>
      <c r="B1522" t="b">
        <v>1</v>
      </c>
      <c r="C1522" t="b">
        <v>1</v>
      </c>
      <c r="D1522" t="b">
        <v>1</v>
      </c>
      <c r="E1522" t="s">
        <v>36</v>
      </c>
      <c r="F1522" t="b">
        <v>0</v>
      </c>
      <c r="H1522" t="s">
        <v>37</v>
      </c>
      <c r="I1522" t="s">
        <v>37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>
        <v>1</v>
      </c>
      <c r="AA1522">
        <v>5</v>
      </c>
      <c r="AB1522">
        <v>0</v>
      </c>
      <c r="AC1522">
        <f>VLOOKUP(A:A,[1]android_repos_all_metrics!B:K,4,FALSE)</f>
        <v>24</v>
      </c>
      <c r="AD1522">
        <f>VLOOKUP(A:A,[1]android_repos_all_metrics!B:K,5,FALSE)</f>
        <v>11</v>
      </c>
      <c r="AE1522">
        <f>VLOOKUP(A:A,[1]android_repos_all_metrics!B:K,6,FALSE)</f>
        <v>1</v>
      </c>
      <c r="AF1522">
        <f>VLOOKUP(A:A,[1]android_repos_all_metrics!B:K,7,FALSE)</f>
        <v>212</v>
      </c>
      <c r="AG1522">
        <f>VLOOKUP(A:A,[1]android_repos_all_metrics!B:K,8,FALSE)</f>
        <v>0</v>
      </c>
      <c r="AH1522">
        <f>VLOOKUP(A:A,[1]android_repos_all_metrics!B:K,9,FALSE)</f>
        <v>1</v>
      </c>
      <c r="AI1522">
        <f>VLOOKUP(A:A,[1]android_repos_all_metrics!B:K,10,FALSE)</f>
        <v>0</v>
      </c>
    </row>
    <row r="1523" spans="1:35">
      <c r="A1523" t="s">
        <v>1590</v>
      </c>
      <c r="B1523" t="b">
        <v>1</v>
      </c>
      <c r="C1523" t="b">
        <v>0</v>
      </c>
      <c r="D1523" t="b">
        <v>0</v>
      </c>
      <c r="F1523" t="b">
        <v>0</v>
      </c>
      <c r="H1523" t="s">
        <v>37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>
        <v>10</v>
      </c>
      <c r="AB1523">
        <v>0</v>
      </c>
      <c r="AC1523">
        <f>VLOOKUP(A:A,[1]android_repos_all_metrics!B:K,4,FALSE)</f>
        <v>3032</v>
      </c>
      <c r="AD1523">
        <f>VLOOKUP(A:A,[1]android_repos_all_metrics!B:K,5,FALSE)</f>
        <v>852</v>
      </c>
      <c r="AE1523">
        <f>VLOOKUP(A:A,[1]android_repos_all_metrics!B:K,6,FALSE)</f>
        <v>62</v>
      </c>
      <c r="AF1523">
        <f>VLOOKUP(A:A,[1]android_repos_all_metrics!B:K,7,FALSE)</f>
        <v>26183</v>
      </c>
      <c r="AG1523">
        <f>VLOOKUP(A:A,[1]android_repos_all_metrics!B:K,8,FALSE)</f>
        <v>127</v>
      </c>
      <c r="AH1523">
        <f>VLOOKUP(A:A,[1]android_repos_all_metrics!B:K,9,FALSE)</f>
        <v>787</v>
      </c>
      <c r="AI1523">
        <f>VLOOKUP(A:A,[1]android_repos_all_metrics!B:K,10,FALSE)</f>
        <v>74</v>
      </c>
    </row>
    <row r="1524" spans="1:35">
      <c r="A1524" t="s">
        <v>1591</v>
      </c>
      <c r="B1524" t="b">
        <v>1</v>
      </c>
      <c r="C1524" t="b">
        <v>0</v>
      </c>
      <c r="D1524" t="b">
        <v>0</v>
      </c>
      <c r="F1524" t="b">
        <v>0</v>
      </c>
      <c r="H1524" t="s">
        <v>37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>
        <v>11</v>
      </c>
      <c r="AB1524">
        <v>0</v>
      </c>
      <c r="AC1524">
        <f>VLOOKUP(A:A,[1]android_repos_all_metrics!B:K,4,FALSE)</f>
        <v>9809</v>
      </c>
      <c r="AD1524">
        <f>VLOOKUP(A:A,[1]android_repos_all_metrics!B:K,5,FALSE)</f>
        <v>376</v>
      </c>
      <c r="AE1524">
        <f>VLOOKUP(A:A,[1]android_repos_all_metrics!B:K,6,FALSE)</f>
        <v>37</v>
      </c>
      <c r="AF1524">
        <f>VLOOKUP(A:A,[1]android_repos_all_metrics!B:K,7,FALSE)</f>
        <v>165884</v>
      </c>
      <c r="AG1524">
        <f>VLOOKUP(A:A,[1]android_repos_all_metrics!B:K,8,FALSE)</f>
        <v>347</v>
      </c>
      <c r="AH1524">
        <f>VLOOKUP(A:A,[1]android_repos_all_metrics!B:K,9,FALSE)</f>
        <v>6480</v>
      </c>
      <c r="AI1524">
        <f>VLOOKUP(A:A,[1]android_repos_all_metrics!B:K,10,FALSE)</f>
        <v>479</v>
      </c>
    </row>
    <row r="1525" spans="1:35">
      <c r="A1525" t="s">
        <v>1592</v>
      </c>
      <c r="B1525" t="b">
        <v>0</v>
      </c>
      <c r="C1525" t="b">
        <v>0</v>
      </c>
      <c r="D1525" t="b">
        <v>0</v>
      </c>
      <c r="F1525" t="b">
        <v>0</v>
      </c>
      <c r="H1525" t="s">
        <v>37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>
        <v>1</v>
      </c>
      <c r="AB1525">
        <v>0</v>
      </c>
      <c r="AC1525">
        <f>VLOOKUP(A:A,[1]android_repos_all_metrics!B:K,4,FALSE)</f>
        <v>21</v>
      </c>
      <c r="AD1525">
        <f>VLOOKUP(A:A,[1]android_repos_all_metrics!B:K,5,FALSE)</f>
        <v>0</v>
      </c>
      <c r="AE1525">
        <f>VLOOKUP(A:A,[1]android_repos_all_metrics!B:K,6,FALSE)</f>
        <v>1</v>
      </c>
      <c r="AF1525">
        <f>VLOOKUP(A:A,[1]android_repos_all_metrics!B:K,7,FALSE)</f>
        <v>11939</v>
      </c>
      <c r="AG1525">
        <f>VLOOKUP(A:A,[1]android_repos_all_metrics!B:K,8,FALSE)</f>
        <v>3</v>
      </c>
      <c r="AH1525">
        <f>VLOOKUP(A:A,[1]android_repos_all_metrics!B:K,9,FALSE)</f>
        <v>12</v>
      </c>
      <c r="AI1525">
        <f>VLOOKUP(A:A,[1]android_repos_all_metrics!B:K,10,FALSE)</f>
        <v>0</v>
      </c>
    </row>
    <row r="1526" spans="1:35">
      <c r="A1526" t="s">
        <v>1593</v>
      </c>
      <c r="B1526" t="b">
        <v>1</v>
      </c>
      <c r="C1526" t="b">
        <v>0</v>
      </c>
      <c r="D1526" t="b">
        <v>0</v>
      </c>
      <c r="F1526" t="b">
        <v>0</v>
      </c>
      <c r="H1526" t="s">
        <v>37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>
        <v>1</v>
      </c>
      <c r="AB1526">
        <v>0</v>
      </c>
      <c r="AC1526">
        <f>VLOOKUP(A:A,[1]android_repos_all_metrics!B:K,4,FALSE)</f>
        <v>172</v>
      </c>
      <c r="AD1526">
        <f>VLOOKUP(A:A,[1]android_repos_all_metrics!B:K,5,FALSE)</f>
        <v>50</v>
      </c>
      <c r="AE1526">
        <f>VLOOKUP(A:A,[1]android_repos_all_metrics!B:K,6,FALSE)</f>
        <v>5</v>
      </c>
      <c r="AF1526">
        <f>VLOOKUP(A:A,[1]android_repos_all_metrics!B:K,7,FALSE)</f>
        <v>13632</v>
      </c>
      <c r="AG1526">
        <f>VLOOKUP(A:A,[1]android_repos_all_metrics!B:K,8,FALSE)</f>
        <v>0</v>
      </c>
      <c r="AH1526">
        <f>VLOOKUP(A:A,[1]android_repos_all_metrics!B:K,9,FALSE)</f>
        <v>9</v>
      </c>
      <c r="AI1526">
        <f>VLOOKUP(A:A,[1]android_repos_all_metrics!B:K,10,FALSE)</f>
        <v>1</v>
      </c>
    </row>
    <row r="1527" spans="1:35">
      <c r="A1527" t="s">
        <v>1594</v>
      </c>
      <c r="B1527" t="b">
        <v>0</v>
      </c>
      <c r="C1527" t="b">
        <v>0</v>
      </c>
      <c r="D1527" t="b">
        <v>0</v>
      </c>
      <c r="F1527" t="b">
        <v>0</v>
      </c>
      <c r="H1527" t="s">
        <v>41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>
        <v>1</v>
      </c>
      <c r="AB1527">
        <v>0</v>
      </c>
      <c r="AC1527">
        <f>VLOOKUP(A:A,[1]android_repos_all_metrics!B:K,4,FALSE)</f>
        <v>32</v>
      </c>
      <c r="AD1527">
        <f>VLOOKUP(A:A,[1]android_repos_all_metrics!B:K,5,FALSE)</f>
        <v>1</v>
      </c>
      <c r="AE1527">
        <f>VLOOKUP(A:A,[1]android_repos_all_metrics!B:K,6,FALSE)</f>
        <v>1</v>
      </c>
      <c r="AF1527">
        <f>VLOOKUP(A:A,[1]android_repos_all_metrics!B:K,7,FALSE)</f>
        <v>1796</v>
      </c>
      <c r="AG1527">
        <f>VLOOKUP(A:A,[1]android_repos_all_metrics!B:K,8,FALSE)</f>
        <v>1</v>
      </c>
      <c r="AH1527">
        <f>VLOOKUP(A:A,[1]android_repos_all_metrics!B:K,9,FALSE)</f>
        <v>2</v>
      </c>
      <c r="AI1527">
        <f>VLOOKUP(A:A,[1]android_repos_all_metrics!B:K,10,FALSE)</f>
        <v>0</v>
      </c>
    </row>
    <row r="1528" spans="1:35">
      <c r="A1528" t="s">
        <v>1595</v>
      </c>
      <c r="B1528" t="b">
        <v>1</v>
      </c>
      <c r="C1528" t="b">
        <v>0</v>
      </c>
      <c r="D1528" t="b">
        <v>0</v>
      </c>
      <c r="F1528" t="b">
        <v>0</v>
      </c>
      <c r="H1528" t="s">
        <v>37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>
        <v>1</v>
      </c>
      <c r="AB1528">
        <v>0</v>
      </c>
      <c r="AC1528">
        <f>VLOOKUP(A:A,[1]android_repos_all_metrics!B:K,4,FALSE)</f>
        <v>1</v>
      </c>
      <c r="AD1528">
        <f>VLOOKUP(A:A,[1]android_repos_all_metrics!B:K,5,FALSE)</f>
        <v>0</v>
      </c>
      <c r="AE1528">
        <f>VLOOKUP(A:A,[1]android_repos_all_metrics!B:K,6,FALSE)</f>
        <v>1</v>
      </c>
      <c r="AF1528">
        <f>VLOOKUP(A:A,[1]android_repos_all_metrics!B:K,7,FALSE)</f>
        <v>16008</v>
      </c>
      <c r="AG1528">
        <f>VLOOKUP(A:A,[1]android_repos_all_metrics!B:K,8,FALSE)</f>
        <v>1</v>
      </c>
      <c r="AH1528">
        <f>VLOOKUP(A:A,[1]android_repos_all_metrics!B:K,9,FALSE)</f>
        <v>7</v>
      </c>
      <c r="AI1528">
        <f>VLOOKUP(A:A,[1]android_repos_all_metrics!B:K,10,FALSE)</f>
        <v>0</v>
      </c>
    </row>
    <row r="1529" spans="1:35">
      <c r="A1529" t="s">
        <v>1596</v>
      </c>
      <c r="B1529" t="b">
        <v>1</v>
      </c>
      <c r="C1529" t="b">
        <v>0</v>
      </c>
      <c r="D1529" t="b">
        <v>0</v>
      </c>
      <c r="F1529" t="b">
        <v>0</v>
      </c>
      <c r="H1529" t="s">
        <v>37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>
        <v>2</v>
      </c>
      <c r="AB1529">
        <v>0</v>
      </c>
      <c r="AC1529">
        <f>VLOOKUP(A:A,[1]android_repos_all_metrics!B:K,4,FALSE)</f>
        <v>167</v>
      </c>
      <c r="AD1529">
        <f>VLOOKUP(A:A,[1]android_repos_all_metrics!B:K,5,FALSE)</f>
        <v>1</v>
      </c>
      <c r="AE1529">
        <f>VLOOKUP(A:A,[1]android_repos_all_metrics!B:K,6,FALSE)</f>
        <v>1</v>
      </c>
      <c r="AF1529">
        <f>VLOOKUP(A:A,[1]android_repos_all_metrics!B:K,7,FALSE)</f>
        <v>660</v>
      </c>
      <c r="AG1529">
        <f>VLOOKUP(A:A,[1]android_repos_all_metrics!B:K,8,FALSE)</f>
        <v>3</v>
      </c>
      <c r="AH1529">
        <f>VLOOKUP(A:A,[1]android_repos_all_metrics!B:K,9,FALSE)</f>
        <v>9</v>
      </c>
      <c r="AI1529">
        <f>VLOOKUP(A:A,[1]android_repos_all_metrics!B:K,10,FALSE)</f>
        <v>1</v>
      </c>
    </row>
    <row r="1530" spans="1:35">
      <c r="A1530" t="s">
        <v>1597</v>
      </c>
      <c r="B1530" t="b">
        <v>1</v>
      </c>
      <c r="C1530" t="b">
        <v>0</v>
      </c>
      <c r="D1530" t="b">
        <v>0</v>
      </c>
      <c r="F1530" t="b">
        <v>0</v>
      </c>
      <c r="H1530" t="s">
        <v>37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>
        <v>1</v>
      </c>
      <c r="AB1530">
        <v>0</v>
      </c>
      <c r="AC1530">
        <f>VLOOKUP(A:A,[1]android_repos_all_metrics!B:K,4,FALSE)</f>
        <v>144</v>
      </c>
      <c r="AD1530">
        <f>VLOOKUP(A:A,[1]android_repos_all_metrics!B:K,5,FALSE)</f>
        <v>0</v>
      </c>
      <c r="AE1530">
        <f>VLOOKUP(A:A,[1]android_repos_all_metrics!B:K,6,FALSE)</f>
        <v>1</v>
      </c>
      <c r="AF1530">
        <f>VLOOKUP(A:A,[1]android_repos_all_metrics!B:K,7,FALSE)</f>
        <v>3758</v>
      </c>
      <c r="AG1530">
        <f>VLOOKUP(A:A,[1]android_repos_all_metrics!B:K,8,FALSE)</f>
        <v>0</v>
      </c>
      <c r="AH1530">
        <f>VLOOKUP(A:A,[1]android_repos_all_metrics!B:K,9,FALSE)</f>
        <v>2</v>
      </c>
      <c r="AI1530">
        <f>VLOOKUP(A:A,[1]android_repos_all_metrics!B:K,10,FALSE)</f>
        <v>0</v>
      </c>
    </row>
    <row r="1531" spans="1:35">
      <c r="A1531" t="s">
        <v>1598</v>
      </c>
      <c r="B1531" t="b">
        <v>1</v>
      </c>
      <c r="C1531" t="b">
        <v>0</v>
      </c>
      <c r="D1531" t="b">
        <v>0</v>
      </c>
      <c r="F1531" t="b">
        <v>0</v>
      </c>
      <c r="H1531" t="s">
        <v>37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>
        <v>1</v>
      </c>
      <c r="AB1531">
        <v>0</v>
      </c>
      <c r="AC1531">
        <f>VLOOKUP(A:A,[1]android_repos_all_metrics!B:K,4,FALSE)</f>
        <v>61</v>
      </c>
      <c r="AD1531">
        <f>VLOOKUP(A:A,[1]android_repos_all_metrics!B:K,5,FALSE)</f>
        <v>4</v>
      </c>
      <c r="AE1531">
        <f>VLOOKUP(A:A,[1]android_repos_all_metrics!B:K,6,FALSE)</f>
        <v>1</v>
      </c>
      <c r="AF1531">
        <f>VLOOKUP(A:A,[1]android_repos_all_metrics!B:K,7,FALSE)</f>
        <v>2587</v>
      </c>
      <c r="AG1531">
        <f>VLOOKUP(A:A,[1]android_repos_all_metrics!B:K,8,FALSE)</f>
        <v>8</v>
      </c>
      <c r="AH1531">
        <f>VLOOKUP(A:A,[1]android_repos_all_metrics!B:K,9,FALSE)</f>
        <v>58</v>
      </c>
      <c r="AI1531">
        <f>VLOOKUP(A:A,[1]android_repos_all_metrics!B:K,10,FALSE)</f>
        <v>1</v>
      </c>
    </row>
    <row r="1532" spans="1:35">
      <c r="A1532" t="s">
        <v>1599</v>
      </c>
      <c r="B1532" t="b">
        <v>1</v>
      </c>
      <c r="C1532" t="b">
        <v>0</v>
      </c>
      <c r="D1532" t="b">
        <v>0</v>
      </c>
      <c r="F1532" t="b">
        <v>0</v>
      </c>
      <c r="H1532" t="s">
        <v>37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>
        <v>1</v>
      </c>
      <c r="AB1532">
        <v>0</v>
      </c>
      <c r="AC1532">
        <f>VLOOKUP(A:A,[1]android_repos_all_metrics!B:K,4,FALSE)</f>
        <v>34</v>
      </c>
      <c r="AD1532">
        <f>VLOOKUP(A:A,[1]android_repos_all_metrics!B:K,5,FALSE)</f>
        <v>2</v>
      </c>
      <c r="AE1532">
        <f>VLOOKUP(A:A,[1]android_repos_all_metrics!B:K,6,FALSE)</f>
        <v>2</v>
      </c>
      <c r="AF1532">
        <f>VLOOKUP(A:A,[1]android_repos_all_metrics!B:K,7,FALSE)</f>
        <v>28687</v>
      </c>
      <c r="AG1532">
        <f>VLOOKUP(A:A,[1]android_repos_all_metrics!B:K,8,FALSE)</f>
        <v>2</v>
      </c>
      <c r="AH1532">
        <f>VLOOKUP(A:A,[1]android_repos_all_metrics!B:K,9,FALSE)</f>
        <v>28</v>
      </c>
      <c r="AI1532">
        <f>VLOOKUP(A:A,[1]android_repos_all_metrics!B:K,10,FALSE)</f>
        <v>8</v>
      </c>
    </row>
    <row r="1533" spans="1:35">
      <c r="A1533" t="s">
        <v>1600</v>
      </c>
      <c r="B1533" t="b">
        <v>1</v>
      </c>
      <c r="C1533" t="b">
        <v>0</v>
      </c>
      <c r="D1533" t="b">
        <v>0</v>
      </c>
      <c r="F1533" t="b">
        <v>0</v>
      </c>
      <c r="H1533" t="s">
        <v>43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>
        <v>1</v>
      </c>
      <c r="AB1533">
        <v>0</v>
      </c>
      <c r="AC1533">
        <f>VLOOKUP(A:A,[1]android_repos_all_metrics!B:K,4,FALSE)</f>
        <v>44</v>
      </c>
      <c r="AD1533">
        <f>VLOOKUP(A:A,[1]android_repos_all_metrics!B:K,5,FALSE)</f>
        <v>5</v>
      </c>
      <c r="AE1533">
        <f>VLOOKUP(A:A,[1]android_repos_all_metrics!B:K,6,FALSE)</f>
        <v>1</v>
      </c>
      <c r="AF1533">
        <f>VLOOKUP(A:A,[1]android_repos_all_metrics!B:K,7,FALSE)</f>
        <v>7821</v>
      </c>
      <c r="AG1533">
        <f>VLOOKUP(A:A,[1]android_repos_all_metrics!B:K,8,FALSE)</f>
        <v>0</v>
      </c>
      <c r="AH1533">
        <f>VLOOKUP(A:A,[1]android_repos_all_metrics!B:K,9,FALSE)</f>
        <v>1</v>
      </c>
      <c r="AI1533">
        <f>VLOOKUP(A:A,[1]android_repos_all_metrics!B:K,10,FALSE)</f>
        <v>0</v>
      </c>
    </row>
    <row r="1534" spans="1:35">
      <c r="A1534" t="s">
        <v>1601</v>
      </c>
      <c r="B1534" t="b">
        <v>1</v>
      </c>
      <c r="C1534" t="b">
        <v>0</v>
      </c>
      <c r="D1534" t="b">
        <v>0</v>
      </c>
      <c r="F1534" t="b">
        <v>0</v>
      </c>
      <c r="H1534" t="s">
        <v>37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>
        <v>3</v>
      </c>
      <c r="AB1534">
        <v>0</v>
      </c>
      <c r="AC1534">
        <f>VLOOKUP(A:A,[1]android_repos_all_metrics!B:K,4,FALSE)</f>
        <v>262</v>
      </c>
      <c r="AD1534">
        <f>VLOOKUP(A:A,[1]android_repos_all_metrics!B:K,5,FALSE)</f>
        <v>265</v>
      </c>
      <c r="AE1534">
        <f>VLOOKUP(A:A,[1]android_repos_all_metrics!B:K,6,FALSE)</f>
        <v>35</v>
      </c>
      <c r="AF1534">
        <f>VLOOKUP(A:A,[1]android_repos_all_metrics!B:K,7,FALSE)</f>
        <v>57258</v>
      </c>
      <c r="AG1534">
        <f>VLOOKUP(A:A,[1]android_repos_all_metrics!B:K,8,FALSE)</f>
        <v>6</v>
      </c>
      <c r="AH1534">
        <f>VLOOKUP(A:A,[1]android_repos_all_metrics!B:K,9,FALSE)</f>
        <v>25</v>
      </c>
      <c r="AI1534">
        <f>VLOOKUP(A:A,[1]android_repos_all_metrics!B:K,10,FALSE)</f>
        <v>70</v>
      </c>
    </row>
    <row r="1535" spans="1:35">
      <c r="A1535" t="s">
        <v>1602</v>
      </c>
      <c r="B1535" t="b">
        <v>1</v>
      </c>
      <c r="C1535" t="b">
        <v>1</v>
      </c>
      <c r="D1535" t="b">
        <v>0</v>
      </c>
      <c r="F1535" t="b">
        <v>1</v>
      </c>
      <c r="G1535" t="s">
        <v>39</v>
      </c>
      <c r="H1535" t="s">
        <v>41</v>
      </c>
      <c r="I1535" t="s">
        <v>41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>
        <v>1</v>
      </c>
      <c r="AB1535">
        <v>0</v>
      </c>
      <c r="AC1535">
        <f>VLOOKUP(A:A,[1]android_repos_all_metrics!B:K,4,FALSE)</f>
        <v>827</v>
      </c>
      <c r="AD1535">
        <f>VLOOKUP(A:A,[1]android_repos_all_metrics!B:K,5,FALSE)</f>
        <v>153</v>
      </c>
      <c r="AE1535">
        <f>VLOOKUP(A:A,[1]android_repos_all_metrics!B:K,6,FALSE)</f>
        <v>8</v>
      </c>
      <c r="AF1535">
        <f>VLOOKUP(A:A,[1]android_repos_all_metrics!B:K,7,FALSE)</f>
        <v>10507</v>
      </c>
      <c r="AG1535">
        <f>VLOOKUP(A:A,[1]android_repos_all_metrics!B:K,8,FALSE)</f>
        <v>4</v>
      </c>
      <c r="AH1535">
        <f>VLOOKUP(A:A,[1]android_repos_all_metrics!B:K,9,FALSE)</f>
        <v>13</v>
      </c>
      <c r="AI1535">
        <f>VLOOKUP(A:A,[1]android_repos_all_metrics!B:K,10,FALSE)</f>
        <v>66</v>
      </c>
    </row>
    <row r="1536" spans="1:35">
      <c r="A1536" t="s">
        <v>1603</v>
      </c>
      <c r="B1536" t="b">
        <v>1</v>
      </c>
      <c r="C1536" t="b">
        <v>0</v>
      </c>
      <c r="D1536" t="b">
        <v>0</v>
      </c>
      <c r="F1536" t="b">
        <v>0</v>
      </c>
      <c r="H1536" t="s">
        <v>37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>
        <v>3</v>
      </c>
      <c r="AB1536">
        <v>0</v>
      </c>
      <c r="AC1536">
        <f>VLOOKUP(A:A,[1]android_repos_all_metrics!B:K,4,FALSE)</f>
        <v>1572</v>
      </c>
      <c r="AD1536">
        <f>VLOOKUP(A:A,[1]android_repos_all_metrics!B:K,5,FALSE)</f>
        <v>585</v>
      </c>
      <c r="AE1536">
        <f>VLOOKUP(A:A,[1]android_repos_all_metrics!B:K,6,FALSE)</f>
        <v>17</v>
      </c>
      <c r="AF1536">
        <f>VLOOKUP(A:A,[1]android_repos_all_metrics!B:K,7,FALSE)</f>
        <v>4528</v>
      </c>
      <c r="AG1536">
        <f>VLOOKUP(A:A,[1]android_repos_all_metrics!B:K,8,FALSE)</f>
        <v>197</v>
      </c>
      <c r="AH1536">
        <f>VLOOKUP(A:A,[1]android_repos_all_metrics!B:K,9,FALSE)</f>
        <v>1450</v>
      </c>
      <c r="AI1536">
        <f>VLOOKUP(A:A,[1]android_repos_all_metrics!B:K,10,FALSE)</f>
        <v>6</v>
      </c>
    </row>
    <row r="1537" spans="1:35">
      <c r="A1537" t="s">
        <v>1604</v>
      </c>
      <c r="B1537" t="b">
        <v>1</v>
      </c>
      <c r="C1537" t="b">
        <v>0</v>
      </c>
      <c r="D1537" t="b">
        <v>0</v>
      </c>
      <c r="F1537" t="b">
        <v>0</v>
      </c>
      <c r="H1537" t="s">
        <v>37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>
        <v>4</v>
      </c>
      <c r="AB1537">
        <v>0</v>
      </c>
      <c r="AC1537">
        <f>VLOOKUP(A:A,[1]android_repos_all_metrics!B:K,4,FALSE)</f>
        <v>679</v>
      </c>
      <c r="AD1537">
        <f>VLOOKUP(A:A,[1]android_repos_all_metrics!B:K,5,FALSE)</f>
        <v>143</v>
      </c>
      <c r="AE1537">
        <f>VLOOKUP(A:A,[1]android_repos_all_metrics!B:K,6,FALSE)</f>
        <v>13</v>
      </c>
      <c r="AF1537">
        <f>VLOOKUP(A:A,[1]android_repos_all_metrics!B:K,7,FALSE)</f>
        <v>124038</v>
      </c>
      <c r="AG1537">
        <f>VLOOKUP(A:A,[1]android_repos_all_metrics!B:K,8,FALSE)</f>
        <v>8</v>
      </c>
      <c r="AH1537">
        <f>VLOOKUP(A:A,[1]android_repos_all_metrics!B:K,9,FALSE)</f>
        <v>13</v>
      </c>
      <c r="AI1537">
        <f>VLOOKUP(A:A,[1]android_repos_all_metrics!B:K,10,FALSE)</f>
        <v>14</v>
      </c>
    </row>
    <row r="1538" spans="1:35">
      <c r="A1538" t="s">
        <v>1605</v>
      </c>
      <c r="B1538" t="b">
        <v>1</v>
      </c>
      <c r="C1538" t="b">
        <v>0</v>
      </c>
      <c r="D1538" t="b">
        <v>0</v>
      </c>
      <c r="F1538" t="b">
        <v>0</v>
      </c>
      <c r="H1538" t="s">
        <v>37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>
        <v>1</v>
      </c>
      <c r="AB1538">
        <v>0</v>
      </c>
      <c r="AC1538">
        <f>VLOOKUP(A:A,[1]android_repos_all_metrics!B:K,4,FALSE)</f>
        <v>39</v>
      </c>
      <c r="AD1538">
        <f>VLOOKUP(A:A,[1]android_repos_all_metrics!B:K,5,FALSE)</f>
        <v>11</v>
      </c>
      <c r="AE1538">
        <f>VLOOKUP(A:A,[1]android_repos_all_metrics!B:K,6,FALSE)</f>
        <v>5</v>
      </c>
      <c r="AF1538">
        <f>VLOOKUP(A:A,[1]android_repos_all_metrics!B:K,7,FALSE)</f>
        <v>1553</v>
      </c>
      <c r="AG1538">
        <f>VLOOKUP(A:A,[1]android_repos_all_metrics!B:K,8,FALSE)</f>
        <v>18</v>
      </c>
      <c r="AH1538">
        <f>VLOOKUP(A:A,[1]android_repos_all_metrics!B:K,9,FALSE)</f>
        <v>185</v>
      </c>
      <c r="AI1538">
        <f>VLOOKUP(A:A,[1]android_repos_all_metrics!B:K,10,FALSE)</f>
        <v>6</v>
      </c>
    </row>
    <row r="1539" spans="1:35">
      <c r="A1539" t="s">
        <v>1606</v>
      </c>
      <c r="B1539" t="b">
        <v>1</v>
      </c>
      <c r="C1539" t="b">
        <v>0</v>
      </c>
      <c r="D1539" t="b">
        <v>0</v>
      </c>
      <c r="F1539" t="b">
        <v>0</v>
      </c>
      <c r="H1539" t="s">
        <v>37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>
        <v>2</v>
      </c>
      <c r="AB1539">
        <v>0</v>
      </c>
      <c r="AC1539">
        <f>VLOOKUP(A:A,[1]android_repos_all_metrics!B:K,4,FALSE)</f>
        <v>47</v>
      </c>
      <c r="AD1539">
        <f>VLOOKUP(A:A,[1]android_repos_all_metrics!B:K,5,FALSE)</f>
        <v>0</v>
      </c>
      <c r="AE1539">
        <f>VLOOKUP(A:A,[1]android_repos_all_metrics!B:K,6,FALSE)</f>
        <v>1</v>
      </c>
      <c r="AF1539">
        <f>VLOOKUP(A:A,[1]android_repos_all_metrics!B:K,7,FALSE)</f>
        <v>10199</v>
      </c>
      <c r="AG1539">
        <f>VLOOKUP(A:A,[1]android_repos_all_metrics!B:K,8,FALSE)</f>
        <v>0</v>
      </c>
      <c r="AH1539">
        <f>VLOOKUP(A:A,[1]android_repos_all_metrics!B:K,9,FALSE)</f>
        <v>1</v>
      </c>
      <c r="AI1539">
        <f>VLOOKUP(A:A,[1]android_repos_all_metrics!B:K,10,FALSE)</f>
        <v>0</v>
      </c>
    </row>
    <row r="1540" spans="1:35">
      <c r="A1540" t="s">
        <v>1607</v>
      </c>
      <c r="B1540" t="b">
        <v>0</v>
      </c>
      <c r="C1540" t="b">
        <v>0</v>
      </c>
      <c r="D1540" t="b">
        <v>0</v>
      </c>
      <c r="F1540" t="b">
        <v>0</v>
      </c>
      <c r="H1540" t="s">
        <v>41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>
        <v>1</v>
      </c>
      <c r="AB1540">
        <v>0</v>
      </c>
      <c r="AC1540">
        <f>VLOOKUP(A:A,[1]android_repos_all_metrics!B:K,4,FALSE)</f>
        <v>18</v>
      </c>
      <c r="AD1540">
        <f>VLOOKUP(A:A,[1]android_repos_all_metrics!B:K,5,FALSE)</f>
        <v>0</v>
      </c>
      <c r="AE1540">
        <f>VLOOKUP(A:A,[1]android_repos_all_metrics!B:K,6,FALSE)</f>
        <v>1</v>
      </c>
      <c r="AF1540">
        <f>VLOOKUP(A:A,[1]android_repos_all_metrics!B:K,7,FALSE)</f>
        <v>1674</v>
      </c>
      <c r="AG1540">
        <f>VLOOKUP(A:A,[1]android_repos_all_metrics!B:K,8,FALSE)</f>
        <v>2</v>
      </c>
      <c r="AH1540">
        <f>VLOOKUP(A:A,[1]android_repos_all_metrics!B:K,9,FALSE)</f>
        <v>6</v>
      </c>
      <c r="AI1540">
        <f>VLOOKUP(A:A,[1]android_repos_all_metrics!B:K,10,FALSE)</f>
        <v>0</v>
      </c>
    </row>
    <row r="1541" spans="1:35">
      <c r="A1541" t="s">
        <v>1608</v>
      </c>
      <c r="B1541" t="b">
        <v>0</v>
      </c>
      <c r="C1541" t="b">
        <v>0</v>
      </c>
      <c r="D1541" t="b">
        <v>0</v>
      </c>
      <c r="F1541" t="b">
        <v>0</v>
      </c>
      <c r="H1541" t="s">
        <v>41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>
        <v>1</v>
      </c>
      <c r="AB1541">
        <v>0</v>
      </c>
      <c r="AC1541">
        <f>VLOOKUP(A:A,[1]android_repos_all_metrics!B:K,4,FALSE)</f>
        <v>41</v>
      </c>
      <c r="AD1541">
        <f>VLOOKUP(A:A,[1]android_repos_all_metrics!B:K,5,FALSE)</f>
        <v>9</v>
      </c>
      <c r="AE1541">
        <f>VLOOKUP(A:A,[1]android_repos_all_metrics!B:K,6,FALSE)</f>
        <v>3</v>
      </c>
      <c r="AF1541">
        <f>VLOOKUP(A:A,[1]android_repos_all_metrics!B:K,7,FALSE)</f>
        <v>1956</v>
      </c>
      <c r="AG1541">
        <f>VLOOKUP(A:A,[1]android_repos_all_metrics!B:K,8,FALSE)</f>
        <v>53</v>
      </c>
      <c r="AH1541">
        <f>VLOOKUP(A:A,[1]android_repos_all_metrics!B:K,9,FALSE)</f>
        <v>317</v>
      </c>
      <c r="AI1541">
        <f>VLOOKUP(A:A,[1]android_repos_all_metrics!B:K,10,FALSE)</f>
        <v>15</v>
      </c>
    </row>
    <row r="1542" spans="1:35">
      <c r="A1542" t="s">
        <v>1609</v>
      </c>
      <c r="B1542" t="b">
        <v>0</v>
      </c>
      <c r="C1542" t="b">
        <v>0</v>
      </c>
      <c r="D1542" t="b">
        <v>0</v>
      </c>
      <c r="F1542" t="b">
        <v>0</v>
      </c>
      <c r="H1542" t="s">
        <v>41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>
        <v>1</v>
      </c>
      <c r="AB1542">
        <v>0</v>
      </c>
      <c r="AC1542">
        <f>VLOOKUP(A:A,[1]android_repos_all_metrics!B:K,4,FALSE)</f>
        <v>106</v>
      </c>
      <c r="AD1542">
        <f>VLOOKUP(A:A,[1]android_repos_all_metrics!B:K,5,FALSE)</f>
        <v>35</v>
      </c>
      <c r="AE1542">
        <f>VLOOKUP(A:A,[1]android_repos_all_metrics!B:K,6,FALSE)</f>
        <v>8</v>
      </c>
      <c r="AF1542">
        <f>VLOOKUP(A:A,[1]android_repos_all_metrics!B:K,7,FALSE)</f>
        <v>9640</v>
      </c>
      <c r="AG1542">
        <f>VLOOKUP(A:A,[1]android_repos_all_metrics!B:K,8,FALSE)</f>
        <v>33</v>
      </c>
      <c r="AH1542">
        <f>VLOOKUP(A:A,[1]android_repos_all_metrics!B:K,9,FALSE)</f>
        <v>121</v>
      </c>
      <c r="AI1542">
        <f>VLOOKUP(A:A,[1]android_repos_all_metrics!B:K,10,FALSE)</f>
        <v>22</v>
      </c>
    </row>
    <row r="1543" spans="1:35">
      <c r="A1543" t="s">
        <v>1610</v>
      </c>
      <c r="B1543" t="b">
        <v>1</v>
      </c>
      <c r="C1543" t="b">
        <v>0</v>
      </c>
      <c r="D1543" t="b">
        <v>0</v>
      </c>
      <c r="F1543" t="b">
        <v>0</v>
      </c>
      <c r="H1543" t="s">
        <v>41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>
        <v>1</v>
      </c>
      <c r="AB1543">
        <v>0</v>
      </c>
      <c r="AC1543">
        <f>VLOOKUP(A:A,[1]android_repos_all_metrics!B:K,4,FALSE)</f>
        <v>694</v>
      </c>
      <c r="AD1543">
        <f>VLOOKUP(A:A,[1]android_repos_all_metrics!B:K,5,FALSE)</f>
        <v>6</v>
      </c>
      <c r="AE1543">
        <f>VLOOKUP(A:A,[1]android_repos_all_metrics!B:K,6,FALSE)</f>
        <v>4</v>
      </c>
      <c r="AF1543">
        <f>VLOOKUP(A:A,[1]android_repos_all_metrics!B:K,7,FALSE)</f>
        <v>9143</v>
      </c>
      <c r="AG1543">
        <f>VLOOKUP(A:A,[1]android_repos_all_metrics!B:K,8,FALSE)</f>
        <v>6</v>
      </c>
      <c r="AH1543">
        <f>VLOOKUP(A:A,[1]android_repos_all_metrics!B:K,9,FALSE)</f>
        <v>38</v>
      </c>
      <c r="AI1543">
        <f>VLOOKUP(A:A,[1]android_repos_all_metrics!B:K,10,FALSE)</f>
        <v>7</v>
      </c>
    </row>
    <row r="1544" spans="1:35">
      <c r="A1544" t="s">
        <v>1611</v>
      </c>
      <c r="B1544" t="b">
        <v>1</v>
      </c>
      <c r="C1544" t="b">
        <v>0</v>
      </c>
      <c r="D1544" t="b">
        <v>0</v>
      </c>
      <c r="F1544" t="b">
        <v>0</v>
      </c>
      <c r="H1544" t="s">
        <v>37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>
        <v>3</v>
      </c>
      <c r="AB1544">
        <v>0</v>
      </c>
      <c r="AC1544">
        <f>VLOOKUP(A:A,[1]android_repos_all_metrics!B:K,4,FALSE)</f>
        <v>196</v>
      </c>
      <c r="AD1544">
        <f>VLOOKUP(A:A,[1]android_repos_all_metrics!B:K,5,FALSE)</f>
        <v>50</v>
      </c>
      <c r="AE1544">
        <f>VLOOKUP(A:A,[1]android_repos_all_metrics!B:K,6,FALSE)</f>
        <v>4</v>
      </c>
      <c r="AF1544">
        <f>VLOOKUP(A:A,[1]android_repos_all_metrics!B:K,7,FALSE)</f>
        <v>9664</v>
      </c>
      <c r="AG1544">
        <f>VLOOKUP(A:A,[1]android_repos_all_metrics!B:K,8,FALSE)</f>
        <v>8</v>
      </c>
      <c r="AH1544">
        <f>VLOOKUP(A:A,[1]android_repos_all_metrics!B:K,9,FALSE)</f>
        <v>10</v>
      </c>
      <c r="AI1544">
        <f>VLOOKUP(A:A,[1]android_repos_all_metrics!B:K,10,FALSE)</f>
        <v>0</v>
      </c>
    </row>
    <row r="1545" spans="1:35">
      <c r="A1545" t="s">
        <v>1612</v>
      </c>
      <c r="B1545" t="b">
        <v>1</v>
      </c>
      <c r="C1545" t="b">
        <v>0</v>
      </c>
      <c r="D1545" t="b">
        <v>0</v>
      </c>
      <c r="F1545" t="b">
        <v>0</v>
      </c>
      <c r="H1545" t="s">
        <v>41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>
        <v>1</v>
      </c>
      <c r="AB1545">
        <v>0</v>
      </c>
      <c r="AC1545">
        <f>VLOOKUP(A:A,[1]android_repos_all_metrics!B:K,4,FALSE)</f>
        <v>375</v>
      </c>
      <c r="AD1545">
        <f>VLOOKUP(A:A,[1]android_repos_all_metrics!B:K,5,FALSE)</f>
        <v>48</v>
      </c>
      <c r="AE1545">
        <f>VLOOKUP(A:A,[1]android_repos_all_metrics!B:K,6,FALSE)</f>
        <v>4</v>
      </c>
      <c r="AF1545">
        <f>VLOOKUP(A:A,[1]android_repos_all_metrics!B:K,7,FALSE)</f>
        <v>6031</v>
      </c>
      <c r="AG1545">
        <f>VLOOKUP(A:A,[1]android_repos_all_metrics!B:K,8,FALSE)</f>
        <v>1</v>
      </c>
      <c r="AH1545">
        <f>VLOOKUP(A:A,[1]android_repos_all_metrics!B:K,9,FALSE)</f>
        <v>3</v>
      </c>
      <c r="AI1545">
        <f>VLOOKUP(A:A,[1]android_repos_all_metrics!B:K,10,FALSE)</f>
        <v>27</v>
      </c>
    </row>
    <row r="1546" spans="1:35">
      <c r="A1546" t="s">
        <v>1613</v>
      </c>
      <c r="B1546" t="b">
        <v>1</v>
      </c>
      <c r="C1546" t="b">
        <v>0</v>
      </c>
      <c r="D1546" t="b">
        <v>0</v>
      </c>
      <c r="F1546" t="b">
        <v>0</v>
      </c>
      <c r="H1546" t="s">
        <v>37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>
        <v>1</v>
      </c>
      <c r="AB1546">
        <v>0</v>
      </c>
      <c r="AC1546">
        <f>VLOOKUP(A:A,[1]android_repos_all_metrics!B:K,4,FALSE)</f>
        <v>85</v>
      </c>
      <c r="AD1546">
        <f>VLOOKUP(A:A,[1]android_repos_all_metrics!B:K,5,FALSE)</f>
        <v>0</v>
      </c>
      <c r="AE1546">
        <f>VLOOKUP(A:A,[1]android_repos_all_metrics!B:K,6,FALSE)</f>
        <v>1</v>
      </c>
      <c r="AF1546">
        <f>VLOOKUP(A:A,[1]android_repos_all_metrics!B:K,7,FALSE)</f>
        <v>435</v>
      </c>
      <c r="AG1546">
        <f>VLOOKUP(A:A,[1]android_repos_all_metrics!B:K,8,FALSE)</f>
        <v>1</v>
      </c>
      <c r="AH1546">
        <f>VLOOKUP(A:A,[1]android_repos_all_metrics!B:K,9,FALSE)</f>
        <v>1</v>
      </c>
      <c r="AI1546">
        <f>VLOOKUP(A:A,[1]android_repos_all_metrics!B:K,10,FALSE)</f>
        <v>0</v>
      </c>
    </row>
    <row r="1547" spans="1:35">
      <c r="A1547" t="s">
        <v>1614</v>
      </c>
      <c r="B1547" t="b">
        <v>1</v>
      </c>
      <c r="C1547" t="b">
        <v>1</v>
      </c>
      <c r="D1547" t="b">
        <v>1</v>
      </c>
      <c r="E1547" t="s">
        <v>104</v>
      </c>
      <c r="F1547" t="b">
        <v>0</v>
      </c>
      <c r="H1547" t="s">
        <v>37</v>
      </c>
      <c r="I1547" t="s">
        <v>37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>
        <v>1</v>
      </c>
      <c r="AA1547">
        <v>3</v>
      </c>
      <c r="AB1547">
        <v>0</v>
      </c>
      <c r="AC1547">
        <f>VLOOKUP(A:A,[1]android_repos_all_metrics!B:K,4,FALSE)</f>
        <v>274</v>
      </c>
      <c r="AD1547">
        <f>VLOOKUP(A:A,[1]android_repos_all_metrics!B:K,5,FALSE)</f>
        <v>103</v>
      </c>
      <c r="AE1547">
        <f>VLOOKUP(A:A,[1]android_repos_all_metrics!B:K,6,FALSE)</f>
        <v>2</v>
      </c>
      <c r="AF1547">
        <f>VLOOKUP(A:A,[1]android_repos_all_metrics!B:K,7,FALSE)</f>
        <v>355</v>
      </c>
      <c r="AG1547">
        <f>VLOOKUP(A:A,[1]android_repos_all_metrics!B:K,8,FALSE)</f>
        <v>1</v>
      </c>
      <c r="AH1547">
        <f>VLOOKUP(A:A,[1]android_repos_all_metrics!B:K,9,FALSE)</f>
        <v>3</v>
      </c>
      <c r="AI1547">
        <f>VLOOKUP(A:A,[1]android_repos_all_metrics!B:K,10,FALSE)</f>
        <v>4</v>
      </c>
    </row>
    <row r="1548" spans="1:35">
      <c r="A1548" t="s">
        <v>1615</v>
      </c>
      <c r="B1548" t="b">
        <v>0</v>
      </c>
      <c r="C1548" t="b">
        <v>0</v>
      </c>
      <c r="D1548" t="b">
        <v>0</v>
      </c>
      <c r="F1548" t="b">
        <v>0</v>
      </c>
      <c r="H1548" t="s">
        <v>41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>
        <v>1</v>
      </c>
      <c r="AB1548">
        <v>0</v>
      </c>
      <c r="AC1548">
        <f>VLOOKUP(A:A,[1]android_repos_all_metrics!B:K,4,FALSE)</f>
        <v>184</v>
      </c>
      <c r="AD1548">
        <f>VLOOKUP(A:A,[1]android_repos_all_metrics!B:K,5,FALSE)</f>
        <v>39</v>
      </c>
      <c r="AE1548">
        <f>VLOOKUP(A:A,[1]android_repos_all_metrics!B:K,6,FALSE)</f>
        <v>4</v>
      </c>
      <c r="AF1548">
        <f>VLOOKUP(A:A,[1]android_repos_all_metrics!B:K,7,FALSE)</f>
        <v>1835</v>
      </c>
      <c r="AG1548">
        <f>VLOOKUP(A:A,[1]android_repos_all_metrics!B:K,8,FALSE)</f>
        <v>12</v>
      </c>
      <c r="AH1548">
        <f>VLOOKUP(A:A,[1]android_repos_all_metrics!B:K,9,FALSE)</f>
        <v>46</v>
      </c>
      <c r="AI1548">
        <f>VLOOKUP(A:A,[1]android_repos_all_metrics!B:K,10,FALSE)</f>
        <v>7</v>
      </c>
    </row>
    <row r="1549" spans="1:35">
      <c r="A1549" t="s">
        <v>1616</v>
      </c>
      <c r="B1549" t="b">
        <v>0</v>
      </c>
      <c r="C1549" t="b">
        <v>0</v>
      </c>
      <c r="D1549" t="b">
        <v>0</v>
      </c>
      <c r="F1549" t="b">
        <v>0</v>
      </c>
      <c r="H1549" t="s">
        <v>41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>
        <v>1</v>
      </c>
      <c r="AB1549">
        <v>0</v>
      </c>
      <c r="AC1549">
        <f>VLOOKUP(A:A,[1]android_repos_all_metrics!B:K,4,FALSE)</f>
        <v>120</v>
      </c>
      <c r="AD1549">
        <f>VLOOKUP(A:A,[1]android_repos_all_metrics!B:K,5,FALSE)</f>
        <v>6</v>
      </c>
      <c r="AE1549">
        <f>VLOOKUP(A:A,[1]android_repos_all_metrics!B:K,6,FALSE)</f>
        <v>2</v>
      </c>
      <c r="AF1549">
        <f>VLOOKUP(A:A,[1]android_repos_all_metrics!B:K,7,FALSE)</f>
        <v>1150</v>
      </c>
      <c r="AG1549">
        <f>VLOOKUP(A:A,[1]android_repos_all_metrics!B:K,8,FALSE)</f>
        <v>2</v>
      </c>
      <c r="AH1549">
        <f>VLOOKUP(A:A,[1]android_repos_all_metrics!B:K,9,FALSE)</f>
        <v>15</v>
      </c>
      <c r="AI1549">
        <f>VLOOKUP(A:A,[1]android_repos_all_metrics!B:K,10,FALSE)</f>
        <v>2</v>
      </c>
    </row>
    <row r="1550" spans="1:35">
      <c r="A1550" t="s">
        <v>1617</v>
      </c>
      <c r="B1550" t="b">
        <v>1</v>
      </c>
      <c r="C1550" t="b">
        <v>0</v>
      </c>
      <c r="D1550" t="b">
        <v>0</v>
      </c>
      <c r="F1550" t="b">
        <v>0</v>
      </c>
      <c r="H1550" t="s">
        <v>37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>
        <v>1</v>
      </c>
      <c r="AB1550">
        <v>0</v>
      </c>
      <c r="AC1550">
        <f>VLOOKUP(A:A,[1]android_repos_all_metrics!B:K,4,FALSE)</f>
        <v>279</v>
      </c>
      <c r="AD1550">
        <f>VLOOKUP(A:A,[1]android_repos_all_metrics!B:K,5,FALSE)</f>
        <v>276</v>
      </c>
      <c r="AE1550">
        <f>VLOOKUP(A:A,[1]android_repos_all_metrics!B:K,6,FALSE)</f>
        <v>23</v>
      </c>
      <c r="AF1550">
        <f>VLOOKUP(A:A,[1]android_repos_all_metrics!B:K,7,FALSE)</f>
        <v>17594</v>
      </c>
      <c r="AG1550">
        <f>VLOOKUP(A:A,[1]android_repos_all_metrics!B:K,8,FALSE)</f>
        <v>26</v>
      </c>
      <c r="AH1550">
        <f>VLOOKUP(A:A,[1]android_repos_all_metrics!B:K,9,FALSE)</f>
        <v>20</v>
      </c>
      <c r="AI1550">
        <f>VLOOKUP(A:A,[1]android_repos_all_metrics!B:K,10,FALSE)</f>
        <v>9</v>
      </c>
    </row>
    <row r="1551" spans="1:35">
      <c r="A1551" t="s">
        <v>1618</v>
      </c>
      <c r="B1551" t="b">
        <v>1</v>
      </c>
      <c r="C1551" t="b">
        <v>0</v>
      </c>
      <c r="D1551" t="b">
        <v>0</v>
      </c>
      <c r="F1551" t="b">
        <v>0</v>
      </c>
      <c r="H1551" t="s">
        <v>40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>
        <v>2</v>
      </c>
      <c r="AB1551">
        <v>0</v>
      </c>
      <c r="AC1551">
        <f>VLOOKUP(A:A,[1]android_repos_all_metrics!B:K,4,FALSE)</f>
        <v>801</v>
      </c>
      <c r="AD1551">
        <f>VLOOKUP(A:A,[1]android_repos_all_metrics!B:K,5,FALSE)</f>
        <v>29</v>
      </c>
      <c r="AE1551">
        <f>VLOOKUP(A:A,[1]android_repos_all_metrics!B:K,6,FALSE)</f>
        <v>11</v>
      </c>
      <c r="AF1551">
        <f>VLOOKUP(A:A,[1]android_repos_all_metrics!B:K,7,FALSE)</f>
        <v>1861</v>
      </c>
      <c r="AG1551">
        <f>VLOOKUP(A:A,[1]android_repos_all_metrics!B:K,8,FALSE)</f>
        <v>177</v>
      </c>
      <c r="AH1551">
        <f>VLOOKUP(A:A,[1]android_repos_all_metrics!B:K,9,FALSE)</f>
        <v>511</v>
      </c>
      <c r="AI1551">
        <f>VLOOKUP(A:A,[1]android_repos_all_metrics!B:K,10,FALSE)</f>
        <v>171</v>
      </c>
    </row>
    <row r="1552" spans="1:35">
      <c r="A1552" t="s">
        <v>1619</v>
      </c>
      <c r="B1552" t="b">
        <v>1</v>
      </c>
      <c r="C1552" t="b">
        <v>1</v>
      </c>
      <c r="D1552" t="b">
        <v>1</v>
      </c>
      <c r="E1552" t="s">
        <v>36</v>
      </c>
      <c r="F1552" t="b">
        <v>0</v>
      </c>
      <c r="H1552" t="s">
        <v>37</v>
      </c>
      <c r="I1552" t="s">
        <v>37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>
        <v>1</v>
      </c>
      <c r="AA1552">
        <v>1</v>
      </c>
      <c r="AB1552">
        <v>0</v>
      </c>
      <c r="AC1552">
        <f>VLOOKUP(A:A,[1]android_repos_all_metrics!B:K,4,FALSE)</f>
        <v>577</v>
      </c>
      <c r="AD1552">
        <f>VLOOKUP(A:A,[1]android_repos_all_metrics!B:K,5,FALSE)</f>
        <v>9</v>
      </c>
      <c r="AE1552">
        <f>VLOOKUP(A:A,[1]android_repos_all_metrics!B:K,6,FALSE)</f>
        <v>1</v>
      </c>
      <c r="AF1552">
        <f>VLOOKUP(A:A,[1]android_repos_all_metrics!B:K,7,FALSE)</f>
        <v>13909</v>
      </c>
      <c r="AG1552">
        <f>VLOOKUP(A:A,[1]android_repos_all_metrics!B:K,8,FALSE)</f>
        <v>1</v>
      </c>
      <c r="AH1552">
        <f>VLOOKUP(A:A,[1]android_repos_all_metrics!B:K,9,FALSE)</f>
        <v>5</v>
      </c>
      <c r="AI1552">
        <f>VLOOKUP(A:A,[1]android_repos_all_metrics!B:K,10,FALSE)</f>
        <v>0</v>
      </c>
    </row>
    <row r="1553" spans="1:35">
      <c r="A1553" t="s">
        <v>1620</v>
      </c>
      <c r="B1553" t="b">
        <v>1</v>
      </c>
      <c r="C1553" t="b">
        <v>0</v>
      </c>
      <c r="D1553" t="b">
        <v>0</v>
      </c>
      <c r="F1553" t="b">
        <v>0</v>
      </c>
      <c r="H1553" t="s">
        <v>37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>
        <v>1</v>
      </c>
      <c r="AB1553">
        <v>0</v>
      </c>
      <c r="AC1553">
        <f>VLOOKUP(A:A,[1]android_repos_all_metrics!B:K,4,FALSE)</f>
        <v>115</v>
      </c>
      <c r="AD1553">
        <f>VLOOKUP(A:A,[1]android_repos_all_metrics!B:K,5,FALSE)</f>
        <v>3</v>
      </c>
      <c r="AE1553">
        <f>VLOOKUP(A:A,[1]android_repos_all_metrics!B:K,6,FALSE)</f>
        <v>2</v>
      </c>
      <c r="AF1553">
        <f>VLOOKUP(A:A,[1]android_repos_all_metrics!B:K,7,FALSE)</f>
        <v>338</v>
      </c>
      <c r="AG1553">
        <f>VLOOKUP(A:A,[1]android_repos_all_metrics!B:K,8,FALSE)</f>
        <v>30</v>
      </c>
      <c r="AH1553">
        <f>VLOOKUP(A:A,[1]android_repos_all_metrics!B:K,9,FALSE)</f>
        <v>116</v>
      </c>
      <c r="AI1553">
        <f>VLOOKUP(A:A,[1]android_repos_all_metrics!B:K,10,FALSE)</f>
        <v>4</v>
      </c>
    </row>
    <row r="1554" spans="1:35">
      <c r="A1554" t="s">
        <v>1621</v>
      </c>
      <c r="B1554" t="b">
        <v>0</v>
      </c>
      <c r="C1554" t="b">
        <v>0</v>
      </c>
      <c r="D1554" t="b">
        <v>0</v>
      </c>
      <c r="F1554" t="b">
        <v>0</v>
      </c>
      <c r="H1554" t="s">
        <v>41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>
        <v>1</v>
      </c>
      <c r="AB1554">
        <v>0</v>
      </c>
      <c r="AC1554">
        <f>VLOOKUP(A:A,[1]android_repos_all_metrics!B:K,4,FALSE)</f>
        <v>81</v>
      </c>
      <c r="AD1554">
        <f>VLOOKUP(A:A,[1]android_repos_all_metrics!B:K,5,FALSE)</f>
        <v>3</v>
      </c>
      <c r="AE1554">
        <f>VLOOKUP(A:A,[1]android_repos_all_metrics!B:K,6,FALSE)</f>
        <v>2</v>
      </c>
      <c r="AF1554">
        <f>VLOOKUP(A:A,[1]android_repos_all_metrics!B:K,7,FALSE)</f>
        <v>39942</v>
      </c>
      <c r="AG1554">
        <f>VLOOKUP(A:A,[1]android_repos_all_metrics!B:K,8,FALSE)</f>
        <v>112</v>
      </c>
      <c r="AH1554">
        <f>VLOOKUP(A:A,[1]android_repos_all_metrics!B:K,9,FALSE)</f>
        <v>649</v>
      </c>
      <c r="AI1554">
        <f>VLOOKUP(A:A,[1]android_repos_all_metrics!B:K,10,FALSE)</f>
        <v>4</v>
      </c>
    </row>
    <row r="1555" spans="1:35">
      <c r="A1555" t="s">
        <v>1622</v>
      </c>
      <c r="B1555" t="b">
        <v>0</v>
      </c>
      <c r="C1555" t="b">
        <v>0</v>
      </c>
      <c r="D1555" t="b">
        <v>0</v>
      </c>
      <c r="F1555" t="b">
        <v>0</v>
      </c>
      <c r="H1555" t="s">
        <v>41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>
        <v>1</v>
      </c>
      <c r="AB1555">
        <v>0</v>
      </c>
      <c r="AC1555">
        <f>VLOOKUP(A:A,[1]android_repos_all_metrics!B:K,4,FALSE)</f>
        <v>656</v>
      </c>
      <c r="AD1555">
        <f>VLOOKUP(A:A,[1]android_repos_all_metrics!B:K,5,FALSE)</f>
        <v>12</v>
      </c>
      <c r="AE1555">
        <f>VLOOKUP(A:A,[1]android_repos_all_metrics!B:K,6,FALSE)</f>
        <v>18</v>
      </c>
      <c r="AF1555">
        <f>VLOOKUP(A:A,[1]android_repos_all_metrics!B:K,7,FALSE)</f>
        <v>143483</v>
      </c>
      <c r="AG1555">
        <f>VLOOKUP(A:A,[1]android_repos_all_metrics!B:K,8,FALSE)</f>
        <v>83</v>
      </c>
      <c r="AH1555">
        <f>VLOOKUP(A:A,[1]android_repos_all_metrics!B:K,9,FALSE)</f>
        <v>298</v>
      </c>
      <c r="AI1555">
        <f>VLOOKUP(A:A,[1]android_repos_all_metrics!B:K,10,FALSE)</f>
        <v>52</v>
      </c>
    </row>
    <row r="1556" spans="1:35">
      <c r="A1556" t="s">
        <v>1623</v>
      </c>
      <c r="B1556" t="b">
        <v>0</v>
      </c>
      <c r="C1556" t="b">
        <v>0</v>
      </c>
      <c r="D1556" t="b">
        <v>0</v>
      </c>
      <c r="F1556" t="b">
        <v>0</v>
      </c>
      <c r="H1556" t="s">
        <v>41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>
        <v>1</v>
      </c>
      <c r="AB1556">
        <v>0</v>
      </c>
      <c r="AC1556">
        <f>VLOOKUP(A:A,[1]android_repos_all_metrics!B:K,4,FALSE)</f>
        <v>121</v>
      </c>
      <c r="AD1556">
        <f>VLOOKUP(A:A,[1]android_repos_all_metrics!B:K,5,FALSE)</f>
        <v>6</v>
      </c>
      <c r="AE1556">
        <f>VLOOKUP(A:A,[1]android_repos_all_metrics!B:K,6,FALSE)</f>
        <v>3</v>
      </c>
      <c r="AF1556">
        <f>VLOOKUP(A:A,[1]android_repos_all_metrics!B:K,7,FALSE)</f>
        <v>1910</v>
      </c>
      <c r="AG1556">
        <f>VLOOKUP(A:A,[1]android_repos_all_metrics!B:K,8,FALSE)</f>
        <v>19</v>
      </c>
      <c r="AH1556">
        <f>VLOOKUP(A:A,[1]android_repos_all_metrics!B:K,9,FALSE)</f>
        <v>58</v>
      </c>
      <c r="AI1556">
        <f>VLOOKUP(A:A,[1]android_repos_all_metrics!B:K,10,FALSE)</f>
        <v>14</v>
      </c>
    </row>
    <row r="1557" spans="1:35">
      <c r="A1557" t="s">
        <v>1624</v>
      </c>
      <c r="B1557" t="b">
        <v>1</v>
      </c>
      <c r="C1557" t="b">
        <v>0</v>
      </c>
      <c r="D1557" t="b">
        <v>0</v>
      </c>
      <c r="F1557" t="b">
        <v>0</v>
      </c>
      <c r="H1557" t="s">
        <v>37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>
        <v>1</v>
      </c>
      <c r="AB1557">
        <v>0</v>
      </c>
      <c r="AC1557">
        <f>VLOOKUP(A:A,[1]android_repos_all_metrics!B:K,4,FALSE)</f>
        <v>76</v>
      </c>
      <c r="AD1557">
        <f>VLOOKUP(A:A,[1]android_repos_all_metrics!B:K,5,FALSE)</f>
        <v>1</v>
      </c>
      <c r="AE1557">
        <f>VLOOKUP(A:A,[1]android_repos_all_metrics!B:K,6,FALSE)</f>
        <v>2</v>
      </c>
      <c r="AF1557">
        <f>VLOOKUP(A:A,[1]android_repos_all_metrics!B:K,7,FALSE)</f>
        <v>1037</v>
      </c>
      <c r="AG1557">
        <f>VLOOKUP(A:A,[1]android_repos_all_metrics!B:K,8,FALSE)</f>
        <v>0</v>
      </c>
      <c r="AH1557">
        <f>VLOOKUP(A:A,[1]android_repos_all_metrics!B:K,9,FALSE)</f>
        <v>9</v>
      </c>
      <c r="AI1557">
        <f>VLOOKUP(A:A,[1]android_repos_all_metrics!B:K,10,FALSE)</f>
        <v>3</v>
      </c>
    </row>
    <row r="1558" spans="1:35">
      <c r="A1558" t="s">
        <v>1625</v>
      </c>
      <c r="B1558" t="b">
        <v>1</v>
      </c>
      <c r="C1558" t="b">
        <v>0</v>
      </c>
      <c r="D1558" t="b">
        <v>0</v>
      </c>
      <c r="F1558" t="b">
        <v>0</v>
      </c>
      <c r="H1558" t="s">
        <v>41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>
        <v>1</v>
      </c>
      <c r="AB1558">
        <v>0</v>
      </c>
      <c r="AC1558">
        <f>VLOOKUP(A:A,[1]android_repos_all_metrics!B:K,4,FALSE)</f>
        <v>49</v>
      </c>
      <c r="AD1558">
        <f>VLOOKUP(A:A,[1]android_repos_all_metrics!B:K,5,FALSE)</f>
        <v>0</v>
      </c>
      <c r="AE1558">
        <f>VLOOKUP(A:A,[1]android_repos_all_metrics!B:K,6,FALSE)</f>
        <v>1</v>
      </c>
      <c r="AF1558">
        <f>VLOOKUP(A:A,[1]android_repos_all_metrics!B:K,7,FALSE)</f>
        <v>383</v>
      </c>
      <c r="AG1558">
        <f>VLOOKUP(A:A,[1]android_repos_all_metrics!B:K,8,FALSE)</f>
        <v>1</v>
      </c>
      <c r="AH1558">
        <f>VLOOKUP(A:A,[1]android_repos_all_metrics!B:K,9,FALSE)</f>
        <v>4</v>
      </c>
      <c r="AI1558">
        <f>VLOOKUP(A:A,[1]android_repos_all_metrics!B:K,10,FALSE)</f>
        <v>0</v>
      </c>
    </row>
    <row r="1559" spans="1:35">
      <c r="A1559" t="s">
        <v>1626</v>
      </c>
      <c r="B1559" t="b">
        <v>0</v>
      </c>
      <c r="C1559" t="b">
        <v>0</v>
      </c>
      <c r="D1559" t="b">
        <v>0</v>
      </c>
      <c r="F1559" t="b">
        <v>0</v>
      </c>
      <c r="H1559" t="s">
        <v>41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>
        <v>1</v>
      </c>
      <c r="AB1559">
        <v>0</v>
      </c>
      <c r="AC1559">
        <f>VLOOKUP(A:A,[1]android_repos_all_metrics!B:K,4,FALSE)</f>
        <v>200</v>
      </c>
      <c r="AD1559">
        <f>VLOOKUP(A:A,[1]android_repos_all_metrics!B:K,5,FALSE)</f>
        <v>68</v>
      </c>
      <c r="AE1559">
        <f>VLOOKUP(A:A,[1]android_repos_all_metrics!B:K,6,FALSE)</f>
        <v>5</v>
      </c>
      <c r="AF1559">
        <f>VLOOKUP(A:A,[1]android_repos_all_metrics!B:K,7,FALSE)</f>
        <v>40785</v>
      </c>
      <c r="AG1559">
        <f>VLOOKUP(A:A,[1]android_repos_all_metrics!B:K,8,FALSE)</f>
        <v>4</v>
      </c>
      <c r="AH1559">
        <f>VLOOKUP(A:A,[1]android_repos_all_metrics!B:K,9,FALSE)</f>
        <v>8</v>
      </c>
      <c r="AI1559">
        <f>VLOOKUP(A:A,[1]android_repos_all_metrics!B:K,10,FALSE)</f>
        <v>5</v>
      </c>
    </row>
    <row r="1560" spans="1:35">
      <c r="A1560" t="s">
        <v>1627</v>
      </c>
      <c r="B1560" t="b">
        <v>1</v>
      </c>
      <c r="C1560" t="b">
        <v>0</v>
      </c>
      <c r="D1560" t="b">
        <v>0</v>
      </c>
      <c r="F1560" t="b">
        <v>0</v>
      </c>
      <c r="H1560" t="s">
        <v>37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>
        <v>1</v>
      </c>
      <c r="AB1560">
        <v>0</v>
      </c>
      <c r="AC1560">
        <f>VLOOKUP(A:A,[1]android_repos_all_metrics!B:K,4,FALSE)</f>
        <v>175</v>
      </c>
      <c r="AD1560">
        <f>VLOOKUP(A:A,[1]android_repos_all_metrics!B:K,5,FALSE)</f>
        <v>0</v>
      </c>
      <c r="AE1560">
        <f>VLOOKUP(A:A,[1]android_repos_all_metrics!B:K,6,FALSE)</f>
        <v>1</v>
      </c>
      <c r="AF1560">
        <f>VLOOKUP(A:A,[1]android_repos_all_metrics!B:K,7,FALSE)</f>
        <v>67494</v>
      </c>
      <c r="AG1560">
        <f>VLOOKUP(A:A,[1]android_repos_all_metrics!B:K,8,FALSE)</f>
        <v>11</v>
      </c>
      <c r="AH1560">
        <f>VLOOKUP(A:A,[1]android_repos_all_metrics!B:K,9,FALSE)</f>
        <v>43</v>
      </c>
      <c r="AI1560">
        <f>VLOOKUP(A:A,[1]android_repos_all_metrics!B:K,10,FALSE)</f>
        <v>0</v>
      </c>
    </row>
    <row r="1561" spans="1:35">
      <c r="A1561" t="s">
        <v>1628</v>
      </c>
      <c r="B1561" t="b">
        <v>1</v>
      </c>
      <c r="C1561" t="b">
        <v>0</v>
      </c>
      <c r="D1561" t="b">
        <v>0</v>
      </c>
      <c r="F1561" t="b">
        <v>0</v>
      </c>
      <c r="H1561" t="s">
        <v>37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>
        <v>3</v>
      </c>
      <c r="AB1561">
        <v>0</v>
      </c>
      <c r="AC1561">
        <f>VLOOKUP(A:A,[1]android_repos_all_metrics!B:K,4,FALSE)</f>
        <v>219</v>
      </c>
      <c r="AD1561">
        <f>VLOOKUP(A:A,[1]android_repos_all_metrics!B:K,5,FALSE)</f>
        <v>9</v>
      </c>
      <c r="AE1561">
        <f>VLOOKUP(A:A,[1]android_repos_all_metrics!B:K,6,FALSE)</f>
        <v>4</v>
      </c>
      <c r="AF1561">
        <f>VLOOKUP(A:A,[1]android_repos_all_metrics!B:K,7,FALSE)</f>
        <v>9763</v>
      </c>
      <c r="AG1561">
        <f>VLOOKUP(A:A,[1]android_repos_all_metrics!B:K,8,FALSE)</f>
        <v>4</v>
      </c>
      <c r="AH1561">
        <f>VLOOKUP(A:A,[1]android_repos_all_metrics!B:K,9,FALSE)</f>
        <v>118</v>
      </c>
      <c r="AI1561">
        <f>VLOOKUP(A:A,[1]android_repos_all_metrics!B:K,10,FALSE)</f>
        <v>10</v>
      </c>
    </row>
    <row r="1562" spans="1:35">
      <c r="A1562" t="s">
        <v>1629</v>
      </c>
      <c r="B1562" t="b">
        <v>1</v>
      </c>
      <c r="C1562" t="b">
        <v>0</v>
      </c>
      <c r="D1562" t="b">
        <v>0</v>
      </c>
      <c r="F1562" t="b">
        <v>0</v>
      </c>
      <c r="H1562" t="s">
        <v>37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>
        <v>1</v>
      </c>
      <c r="AB1562">
        <v>0</v>
      </c>
      <c r="AC1562">
        <f>VLOOKUP(A:A,[1]android_repos_all_metrics!B:K,4,FALSE)</f>
        <v>236</v>
      </c>
      <c r="AD1562">
        <f>VLOOKUP(A:A,[1]android_repos_all_metrics!B:K,5,FALSE)</f>
        <v>17</v>
      </c>
      <c r="AE1562">
        <f>VLOOKUP(A:A,[1]android_repos_all_metrics!B:K,6,FALSE)</f>
        <v>11</v>
      </c>
      <c r="AF1562">
        <f>VLOOKUP(A:A,[1]android_repos_all_metrics!B:K,7,FALSE)</f>
        <v>1127565</v>
      </c>
      <c r="AG1562">
        <f>VLOOKUP(A:A,[1]android_repos_all_metrics!B:K,8,FALSE)</f>
        <v>107</v>
      </c>
      <c r="AH1562">
        <f>VLOOKUP(A:A,[1]android_repos_all_metrics!B:K,9,FALSE)</f>
        <v>1145</v>
      </c>
      <c r="AI1562">
        <f>VLOOKUP(A:A,[1]android_repos_all_metrics!B:K,10,FALSE)</f>
        <v>144</v>
      </c>
    </row>
    <row r="1563" spans="1:35">
      <c r="A1563" t="s">
        <v>1630</v>
      </c>
      <c r="B1563" t="b">
        <v>1</v>
      </c>
      <c r="C1563" t="b">
        <v>0</v>
      </c>
      <c r="D1563" t="b">
        <v>0</v>
      </c>
      <c r="F1563" t="b">
        <v>0</v>
      </c>
      <c r="H1563" t="s">
        <v>110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>
        <v>2</v>
      </c>
      <c r="AB1563">
        <v>0</v>
      </c>
      <c r="AC1563">
        <f>VLOOKUP(A:A,[1]android_repos_all_metrics!B:K,4,FALSE)</f>
        <v>549</v>
      </c>
      <c r="AD1563">
        <f>VLOOKUP(A:A,[1]android_repos_all_metrics!B:K,5,FALSE)</f>
        <v>336</v>
      </c>
      <c r="AE1563">
        <f>VLOOKUP(A:A,[1]android_repos_all_metrics!B:K,6,FALSE)</f>
        <v>6</v>
      </c>
      <c r="AF1563">
        <f>VLOOKUP(A:A,[1]android_repos_all_metrics!B:K,7,FALSE)</f>
        <v>11961</v>
      </c>
      <c r="AG1563">
        <f>VLOOKUP(A:A,[1]android_repos_all_metrics!B:K,8,FALSE)</f>
        <v>22</v>
      </c>
      <c r="AH1563">
        <f>VLOOKUP(A:A,[1]android_repos_all_metrics!B:K,9,FALSE)</f>
        <v>120</v>
      </c>
      <c r="AI1563">
        <f>VLOOKUP(A:A,[1]android_repos_all_metrics!B:K,10,FALSE)</f>
        <v>52</v>
      </c>
    </row>
    <row r="1564" spans="1:35">
      <c r="A1564" t="s">
        <v>1631</v>
      </c>
      <c r="B1564" t="b">
        <v>1</v>
      </c>
      <c r="C1564" t="b">
        <v>0</v>
      </c>
      <c r="D1564" t="b">
        <v>0</v>
      </c>
      <c r="F1564" t="b">
        <v>0</v>
      </c>
      <c r="H1564" t="s">
        <v>37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>
        <v>3</v>
      </c>
      <c r="AB1564">
        <v>0</v>
      </c>
      <c r="AC1564">
        <f>VLOOKUP(A:A,[1]android_repos_all_metrics!B:K,4,FALSE)</f>
        <v>153</v>
      </c>
      <c r="AD1564">
        <f>VLOOKUP(A:A,[1]android_repos_all_metrics!B:K,5,FALSE)</f>
        <v>53</v>
      </c>
      <c r="AE1564">
        <f>VLOOKUP(A:A,[1]android_repos_all_metrics!B:K,6,FALSE)</f>
        <v>2</v>
      </c>
      <c r="AF1564">
        <f>VLOOKUP(A:A,[1]android_repos_all_metrics!B:K,7,FALSE)</f>
        <v>306</v>
      </c>
      <c r="AG1564">
        <f>VLOOKUP(A:A,[1]android_repos_all_metrics!B:K,8,FALSE)</f>
        <v>0</v>
      </c>
      <c r="AH1564">
        <f>VLOOKUP(A:A,[1]android_repos_all_metrics!B:K,9,FALSE)</f>
        <v>2</v>
      </c>
      <c r="AI1564">
        <f>VLOOKUP(A:A,[1]android_repos_all_metrics!B:K,10,FALSE)</f>
        <v>6</v>
      </c>
    </row>
    <row r="1565" spans="1:35">
      <c r="A1565" t="s">
        <v>1632</v>
      </c>
      <c r="B1565" t="b">
        <v>1</v>
      </c>
      <c r="C1565" t="b">
        <v>0</v>
      </c>
      <c r="D1565" t="b">
        <v>0</v>
      </c>
      <c r="F1565" t="b">
        <v>0</v>
      </c>
      <c r="H1565" t="s">
        <v>41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>
        <v>1</v>
      </c>
      <c r="AB1565">
        <v>0</v>
      </c>
      <c r="AC1565">
        <f>VLOOKUP(A:A,[1]android_repos_all_metrics!B:K,4,FALSE)</f>
        <v>71</v>
      </c>
      <c r="AD1565">
        <f>VLOOKUP(A:A,[1]android_repos_all_metrics!B:K,5,FALSE)</f>
        <v>42</v>
      </c>
      <c r="AE1565">
        <f>VLOOKUP(A:A,[1]android_repos_all_metrics!B:K,6,FALSE)</f>
        <v>3</v>
      </c>
      <c r="AF1565">
        <f>VLOOKUP(A:A,[1]android_repos_all_metrics!B:K,7,FALSE)</f>
        <v>969</v>
      </c>
      <c r="AG1565">
        <f>VLOOKUP(A:A,[1]android_repos_all_metrics!B:K,8,FALSE)</f>
        <v>2</v>
      </c>
      <c r="AH1565">
        <f>VLOOKUP(A:A,[1]android_repos_all_metrics!B:K,9,FALSE)</f>
        <v>8</v>
      </c>
      <c r="AI1565">
        <f>VLOOKUP(A:A,[1]android_repos_all_metrics!B:K,10,FALSE)</f>
        <v>1</v>
      </c>
    </row>
    <row r="1566" spans="1:35">
      <c r="A1566" t="s">
        <v>1633</v>
      </c>
      <c r="B1566" t="b">
        <v>1</v>
      </c>
      <c r="C1566" t="b">
        <v>0</v>
      </c>
      <c r="D1566" t="b">
        <v>0</v>
      </c>
      <c r="F1566" t="b">
        <v>0</v>
      </c>
      <c r="H1566" t="s">
        <v>37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>
        <v>2</v>
      </c>
      <c r="AB1566">
        <v>0</v>
      </c>
      <c r="AC1566">
        <f>VLOOKUP(A:A,[1]android_repos_all_metrics!B:K,4,FALSE)</f>
        <v>98</v>
      </c>
      <c r="AD1566">
        <f>VLOOKUP(A:A,[1]android_repos_all_metrics!B:K,5,FALSE)</f>
        <v>7</v>
      </c>
      <c r="AE1566">
        <f>VLOOKUP(A:A,[1]android_repos_all_metrics!B:K,6,FALSE)</f>
        <v>3</v>
      </c>
      <c r="AF1566">
        <f>VLOOKUP(A:A,[1]android_repos_all_metrics!B:K,7,FALSE)</f>
        <v>41590</v>
      </c>
      <c r="AG1566">
        <f>VLOOKUP(A:A,[1]android_repos_all_metrics!B:K,8,FALSE)</f>
        <v>1</v>
      </c>
      <c r="AH1566">
        <f>VLOOKUP(A:A,[1]android_repos_all_metrics!B:K,9,FALSE)</f>
        <v>13</v>
      </c>
      <c r="AI1566">
        <f>VLOOKUP(A:A,[1]android_repos_all_metrics!B:K,10,FALSE)</f>
        <v>1</v>
      </c>
    </row>
    <row r="1567" spans="1:35">
      <c r="A1567" t="s">
        <v>1634</v>
      </c>
      <c r="B1567" t="b">
        <v>1</v>
      </c>
      <c r="C1567" t="b">
        <v>0</v>
      </c>
      <c r="D1567" t="b">
        <v>0</v>
      </c>
      <c r="F1567" t="b">
        <v>0</v>
      </c>
      <c r="H1567" t="s">
        <v>43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>
        <v>1</v>
      </c>
      <c r="AB1567">
        <v>0</v>
      </c>
      <c r="AC1567">
        <f>VLOOKUP(A:A,[1]android_repos_all_metrics!B:K,4,FALSE)</f>
        <v>12</v>
      </c>
      <c r="AD1567">
        <f>VLOOKUP(A:A,[1]android_repos_all_metrics!B:K,5,FALSE)</f>
        <v>0</v>
      </c>
      <c r="AE1567">
        <f>VLOOKUP(A:A,[1]android_repos_all_metrics!B:K,6,FALSE)</f>
        <v>1</v>
      </c>
      <c r="AF1567">
        <f>VLOOKUP(A:A,[1]android_repos_all_metrics!B:K,7,FALSE)</f>
        <v>312</v>
      </c>
      <c r="AG1567">
        <f>VLOOKUP(A:A,[1]android_repos_all_metrics!B:K,8,FALSE)</f>
        <v>0</v>
      </c>
      <c r="AH1567">
        <f>VLOOKUP(A:A,[1]android_repos_all_metrics!B:K,9,FALSE)</f>
        <v>2</v>
      </c>
      <c r="AI1567">
        <f>VLOOKUP(A:A,[1]android_repos_all_metrics!B:K,10,FALSE)</f>
        <v>4</v>
      </c>
    </row>
    <row r="1568" spans="1:35">
      <c r="A1568" t="s">
        <v>1635</v>
      </c>
      <c r="B1568" t="b">
        <v>1</v>
      </c>
      <c r="C1568" t="b">
        <v>1</v>
      </c>
      <c r="D1568" t="b">
        <v>1</v>
      </c>
      <c r="E1568" t="s">
        <v>36</v>
      </c>
      <c r="F1568" t="b">
        <v>0</v>
      </c>
      <c r="H1568" t="s">
        <v>37</v>
      </c>
      <c r="I1568" t="s">
        <v>37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b">
        <v>0</v>
      </c>
      <c r="Y1568" t="b">
        <v>0</v>
      </c>
      <c r="Z1568">
        <v>1</v>
      </c>
      <c r="AA1568">
        <v>2</v>
      </c>
      <c r="AB1568">
        <v>0</v>
      </c>
      <c r="AC1568">
        <f>VLOOKUP(A:A,[1]android_repos_all_metrics!B:K,4,FALSE)</f>
        <v>3305</v>
      </c>
      <c r="AD1568">
        <f>VLOOKUP(A:A,[1]android_repos_all_metrics!B:K,5,FALSE)</f>
        <v>129</v>
      </c>
      <c r="AE1568">
        <f>VLOOKUP(A:A,[1]android_repos_all_metrics!B:K,6,FALSE)</f>
        <v>36</v>
      </c>
      <c r="AF1568">
        <f>VLOOKUP(A:A,[1]android_repos_all_metrics!B:K,7,FALSE)</f>
        <v>55125</v>
      </c>
      <c r="AG1568">
        <f>VLOOKUP(A:A,[1]android_repos_all_metrics!B:K,8,FALSE)</f>
        <v>1099</v>
      </c>
      <c r="AH1568">
        <f>VLOOKUP(A:A,[1]android_repos_all_metrics!B:K,9,FALSE)</f>
        <v>2568</v>
      </c>
      <c r="AI1568">
        <f>VLOOKUP(A:A,[1]android_repos_all_metrics!B:K,10,FALSE)</f>
        <v>173</v>
      </c>
    </row>
    <row r="1569" spans="1:35">
      <c r="A1569" t="s">
        <v>1636</v>
      </c>
      <c r="B1569" t="b">
        <v>0</v>
      </c>
      <c r="C1569" t="b">
        <v>0</v>
      </c>
      <c r="D1569" t="b">
        <v>0</v>
      </c>
      <c r="F1569" t="b">
        <v>0</v>
      </c>
      <c r="H1569" t="s">
        <v>41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>
        <v>1</v>
      </c>
      <c r="AB1569">
        <v>0</v>
      </c>
      <c r="AC1569">
        <f>VLOOKUP(A:A,[1]android_repos_all_metrics!B:K,4,FALSE)</f>
        <v>80</v>
      </c>
      <c r="AD1569">
        <f>VLOOKUP(A:A,[1]android_repos_all_metrics!B:K,5,FALSE)</f>
        <v>8</v>
      </c>
      <c r="AE1569">
        <f>VLOOKUP(A:A,[1]android_repos_all_metrics!B:K,6,FALSE)</f>
        <v>2</v>
      </c>
      <c r="AF1569">
        <f>VLOOKUP(A:A,[1]android_repos_all_metrics!B:K,7,FALSE)</f>
        <v>438</v>
      </c>
      <c r="AG1569">
        <f>VLOOKUP(A:A,[1]android_repos_all_metrics!B:K,8,FALSE)</f>
        <v>117</v>
      </c>
      <c r="AH1569">
        <f>VLOOKUP(A:A,[1]android_repos_all_metrics!B:K,9,FALSE)</f>
        <v>673</v>
      </c>
      <c r="AI1569">
        <f>VLOOKUP(A:A,[1]android_repos_all_metrics!B:K,10,FALSE)</f>
        <v>19</v>
      </c>
    </row>
    <row r="1570" spans="1:35">
      <c r="A1570" t="s">
        <v>1637</v>
      </c>
      <c r="B1570" t="b">
        <v>1</v>
      </c>
      <c r="C1570" t="b">
        <v>0</v>
      </c>
      <c r="D1570" t="b">
        <v>0</v>
      </c>
      <c r="F1570" t="b">
        <v>0</v>
      </c>
      <c r="H1570" t="s">
        <v>37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>
        <v>1</v>
      </c>
      <c r="AB1570">
        <v>0</v>
      </c>
      <c r="AC1570">
        <f>VLOOKUP(A:A,[1]android_repos_all_metrics!B:K,4,FALSE)</f>
        <v>220</v>
      </c>
      <c r="AD1570">
        <f>VLOOKUP(A:A,[1]android_repos_all_metrics!B:K,5,FALSE)</f>
        <v>31</v>
      </c>
      <c r="AE1570">
        <f>VLOOKUP(A:A,[1]android_repos_all_metrics!B:K,6,FALSE)</f>
        <v>9</v>
      </c>
      <c r="AF1570">
        <f>VLOOKUP(A:A,[1]android_repos_all_metrics!B:K,7,FALSE)</f>
        <v>8093</v>
      </c>
      <c r="AG1570">
        <f>VLOOKUP(A:A,[1]android_repos_all_metrics!B:K,8,FALSE)</f>
        <v>32</v>
      </c>
      <c r="AH1570">
        <f>VLOOKUP(A:A,[1]android_repos_all_metrics!B:K,9,FALSE)</f>
        <v>152</v>
      </c>
      <c r="AI1570">
        <f>VLOOKUP(A:A,[1]android_repos_all_metrics!B:K,10,FALSE)</f>
        <v>13</v>
      </c>
    </row>
    <row r="1571" spans="1:35">
      <c r="A1571" t="s">
        <v>1638</v>
      </c>
      <c r="B1571" t="b">
        <v>1</v>
      </c>
      <c r="C1571" t="b">
        <v>1</v>
      </c>
      <c r="D1571" t="b">
        <v>1</v>
      </c>
      <c r="E1571" t="s">
        <v>104</v>
      </c>
      <c r="F1571" t="b">
        <v>0</v>
      </c>
      <c r="H1571" t="s">
        <v>37</v>
      </c>
      <c r="I1571" t="s">
        <v>37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>
        <v>2</v>
      </c>
      <c r="AA1571">
        <v>1</v>
      </c>
      <c r="AB1571">
        <v>0</v>
      </c>
      <c r="AC1571">
        <f>VLOOKUP(A:A,[1]android_repos_all_metrics!B:K,4,FALSE)</f>
        <v>2384</v>
      </c>
      <c r="AD1571">
        <f>VLOOKUP(A:A,[1]android_repos_all_metrics!B:K,5,FALSE)</f>
        <v>401</v>
      </c>
      <c r="AE1571">
        <f>VLOOKUP(A:A,[1]android_repos_all_metrics!B:K,6,FALSE)</f>
        <v>41</v>
      </c>
      <c r="AF1571">
        <f>VLOOKUP(A:A,[1]android_repos_all_metrics!B:K,7,FALSE)</f>
        <v>15315</v>
      </c>
      <c r="AG1571">
        <f>VLOOKUP(A:A,[1]android_repos_all_metrics!B:K,8,FALSE)</f>
        <v>246</v>
      </c>
      <c r="AH1571">
        <f>VLOOKUP(A:A,[1]android_repos_all_metrics!B:K,9,FALSE)</f>
        <v>427</v>
      </c>
      <c r="AI1571">
        <f>VLOOKUP(A:A,[1]android_repos_all_metrics!B:K,10,FALSE)</f>
        <v>177</v>
      </c>
    </row>
    <row r="1572" spans="1:35">
      <c r="A1572" t="s">
        <v>1639</v>
      </c>
      <c r="B1572" t="b">
        <v>1</v>
      </c>
      <c r="C1572" t="b">
        <v>1</v>
      </c>
      <c r="D1572" t="b">
        <v>0</v>
      </c>
      <c r="F1572" t="b">
        <v>1</v>
      </c>
      <c r="G1572" t="s">
        <v>39</v>
      </c>
      <c r="H1572" t="s">
        <v>41</v>
      </c>
      <c r="I1572" t="s">
        <v>41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>
        <v>1</v>
      </c>
      <c r="AB1572">
        <v>0</v>
      </c>
      <c r="AC1572">
        <f>VLOOKUP(A:A,[1]android_repos_all_metrics!B:K,4,FALSE)</f>
        <v>25</v>
      </c>
      <c r="AD1572">
        <f>VLOOKUP(A:A,[1]android_repos_all_metrics!B:K,5,FALSE)</f>
        <v>1</v>
      </c>
      <c r="AE1572">
        <f>VLOOKUP(A:A,[1]android_repos_all_metrics!B:K,6,FALSE)</f>
        <v>1</v>
      </c>
      <c r="AF1572">
        <f>VLOOKUP(A:A,[1]android_repos_all_metrics!B:K,7,FALSE)</f>
        <v>162</v>
      </c>
      <c r="AG1572">
        <f>VLOOKUP(A:A,[1]android_repos_all_metrics!B:K,8,FALSE)</f>
        <v>35</v>
      </c>
      <c r="AH1572">
        <f>VLOOKUP(A:A,[1]android_repos_all_metrics!B:K,9,FALSE)</f>
        <v>297</v>
      </c>
      <c r="AI1572">
        <f>VLOOKUP(A:A,[1]android_repos_all_metrics!B:K,10,FALSE)</f>
        <v>3</v>
      </c>
    </row>
    <row r="1573" spans="1:35">
      <c r="A1573" t="s">
        <v>1640</v>
      </c>
      <c r="B1573" t="b">
        <v>1</v>
      </c>
      <c r="C1573" t="b">
        <v>1</v>
      </c>
      <c r="D1573" t="b">
        <v>1</v>
      </c>
      <c r="E1573" t="s">
        <v>36</v>
      </c>
      <c r="F1573" t="b">
        <v>0</v>
      </c>
      <c r="H1573" t="s">
        <v>37</v>
      </c>
      <c r="I1573" t="s">
        <v>37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1</v>
      </c>
      <c r="R1573" t="b">
        <v>0</v>
      </c>
      <c r="S1573" t="b">
        <v>0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>
        <v>3</v>
      </c>
      <c r="AA1573">
        <v>1</v>
      </c>
      <c r="AB1573">
        <v>0</v>
      </c>
      <c r="AC1573">
        <f>VLOOKUP(A:A,[1]android_repos_all_metrics!B:K,4,FALSE)</f>
        <v>6</v>
      </c>
      <c r="AD1573">
        <f>VLOOKUP(A:A,[1]android_repos_all_metrics!B:K,5,FALSE)</f>
        <v>0</v>
      </c>
      <c r="AE1573">
        <f>VLOOKUP(A:A,[1]android_repos_all_metrics!B:K,6,FALSE)</f>
        <v>1</v>
      </c>
      <c r="AF1573">
        <f>VLOOKUP(A:A,[1]android_repos_all_metrics!B:K,7,FALSE)</f>
        <v>1090</v>
      </c>
      <c r="AG1573">
        <f>VLOOKUP(A:A,[1]android_repos_all_metrics!B:K,8,FALSE)</f>
        <v>4</v>
      </c>
      <c r="AH1573">
        <f>VLOOKUP(A:A,[1]android_repos_all_metrics!B:K,9,FALSE)</f>
        <v>11</v>
      </c>
      <c r="AI1573">
        <f>VLOOKUP(A:A,[1]android_repos_all_metrics!B:K,10,FALSE)</f>
        <v>0</v>
      </c>
    </row>
    <row r="1574" spans="1:35">
      <c r="A1574" t="s">
        <v>1641</v>
      </c>
      <c r="B1574" t="b">
        <v>1</v>
      </c>
      <c r="C1574" t="b">
        <v>0</v>
      </c>
      <c r="D1574" t="b">
        <v>0</v>
      </c>
      <c r="F1574" t="b">
        <v>0</v>
      </c>
      <c r="H1574" t="s">
        <v>37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>
        <v>1</v>
      </c>
      <c r="AB1574">
        <v>0</v>
      </c>
      <c r="AC1574">
        <f>VLOOKUP(A:A,[1]android_repos_all_metrics!B:K,4,FALSE)</f>
        <v>309</v>
      </c>
      <c r="AD1574">
        <f>VLOOKUP(A:A,[1]android_repos_all_metrics!B:K,5,FALSE)</f>
        <v>66</v>
      </c>
      <c r="AE1574">
        <f>VLOOKUP(A:A,[1]android_repos_all_metrics!B:K,6,FALSE)</f>
        <v>4</v>
      </c>
      <c r="AF1574">
        <f>VLOOKUP(A:A,[1]android_repos_all_metrics!B:K,7,FALSE)</f>
        <v>1212</v>
      </c>
      <c r="AG1574">
        <f>VLOOKUP(A:A,[1]android_repos_all_metrics!B:K,8,FALSE)</f>
        <v>1</v>
      </c>
      <c r="AH1574">
        <f>VLOOKUP(A:A,[1]android_repos_all_metrics!B:K,9,FALSE)</f>
        <v>2</v>
      </c>
      <c r="AI1574">
        <f>VLOOKUP(A:A,[1]android_repos_all_metrics!B:K,10,FALSE)</f>
        <v>9</v>
      </c>
    </row>
    <row r="1575" spans="1:35">
      <c r="A1575" t="s">
        <v>1642</v>
      </c>
      <c r="B1575" t="b">
        <v>1</v>
      </c>
      <c r="C1575" t="b">
        <v>0</v>
      </c>
      <c r="D1575" t="b">
        <v>0</v>
      </c>
      <c r="F1575" t="b">
        <v>0</v>
      </c>
      <c r="H1575" t="s">
        <v>41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>
        <v>1</v>
      </c>
      <c r="AB1575">
        <v>0</v>
      </c>
      <c r="AC1575">
        <f>VLOOKUP(A:A,[1]android_repos_all_metrics!B:K,4,FALSE)</f>
        <v>60</v>
      </c>
      <c r="AD1575">
        <f>VLOOKUP(A:A,[1]android_repos_all_metrics!B:K,5,FALSE)</f>
        <v>0</v>
      </c>
      <c r="AE1575">
        <f>VLOOKUP(A:A,[1]android_repos_all_metrics!B:K,6,FALSE)</f>
        <v>1</v>
      </c>
      <c r="AF1575">
        <f>VLOOKUP(A:A,[1]android_repos_all_metrics!B:K,7,FALSE)</f>
        <v>488</v>
      </c>
      <c r="AG1575">
        <f>VLOOKUP(A:A,[1]android_repos_all_metrics!B:K,8,FALSE)</f>
        <v>0</v>
      </c>
      <c r="AH1575">
        <f>VLOOKUP(A:A,[1]android_repos_all_metrics!B:K,9,FALSE)</f>
        <v>6</v>
      </c>
      <c r="AI1575">
        <f>VLOOKUP(A:A,[1]android_repos_all_metrics!B:K,10,FALSE)</f>
        <v>0</v>
      </c>
    </row>
    <row r="1576" spans="1:35">
      <c r="A1576" t="s">
        <v>1643</v>
      </c>
      <c r="B1576" t="b">
        <v>1</v>
      </c>
      <c r="C1576" t="b">
        <v>0</v>
      </c>
      <c r="D1576" t="b">
        <v>0</v>
      </c>
      <c r="F1576" t="b">
        <v>0</v>
      </c>
      <c r="H1576" t="s">
        <v>37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>
        <v>5</v>
      </c>
      <c r="AB1576">
        <v>0</v>
      </c>
      <c r="AC1576">
        <f>VLOOKUP(A:A,[1]android_repos_all_metrics!B:K,4,FALSE)</f>
        <v>68</v>
      </c>
      <c r="AD1576">
        <f>VLOOKUP(A:A,[1]android_repos_all_metrics!B:K,5,FALSE)</f>
        <v>3</v>
      </c>
      <c r="AE1576">
        <f>VLOOKUP(A:A,[1]android_repos_all_metrics!B:K,6,FALSE)</f>
        <v>5</v>
      </c>
      <c r="AF1576">
        <f>VLOOKUP(A:A,[1]android_repos_all_metrics!B:K,7,FALSE)</f>
        <v>8616</v>
      </c>
      <c r="AG1576">
        <f>VLOOKUP(A:A,[1]android_repos_all_metrics!B:K,8,FALSE)</f>
        <v>0</v>
      </c>
      <c r="AH1576">
        <f>VLOOKUP(A:A,[1]android_repos_all_metrics!B:K,9,FALSE)</f>
        <v>30</v>
      </c>
      <c r="AI1576">
        <f>VLOOKUP(A:A,[1]android_repos_all_metrics!B:K,10,FALSE)</f>
        <v>2</v>
      </c>
    </row>
    <row r="1577" spans="1:35">
      <c r="A1577" t="s">
        <v>1644</v>
      </c>
      <c r="B1577" t="b">
        <v>1</v>
      </c>
      <c r="C1577" t="b">
        <v>0</v>
      </c>
      <c r="D1577" t="b">
        <v>0</v>
      </c>
      <c r="F1577" t="b">
        <v>0</v>
      </c>
      <c r="H1577" t="s">
        <v>37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>
        <v>3</v>
      </c>
      <c r="AB1577">
        <v>0</v>
      </c>
      <c r="AC1577">
        <f>VLOOKUP(A:A,[1]android_repos_all_metrics!B:K,4,FALSE)</f>
        <v>120</v>
      </c>
      <c r="AD1577">
        <f>VLOOKUP(A:A,[1]android_repos_all_metrics!B:K,5,FALSE)</f>
        <v>5</v>
      </c>
      <c r="AE1577">
        <f>VLOOKUP(A:A,[1]android_repos_all_metrics!B:K,6,FALSE)</f>
        <v>2</v>
      </c>
      <c r="AF1577">
        <f>VLOOKUP(A:A,[1]android_repos_all_metrics!B:K,7,FALSE)</f>
        <v>1400</v>
      </c>
      <c r="AG1577">
        <f>VLOOKUP(A:A,[1]android_repos_all_metrics!B:K,8,FALSE)</f>
        <v>1</v>
      </c>
      <c r="AH1577">
        <f>VLOOKUP(A:A,[1]android_repos_all_metrics!B:K,9,FALSE)</f>
        <v>9</v>
      </c>
      <c r="AI1577">
        <f>VLOOKUP(A:A,[1]android_repos_all_metrics!B:K,10,FALSE)</f>
        <v>0</v>
      </c>
    </row>
    <row r="1578" spans="1:35">
      <c r="A1578" t="s">
        <v>1645</v>
      </c>
      <c r="B1578" t="b">
        <v>1</v>
      </c>
      <c r="C1578" t="b">
        <v>1</v>
      </c>
      <c r="D1578" t="b">
        <v>1</v>
      </c>
      <c r="E1578" t="s">
        <v>779</v>
      </c>
      <c r="F1578" t="b">
        <v>0</v>
      </c>
      <c r="H1578" t="s">
        <v>37</v>
      </c>
      <c r="I1578" t="s">
        <v>37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>
        <v>1</v>
      </c>
      <c r="AA1578">
        <v>3</v>
      </c>
      <c r="AB1578">
        <v>0</v>
      </c>
      <c r="AC1578">
        <f>VLOOKUP(A:A,[1]android_repos_all_metrics!B:K,4,FALSE)</f>
        <v>7305</v>
      </c>
      <c r="AD1578">
        <f>VLOOKUP(A:A,[1]android_repos_all_metrics!B:K,5,FALSE)</f>
        <v>728</v>
      </c>
      <c r="AE1578">
        <f>VLOOKUP(A:A,[1]android_repos_all_metrics!B:K,6,FALSE)</f>
        <v>108</v>
      </c>
      <c r="AF1578">
        <f>VLOOKUP(A:A,[1]android_repos_all_metrics!B:K,7,FALSE)</f>
        <v>79809</v>
      </c>
      <c r="AG1578">
        <f>VLOOKUP(A:A,[1]android_repos_all_metrics!B:K,8,FALSE)</f>
        <v>480</v>
      </c>
      <c r="AH1578">
        <f>VLOOKUP(A:A,[1]android_repos_all_metrics!B:K,9,FALSE)</f>
        <v>1875</v>
      </c>
      <c r="AI1578">
        <f>VLOOKUP(A:A,[1]android_repos_all_metrics!B:K,10,FALSE)</f>
        <v>425</v>
      </c>
    </row>
    <row r="1579" spans="1:35">
      <c r="A1579" t="s">
        <v>1646</v>
      </c>
      <c r="B1579" t="b">
        <v>0</v>
      </c>
      <c r="C1579" t="b">
        <v>0</v>
      </c>
      <c r="D1579" t="b">
        <v>0</v>
      </c>
      <c r="F1579" t="b">
        <v>0</v>
      </c>
      <c r="H1579" t="s">
        <v>41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>
        <v>1</v>
      </c>
      <c r="AB1579">
        <v>0</v>
      </c>
      <c r="AC1579">
        <f>VLOOKUP(A:A,[1]android_repos_all_metrics!B:K,4,FALSE)</f>
        <v>138</v>
      </c>
      <c r="AD1579">
        <f>VLOOKUP(A:A,[1]android_repos_all_metrics!B:K,5,FALSE)</f>
        <v>43</v>
      </c>
      <c r="AE1579">
        <f>VLOOKUP(A:A,[1]android_repos_all_metrics!B:K,6,FALSE)</f>
        <v>19</v>
      </c>
      <c r="AF1579">
        <f>VLOOKUP(A:A,[1]android_repos_all_metrics!B:K,7,FALSE)</f>
        <v>29186</v>
      </c>
      <c r="AG1579">
        <f>VLOOKUP(A:A,[1]android_repos_all_metrics!B:K,8,FALSE)</f>
        <v>66</v>
      </c>
      <c r="AH1579">
        <f>VLOOKUP(A:A,[1]android_repos_all_metrics!B:K,9,FALSE)</f>
        <v>98</v>
      </c>
      <c r="AI1579">
        <f>VLOOKUP(A:A,[1]android_repos_all_metrics!B:K,10,FALSE)</f>
        <v>8</v>
      </c>
    </row>
    <row r="1580" spans="1:35">
      <c r="A1580" t="s">
        <v>1647</v>
      </c>
      <c r="B1580" t="b">
        <v>1</v>
      </c>
      <c r="C1580" t="b">
        <v>0</v>
      </c>
      <c r="D1580" t="b">
        <v>0</v>
      </c>
      <c r="F1580" t="b">
        <v>0</v>
      </c>
      <c r="H1580" t="s">
        <v>37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>
        <v>1</v>
      </c>
      <c r="AB1580">
        <v>0</v>
      </c>
      <c r="AC1580">
        <f>VLOOKUP(A:A,[1]android_repos_all_metrics!B:K,4,FALSE)</f>
        <v>36</v>
      </c>
      <c r="AD1580">
        <f>VLOOKUP(A:A,[1]android_repos_all_metrics!B:K,5,FALSE)</f>
        <v>3</v>
      </c>
      <c r="AE1580">
        <f>VLOOKUP(A:A,[1]android_repos_all_metrics!B:K,6,FALSE)</f>
        <v>5</v>
      </c>
      <c r="AF1580">
        <f>VLOOKUP(A:A,[1]android_repos_all_metrics!B:K,7,FALSE)</f>
        <v>12019</v>
      </c>
      <c r="AG1580">
        <f>VLOOKUP(A:A,[1]android_repos_all_metrics!B:K,8,FALSE)</f>
        <v>38</v>
      </c>
      <c r="AH1580">
        <f>VLOOKUP(A:A,[1]android_repos_all_metrics!B:K,9,FALSE)</f>
        <v>486</v>
      </c>
      <c r="AI1580">
        <f>VLOOKUP(A:A,[1]android_repos_all_metrics!B:K,10,FALSE)</f>
        <v>5</v>
      </c>
    </row>
    <row r="1581" spans="1:35">
      <c r="A1581" t="s">
        <v>1648</v>
      </c>
      <c r="B1581" t="b">
        <v>1</v>
      </c>
      <c r="C1581" t="b">
        <v>0</v>
      </c>
      <c r="D1581" t="b">
        <v>0</v>
      </c>
      <c r="F1581" t="b">
        <v>0</v>
      </c>
      <c r="H1581" t="s">
        <v>37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>
        <v>1</v>
      </c>
      <c r="AB1581">
        <v>0</v>
      </c>
      <c r="AC1581">
        <f>VLOOKUP(A:A,[1]android_repos_all_metrics!B:K,4,FALSE)</f>
        <v>233</v>
      </c>
      <c r="AD1581">
        <f>VLOOKUP(A:A,[1]android_repos_all_metrics!B:K,5,FALSE)</f>
        <v>4</v>
      </c>
      <c r="AE1581">
        <f>VLOOKUP(A:A,[1]android_repos_all_metrics!B:K,6,FALSE)</f>
        <v>3</v>
      </c>
      <c r="AF1581">
        <f>VLOOKUP(A:A,[1]android_repos_all_metrics!B:K,7,FALSE)</f>
        <v>1217</v>
      </c>
      <c r="AG1581">
        <f>VLOOKUP(A:A,[1]android_repos_all_metrics!B:K,8,FALSE)</f>
        <v>0</v>
      </c>
      <c r="AH1581">
        <f>VLOOKUP(A:A,[1]android_repos_all_metrics!B:K,9,FALSE)</f>
        <v>8</v>
      </c>
      <c r="AI1581">
        <f>VLOOKUP(A:A,[1]android_repos_all_metrics!B:K,10,FALSE)</f>
        <v>4</v>
      </c>
    </row>
    <row r="1582" spans="1:35">
      <c r="A1582" t="s">
        <v>1649</v>
      </c>
      <c r="B1582" t="b">
        <v>1</v>
      </c>
      <c r="C1582" t="b">
        <v>0</v>
      </c>
      <c r="D1582" t="b">
        <v>0</v>
      </c>
      <c r="F1582" t="b">
        <v>0</v>
      </c>
      <c r="H1582" t="s">
        <v>37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>
        <v>1</v>
      </c>
      <c r="AB1582">
        <v>0</v>
      </c>
      <c r="AC1582">
        <f>VLOOKUP(A:A,[1]android_repos_all_metrics!B:K,4,FALSE)</f>
        <v>24</v>
      </c>
      <c r="AD1582">
        <f>VLOOKUP(A:A,[1]android_repos_all_metrics!B:K,5,FALSE)</f>
        <v>11</v>
      </c>
      <c r="AE1582">
        <f>VLOOKUP(A:A,[1]android_repos_all_metrics!B:K,6,FALSE)</f>
        <v>2</v>
      </c>
      <c r="AF1582">
        <f>VLOOKUP(A:A,[1]android_repos_all_metrics!B:K,7,FALSE)</f>
        <v>364</v>
      </c>
      <c r="AG1582">
        <f>VLOOKUP(A:A,[1]android_repos_all_metrics!B:K,8,FALSE)</f>
        <v>0</v>
      </c>
      <c r="AH1582">
        <f>VLOOKUP(A:A,[1]android_repos_all_metrics!B:K,9,FALSE)</f>
        <v>2</v>
      </c>
      <c r="AI1582">
        <f>VLOOKUP(A:A,[1]android_repos_all_metrics!B:K,10,FALSE)</f>
        <v>6</v>
      </c>
    </row>
    <row r="1583" spans="1:35">
      <c r="A1583" t="s">
        <v>1650</v>
      </c>
      <c r="B1583" t="b">
        <v>1</v>
      </c>
      <c r="C1583" t="b">
        <v>0</v>
      </c>
      <c r="D1583" t="b">
        <v>0</v>
      </c>
      <c r="F1583" t="b">
        <v>0</v>
      </c>
      <c r="H1583" t="s">
        <v>41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>
        <v>1</v>
      </c>
      <c r="AB1583">
        <v>0</v>
      </c>
      <c r="AC1583">
        <f>VLOOKUP(A:A,[1]android_repos_all_metrics!B:K,4,FALSE)</f>
        <v>403</v>
      </c>
      <c r="AD1583">
        <f>VLOOKUP(A:A,[1]android_repos_all_metrics!B:K,5,FALSE)</f>
        <v>12</v>
      </c>
      <c r="AE1583">
        <f>VLOOKUP(A:A,[1]android_repos_all_metrics!B:K,6,FALSE)</f>
        <v>30</v>
      </c>
      <c r="AF1583">
        <f>VLOOKUP(A:A,[1]android_repos_all_metrics!B:K,7,FALSE)</f>
        <v>16320</v>
      </c>
      <c r="AG1583">
        <f>VLOOKUP(A:A,[1]android_repos_all_metrics!B:K,8,FALSE)</f>
        <v>55</v>
      </c>
      <c r="AH1583">
        <f>VLOOKUP(A:A,[1]android_repos_all_metrics!B:K,9,FALSE)</f>
        <v>63</v>
      </c>
      <c r="AI1583">
        <f>VLOOKUP(A:A,[1]android_repos_all_metrics!B:K,10,FALSE)</f>
        <v>26</v>
      </c>
    </row>
    <row r="1584" spans="1:35">
      <c r="A1584" t="s">
        <v>1651</v>
      </c>
      <c r="B1584" t="b">
        <v>1</v>
      </c>
      <c r="C1584" t="b">
        <v>0</v>
      </c>
      <c r="D1584" t="b">
        <v>0</v>
      </c>
      <c r="F1584" t="b">
        <v>0</v>
      </c>
      <c r="H1584" t="s">
        <v>37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>
        <v>1</v>
      </c>
      <c r="AB1584">
        <v>0</v>
      </c>
      <c r="AC1584">
        <f>VLOOKUP(A:A,[1]android_repos_all_metrics!B:K,4,FALSE)</f>
        <v>211</v>
      </c>
      <c r="AD1584">
        <f>VLOOKUP(A:A,[1]android_repos_all_metrics!B:K,5,FALSE)</f>
        <v>20</v>
      </c>
      <c r="AE1584">
        <f>VLOOKUP(A:A,[1]android_repos_all_metrics!B:K,6,FALSE)</f>
        <v>4</v>
      </c>
      <c r="AF1584">
        <f>VLOOKUP(A:A,[1]android_repos_all_metrics!B:K,7,FALSE)</f>
        <v>4579</v>
      </c>
      <c r="AG1584">
        <f>VLOOKUP(A:A,[1]android_repos_all_metrics!B:K,8,FALSE)</f>
        <v>13</v>
      </c>
      <c r="AH1584">
        <f>VLOOKUP(A:A,[1]android_repos_all_metrics!B:K,9,FALSE)</f>
        <v>33</v>
      </c>
      <c r="AI1584">
        <f>VLOOKUP(A:A,[1]android_repos_all_metrics!B:K,10,FALSE)</f>
        <v>3</v>
      </c>
    </row>
    <row r="1585" spans="1:35">
      <c r="A1585" t="s">
        <v>1652</v>
      </c>
      <c r="B1585" t="b">
        <v>1</v>
      </c>
      <c r="C1585" t="b">
        <v>0</v>
      </c>
      <c r="D1585" t="b">
        <v>0</v>
      </c>
      <c r="F1585" t="b">
        <v>0</v>
      </c>
      <c r="H1585" t="s">
        <v>37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>
        <v>3</v>
      </c>
      <c r="AB1585">
        <v>0</v>
      </c>
      <c r="AC1585">
        <f>VLOOKUP(A:A,[1]android_repos_all_metrics!B:K,4,FALSE)</f>
        <v>4613</v>
      </c>
      <c r="AD1585">
        <f>VLOOKUP(A:A,[1]android_repos_all_metrics!B:K,5,FALSE)</f>
        <v>1</v>
      </c>
      <c r="AE1585">
        <f>VLOOKUP(A:A,[1]android_repos_all_metrics!B:K,6,FALSE)</f>
        <v>14</v>
      </c>
      <c r="AF1585">
        <f>VLOOKUP(A:A,[1]android_repos_all_metrics!B:K,7,FALSE)</f>
        <v>13894</v>
      </c>
      <c r="AG1585">
        <f>VLOOKUP(A:A,[1]android_repos_all_metrics!B:K,8,FALSE)</f>
        <v>0</v>
      </c>
      <c r="AH1585">
        <f>VLOOKUP(A:A,[1]android_repos_all_metrics!B:K,9,FALSE)</f>
        <v>29</v>
      </c>
      <c r="AI1585">
        <f>VLOOKUP(A:A,[1]android_repos_all_metrics!B:K,10,FALSE)</f>
        <v>1</v>
      </c>
    </row>
    <row r="1586" spans="1:35">
      <c r="A1586" t="s">
        <v>1653</v>
      </c>
      <c r="B1586" t="b">
        <v>0</v>
      </c>
      <c r="C1586" t="b">
        <v>0</v>
      </c>
      <c r="D1586" t="b">
        <v>0</v>
      </c>
      <c r="F1586" t="b">
        <v>0</v>
      </c>
      <c r="H1586" t="s">
        <v>41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>
        <v>1</v>
      </c>
      <c r="AB1586">
        <v>0</v>
      </c>
      <c r="AC1586">
        <f>VLOOKUP(A:A,[1]android_repos_all_metrics!B:K,4,FALSE)</f>
        <v>559</v>
      </c>
      <c r="AD1586">
        <f>VLOOKUP(A:A,[1]android_repos_all_metrics!B:K,5,FALSE)</f>
        <v>136</v>
      </c>
      <c r="AE1586">
        <f>VLOOKUP(A:A,[1]android_repos_all_metrics!B:K,6,FALSE)</f>
        <v>2</v>
      </c>
      <c r="AF1586">
        <f>VLOOKUP(A:A,[1]android_repos_all_metrics!B:K,7,FALSE)</f>
        <v>3018</v>
      </c>
      <c r="AG1586">
        <f>VLOOKUP(A:A,[1]android_repos_all_metrics!B:K,8,FALSE)</f>
        <v>20</v>
      </c>
      <c r="AH1586">
        <f>VLOOKUP(A:A,[1]android_repos_all_metrics!B:K,9,FALSE)</f>
        <v>121</v>
      </c>
      <c r="AI1586">
        <f>VLOOKUP(A:A,[1]android_repos_all_metrics!B:K,10,FALSE)</f>
        <v>42</v>
      </c>
    </row>
    <row r="1587" spans="1:35">
      <c r="A1587" t="s">
        <v>1654</v>
      </c>
      <c r="B1587" t="b">
        <v>1</v>
      </c>
      <c r="C1587" t="b">
        <v>0</v>
      </c>
      <c r="D1587" t="b">
        <v>0</v>
      </c>
      <c r="F1587" t="b">
        <v>0</v>
      </c>
      <c r="H1587" t="s">
        <v>37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>
        <v>1</v>
      </c>
      <c r="AB1587">
        <v>0</v>
      </c>
      <c r="AC1587">
        <f>VLOOKUP(A:A,[1]android_repos_all_metrics!B:K,4,FALSE)</f>
        <v>13</v>
      </c>
      <c r="AD1587">
        <f>VLOOKUP(A:A,[1]android_repos_all_metrics!B:K,5,FALSE)</f>
        <v>0</v>
      </c>
      <c r="AE1587">
        <f>VLOOKUP(A:A,[1]android_repos_all_metrics!B:K,6,FALSE)</f>
        <v>2</v>
      </c>
      <c r="AF1587">
        <f>VLOOKUP(A:A,[1]android_repos_all_metrics!B:K,7,FALSE)</f>
        <v>20175</v>
      </c>
      <c r="AG1587">
        <f>VLOOKUP(A:A,[1]android_repos_all_metrics!B:K,8,FALSE)</f>
        <v>0</v>
      </c>
      <c r="AH1587">
        <f>VLOOKUP(A:A,[1]android_repos_all_metrics!B:K,9,FALSE)</f>
        <v>8</v>
      </c>
      <c r="AI1587">
        <f>VLOOKUP(A:A,[1]android_repos_all_metrics!B:K,10,FALSE)</f>
        <v>0</v>
      </c>
    </row>
    <row r="1588" spans="1:35">
      <c r="A1588" t="s">
        <v>1655</v>
      </c>
      <c r="B1588" t="b">
        <v>1</v>
      </c>
      <c r="C1588" t="b">
        <v>0</v>
      </c>
      <c r="D1588" t="b">
        <v>0</v>
      </c>
      <c r="F1588" t="b">
        <v>0</v>
      </c>
      <c r="H1588" t="s">
        <v>37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>
        <v>1</v>
      </c>
      <c r="AB1588">
        <v>0</v>
      </c>
      <c r="AC1588">
        <f>VLOOKUP(A:A,[1]android_repos_all_metrics!B:K,4,FALSE)</f>
        <v>31</v>
      </c>
      <c r="AD1588">
        <f>VLOOKUP(A:A,[1]android_repos_all_metrics!B:K,5,FALSE)</f>
        <v>1</v>
      </c>
      <c r="AE1588">
        <f>VLOOKUP(A:A,[1]android_repos_all_metrics!B:K,6,FALSE)</f>
        <v>1</v>
      </c>
      <c r="AF1588">
        <f>VLOOKUP(A:A,[1]android_repos_all_metrics!B:K,7,FALSE)</f>
        <v>337</v>
      </c>
      <c r="AG1588">
        <f>VLOOKUP(A:A,[1]android_repos_all_metrics!B:K,8,FALSE)</f>
        <v>2</v>
      </c>
      <c r="AH1588">
        <f>VLOOKUP(A:A,[1]android_repos_all_metrics!B:K,9,FALSE)</f>
        <v>1</v>
      </c>
      <c r="AI1588">
        <f>VLOOKUP(A:A,[1]android_repos_all_metrics!B:K,10,FALSE)</f>
        <v>0</v>
      </c>
    </row>
    <row r="1589" spans="1:35">
      <c r="A1589" t="s">
        <v>1656</v>
      </c>
      <c r="B1589" t="b">
        <v>1</v>
      </c>
      <c r="C1589" t="b">
        <v>0</v>
      </c>
      <c r="D1589" t="b">
        <v>0</v>
      </c>
      <c r="F1589" t="b">
        <v>0</v>
      </c>
      <c r="H1589" t="s">
        <v>37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>
        <v>2</v>
      </c>
      <c r="AB1589">
        <v>0</v>
      </c>
      <c r="AC1589">
        <f>VLOOKUP(A:A,[1]android_repos_all_metrics!B:K,4,FALSE)</f>
        <v>399</v>
      </c>
      <c r="AD1589">
        <f>VLOOKUP(A:A,[1]android_repos_all_metrics!B:K,5,FALSE)</f>
        <v>81</v>
      </c>
      <c r="AE1589">
        <f>VLOOKUP(A:A,[1]android_repos_all_metrics!B:K,6,FALSE)</f>
        <v>6</v>
      </c>
      <c r="AF1589">
        <f>VLOOKUP(A:A,[1]android_repos_all_metrics!B:K,7,FALSE)</f>
        <v>5748</v>
      </c>
      <c r="AG1589">
        <f>VLOOKUP(A:A,[1]android_repos_all_metrics!B:K,8,FALSE)</f>
        <v>45</v>
      </c>
      <c r="AH1589">
        <f>VLOOKUP(A:A,[1]android_repos_all_metrics!B:K,9,FALSE)</f>
        <v>693</v>
      </c>
      <c r="AI1589">
        <f>VLOOKUP(A:A,[1]android_repos_all_metrics!B:K,10,FALSE)</f>
        <v>8</v>
      </c>
    </row>
    <row r="1590" spans="1:35">
      <c r="A1590" t="s">
        <v>1657</v>
      </c>
      <c r="B1590" t="b">
        <v>1</v>
      </c>
      <c r="C1590" t="b">
        <v>1</v>
      </c>
      <c r="D1590" t="b">
        <v>1</v>
      </c>
      <c r="E1590" t="s">
        <v>104</v>
      </c>
      <c r="F1590" t="b">
        <v>0</v>
      </c>
      <c r="H1590" t="s">
        <v>37</v>
      </c>
      <c r="I1590" t="s">
        <v>37</v>
      </c>
      <c r="J1590" t="b">
        <v>0</v>
      </c>
      <c r="K1590" t="b">
        <v>1</v>
      </c>
      <c r="L1590" t="b">
        <v>1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>
        <v>3</v>
      </c>
      <c r="AA1590">
        <v>1</v>
      </c>
      <c r="AB1590">
        <v>0</v>
      </c>
      <c r="AC1590" t="e">
        <f>VLOOKUP(A:A,[1]android_repos_all_metrics!B:K,4,FALSE)</f>
        <v>#N/A</v>
      </c>
      <c r="AD1590" t="e">
        <f>VLOOKUP(A:A,[1]android_repos_all_metrics!B:K,5,FALSE)</f>
        <v>#N/A</v>
      </c>
      <c r="AE1590" t="e">
        <f>VLOOKUP(A:A,[1]android_repos_all_metrics!B:K,6,FALSE)</f>
        <v>#N/A</v>
      </c>
      <c r="AF1590" t="e">
        <f>VLOOKUP(A:A,[1]android_repos_all_metrics!B:K,7,FALSE)</f>
        <v>#N/A</v>
      </c>
      <c r="AG1590" t="e">
        <f>VLOOKUP(A:A,[1]android_repos_all_metrics!B:K,8,FALSE)</f>
        <v>#N/A</v>
      </c>
      <c r="AH1590" t="e">
        <f>VLOOKUP(A:A,[1]android_repos_all_metrics!B:K,9,FALSE)</f>
        <v>#N/A</v>
      </c>
      <c r="AI1590" t="e">
        <f>VLOOKUP(A:A,[1]android_repos_all_metrics!B:K,10,FALSE)</f>
        <v>#N/A</v>
      </c>
    </row>
    <row r="1591" spans="1:35">
      <c r="A1591" t="s">
        <v>1658</v>
      </c>
      <c r="B1591" t="b">
        <v>1</v>
      </c>
      <c r="C1591" t="b">
        <v>0</v>
      </c>
      <c r="D1591" t="b">
        <v>0</v>
      </c>
      <c r="F1591" t="b">
        <v>0</v>
      </c>
      <c r="H1591" t="s">
        <v>37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>
        <v>1</v>
      </c>
      <c r="AB1591">
        <v>0</v>
      </c>
      <c r="AC1591">
        <f>VLOOKUP(A:A,[1]android_repos_all_metrics!B:K,4,FALSE)</f>
        <v>45</v>
      </c>
      <c r="AD1591">
        <f>VLOOKUP(A:A,[1]android_repos_all_metrics!B:K,5,FALSE)</f>
        <v>3</v>
      </c>
      <c r="AE1591">
        <f>VLOOKUP(A:A,[1]android_repos_all_metrics!B:K,6,FALSE)</f>
        <v>1</v>
      </c>
      <c r="AF1591">
        <f>VLOOKUP(A:A,[1]android_repos_all_metrics!B:K,7,FALSE)</f>
        <v>1060</v>
      </c>
      <c r="AG1591">
        <f>VLOOKUP(A:A,[1]android_repos_all_metrics!B:K,8,FALSE)</f>
        <v>1</v>
      </c>
      <c r="AH1591">
        <f>VLOOKUP(A:A,[1]android_repos_all_metrics!B:K,9,FALSE)</f>
        <v>2</v>
      </c>
      <c r="AI1591">
        <f>VLOOKUP(A:A,[1]android_repos_all_metrics!B:K,10,FALSE)</f>
        <v>2</v>
      </c>
    </row>
    <row r="1592" spans="1:35">
      <c r="A1592" t="s">
        <v>1659</v>
      </c>
      <c r="B1592" t="b">
        <v>0</v>
      </c>
      <c r="C1592" t="b">
        <v>0</v>
      </c>
      <c r="D1592" t="b">
        <v>0</v>
      </c>
      <c r="F1592" t="b">
        <v>0</v>
      </c>
      <c r="H1592" t="s">
        <v>41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>
        <v>1</v>
      </c>
      <c r="AB1592">
        <v>0</v>
      </c>
      <c r="AC1592">
        <f>VLOOKUP(A:A,[1]android_repos_all_metrics!B:K,4,FALSE)</f>
        <v>47</v>
      </c>
      <c r="AD1592">
        <f>VLOOKUP(A:A,[1]android_repos_all_metrics!B:K,5,FALSE)</f>
        <v>14</v>
      </c>
      <c r="AE1592">
        <f>VLOOKUP(A:A,[1]android_repos_all_metrics!B:K,6,FALSE)</f>
        <v>3</v>
      </c>
      <c r="AF1592">
        <f>VLOOKUP(A:A,[1]android_repos_all_metrics!B:K,7,FALSE)</f>
        <v>3565</v>
      </c>
      <c r="AG1592">
        <f>VLOOKUP(A:A,[1]android_repos_all_metrics!B:K,8,FALSE)</f>
        <v>1</v>
      </c>
      <c r="AH1592">
        <f>VLOOKUP(A:A,[1]android_repos_all_metrics!B:K,9,FALSE)</f>
        <v>20</v>
      </c>
      <c r="AI1592">
        <f>VLOOKUP(A:A,[1]android_repos_all_metrics!B:K,10,FALSE)</f>
        <v>4</v>
      </c>
    </row>
    <row r="1593" spans="1:35">
      <c r="A1593" t="s">
        <v>1660</v>
      </c>
      <c r="B1593" t="b">
        <v>1</v>
      </c>
      <c r="C1593" t="b">
        <v>0</v>
      </c>
      <c r="D1593" t="b">
        <v>0</v>
      </c>
      <c r="F1593" t="b">
        <v>0</v>
      </c>
      <c r="H1593" t="s">
        <v>37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>
        <v>5</v>
      </c>
      <c r="AB1593">
        <v>0</v>
      </c>
      <c r="AC1593">
        <f>VLOOKUP(A:A,[1]android_repos_all_metrics!B:K,4,FALSE)</f>
        <v>2864</v>
      </c>
      <c r="AD1593">
        <f>VLOOKUP(A:A,[1]android_repos_all_metrics!B:K,5,FALSE)</f>
        <v>2359</v>
      </c>
      <c r="AE1593">
        <f>VLOOKUP(A:A,[1]android_repos_all_metrics!B:K,6,FALSE)</f>
        <v>57</v>
      </c>
      <c r="AF1593">
        <f>VLOOKUP(A:A,[1]android_repos_all_metrics!B:K,7,FALSE)</f>
        <v>54594</v>
      </c>
      <c r="AG1593">
        <f>VLOOKUP(A:A,[1]android_repos_all_metrics!B:K,8,FALSE)</f>
        <v>312</v>
      </c>
      <c r="AH1593">
        <f>VLOOKUP(A:A,[1]android_repos_all_metrics!B:K,9,FALSE)</f>
        <v>535</v>
      </c>
      <c r="AI1593">
        <f>VLOOKUP(A:A,[1]android_repos_all_metrics!B:K,10,FALSE)</f>
        <v>70</v>
      </c>
    </row>
    <row r="1594" spans="1:35">
      <c r="A1594" t="s">
        <v>1661</v>
      </c>
      <c r="B1594" t="b">
        <v>1</v>
      </c>
      <c r="C1594" t="b">
        <v>1</v>
      </c>
      <c r="D1594" t="b">
        <v>0</v>
      </c>
      <c r="F1594" t="b">
        <v>1</v>
      </c>
      <c r="G1594" t="s">
        <v>39</v>
      </c>
      <c r="H1594" t="s">
        <v>132</v>
      </c>
      <c r="I1594" t="s">
        <v>41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>
        <v>3</v>
      </c>
      <c r="AB1594">
        <v>0</v>
      </c>
      <c r="AC1594">
        <f>VLOOKUP(A:A,[1]android_repos_all_metrics!B:K,4,FALSE)</f>
        <v>53</v>
      </c>
      <c r="AD1594">
        <f>VLOOKUP(A:A,[1]android_repos_all_metrics!B:K,5,FALSE)</f>
        <v>10</v>
      </c>
      <c r="AE1594">
        <f>VLOOKUP(A:A,[1]android_repos_all_metrics!B:K,6,FALSE)</f>
        <v>4</v>
      </c>
      <c r="AF1594">
        <f>VLOOKUP(A:A,[1]android_repos_all_metrics!B:K,7,FALSE)</f>
        <v>1054</v>
      </c>
      <c r="AG1594">
        <f>VLOOKUP(A:A,[1]android_repos_all_metrics!B:K,8,FALSE)</f>
        <v>21</v>
      </c>
      <c r="AH1594">
        <f>VLOOKUP(A:A,[1]android_repos_all_metrics!B:K,9,FALSE)</f>
        <v>67</v>
      </c>
      <c r="AI1594">
        <f>VLOOKUP(A:A,[1]android_repos_all_metrics!B:K,10,FALSE)</f>
        <v>10</v>
      </c>
    </row>
    <row r="1595" spans="1:35">
      <c r="A1595" t="s">
        <v>1662</v>
      </c>
      <c r="B1595" t="b">
        <v>1</v>
      </c>
      <c r="C1595" t="b">
        <v>1</v>
      </c>
      <c r="D1595" t="b">
        <v>0</v>
      </c>
      <c r="F1595" t="b">
        <v>1</v>
      </c>
      <c r="G1595" t="s">
        <v>39</v>
      </c>
      <c r="H1595" t="s">
        <v>41</v>
      </c>
      <c r="I1595" t="s">
        <v>41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>
        <v>1</v>
      </c>
      <c r="AB1595">
        <v>0</v>
      </c>
      <c r="AC1595">
        <f>VLOOKUP(A:A,[1]android_repos_all_metrics!B:K,4,FALSE)</f>
        <v>542</v>
      </c>
      <c r="AD1595">
        <f>VLOOKUP(A:A,[1]android_repos_all_metrics!B:K,5,FALSE)</f>
        <v>21</v>
      </c>
      <c r="AE1595">
        <f>VLOOKUP(A:A,[1]android_repos_all_metrics!B:K,6,FALSE)</f>
        <v>9</v>
      </c>
      <c r="AF1595">
        <f>VLOOKUP(A:A,[1]android_repos_all_metrics!B:K,7,FALSE)</f>
        <v>131181</v>
      </c>
      <c r="AG1595">
        <f>VLOOKUP(A:A,[1]android_repos_all_metrics!B:K,8,FALSE)</f>
        <v>40</v>
      </c>
      <c r="AH1595">
        <f>VLOOKUP(A:A,[1]android_repos_all_metrics!B:K,9,FALSE)</f>
        <v>128</v>
      </c>
      <c r="AI1595">
        <f>VLOOKUP(A:A,[1]android_repos_all_metrics!B:K,10,FALSE)</f>
        <v>24</v>
      </c>
    </row>
    <row r="1596" spans="1:35">
      <c r="A1596" t="s">
        <v>1663</v>
      </c>
      <c r="B1596" t="b">
        <v>1</v>
      </c>
      <c r="C1596" t="b">
        <v>0</v>
      </c>
      <c r="D1596" t="b">
        <v>0</v>
      </c>
      <c r="F1596" t="b">
        <v>0</v>
      </c>
      <c r="H1596" t="s">
        <v>37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>
        <v>1</v>
      </c>
      <c r="AB1596">
        <v>0</v>
      </c>
      <c r="AC1596">
        <f>VLOOKUP(A:A,[1]android_repos_all_metrics!B:K,4,FALSE)</f>
        <v>3120</v>
      </c>
      <c r="AD1596">
        <f>VLOOKUP(A:A,[1]android_repos_all_metrics!B:K,5,FALSE)</f>
        <v>621</v>
      </c>
      <c r="AE1596">
        <f>VLOOKUP(A:A,[1]android_repos_all_metrics!B:K,6,FALSE)</f>
        <v>8</v>
      </c>
      <c r="AF1596">
        <f>VLOOKUP(A:A,[1]android_repos_all_metrics!B:K,7,FALSE)</f>
        <v>67466</v>
      </c>
      <c r="AG1596">
        <f>VLOOKUP(A:A,[1]android_repos_all_metrics!B:K,8,FALSE)</f>
        <v>0</v>
      </c>
      <c r="AH1596">
        <f>VLOOKUP(A:A,[1]android_repos_all_metrics!B:K,9,FALSE)</f>
        <v>2</v>
      </c>
      <c r="AI1596">
        <f>VLOOKUP(A:A,[1]android_repos_all_metrics!B:K,10,FALSE)</f>
        <v>24</v>
      </c>
    </row>
    <row r="1597" spans="1:35">
      <c r="A1597" t="s">
        <v>1664</v>
      </c>
      <c r="B1597" t="b">
        <v>1</v>
      </c>
      <c r="C1597" t="b">
        <v>0</v>
      </c>
      <c r="D1597" t="b">
        <v>0</v>
      </c>
      <c r="F1597" t="b">
        <v>0</v>
      </c>
      <c r="H1597" t="s">
        <v>132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>
        <v>4</v>
      </c>
      <c r="AB1597">
        <v>0</v>
      </c>
      <c r="AC1597">
        <f>VLOOKUP(A:A,[1]android_repos_all_metrics!B:K,4,FALSE)</f>
        <v>337</v>
      </c>
      <c r="AD1597">
        <f>VLOOKUP(A:A,[1]android_repos_all_metrics!B:K,5,FALSE)</f>
        <v>159</v>
      </c>
      <c r="AE1597">
        <f>VLOOKUP(A:A,[1]android_repos_all_metrics!B:K,6,FALSE)</f>
        <v>40</v>
      </c>
      <c r="AF1597">
        <f>VLOOKUP(A:A,[1]android_repos_all_metrics!B:K,7,FALSE)</f>
        <v>3539</v>
      </c>
      <c r="AG1597">
        <f>VLOOKUP(A:A,[1]android_repos_all_metrics!B:K,8,FALSE)</f>
        <v>269</v>
      </c>
      <c r="AH1597">
        <f>VLOOKUP(A:A,[1]android_repos_all_metrics!B:K,9,FALSE)</f>
        <v>1228</v>
      </c>
      <c r="AI1597">
        <f>VLOOKUP(A:A,[1]android_repos_all_metrics!B:K,10,FALSE)</f>
        <v>93</v>
      </c>
    </row>
    <row r="1598" spans="1:35">
      <c r="A1598" t="s">
        <v>1665</v>
      </c>
      <c r="B1598" t="b">
        <v>1</v>
      </c>
      <c r="C1598" t="b">
        <v>0</v>
      </c>
      <c r="D1598" t="b">
        <v>0</v>
      </c>
      <c r="F1598" t="b">
        <v>0</v>
      </c>
      <c r="H1598" t="s">
        <v>37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>
        <v>1</v>
      </c>
      <c r="AB1598">
        <v>0</v>
      </c>
      <c r="AC1598">
        <f>VLOOKUP(A:A,[1]android_repos_all_metrics!B:K,4,FALSE)</f>
        <v>1848</v>
      </c>
      <c r="AD1598">
        <f>VLOOKUP(A:A,[1]android_repos_all_metrics!B:K,5,FALSE)</f>
        <v>160</v>
      </c>
      <c r="AE1598">
        <f>VLOOKUP(A:A,[1]android_repos_all_metrics!B:K,6,FALSE)</f>
        <v>16</v>
      </c>
      <c r="AF1598">
        <f>VLOOKUP(A:A,[1]android_repos_all_metrics!B:K,7,FALSE)</f>
        <v>135201</v>
      </c>
      <c r="AG1598">
        <f>VLOOKUP(A:A,[1]android_repos_all_metrics!B:K,8,FALSE)</f>
        <v>11</v>
      </c>
      <c r="AH1598">
        <f>VLOOKUP(A:A,[1]android_repos_all_metrics!B:K,9,FALSE)</f>
        <v>329</v>
      </c>
      <c r="AI1598">
        <f>VLOOKUP(A:A,[1]android_repos_all_metrics!B:K,10,FALSE)</f>
        <v>49</v>
      </c>
    </row>
    <row r="1599" spans="1:35">
      <c r="A1599" t="s">
        <v>1666</v>
      </c>
      <c r="B1599" t="b">
        <v>0</v>
      </c>
      <c r="C1599" t="b">
        <v>0</v>
      </c>
      <c r="D1599" t="b">
        <v>0</v>
      </c>
      <c r="F1599" t="b">
        <v>0</v>
      </c>
      <c r="H1599" t="s">
        <v>41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>
        <v>1</v>
      </c>
      <c r="AB1599">
        <v>0</v>
      </c>
      <c r="AC1599">
        <f>VLOOKUP(A:A,[1]android_repos_all_metrics!B:K,4,FALSE)</f>
        <v>1362</v>
      </c>
      <c r="AD1599">
        <f>VLOOKUP(A:A,[1]android_repos_all_metrics!B:K,5,FALSE)</f>
        <v>102</v>
      </c>
      <c r="AE1599">
        <f>VLOOKUP(A:A,[1]android_repos_all_metrics!B:K,6,FALSE)</f>
        <v>10</v>
      </c>
      <c r="AF1599">
        <f>VLOOKUP(A:A,[1]android_repos_all_metrics!B:K,7,FALSE)</f>
        <v>14609</v>
      </c>
      <c r="AG1599">
        <f>VLOOKUP(A:A,[1]android_repos_all_metrics!B:K,8,FALSE)</f>
        <v>46</v>
      </c>
      <c r="AH1599">
        <f>VLOOKUP(A:A,[1]android_repos_all_metrics!B:K,9,FALSE)</f>
        <v>84</v>
      </c>
      <c r="AI1599">
        <f>VLOOKUP(A:A,[1]android_repos_all_metrics!B:K,10,FALSE)</f>
        <v>46</v>
      </c>
    </row>
    <row r="1600" spans="1:35">
      <c r="A1600" t="s">
        <v>1667</v>
      </c>
      <c r="B1600" t="b">
        <v>1</v>
      </c>
      <c r="C1600" t="b">
        <v>0</v>
      </c>
      <c r="D1600" t="b">
        <v>0</v>
      </c>
      <c r="F1600" t="b">
        <v>0</v>
      </c>
      <c r="H1600" t="s">
        <v>37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>
        <v>1</v>
      </c>
      <c r="AB1600">
        <v>0</v>
      </c>
      <c r="AC1600">
        <f>VLOOKUP(A:A,[1]android_repos_all_metrics!B:K,4,FALSE)</f>
        <v>2199</v>
      </c>
      <c r="AD1600">
        <f>VLOOKUP(A:A,[1]android_repos_all_metrics!B:K,5,FALSE)</f>
        <v>204</v>
      </c>
      <c r="AE1600">
        <f>VLOOKUP(A:A,[1]android_repos_all_metrics!B:K,6,FALSE)</f>
        <v>176</v>
      </c>
      <c r="AF1600">
        <f>VLOOKUP(A:A,[1]android_repos_all_metrics!B:K,7,FALSE)</f>
        <v>148526</v>
      </c>
      <c r="AG1600">
        <f>VLOOKUP(A:A,[1]android_repos_all_metrics!B:K,8,FALSE)</f>
        <v>266</v>
      </c>
      <c r="AH1600">
        <f>VLOOKUP(A:A,[1]android_repos_all_metrics!B:K,9,FALSE)</f>
        <v>1389</v>
      </c>
      <c r="AI1600">
        <f>VLOOKUP(A:A,[1]android_repos_all_metrics!B:K,10,FALSE)</f>
        <v>116</v>
      </c>
    </row>
    <row r="1601" spans="1:35">
      <c r="A1601" t="s">
        <v>1668</v>
      </c>
      <c r="B1601" t="b">
        <v>1</v>
      </c>
      <c r="C1601" t="b">
        <v>0</v>
      </c>
      <c r="D1601" t="b">
        <v>0</v>
      </c>
      <c r="F1601" t="b">
        <v>0</v>
      </c>
      <c r="H1601" t="s">
        <v>37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>
        <v>1</v>
      </c>
      <c r="AB1601">
        <v>0</v>
      </c>
      <c r="AC1601">
        <f>VLOOKUP(A:A,[1]android_repos_all_metrics!B:K,4,FALSE)</f>
        <v>575</v>
      </c>
      <c r="AD1601">
        <f>VLOOKUP(A:A,[1]android_repos_all_metrics!B:K,5,FALSE)</f>
        <v>50</v>
      </c>
      <c r="AE1601">
        <f>VLOOKUP(A:A,[1]android_repos_all_metrics!B:K,6,FALSE)</f>
        <v>4</v>
      </c>
      <c r="AF1601">
        <f>VLOOKUP(A:A,[1]android_repos_all_metrics!B:K,7,FALSE)</f>
        <v>20643</v>
      </c>
      <c r="AG1601">
        <f>VLOOKUP(A:A,[1]android_repos_all_metrics!B:K,8,FALSE)</f>
        <v>2</v>
      </c>
      <c r="AH1601">
        <f>VLOOKUP(A:A,[1]android_repos_all_metrics!B:K,9,FALSE)</f>
        <v>4</v>
      </c>
      <c r="AI1601">
        <f>VLOOKUP(A:A,[1]android_repos_all_metrics!B:K,10,FALSE)</f>
        <v>0</v>
      </c>
    </row>
    <row r="1602" spans="1:35">
      <c r="A1602" t="s">
        <v>1669</v>
      </c>
      <c r="B1602" t="b">
        <v>1</v>
      </c>
      <c r="C1602" t="b">
        <v>0</v>
      </c>
      <c r="D1602" t="b">
        <v>0</v>
      </c>
      <c r="F1602" t="b">
        <v>0</v>
      </c>
      <c r="H1602" t="s">
        <v>37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>
        <v>4</v>
      </c>
      <c r="AB1602">
        <v>0</v>
      </c>
      <c r="AC1602">
        <f>VLOOKUP(A:A,[1]android_repos_all_metrics!B:K,4,FALSE)</f>
        <v>814</v>
      </c>
      <c r="AD1602">
        <f>VLOOKUP(A:A,[1]android_repos_all_metrics!B:K,5,FALSE)</f>
        <v>102</v>
      </c>
      <c r="AE1602">
        <f>VLOOKUP(A:A,[1]android_repos_all_metrics!B:K,6,FALSE)</f>
        <v>18</v>
      </c>
      <c r="AF1602">
        <f>VLOOKUP(A:A,[1]android_repos_all_metrics!B:K,7,FALSE)</f>
        <v>97093</v>
      </c>
      <c r="AG1602">
        <f>VLOOKUP(A:A,[1]android_repos_all_metrics!B:K,8,FALSE)</f>
        <v>6</v>
      </c>
      <c r="AH1602">
        <f>VLOOKUP(A:A,[1]android_repos_all_metrics!B:K,9,FALSE)</f>
        <v>37</v>
      </c>
      <c r="AI1602">
        <f>VLOOKUP(A:A,[1]android_repos_all_metrics!B:K,10,FALSE)</f>
        <v>23</v>
      </c>
    </row>
    <row r="1603" spans="1:35">
      <c r="A1603" t="s">
        <v>1670</v>
      </c>
      <c r="B1603" t="b">
        <v>1</v>
      </c>
      <c r="C1603" t="b">
        <v>1</v>
      </c>
      <c r="D1603" t="b">
        <v>0</v>
      </c>
      <c r="F1603" t="b">
        <v>1</v>
      </c>
      <c r="G1603" t="s">
        <v>39</v>
      </c>
      <c r="H1603" t="s">
        <v>41</v>
      </c>
      <c r="I1603" t="s">
        <v>41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>
        <v>1</v>
      </c>
      <c r="AB1603">
        <v>0</v>
      </c>
      <c r="AC1603">
        <f>VLOOKUP(A:A,[1]android_repos_all_metrics!B:K,4,FALSE)</f>
        <v>824</v>
      </c>
      <c r="AD1603">
        <f>VLOOKUP(A:A,[1]android_repos_all_metrics!B:K,5,FALSE)</f>
        <v>268</v>
      </c>
      <c r="AE1603">
        <f>VLOOKUP(A:A,[1]android_repos_all_metrics!B:K,6,FALSE)</f>
        <v>37</v>
      </c>
      <c r="AF1603">
        <f>VLOOKUP(A:A,[1]android_repos_all_metrics!B:K,7,FALSE)</f>
        <v>60186</v>
      </c>
      <c r="AG1603">
        <f>VLOOKUP(A:A,[1]android_repos_all_metrics!B:K,8,FALSE)</f>
        <v>249</v>
      </c>
      <c r="AH1603">
        <f>VLOOKUP(A:A,[1]android_repos_all_metrics!B:K,9,FALSE)</f>
        <v>904</v>
      </c>
      <c r="AI1603">
        <f>VLOOKUP(A:A,[1]android_repos_all_metrics!B:K,10,FALSE)</f>
        <v>408</v>
      </c>
    </row>
    <row r="1604" spans="1:35">
      <c r="A1604" t="s">
        <v>1671</v>
      </c>
      <c r="B1604" t="b">
        <v>1</v>
      </c>
      <c r="C1604" t="b">
        <v>0</v>
      </c>
      <c r="D1604" t="b">
        <v>0</v>
      </c>
      <c r="F1604" t="b">
        <v>0</v>
      </c>
      <c r="H1604" t="s">
        <v>41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>
        <v>1</v>
      </c>
      <c r="AB1604">
        <v>0</v>
      </c>
      <c r="AC1604">
        <f>VLOOKUP(A:A,[1]android_repos_all_metrics!B:K,4,FALSE)</f>
        <v>180</v>
      </c>
      <c r="AD1604">
        <f>VLOOKUP(A:A,[1]android_repos_all_metrics!B:K,5,FALSE)</f>
        <v>65</v>
      </c>
      <c r="AE1604">
        <f>VLOOKUP(A:A,[1]android_repos_all_metrics!B:K,6,FALSE)</f>
        <v>2</v>
      </c>
      <c r="AF1604">
        <f>VLOOKUP(A:A,[1]android_repos_all_metrics!B:K,7,FALSE)</f>
        <v>7032</v>
      </c>
      <c r="AG1604">
        <f>VLOOKUP(A:A,[1]android_repos_all_metrics!B:K,8,FALSE)</f>
        <v>12</v>
      </c>
      <c r="AH1604">
        <f>VLOOKUP(A:A,[1]android_repos_all_metrics!B:K,9,FALSE)</f>
        <v>79</v>
      </c>
      <c r="AI1604">
        <f>VLOOKUP(A:A,[1]android_repos_all_metrics!B:K,10,FALSE)</f>
        <v>12</v>
      </c>
    </row>
    <row r="1605" spans="1:35">
      <c r="A1605" t="s">
        <v>1672</v>
      </c>
      <c r="B1605" t="b">
        <v>1</v>
      </c>
      <c r="C1605" t="b">
        <v>0</v>
      </c>
      <c r="D1605" t="b">
        <v>0</v>
      </c>
      <c r="F1605" t="b">
        <v>0</v>
      </c>
      <c r="H1605" t="s">
        <v>41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>
        <v>1</v>
      </c>
      <c r="AB1605">
        <v>0</v>
      </c>
      <c r="AC1605">
        <f>VLOOKUP(A:A,[1]android_repos_all_metrics!B:K,4,FALSE)</f>
        <v>147</v>
      </c>
      <c r="AD1605">
        <f>VLOOKUP(A:A,[1]android_repos_all_metrics!B:K,5,FALSE)</f>
        <v>5</v>
      </c>
      <c r="AE1605">
        <f>VLOOKUP(A:A,[1]android_repos_all_metrics!B:K,6,FALSE)</f>
        <v>3</v>
      </c>
      <c r="AF1605">
        <f>VLOOKUP(A:A,[1]android_repos_all_metrics!B:K,7,FALSE)</f>
        <v>6091</v>
      </c>
      <c r="AG1605">
        <f>VLOOKUP(A:A,[1]android_repos_all_metrics!B:K,8,FALSE)</f>
        <v>10</v>
      </c>
      <c r="AH1605">
        <f>VLOOKUP(A:A,[1]android_repos_all_metrics!B:K,9,FALSE)</f>
        <v>33</v>
      </c>
      <c r="AI1605">
        <f>VLOOKUP(A:A,[1]android_repos_all_metrics!B:K,10,FALSE)</f>
        <v>9</v>
      </c>
    </row>
    <row r="1606" spans="1:35">
      <c r="A1606" t="s">
        <v>1673</v>
      </c>
      <c r="B1606" t="b">
        <v>1</v>
      </c>
      <c r="C1606" t="b">
        <v>1</v>
      </c>
      <c r="D1606" t="b">
        <v>1</v>
      </c>
      <c r="E1606" t="s">
        <v>36</v>
      </c>
      <c r="F1606" t="b">
        <v>0</v>
      </c>
      <c r="H1606" t="s">
        <v>37</v>
      </c>
      <c r="I1606" t="s">
        <v>37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>
        <v>2</v>
      </c>
      <c r="AB1606">
        <v>0</v>
      </c>
      <c r="AC1606">
        <f>VLOOKUP(A:A,[1]android_repos_all_metrics!B:K,4,FALSE)</f>
        <v>5228</v>
      </c>
      <c r="AD1606">
        <f>VLOOKUP(A:A,[1]android_repos_all_metrics!B:K,5,FALSE)</f>
        <v>723</v>
      </c>
      <c r="AE1606">
        <f>VLOOKUP(A:A,[1]android_repos_all_metrics!B:K,6,FALSE)</f>
        <v>138</v>
      </c>
      <c r="AF1606">
        <f>VLOOKUP(A:A,[1]android_repos_all_metrics!B:K,7,FALSE)</f>
        <v>82815</v>
      </c>
      <c r="AG1606">
        <f>VLOOKUP(A:A,[1]android_repos_all_metrics!B:K,8,FALSE)</f>
        <v>143</v>
      </c>
      <c r="AH1606">
        <f>VLOOKUP(A:A,[1]android_repos_all_metrics!B:K,9,FALSE)</f>
        <v>598</v>
      </c>
      <c r="AI1606">
        <f>VLOOKUP(A:A,[1]android_repos_all_metrics!B:K,10,FALSE)</f>
        <v>78</v>
      </c>
    </row>
    <row r="1607" spans="1:35">
      <c r="A1607" t="s">
        <v>1674</v>
      </c>
      <c r="B1607" t="b">
        <v>1</v>
      </c>
      <c r="C1607" t="b">
        <v>1</v>
      </c>
      <c r="D1607" t="b">
        <v>0</v>
      </c>
      <c r="F1607" t="b">
        <v>1</v>
      </c>
      <c r="G1607" t="s">
        <v>39</v>
      </c>
      <c r="H1607" t="s">
        <v>41</v>
      </c>
      <c r="I1607" t="s">
        <v>41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>
        <v>1</v>
      </c>
      <c r="AB1607">
        <v>0</v>
      </c>
      <c r="AC1607">
        <f>VLOOKUP(A:A,[1]android_repos_all_metrics!B:K,4,FALSE)</f>
        <v>503</v>
      </c>
      <c r="AD1607">
        <f>VLOOKUP(A:A,[1]android_repos_all_metrics!B:K,5,FALSE)</f>
        <v>13</v>
      </c>
      <c r="AE1607">
        <f>VLOOKUP(A:A,[1]android_repos_all_metrics!B:K,6,FALSE)</f>
        <v>5</v>
      </c>
      <c r="AF1607">
        <f>VLOOKUP(A:A,[1]android_repos_all_metrics!B:K,7,FALSE)</f>
        <v>49858</v>
      </c>
      <c r="AG1607">
        <f>VLOOKUP(A:A,[1]android_repos_all_metrics!B:K,8,FALSE)</f>
        <v>57</v>
      </c>
      <c r="AH1607">
        <f>VLOOKUP(A:A,[1]android_repos_all_metrics!B:K,9,FALSE)</f>
        <v>78</v>
      </c>
      <c r="AI1607">
        <f>VLOOKUP(A:A,[1]android_repos_all_metrics!B:K,10,FALSE)</f>
        <v>15</v>
      </c>
    </row>
    <row r="1608" spans="1:35">
      <c r="A1608" t="s">
        <v>1675</v>
      </c>
      <c r="B1608" t="b">
        <v>1</v>
      </c>
      <c r="C1608" t="b">
        <v>0</v>
      </c>
      <c r="D1608" t="b">
        <v>0</v>
      </c>
      <c r="F1608" t="b">
        <v>0</v>
      </c>
      <c r="H1608" t="s">
        <v>37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>
        <v>1</v>
      </c>
      <c r="AB1608">
        <v>0</v>
      </c>
      <c r="AC1608">
        <f>VLOOKUP(A:A,[1]android_repos_all_metrics!B:K,4,FALSE)</f>
        <v>148</v>
      </c>
      <c r="AD1608">
        <f>VLOOKUP(A:A,[1]android_repos_all_metrics!B:K,5,FALSE)</f>
        <v>12</v>
      </c>
      <c r="AE1608">
        <f>VLOOKUP(A:A,[1]android_repos_all_metrics!B:K,6,FALSE)</f>
        <v>8</v>
      </c>
      <c r="AF1608">
        <f>VLOOKUP(A:A,[1]android_repos_all_metrics!B:K,7,FALSE)</f>
        <v>23349</v>
      </c>
      <c r="AG1608">
        <f>VLOOKUP(A:A,[1]android_repos_all_metrics!B:K,8,FALSE)</f>
        <v>11</v>
      </c>
      <c r="AH1608">
        <f>VLOOKUP(A:A,[1]android_repos_all_metrics!B:K,9,FALSE)</f>
        <v>107</v>
      </c>
      <c r="AI1608">
        <f>VLOOKUP(A:A,[1]android_repos_all_metrics!B:K,10,FALSE)</f>
        <v>15</v>
      </c>
    </row>
    <row r="1609" spans="1:35">
      <c r="A1609" t="s">
        <v>1676</v>
      </c>
      <c r="B1609" t="b">
        <v>1</v>
      </c>
      <c r="C1609" t="b">
        <v>0</v>
      </c>
      <c r="D1609" t="b">
        <v>0</v>
      </c>
      <c r="F1609" t="b">
        <v>0</v>
      </c>
      <c r="H1609" t="s">
        <v>37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>
        <v>1</v>
      </c>
      <c r="AB1609">
        <v>0</v>
      </c>
      <c r="AC1609">
        <f>VLOOKUP(A:A,[1]android_repos_all_metrics!B:K,4,FALSE)</f>
        <v>39</v>
      </c>
      <c r="AD1609">
        <f>VLOOKUP(A:A,[1]android_repos_all_metrics!B:K,5,FALSE)</f>
        <v>5</v>
      </c>
      <c r="AE1609">
        <f>VLOOKUP(A:A,[1]android_repos_all_metrics!B:K,6,FALSE)</f>
        <v>2</v>
      </c>
      <c r="AF1609">
        <f>VLOOKUP(A:A,[1]android_repos_all_metrics!B:K,7,FALSE)</f>
        <v>583</v>
      </c>
      <c r="AG1609">
        <f>VLOOKUP(A:A,[1]android_repos_all_metrics!B:K,8,FALSE)</f>
        <v>1</v>
      </c>
      <c r="AH1609">
        <f>VLOOKUP(A:A,[1]android_repos_all_metrics!B:K,9,FALSE)</f>
        <v>5</v>
      </c>
      <c r="AI1609">
        <f>VLOOKUP(A:A,[1]android_repos_all_metrics!B:K,10,FALSE)</f>
        <v>1</v>
      </c>
    </row>
    <row r="1610" spans="1:35">
      <c r="A1610" t="s">
        <v>1677</v>
      </c>
      <c r="B1610" t="b">
        <v>1</v>
      </c>
      <c r="C1610" t="b">
        <v>1</v>
      </c>
      <c r="D1610" t="b">
        <v>0</v>
      </c>
      <c r="F1610" t="b">
        <v>1</v>
      </c>
      <c r="G1610" t="s">
        <v>109</v>
      </c>
      <c r="H1610" t="s">
        <v>37</v>
      </c>
      <c r="I1610" t="s">
        <v>37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>
        <v>15</v>
      </c>
      <c r="AB1610">
        <v>0</v>
      </c>
      <c r="AC1610">
        <f>VLOOKUP(A:A,[1]android_repos_all_metrics!B:K,4,FALSE)</f>
        <v>38511</v>
      </c>
      <c r="AD1610">
        <f>VLOOKUP(A:A,[1]android_repos_all_metrics!B:K,5,FALSE)</f>
        <v>2101</v>
      </c>
      <c r="AE1610">
        <f>VLOOKUP(A:A,[1]android_repos_all_metrics!B:K,6,FALSE)</f>
        <v>292</v>
      </c>
      <c r="AF1610">
        <f>VLOOKUP(A:A,[1]android_repos_all_metrics!B:K,7,FALSE)</f>
        <v>6147514</v>
      </c>
      <c r="AG1610">
        <f>VLOOKUP(A:A,[1]android_repos_all_metrics!B:K,8,FALSE)</f>
        <v>552</v>
      </c>
      <c r="AH1610">
        <f>VLOOKUP(A:A,[1]android_repos_all_metrics!B:K,9,FALSE)</f>
        <v>5292</v>
      </c>
      <c r="AI1610">
        <f>VLOOKUP(A:A,[1]android_repos_all_metrics!B:K,10,FALSE)</f>
        <v>1732</v>
      </c>
    </row>
    <row r="1611" spans="1:35">
      <c r="A1611" t="s">
        <v>1678</v>
      </c>
      <c r="B1611" t="b">
        <v>1</v>
      </c>
      <c r="C1611" t="b">
        <v>0</v>
      </c>
      <c r="D1611" t="b">
        <v>0</v>
      </c>
      <c r="F1611" t="b">
        <v>0</v>
      </c>
      <c r="H1611" t="s">
        <v>37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>
        <v>1</v>
      </c>
      <c r="AB1611">
        <v>0</v>
      </c>
      <c r="AC1611">
        <f>VLOOKUP(A:A,[1]android_repos_all_metrics!B:K,4,FALSE)</f>
        <v>761</v>
      </c>
      <c r="AD1611">
        <f>VLOOKUP(A:A,[1]android_repos_all_metrics!B:K,5,FALSE)</f>
        <v>2</v>
      </c>
      <c r="AE1611">
        <f>VLOOKUP(A:A,[1]android_repos_all_metrics!B:K,6,FALSE)</f>
        <v>2</v>
      </c>
      <c r="AF1611">
        <f>VLOOKUP(A:A,[1]android_repos_all_metrics!B:K,7,FALSE)</f>
        <v>2418</v>
      </c>
      <c r="AG1611">
        <f>VLOOKUP(A:A,[1]android_repos_all_metrics!B:K,8,FALSE)</f>
        <v>18</v>
      </c>
      <c r="AH1611">
        <f>VLOOKUP(A:A,[1]android_repos_all_metrics!B:K,9,FALSE)</f>
        <v>328</v>
      </c>
      <c r="AI1611">
        <f>VLOOKUP(A:A,[1]android_repos_all_metrics!B:K,10,FALSE)</f>
        <v>25</v>
      </c>
    </row>
    <row r="1612" spans="1:35">
      <c r="A1612" t="s">
        <v>1679</v>
      </c>
      <c r="B1612" t="b">
        <v>0</v>
      </c>
      <c r="C1612" t="b">
        <v>0</v>
      </c>
      <c r="D1612" t="b">
        <v>0</v>
      </c>
      <c r="F1612" t="b">
        <v>0</v>
      </c>
      <c r="H1612" t="s">
        <v>37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>
        <v>1</v>
      </c>
      <c r="AB1612">
        <v>0</v>
      </c>
      <c r="AC1612">
        <f>VLOOKUP(A:A,[1]android_repos_all_metrics!B:K,4,FALSE)</f>
        <v>2407</v>
      </c>
      <c r="AD1612">
        <f>VLOOKUP(A:A,[1]android_repos_all_metrics!B:K,5,FALSE)</f>
        <v>126</v>
      </c>
      <c r="AE1612">
        <f>VLOOKUP(A:A,[1]android_repos_all_metrics!B:K,6,FALSE)</f>
        <v>36</v>
      </c>
      <c r="AF1612">
        <f>VLOOKUP(A:A,[1]android_repos_all_metrics!B:K,7,FALSE)</f>
        <v>38762</v>
      </c>
      <c r="AG1612">
        <f>VLOOKUP(A:A,[1]android_repos_all_metrics!B:K,8,FALSE)</f>
        <v>298</v>
      </c>
      <c r="AH1612">
        <f>VLOOKUP(A:A,[1]android_repos_all_metrics!B:K,9,FALSE)</f>
        <v>2407</v>
      </c>
      <c r="AI1612">
        <f>VLOOKUP(A:A,[1]android_repos_all_metrics!B:K,10,FALSE)</f>
        <v>505</v>
      </c>
    </row>
    <row r="1613" spans="1:35">
      <c r="A1613" t="s">
        <v>1680</v>
      </c>
      <c r="B1613" t="b">
        <v>1</v>
      </c>
      <c r="C1613" t="b">
        <v>0</v>
      </c>
      <c r="D1613" t="b">
        <v>0</v>
      </c>
      <c r="F1613" t="b">
        <v>0</v>
      </c>
      <c r="H1613" t="s">
        <v>37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>
        <v>1</v>
      </c>
      <c r="AB1613">
        <v>0</v>
      </c>
      <c r="AC1613">
        <f>VLOOKUP(A:A,[1]android_repos_all_metrics!B:K,4,FALSE)</f>
        <v>320</v>
      </c>
      <c r="AD1613">
        <f>VLOOKUP(A:A,[1]android_repos_all_metrics!B:K,5,FALSE)</f>
        <v>7</v>
      </c>
      <c r="AE1613">
        <f>VLOOKUP(A:A,[1]android_repos_all_metrics!B:K,6,FALSE)</f>
        <v>5</v>
      </c>
      <c r="AF1613">
        <f>VLOOKUP(A:A,[1]android_repos_all_metrics!B:K,7,FALSE)</f>
        <v>2205</v>
      </c>
      <c r="AG1613">
        <f>VLOOKUP(A:A,[1]android_repos_all_metrics!B:K,8,FALSE)</f>
        <v>6</v>
      </c>
      <c r="AH1613">
        <f>VLOOKUP(A:A,[1]android_repos_all_metrics!B:K,9,FALSE)</f>
        <v>8</v>
      </c>
      <c r="AI1613">
        <f>VLOOKUP(A:A,[1]android_repos_all_metrics!B:K,10,FALSE)</f>
        <v>2</v>
      </c>
    </row>
    <row r="1614" spans="1:35">
      <c r="A1614" t="s">
        <v>1681</v>
      </c>
      <c r="B1614" t="b">
        <v>0</v>
      </c>
      <c r="C1614" t="b">
        <v>0</v>
      </c>
      <c r="D1614" t="b">
        <v>0</v>
      </c>
      <c r="F1614" t="b">
        <v>0</v>
      </c>
      <c r="H1614" t="s">
        <v>37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>
        <v>1</v>
      </c>
      <c r="AB1614">
        <v>0</v>
      </c>
      <c r="AC1614">
        <f>VLOOKUP(A:A,[1]android_repos_all_metrics!B:K,4,FALSE)</f>
        <v>1083</v>
      </c>
      <c r="AD1614">
        <f>VLOOKUP(A:A,[1]android_repos_all_metrics!B:K,5,FALSE)</f>
        <v>13</v>
      </c>
      <c r="AE1614">
        <f>VLOOKUP(A:A,[1]android_repos_all_metrics!B:K,6,FALSE)</f>
        <v>19</v>
      </c>
      <c r="AF1614">
        <f>VLOOKUP(A:A,[1]android_repos_all_metrics!B:K,7,FALSE)</f>
        <v>32731</v>
      </c>
      <c r="AG1614">
        <f>VLOOKUP(A:A,[1]android_repos_all_metrics!B:K,8,FALSE)</f>
        <v>46</v>
      </c>
      <c r="AH1614">
        <f>VLOOKUP(A:A,[1]android_repos_all_metrics!B:K,9,FALSE)</f>
        <v>95</v>
      </c>
      <c r="AI1614">
        <f>VLOOKUP(A:A,[1]android_repos_all_metrics!B:K,10,FALSE)</f>
        <v>19</v>
      </c>
    </row>
    <row r="1615" spans="1:35">
      <c r="A1615" t="s">
        <v>1682</v>
      </c>
      <c r="B1615" t="b">
        <v>1</v>
      </c>
      <c r="C1615" t="b">
        <v>0</v>
      </c>
      <c r="D1615" t="b">
        <v>0</v>
      </c>
      <c r="F1615" t="b">
        <v>0</v>
      </c>
      <c r="H1615" t="s">
        <v>37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>
        <v>3</v>
      </c>
      <c r="AB1615">
        <v>0</v>
      </c>
      <c r="AC1615">
        <f>VLOOKUP(A:A,[1]android_repos_all_metrics!B:K,4,FALSE)</f>
        <v>84662</v>
      </c>
      <c r="AD1615">
        <f>VLOOKUP(A:A,[1]android_repos_all_metrics!B:K,5,FALSE)</f>
        <v>5957</v>
      </c>
      <c r="AE1615">
        <f>VLOOKUP(A:A,[1]android_repos_all_metrics!B:K,6,FALSE)</f>
        <v>248</v>
      </c>
      <c r="AF1615">
        <f>VLOOKUP(A:A,[1]android_repos_all_metrics!B:K,7,FALSE)</f>
        <v>790203</v>
      </c>
      <c r="AG1615">
        <f>VLOOKUP(A:A,[1]android_repos_all_metrics!B:K,8,FALSE)</f>
        <v>943</v>
      </c>
      <c r="AH1615">
        <f>VLOOKUP(A:A,[1]android_repos_all_metrics!B:K,9,FALSE)</f>
        <v>3755</v>
      </c>
      <c r="AI1615">
        <f>VLOOKUP(A:A,[1]android_repos_all_metrics!B:K,10,FALSE)</f>
        <v>2583</v>
      </c>
    </row>
    <row r="1616" spans="1:35">
      <c r="A1616" t="s">
        <v>1683</v>
      </c>
      <c r="B1616" t="b">
        <v>1</v>
      </c>
      <c r="C1616" t="b">
        <v>0</v>
      </c>
      <c r="D1616" t="b">
        <v>0</v>
      </c>
      <c r="F1616" t="b">
        <v>0</v>
      </c>
      <c r="H1616" t="s">
        <v>37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>
        <v>2</v>
      </c>
      <c r="AB1616">
        <v>0</v>
      </c>
      <c r="AC1616">
        <f>VLOOKUP(A:A,[1]android_repos_all_metrics!B:K,4,FALSE)</f>
        <v>746</v>
      </c>
      <c r="AD1616">
        <f>VLOOKUP(A:A,[1]android_repos_all_metrics!B:K,5,FALSE)</f>
        <v>150</v>
      </c>
      <c r="AE1616">
        <f>VLOOKUP(A:A,[1]android_repos_all_metrics!B:K,6,FALSE)</f>
        <v>26</v>
      </c>
      <c r="AF1616">
        <f>VLOOKUP(A:A,[1]android_repos_all_metrics!B:K,7,FALSE)</f>
        <v>11157</v>
      </c>
      <c r="AG1616">
        <f>VLOOKUP(A:A,[1]android_repos_all_metrics!B:K,8,FALSE)</f>
        <v>9</v>
      </c>
      <c r="AH1616">
        <f>VLOOKUP(A:A,[1]android_repos_all_metrics!B:K,9,FALSE)</f>
        <v>60</v>
      </c>
      <c r="AI1616">
        <f>VLOOKUP(A:A,[1]android_repos_all_metrics!B:K,10,FALSE)</f>
        <v>10</v>
      </c>
    </row>
    <row r="1617" spans="1:35">
      <c r="A1617" t="s">
        <v>1684</v>
      </c>
      <c r="B1617" t="b">
        <v>1</v>
      </c>
      <c r="C1617" t="b">
        <v>0</v>
      </c>
      <c r="D1617" t="b">
        <v>0</v>
      </c>
      <c r="F1617" t="b">
        <v>0</v>
      </c>
      <c r="H1617" t="s">
        <v>37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>
        <v>2</v>
      </c>
      <c r="AB1617">
        <v>0</v>
      </c>
      <c r="AC1617">
        <f>VLOOKUP(A:A,[1]android_repos_all_metrics!B:K,4,FALSE)</f>
        <v>6850</v>
      </c>
      <c r="AD1617">
        <f>VLOOKUP(A:A,[1]android_repos_all_metrics!B:K,5,FALSE)</f>
        <v>443</v>
      </c>
      <c r="AE1617">
        <f>VLOOKUP(A:A,[1]android_repos_all_metrics!B:K,6,FALSE)</f>
        <v>32</v>
      </c>
      <c r="AF1617">
        <f>VLOOKUP(A:A,[1]android_repos_all_metrics!B:K,7,FALSE)</f>
        <v>281610</v>
      </c>
      <c r="AG1617">
        <f>VLOOKUP(A:A,[1]android_repos_all_metrics!B:K,8,FALSE)</f>
        <v>80</v>
      </c>
      <c r="AH1617">
        <f>VLOOKUP(A:A,[1]android_repos_all_metrics!B:K,9,FALSE)</f>
        <v>303</v>
      </c>
      <c r="AI1617">
        <f>VLOOKUP(A:A,[1]android_repos_all_metrics!B:K,10,FALSE)</f>
        <v>188</v>
      </c>
    </row>
    <row r="1618" spans="1:35">
      <c r="A1618" t="s">
        <v>1685</v>
      </c>
      <c r="B1618" t="b">
        <v>1</v>
      </c>
      <c r="C1618" t="b">
        <v>0</v>
      </c>
      <c r="D1618" t="b">
        <v>0</v>
      </c>
      <c r="F1618" t="b">
        <v>0</v>
      </c>
      <c r="H1618" t="s">
        <v>37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>
        <v>3</v>
      </c>
      <c r="AB1618">
        <v>0</v>
      </c>
      <c r="AC1618">
        <f>VLOOKUP(A:A,[1]android_repos_all_metrics!B:K,4,FALSE)</f>
        <v>328</v>
      </c>
      <c r="AD1618">
        <f>VLOOKUP(A:A,[1]android_repos_all_metrics!B:K,5,FALSE)</f>
        <v>5</v>
      </c>
      <c r="AE1618">
        <f>VLOOKUP(A:A,[1]android_repos_all_metrics!B:K,6,FALSE)</f>
        <v>7</v>
      </c>
      <c r="AF1618">
        <f>VLOOKUP(A:A,[1]android_repos_all_metrics!B:K,7,FALSE)</f>
        <v>49996</v>
      </c>
      <c r="AG1618">
        <f>VLOOKUP(A:A,[1]android_repos_all_metrics!B:K,8,FALSE)</f>
        <v>7</v>
      </c>
      <c r="AH1618">
        <f>VLOOKUP(A:A,[1]android_repos_all_metrics!B:K,9,FALSE)</f>
        <v>41</v>
      </c>
      <c r="AI1618">
        <f>VLOOKUP(A:A,[1]android_repos_all_metrics!B:K,10,FALSE)</f>
        <v>25</v>
      </c>
    </row>
    <row r="1619" spans="1:35">
      <c r="A1619" t="s">
        <v>1686</v>
      </c>
      <c r="B1619" t="b">
        <v>1</v>
      </c>
      <c r="C1619" t="b">
        <v>0</v>
      </c>
      <c r="D1619" t="b">
        <v>0</v>
      </c>
      <c r="F1619" t="b">
        <v>0</v>
      </c>
      <c r="H1619" t="s">
        <v>43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>
        <v>1</v>
      </c>
      <c r="AB1619">
        <v>0</v>
      </c>
      <c r="AC1619" t="e">
        <f>VLOOKUP(A:A,[1]android_repos_all_metrics!B:K,4,FALSE)</f>
        <v>#N/A</v>
      </c>
      <c r="AD1619" t="e">
        <f>VLOOKUP(A:A,[1]android_repos_all_metrics!B:K,5,FALSE)</f>
        <v>#N/A</v>
      </c>
      <c r="AE1619" t="e">
        <f>VLOOKUP(A:A,[1]android_repos_all_metrics!B:K,6,FALSE)</f>
        <v>#N/A</v>
      </c>
      <c r="AF1619" t="e">
        <f>VLOOKUP(A:A,[1]android_repos_all_metrics!B:K,7,FALSE)</f>
        <v>#N/A</v>
      </c>
      <c r="AG1619" t="e">
        <f>VLOOKUP(A:A,[1]android_repos_all_metrics!B:K,8,FALSE)</f>
        <v>#N/A</v>
      </c>
      <c r="AH1619" t="e">
        <f>VLOOKUP(A:A,[1]android_repos_all_metrics!B:K,9,FALSE)</f>
        <v>#N/A</v>
      </c>
      <c r="AI1619" t="e">
        <f>VLOOKUP(A:A,[1]android_repos_all_metrics!B:K,10,FALSE)</f>
        <v>#N/A</v>
      </c>
    </row>
    <row r="1620" spans="1:35">
      <c r="A1620" t="s">
        <v>1687</v>
      </c>
      <c r="B1620" t="b">
        <v>1</v>
      </c>
      <c r="C1620" t="b">
        <v>0</v>
      </c>
      <c r="D1620" t="b">
        <v>0</v>
      </c>
      <c r="F1620" t="b">
        <v>0</v>
      </c>
      <c r="H1620" t="s">
        <v>37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>
        <v>2</v>
      </c>
      <c r="AB1620">
        <v>0</v>
      </c>
      <c r="AC1620">
        <f>VLOOKUP(A:A,[1]android_repos_all_metrics!B:K,4,FALSE)</f>
        <v>873</v>
      </c>
      <c r="AD1620">
        <f>VLOOKUP(A:A,[1]android_repos_all_metrics!B:K,5,FALSE)</f>
        <v>135</v>
      </c>
      <c r="AE1620">
        <f>VLOOKUP(A:A,[1]android_repos_all_metrics!B:K,6,FALSE)</f>
        <v>14</v>
      </c>
      <c r="AF1620">
        <f>VLOOKUP(A:A,[1]android_repos_all_metrics!B:K,7,FALSE)</f>
        <v>19051</v>
      </c>
      <c r="AG1620">
        <f>VLOOKUP(A:A,[1]android_repos_all_metrics!B:K,8,FALSE)</f>
        <v>65</v>
      </c>
      <c r="AH1620">
        <f>VLOOKUP(A:A,[1]android_repos_all_metrics!B:K,9,FALSE)</f>
        <v>395</v>
      </c>
      <c r="AI1620">
        <f>VLOOKUP(A:A,[1]android_repos_all_metrics!B:K,10,FALSE)</f>
        <v>38</v>
      </c>
    </row>
    <row r="1621" spans="1:35">
      <c r="A1621" t="s">
        <v>1688</v>
      </c>
      <c r="B1621" t="b">
        <v>1</v>
      </c>
      <c r="C1621" t="b">
        <v>0</v>
      </c>
      <c r="D1621" t="b">
        <v>0</v>
      </c>
      <c r="F1621" t="b">
        <v>0</v>
      </c>
      <c r="H1621" t="s">
        <v>41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>
        <v>1</v>
      </c>
      <c r="AB1621">
        <v>0</v>
      </c>
      <c r="AC1621">
        <f>VLOOKUP(A:A,[1]android_repos_all_metrics!B:K,4,FALSE)</f>
        <v>77</v>
      </c>
      <c r="AD1621">
        <f>VLOOKUP(A:A,[1]android_repos_all_metrics!B:K,5,FALSE)</f>
        <v>0</v>
      </c>
      <c r="AE1621">
        <f>VLOOKUP(A:A,[1]android_repos_all_metrics!B:K,6,FALSE)</f>
        <v>1</v>
      </c>
      <c r="AF1621">
        <f>VLOOKUP(A:A,[1]android_repos_all_metrics!B:K,7,FALSE)</f>
        <v>33271</v>
      </c>
      <c r="AG1621">
        <f>VLOOKUP(A:A,[1]android_repos_all_metrics!B:K,8,FALSE)</f>
        <v>1</v>
      </c>
      <c r="AH1621">
        <f>VLOOKUP(A:A,[1]android_repos_all_metrics!B:K,9,FALSE)</f>
        <v>8</v>
      </c>
      <c r="AI1621">
        <f>VLOOKUP(A:A,[1]android_repos_all_metrics!B:K,10,FALSE)</f>
        <v>1</v>
      </c>
    </row>
    <row r="1622" spans="1:35">
      <c r="A1622" t="s">
        <v>1689</v>
      </c>
      <c r="B1622" t="b">
        <v>1</v>
      </c>
      <c r="C1622" t="b">
        <v>1</v>
      </c>
      <c r="D1622" t="b">
        <v>1</v>
      </c>
      <c r="E1622" t="s">
        <v>36</v>
      </c>
      <c r="F1622" t="b">
        <v>0</v>
      </c>
      <c r="H1622" t="s">
        <v>37</v>
      </c>
      <c r="I1622" t="s">
        <v>37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>
        <v>1</v>
      </c>
      <c r="AA1622">
        <v>6</v>
      </c>
      <c r="AB1622">
        <v>0</v>
      </c>
      <c r="AC1622">
        <f>VLOOKUP(A:A,[1]android_repos_all_metrics!B:K,4,FALSE)</f>
        <v>252</v>
      </c>
      <c r="AD1622">
        <f>VLOOKUP(A:A,[1]android_repos_all_metrics!B:K,5,FALSE)</f>
        <v>56</v>
      </c>
      <c r="AE1622">
        <f>VLOOKUP(A:A,[1]android_repos_all_metrics!B:K,6,FALSE)</f>
        <v>14</v>
      </c>
      <c r="AF1622">
        <f>VLOOKUP(A:A,[1]android_repos_all_metrics!B:K,7,FALSE)</f>
        <v>25172</v>
      </c>
      <c r="AG1622">
        <f>VLOOKUP(A:A,[1]android_repos_all_metrics!B:K,8,FALSE)</f>
        <v>0</v>
      </c>
      <c r="AH1622">
        <f>VLOOKUP(A:A,[1]android_repos_all_metrics!B:K,9,FALSE)</f>
        <v>5</v>
      </c>
      <c r="AI1622">
        <f>VLOOKUP(A:A,[1]android_repos_all_metrics!B:K,10,FALSE)</f>
        <v>6</v>
      </c>
    </row>
    <row r="1623" spans="1:35">
      <c r="A1623" t="s">
        <v>1690</v>
      </c>
      <c r="B1623" t="b">
        <v>0</v>
      </c>
      <c r="C1623" t="b">
        <v>0</v>
      </c>
      <c r="D1623" t="b">
        <v>0</v>
      </c>
      <c r="F1623" t="b">
        <v>0</v>
      </c>
      <c r="H1623" t="s">
        <v>41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>
        <v>1</v>
      </c>
      <c r="AB1623">
        <v>0</v>
      </c>
      <c r="AC1623">
        <f>VLOOKUP(A:A,[1]android_repos_all_metrics!B:K,4,FALSE)</f>
        <v>19</v>
      </c>
      <c r="AD1623">
        <f>VLOOKUP(A:A,[1]android_repos_all_metrics!B:K,5,FALSE)</f>
        <v>9</v>
      </c>
      <c r="AE1623">
        <f>VLOOKUP(A:A,[1]android_repos_all_metrics!B:K,6,FALSE)</f>
        <v>1</v>
      </c>
      <c r="AF1623">
        <f>VLOOKUP(A:A,[1]android_repos_all_metrics!B:K,7,FALSE)</f>
        <v>2521</v>
      </c>
      <c r="AG1623">
        <f>VLOOKUP(A:A,[1]android_repos_all_metrics!B:K,8,FALSE)</f>
        <v>83</v>
      </c>
      <c r="AH1623">
        <f>VLOOKUP(A:A,[1]android_repos_all_metrics!B:K,9,FALSE)</f>
        <v>288</v>
      </c>
      <c r="AI1623">
        <f>VLOOKUP(A:A,[1]android_repos_all_metrics!B:K,10,FALSE)</f>
        <v>35</v>
      </c>
    </row>
    <row r="1624" spans="1:35">
      <c r="A1624" t="s">
        <v>1691</v>
      </c>
      <c r="B1624" t="b">
        <v>1</v>
      </c>
      <c r="C1624" t="b">
        <v>0</v>
      </c>
      <c r="D1624" t="b">
        <v>0</v>
      </c>
      <c r="F1624" t="b">
        <v>0</v>
      </c>
      <c r="H1624" t="s">
        <v>37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>
        <v>2</v>
      </c>
      <c r="AB1624">
        <v>0</v>
      </c>
      <c r="AC1624">
        <f>VLOOKUP(A:A,[1]android_repos_all_metrics!B:K,4,FALSE)</f>
        <v>292</v>
      </c>
      <c r="AD1624">
        <f>VLOOKUP(A:A,[1]android_repos_all_metrics!B:K,5,FALSE)</f>
        <v>7</v>
      </c>
      <c r="AE1624">
        <f>VLOOKUP(A:A,[1]android_repos_all_metrics!B:K,6,FALSE)</f>
        <v>22</v>
      </c>
      <c r="AF1624">
        <f>VLOOKUP(A:A,[1]android_repos_all_metrics!B:K,7,FALSE)</f>
        <v>24628</v>
      </c>
      <c r="AG1624">
        <f>VLOOKUP(A:A,[1]android_repos_all_metrics!B:K,8,FALSE)</f>
        <v>20</v>
      </c>
      <c r="AH1624">
        <f>VLOOKUP(A:A,[1]android_repos_all_metrics!B:K,9,FALSE)</f>
        <v>203</v>
      </c>
      <c r="AI1624">
        <f>VLOOKUP(A:A,[1]android_repos_all_metrics!B:K,10,FALSE)</f>
        <v>50</v>
      </c>
    </row>
    <row r="1625" spans="1:35">
      <c r="A1625" t="s">
        <v>1692</v>
      </c>
      <c r="B1625" t="b">
        <v>1</v>
      </c>
      <c r="C1625" t="b">
        <v>0</v>
      </c>
      <c r="D1625" t="b">
        <v>0</v>
      </c>
      <c r="F1625" t="b">
        <v>0</v>
      </c>
      <c r="H1625" t="s">
        <v>43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>
        <v>1</v>
      </c>
      <c r="AB1625">
        <v>0</v>
      </c>
      <c r="AC1625">
        <f>VLOOKUP(A:A,[1]android_repos_all_metrics!B:K,4,FALSE)</f>
        <v>229</v>
      </c>
      <c r="AD1625">
        <f>VLOOKUP(A:A,[1]android_repos_all_metrics!B:K,5,FALSE)</f>
        <v>84</v>
      </c>
      <c r="AE1625">
        <f>VLOOKUP(A:A,[1]android_repos_all_metrics!B:K,6,FALSE)</f>
        <v>4</v>
      </c>
      <c r="AF1625">
        <f>VLOOKUP(A:A,[1]android_repos_all_metrics!B:K,7,FALSE)</f>
        <v>57262</v>
      </c>
      <c r="AG1625">
        <f>VLOOKUP(A:A,[1]android_repos_all_metrics!B:K,8,FALSE)</f>
        <v>15</v>
      </c>
      <c r="AH1625">
        <f>VLOOKUP(A:A,[1]android_repos_all_metrics!B:K,9,FALSE)</f>
        <v>19</v>
      </c>
      <c r="AI1625">
        <f>VLOOKUP(A:A,[1]android_repos_all_metrics!B:K,10,FALSE)</f>
        <v>36</v>
      </c>
    </row>
    <row r="1626" spans="1:35">
      <c r="A1626" t="s">
        <v>1693</v>
      </c>
      <c r="B1626" t="b">
        <v>1</v>
      </c>
      <c r="C1626" t="b">
        <v>0</v>
      </c>
      <c r="D1626" t="b">
        <v>0</v>
      </c>
      <c r="F1626" t="b">
        <v>0</v>
      </c>
      <c r="H1626" t="s">
        <v>37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>
        <v>2</v>
      </c>
      <c r="AB1626">
        <v>0</v>
      </c>
      <c r="AC1626">
        <f>VLOOKUP(A:A,[1]android_repos_all_metrics!B:K,4,FALSE)</f>
        <v>416</v>
      </c>
      <c r="AD1626">
        <f>VLOOKUP(A:A,[1]android_repos_all_metrics!B:K,5,FALSE)</f>
        <v>204</v>
      </c>
      <c r="AE1626">
        <f>VLOOKUP(A:A,[1]android_repos_all_metrics!B:K,6,FALSE)</f>
        <v>4</v>
      </c>
      <c r="AF1626">
        <f>VLOOKUP(A:A,[1]android_repos_all_metrics!B:K,7,FALSE)</f>
        <v>5342</v>
      </c>
      <c r="AG1626">
        <f>VLOOKUP(A:A,[1]android_repos_all_metrics!B:K,8,FALSE)</f>
        <v>3</v>
      </c>
      <c r="AH1626">
        <f>VLOOKUP(A:A,[1]android_repos_all_metrics!B:K,9,FALSE)</f>
        <v>22</v>
      </c>
      <c r="AI1626">
        <f>VLOOKUP(A:A,[1]android_repos_all_metrics!B:K,10,FALSE)</f>
        <v>1</v>
      </c>
    </row>
    <row r="1627" spans="1:35">
      <c r="A1627" t="s">
        <v>1694</v>
      </c>
      <c r="B1627" t="b">
        <v>1</v>
      </c>
      <c r="C1627" t="b">
        <v>0</v>
      </c>
      <c r="D1627" t="b">
        <v>0</v>
      </c>
      <c r="F1627" t="b">
        <v>0</v>
      </c>
      <c r="H1627" t="s">
        <v>37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>
        <v>1</v>
      </c>
      <c r="AB1627">
        <v>0</v>
      </c>
      <c r="AC1627">
        <f>VLOOKUP(A:A,[1]android_repos_all_metrics!B:K,4,FALSE)</f>
        <v>877</v>
      </c>
      <c r="AD1627">
        <f>VLOOKUP(A:A,[1]android_repos_all_metrics!B:K,5,FALSE)</f>
        <v>170</v>
      </c>
      <c r="AE1627">
        <f>VLOOKUP(A:A,[1]android_repos_all_metrics!B:K,6,FALSE)</f>
        <v>41</v>
      </c>
      <c r="AF1627">
        <f>VLOOKUP(A:A,[1]android_repos_all_metrics!B:K,7,FALSE)</f>
        <v>10005</v>
      </c>
      <c r="AG1627">
        <f>VLOOKUP(A:A,[1]android_repos_all_metrics!B:K,8,FALSE)</f>
        <v>79</v>
      </c>
      <c r="AH1627">
        <f>VLOOKUP(A:A,[1]android_repos_all_metrics!B:K,9,FALSE)</f>
        <v>332</v>
      </c>
      <c r="AI1627">
        <f>VLOOKUP(A:A,[1]android_repos_all_metrics!B:K,10,FALSE)</f>
        <v>1</v>
      </c>
    </row>
    <row r="1628" spans="1:35">
      <c r="A1628" t="s">
        <v>1695</v>
      </c>
      <c r="B1628" t="b">
        <v>1</v>
      </c>
      <c r="C1628" t="b">
        <v>0</v>
      </c>
      <c r="D1628" t="b">
        <v>0</v>
      </c>
      <c r="F1628" t="b">
        <v>0</v>
      </c>
      <c r="H1628" t="s">
        <v>37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>
        <v>1</v>
      </c>
      <c r="AB1628">
        <v>0</v>
      </c>
      <c r="AC1628">
        <f>VLOOKUP(A:A,[1]android_repos_all_metrics!B:K,4,FALSE)</f>
        <v>473</v>
      </c>
      <c r="AD1628">
        <f>VLOOKUP(A:A,[1]android_repos_all_metrics!B:K,5,FALSE)</f>
        <v>14</v>
      </c>
      <c r="AE1628">
        <f>VLOOKUP(A:A,[1]android_repos_all_metrics!B:K,6,FALSE)</f>
        <v>8</v>
      </c>
      <c r="AF1628">
        <f>VLOOKUP(A:A,[1]android_repos_all_metrics!B:K,7,FALSE)</f>
        <v>58392</v>
      </c>
      <c r="AG1628">
        <f>VLOOKUP(A:A,[1]android_repos_all_metrics!B:K,8,FALSE)</f>
        <v>47</v>
      </c>
      <c r="AH1628">
        <f>VLOOKUP(A:A,[1]android_repos_all_metrics!B:K,9,FALSE)</f>
        <v>307</v>
      </c>
      <c r="AI1628">
        <f>VLOOKUP(A:A,[1]android_repos_all_metrics!B:K,10,FALSE)</f>
        <v>33</v>
      </c>
    </row>
    <row r="1629" spans="1:35">
      <c r="A1629" t="s">
        <v>1696</v>
      </c>
      <c r="B1629" t="b">
        <v>1</v>
      </c>
      <c r="C1629" t="b">
        <v>0</v>
      </c>
      <c r="D1629" t="b">
        <v>0</v>
      </c>
      <c r="F1629" t="b">
        <v>0</v>
      </c>
      <c r="H1629" t="s">
        <v>41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>
        <v>1</v>
      </c>
      <c r="AB1629">
        <v>0</v>
      </c>
      <c r="AC1629">
        <f>VLOOKUP(A:A,[1]android_repos_all_metrics!B:K,4,FALSE)</f>
        <v>902</v>
      </c>
      <c r="AD1629">
        <f>VLOOKUP(A:A,[1]android_repos_all_metrics!B:K,5,FALSE)</f>
        <v>5</v>
      </c>
      <c r="AE1629">
        <f>VLOOKUP(A:A,[1]android_repos_all_metrics!B:K,6,FALSE)</f>
        <v>5</v>
      </c>
      <c r="AF1629">
        <f>VLOOKUP(A:A,[1]android_repos_all_metrics!B:K,7,FALSE)</f>
        <v>79645</v>
      </c>
      <c r="AG1629">
        <f>VLOOKUP(A:A,[1]android_repos_all_metrics!B:K,8,FALSE)</f>
        <v>11</v>
      </c>
      <c r="AH1629">
        <f>VLOOKUP(A:A,[1]android_repos_all_metrics!B:K,9,FALSE)</f>
        <v>13</v>
      </c>
      <c r="AI1629">
        <f>VLOOKUP(A:A,[1]android_repos_all_metrics!B:K,10,FALSE)</f>
        <v>20</v>
      </c>
    </row>
    <row r="1630" spans="1:35">
      <c r="A1630" t="s">
        <v>1697</v>
      </c>
      <c r="B1630" t="b">
        <v>0</v>
      </c>
      <c r="C1630" t="b">
        <v>0</v>
      </c>
      <c r="D1630" t="b">
        <v>0</v>
      </c>
      <c r="F1630" t="b">
        <v>0</v>
      </c>
      <c r="H1630" t="s">
        <v>37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>
        <v>2</v>
      </c>
      <c r="AB1630">
        <v>0</v>
      </c>
      <c r="AC1630">
        <f>VLOOKUP(A:A,[1]android_repos_all_metrics!B:K,4,FALSE)</f>
        <v>37</v>
      </c>
      <c r="AD1630">
        <f>VLOOKUP(A:A,[1]android_repos_all_metrics!B:K,5,FALSE)</f>
        <v>18</v>
      </c>
      <c r="AE1630">
        <f>VLOOKUP(A:A,[1]android_repos_all_metrics!B:K,6,FALSE)</f>
        <v>1</v>
      </c>
      <c r="AF1630">
        <f>VLOOKUP(A:A,[1]android_repos_all_metrics!B:K,7,FALSE)</f>
        <v>524</v>
      </c>
      <c r="AG1630">
        <f>VLOOKUP(A:A,[1]android_repos_all_metrics!B:K,8,FALSE)</f>
        <v>0</v>
      </c>
      <c r="AH1630">
        <f>VLOOKUP(A:A,[1]android_repos_all_metrics!B:K,9,FALSE)</f>
        <v>7</v>
      </c>
      <c r="AI1630">
        <f>VLOOKUP(A:A,[1]android_repos_all_metrics!B:K,10,FALSE)</f>
        <v>0</v>
      </c>
    </row>
    <row r="1631" spans="1:35">
      <c r="A1631" t="s">
        <v>1698</v>
      </c>
      <c r="B1631" t="b">
        <v>1</v>
      </c>
      <c r="C1631" t="b">
        <v>0</v>
      </c>
      <c r="D1631" t="b">
        <v>0</v>
      </c>
      <c r="F1631" t="b">
        <v>0</v>
      </c>
      <c r="H1631" t="s">
        <v>37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>
        <v>1</v>
      </c>
      <c r="AB1631">
        <v>0</v>
      </c>
      <c r="AC1631">
        <f>VLOOKUP(A:A,[1]android_repos_all_metrics!B:K,4,FALSE)</f>
        <v>57</v>
      </c>
      <c r="AD1631">
        <f>VLOOKUP(A:A,[1]android_repos_all_metrics!B:K,5,FALSE)</f>
        <v>6</v>
      </c>
      <c r="AE1631">
        <f>VLOOKUP(A:A,[1]android_repos_all_metrics!B:K,6,FALSE)</f>
        <v>3</v>
      </c>
      <c r="AF1631">
        <f>VLOOKUP(A:A,[1]android_repos_all_metrics!B:K,7,FALSE)</f>
        <v>495</v>
      </c>
      <c r="AG1631">
        <f>VLOOKUP(A:A,[1]android_repos_all_metrics!B:K,8,FALSE)</f>
        <v>9</v>
      </c>
      <c r="AH1631">
        <f>VLOOKUP(A:A,[1]android_repos_all_metrics!B:K,9,FALSE)</f>
        <v>22</v>
      </c>
      <c r="AI1631">
        <f>VLOOKUP(A:A,[1]android_repos_all_metrics!B:K,10,FALSE)</f>
        <v>0</v>
      </c>
    </row>
    <row r="1632" spans="1:35">
      <c r="A1632" t="s">
        <v>1699</v>
      </c>
      <c r="B1632" t="b">
        <v>0</v>
      </c>
      <c r="C1632" t="b">
        <v>0</v>
      </c>
      <c r="D1632" t="b">
        <v>0</v>
      </c>
      <c r="F1632" t="b">
        <v>0</v>
      </c>
      <c r="H1632" t="s">
        <v>41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>
        <v>1</v>
      </c>
      <c r="AB1632">
        <v>0</v>
      </c>
      <c r="AC1632">
        <f>VLOOKUP(A:A,[1]android_repos_all_metrics!B:K,4,FALSE)</f>
        <v>20</v>
      </c>
      <c r="AD1632">
        <f>VLOOKUP(A:A,[1]android_repos_all_metrics!B:K,5,FALSE)</f>
        <v>19</v>
      </c>
      <c r="AE1632">
        <f>VLOOKUP(A:A,[1]android_repos_all_metrics!B:K,6,FALSE)</f>
        <v>2</v>
      </c>
      <c r="AF1632">
        <f>VLOOKUP(A:A,[1]android_repos_all_metrics!B:K,7,FALSE)</f>
        <v>14792</v>
      </c>
      <c r="AG1632">
        <f>VLOOKUP(A:A,[1]android_repos_all_metrics!B:K,8,FALSE)</f>
        <v>42</v>
      </c>
      <c r="AH1632">
        <f>VLOOKUP(A:A,[1]android_repos_all_metrics!B:K,9,FALSE)</f>
        <v>258</v>
      </c>
      <c r="AI1632">
        <f>VLOOKUP(A:A,[1]android_repos_all_metrics!B:K,10,FALSE)</f>
        <v>14</v>
      </c>
    </row>
    <row r="1633" spans="1:35">
      <c r="A1633" t="s">
        <v>1700</v>
      </c>
      <c r="B1633" t="b">
        <v>1</v>
      </c>
      <c r="C1633" t="b">
        <v>0</v>
      </c>
      <c r="D1633" t="b">
        <v>0</v>
      </c>
      <c r="F1633" t="b">
        <v>0</v>
      </c>
      <c r="H1633" t="s">
        <v>37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>
        <v>2</v>
      </c>
      <c r="AB1633">
        <v>0</v>
      </c>
      <c r="AC1633">
        <f>VLOOKUP(A:A,[1]android_repos_all_metrics!B:K,4,FALSE)</f>
        <v>4057</v>
      </c>
      <c r="AD1633">
        <f>VLOOKUP(A:A,[1]android_repos_all_metrics!B:K,5,FALSE)</f>
        <v>1221</v>
      </c>
      <c r="AE1633">
        <f>VLOOKUP(A:A,[1]android_repos_all_metrics!B:K,6,FALSE)</f>
        <v>78</v>
      </c>
      <c r="AF1633">
        <f>VLOOKUP(A:A,[1]android_repos_all_metrics!B:K,7,FALSE)</f>
        <v>43124</v>
      </c>
      <c r="AG1633">
        <f>VLOOKUP(A:A,[1]android_repos_all_metrics!B:K,8,FALSE)</f>
        <v>263</v>
      </c>
      <c r="AH1633">
        <f>VLOOKUP(A:A,[1]android_repos_all_metrics!B:K,9,FALSE)</f>
        <v>279</v>
      </c>
      <c r="AI1633">
        <f>VLOOKUP(A:A,[1]android_repos_all_metrics!B:K,10,FALSE)</f>
        <v>61</v>
      </c>
    </row>
    <row r="1634" spans="1:35">
      <c r="A1634" t="s">
        <v>1701</v>
      </c>
      <c r="B1634" t="b">
        <v>0</v>
      </c>
      <c r="C1634" t="b">
        <v>0</v>
      </c>
      <c r="D1634" t="b">
        <v>0</v>
      </c>
      <c r="F1634" t="b">
        <v>0</v>
      </c>
      <c r="H1634" t="s">
        <v>37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>
        <v>1</v>
      </c>
      <c r="AB1634">
        <v>0</v>
      </c>
      <c r="AC1634">
        <f>VLOOKUP(A:A,[1]android_repos_all_metrics!B:K,4,FALSE)</f>
        <v>0</v>
      </c>
      <c r="AD1634">
        <f>VLOOKUP(A:A,[1]android_repos_all_metrics!B:K,5,FALSE)</f>
        <v>0</v>
      </c>
      <c r="AE1634">
        <f>VLOOKUP(A:A,[1]android_repos_all_metrics!B:K,6,FALSE)</f>
        <v>0</v>
      </c>
      <c r="AF1634">
        <f>VLOOKUP(A:A,[1]android_repos_all_metrics!B:K,7,FALSE)</f>
        <v>10919</v>
      </c>
      <c r="AG1634">
        <f>VLOOKUP(A:A,[1]android_repos_all_metrics!B:K,8,FALSE)</f>
        <v>42</v>
      </c>
      <c r="AH1634">
        <f>VLOOKUP(A:A,[1]android_repos_all_metrics!B:K,9,FALSE)</f>
        <v>307</v>
      </c>
      <c r="AI1634">
        <f>VLOOKUP(A:A,[1]android_repos_all_metrics!B:K,10,FALSE)</f>
        <v>39</v>
      </c>
    </row>
    <row r="1635" spans="1:35">
      <c r="A1635" t="s">
        <v>1702</v>
      </c>
      <c r="B1635" t="b">
        <v>1</v>
      </c>
      <c r="C1635" t="b">
        <v>0</v>
      </c>
      <c r="D1635" t="b">
        <v>0</v>
      </c>
      <c r="F1635" t="b">
        <v>0</v>
      </c>
      <c r="H1635" t="s">
        <v>37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>
        <v>3</v>
      </c>
      <c r="AB1635">
        <v>0</v>
      </c>
      <c r="AC1635">
        <f>VLOOKUP(A:A,[1]android_repos_all_metrics!B:K,4,FALSE)</f>
        <v>656</v>
      </c>
      <c r="AD1635">
        <f>VLOOKUP(A:A,[1]android_repos_all_metrics!B:K,5,FALSE)</f>
        <v>257</v>
      </c>
      <c r="AE1635">
        <f>VLOOKUP(A:A,[1]android_repos_all_metrics!B:K,6,FALSE)</f>
        <v>2</v>
      </c>
      <c r="AF1635">
        <f>VLOOKUP(A:A,[1]android_repos_all_metrics!B:K,7,FALSE)</f>
        <v>3749</v>
      </c>
      <c r="AG1635">
        <f>VLOOKUP(A:A,[1]android_repos_all_metrics!B:K,8,FALSE)</f>
        <v>0</v>
      </c>
      <c r="AH1635">
        <f>VLOOKUP(A:A,[1]android_repos_all_metrics!B:K,9,FALSE)</f>
        <v>4</v>
      </c>
      <c r="AI1635">
        <f>VLOOKUP(A:A,[1]android_repos_all_metrics!B:K,10,FALSE)</f>
        <v>10</v>
      </c>
    </row>
    <row r="1636" spans="1:35">
      <c r="A1636" t="s">
        <v>1703</v>
      </c>
      <c r="B1636" t="b">
        <v>1</v>
      </c>
      <c r="C1636" t="b">
        <v>1</v>
      </c>
      <c r="D1636" t="b">
        <v>1</v>
      </c>
      <c r="E1636" t="s">
        <v>36</v>
      </c>
      <c r="F1636" t="b">
        <v>0</v>
      </c>
      <c r="H1636" t="s">
        <v>37</v>
      </c>
      <c r="I1636" t="s">
        <v>37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>
        <v>2</v>
      </c>
      <c r="AB1636">
        <v>0</v>
      </c>
      <c r="AC1636">
        <f>VLOOKUP(A:A,[1]android_repos_all_metrics!B:K,4,FALSE)</f>
        <v>39</v>
      </c>
      <c r="AD1636">
        <f>VLOOKUP(A:A,[1]android_repos_all_metrics!B:K,5,FALSE)</f>
        <v>16</v>
      </c>
      <c r="AE1636">
        <f>VLOOKUP(A:A,[1]android_repos_all_metrics!B:K,6,FALSE)</f>
        <v>2</v>
      </c>
      <c r="AF1636">
        <f>VLOOKUP(A:A,[1]android_repos_all_metrics!B:K,7,FALSE)</f>
        <v>370</v>
      </c>
      <c r="AG1636">
        <f>VLOOKUP(A:A,[1]android_repos_all_metrics!B:K,8,FALSE)</f>
        <v>0</v>
      </c>
      <c r="AH1636">
        <f>VLOOKUP(A:A,[1]android_repos_all_metrics!B:K,9,FALSE)</f>
        <v>3</v>
      </c>
      <c r="AI1636">
        <f>VLOOKUP(A:A,[1]android_repos_all_metrics!B:K,10,FALSE)</f>
        <v>0</v>
      </c>
    </row>
    <row r="1637" spans="1:35">
      <c r="A1637" t="s">
        <v>1704</v>
      </c>
      <c r="B1637" t="b">
        <v>1</v>
      </c>
      <c r="C1637" t="b">
        <v>0</v>
      </c>
      <c r="D1637" t="b">
        <v>0</v>
      </c>
      <c r="F1637" t="b">
        <v>0</v>
      </c>
      <c r="H1637" t="s">
        <v>37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>
        <v>1</v>
      </c>
      <c r="AB1637">
        <v>0</v>
      </c>
      <c r="AC1637">
        <f>VLOOKUP(A:A,[1]android_repos_all_metrics!B:K,4,FALSE)</f>
        <v>380</v>
      </c>
      <c r="AD1637">
        <f>VLOOKUP(A:A,[1]android_repos_all_metrics!B:K,5,FALSE)</f>
        <v>28</v>
      </c>
      <c r="AE1637">
        <f>VLOOKUP(A:A,[1]android_repos_all_metrics!B:K,6,FALSE)</f>
        <v>7</v>
      </c>
      <c r="AF1637">
        <f>VLOOKUP(A:A,[1]android_repos_all_metrics!B:K,7,FALSE)</f>
        <v>982</v>
      </c>
      <c r="AG1637">
        <f>VLOOKUP(A:A,[1]android_repos_all_metrics!B:K,8,FALSE)</f>
        <v>6</v>
      </c>
      <c r="AH1637">
        <f>VLOOKUP(A:A,[1]android_repos_all_metrics!B:K,9,FALSE)</f>
        <v>6</v>
      </c>
      <c r="AI1637">
        <f>VLOOKUP(A:A,[1]android_repos_all_metrics!B:K,10,FALSE)</f>
        <v>5</v>
      </c>
    </row>
    <row r="1638" spans="1:35">
      <c r="A1638" t="s">
        <v>1705</v>
      </c>
      <c r="B1638" t="b">
        <v>1</v>
      </c>
      <c r="C1638" t="b">
        <v>0</v>
      </c>
      <c r="D1638" t="b">
        <v>0</v>
      </c>
      <c r="F1638" t="b">
        <v>0</v>
      </c>
      <c r="H1638" t="s">
        <v>37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>
        <v>2</v>
      </c>
      <c r="AB1638">
        <v>0</v>
      </c>
      <c r="AC1638">
        <f>VLOOKUP(A:A,[1]android_repos_all_metrics!B:K,4,FALSE)</f>
        <v>145</v>
      </c>
      <c r="AD1638">
        <f>VLOOKUP(A:A,[1]android_repos_all_metrics!B:K,5,FALSE)</f>
        <v>8</v>
      </c>
      <c r="AE1638">
        <f>VLOOKUP(A:A,[1]android_repos_all_metrics!B:K,6,FALSE)</f>
        <v>1</v>
      </c>
      <c r="AF1638">
        <f>VLOOKUP(A:A,[1]android_repos_all_metrics!B:K,7,FALSE)</f>
        <v>15085</v>
      </c>
      <c r="AG1638">
        <f>VLOOKUP(A:A,[1]android_repos_all_metrics!B:K,8,FALSE)</f>
        <v>5</v>
      </c>
      <c r="AH1638">
        <f>VLOOKUP(A:A,[1]android_repos_all_metrics!B:K,9,FALSE)</f>
        <v>6</v>
      </c>
      <c r="AI1638">
        <f>VLOOKUP(A:A,[1]android_repos_all_metrics!B:K,10,FALSE)</f>
        <v>2</v>
      </c>
    </row>
    <row r="1639" spans="1:35">
      <c r="A1639" t="s">
        <v>1706</v>
      </c>
      <c r="B1639" t="b">
        <v>1</v>
      </c>
      <c r="C1639" t="b">
        <v>0</v>
      </c>
      <c r="D1639" t="b">
        <v>0</v>
      </c>
      <c r="F1639" t="b">
        <v>0</v>
      </c>
      <c r="H1639" t="s">
        <v>37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>
        <v>1</v>
      </c>
      <c r="AB1639">
        <v>0</v>
      </c>
      <c r="AC1639">
        <f>VLOOKUP(A:A,[1]android_repos_all_metrics!B:K,4,FALSE)</f>
        <v>141</v>
      </c>
      <c r="AD1639">
        <f>VLOOKUP(A:A,[1]android_repos_all_metrics!B:K,5,FALSE)</f>
        <v>28</v>
      </c>
      <c r="AE1639">
        <f>VLOOKUP(A:A,[1]android_repos_all_metrics!B:K,6,FALSE)</f>
        <v>5</v>
      </c>
      <c r="AF1639">
        <f>VLOOKUP(A:A,[1]android_repos_all_metrics!B:K,7,FALSE)</f>
        <v>3443</v>
      </c>
      <c r="AG1639">
        <f>VLOOKUP(A:A,[1]android_repos_all_metrics!B:K,8,FALSE)</f>
        <v>3</v>
      </c>
      <c r="AH1639">
        <f>VLOOKUP(A:A,[1]android_repos_all_metrics!B:K,9,FALSE)</f>
        <v>2</v>
      </c>
      <c r="AI1639">
        <f>VLOOKUP(A:A,[1]android_repos_all_metrics!B:K,10,FALSE)</f>
        <v>2</v>
      </c>
    </row>
    <row r="1640" spans="1:35">
      <c r="A1640" t="s">
        <v>1707</v>
      </c>
      <c r="B1640" t="b">
        <v>1</v>
      </c>
      <c r="C1640" t="b">
        <v>1</v>
      </c>
      <c r="D1640" t="b">
        <v>0</v>
      </c>
      <c r="F1640" t="b">
        <v>1</v>
      </c>
      <c r="G1640" t="s">
        <v>39</v>
      </c>
      <c r="H1640" t="s">
        <v>41</v>
      </c>
      <c r="I1640" t="s">
        <v>41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>
        <v>1</v>
      </c>
      <c r="AB1640">
        <v>0</v>
      </c>
      <c r="AC1640">
        <f>VLOOKUP(A:A,[1]android_repos_all_metrics!B:K,4,FALSE)</f>
        <v>222</v>
      </c>
      <c r="AD1640">
        <f>VLOOKUP(A:A,[1]android_repos_all_metrics!B:K,5,FALSE)</f>
        <v>50</v>
      </c>
      <c r="AE1640">
        <f>VLOOKUP(A:A,[1]android_repos_all_metrics!B:K,6,FALSE)</f>
        <v>18</v>
      </c>
      <c r="AF1640">
        <f>VLOOKUP(A:A,[1]android_repos_all_metrics!B:K,7,FALSE)</f>
        <v>386</v>
      </c>
      <c r="AG1640">
        <f>VLOOKUP(A:A,[1]android_repos_all_metrics!B:K,8,FALSE)</f>
        <v>234</v>
      </c>
      <c r="AH1640">
        <f>VLOOKUP(A:A,[1]android_repos_all_metrics!B:K,9,FALSE)</f>
        <v>2321</v>
      </c>
      <c r="AI1640">
        <f>VLOOKUP(A:A,[1]android_repos_all_metrics!B:K,10,FALSE)</f>
        <v>16</v>
      </c>
    </row>
    <row r="1641" spans="1:35">
      <c r="A1641" t="s">
        <v>1708</v>
      </c>
      <c r="B1641" t="b">
        <v>1</v>
      </c>
      <c r="C1641" t="b">
        <v>0</v>
      </c>
      <c r="D1641" t="b">
        <v>0</v>
      </c>
      <c r="F1641" t="b">
        <v>0</v>
      </c>
      <c r="H1641" t="s">
        <v>37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>
        <v>1</v>
      </c>
      <c r="AB1641">
        <v>0</v>
      </c>
      <c r="AC1641">
        <f>VLOOKUP(A:A,[1]android_repos_all_metrics!B:K,4,FALSE)</f>
        <v>212</v>
      </c>
      <c r="AD1641">
        <f>VLOOKUP(A:A,[1]android_repos_all_metrics!B:K,5,FALSE)</f>
        <v>5</v>
      </c>
      <c r="AE1641">
        <f>VLOOKUP(A:A,[1]android_repos_all_metrics!B:K,6,FALSE)</f>
        <v>2</v>
      </c>
      <c r="AF1641">
        <f>VLOOKUP(A:A,[1]android_repos_all_metrics!B:K,7,FALSE)</f>
        <v>9582</v>
      </c>
      <c r="AG1641">
        <f>VLOOKUP(A:A,[1]android_repos_all_metrics!B:K,8,FALSE)</f>
        <v>3</v>
      </c>
      <c r="AH1641">
        <f>VLOOKUP(A:A,[1]android_repos_all_metrics!B:K,9,FALSE)</f>
        <v>24</v>
      </c>
      <c r="AI1641">
        <f>VLOOKUP(A:A,[1]android_repos_all_metrics!B:K,10,FALSE)</f>
        <v>9</v>
      </c>
    </row>
    <row r="1642" spans="1:35">
      <c r="A1642" t="s">
        <v>1709</v>
      </c>
      <c r="B1642" t="b">
        <v>1</v>
      </c>
      <c r="C1642" t="b">
        <v>0</v>
      </c>
      <c r="D1642" t="b">
        <v>0</v>
      </c>
      <c r="F1642" t="b">
        <v>0</v>
      </c>
      <c r="H1642" t="s">
        <v>37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>
        <v>4</v>
      </c>
      <c r="AB1642">
        <v>0</v>
      </c>
      <c r="AC1642">
        <f>VLOOKUP(A:A,[1]android_repos_all_metrics!B:K,4,FALSE)</f>
        <v>383</v>
      </c>
      <c r="AD1642">
        <f>VLOOKUP(A:A,[1]android_repos_all_metrics!B:K,5,FALSE)</f>
        <v>37</v>
      </c>
      <c r="AE1642">
        <f>VLOOKUP(A:A,[1]android_repos_all_metrics!B:K,6,FALSE)</f>
        <v>13</v>
      </c>
      <c r="AF1642">
        <f>VLOOKUP(A:A,[1]android_repos_all_metrics!B:K,7,FALSE)</f>
        <v>17039</v>
      </c>
      <c r="AG1642">
        <f>VLOOKUP(A:A,[1]android_repos_all_metrics!B:K,8,FALSE)</f>
        <v>9</v>
      </c>
      <c r="AH1642">
        <f>VLOOKUP(A:A,[1]android_repos_all_metrics!B:K,9,FALSE)</f>
        <v>134</v>
      </c>
      <c r="AI1642">
        <f>VLOOKUP(A:A,[1]android_repos_all_metrics!B:K,10,FALSE)</f>
        <v>6</v>
      </c>
    </row>
    <row r="1643" spans="1:35">
      <c r="A1643" t="s">
        <v>1710</v>
      </c>
      <c r="B1643" t="b">
        <v>1</v>
      </c>
      <c r="C1643" t="b">
        <v>0</v>
      </c>
      <c r="D1643" t="b">
        <v>0</v>
      </c>
      <c r="F1643" t="b">
        <v>0</v>
      </c>
      <c r="H1643" t="s">
        <v>37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>
        <v>5</v>
      </c>
      <c r="AB1643">
        <v>0</v>
      </c>
      <c r="AC1643">
        <f>VLOOKUP(A:A,[1]android_repos_all_metrics!B:K,4,FALSE)</f>
        <v>141</v>
      </c>
      <c r="AD1643">
        <f>VLOOKUP(A:A,[1]android_repos_all_metrics!B:K,5,FALSE)</f>
        <v>21</v>
      </c>
      <c r="AE1643">
        <f>VLOOKUP(A:A,[1]android_repos_all_metrics!B:K,6,FALSE)</f>
        <v>12</v>
      </c>
      <c r="AF1643">
        <f>VLOOKUP(A:A,[1]android_repos_all_metrics!B:K,7,FALSE)</f>
        <v>3057</v>
      </c>
      <c r="AG1643">
        <f>VLOOKUP(A:A,[1]android_repos_all_metrics!B:K,8,FALSE)</f>
        <v>45</v>
      </c>
      <c r="AH1643">
        <f>VLOOKUP(A:A,[1]android_repos_all_metrics!B:K,9,FALSE)</f>
        <v>420</v>
      </c>
      <c r="AI1643">
        <f>VLOOKUP(A:A,[1]android_repos_all_metrics!B:K,10,FALSE)</f>
        <v>38</v>
      </c>
    </row>
    <row r="1644" spans="1:35">
      <c r="A1644" t="s">
        <v>1711</v>
      </c>
      <c r="B1644" t="b">
        <v>1</v>
      </c>
      <c r="C1644" t="b">
        <v>0</v>
      </c>
      <c r="D1644" t="b">
        <v>0</v>
      </c>
      <c r="F1644" t="b">
        <v>0</v>
      </c>
      <c r="H1644" t="s">
        <v>37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>
        <v>1</v>
      </c>
      <c r="AB1644">
        <v>0</v>
      </c>
      <c r="AC1644">
        <f>VLOOKUP(A:A,[1]android_repos_all_metrics!B:K,4,FALSE)</f>
        <v>490</v>
      </c>
      <c r="AD1644">
        <f>VLOOKUP(A:A,[1]android_repos_all_metrics!B:K,5,FALSE)</f>
        <v>12</v>
      </c>
      <c r="AE1644">
        <f>VLOOKUP(A:A,[1]android_repos_all_metrics!B:K,6,FALSE)</f>
        <v>2</v>
      </c>
      <c r="AF1644">
        <f>VLOOKUP(A:A,[1]android_repos_all_metrics!B:K,7,FALSE)</f>
        <v>3468</v>
      </c>
      <c r="AG1644">
        <f>VLOOKUP(A:A,[1]android_repos_all_metrics!B:K,8,FALSE)</f>
        <v>4</v>
      </c>
      <c r="AH1644">
        <f>VLOOKUP(A:A,[1]android_repos_all_metrics!B:K,9,FALSE)</f>
        <v>56</v>
      </c>
      <c r="AI1644">
        <f>VLOOKUP(A:A,[1]android_repos_all_metrics!B:K,10,FALSE)</f>
        <v>0</v>
      </c>
    </row>
    <row r="1645" spans="1:35">
      <c r="A1645" t="s">
        <v>1712</v>
      </c>
      <c r="B1645" t="b">
        <v>0</v>
      </c>
      <c r="C1645" t="b">
        <v>0</v>
      </c>
      <c r="D1645" t="b">
        <v>0</v>
      </c>
      <c r="F1645" t="b">
        <v>0</v>
      </c>
      <c r="H1645" t="s">
        <v>41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>
        <v>1</v>
      </c>
      <c r="AB1645">
        <v>0</v>
      </c>
      <c r="AC1645">
        <f>VLOOKUP(A:A,[1]android_repos_all_metrics!B:K,4,FALSE)</f>
        <v>16</v>
      </c>
      <c r="AD1645">
        <f>VLOOKUP(A:A,[1]android_repos_all_metrics!B:K,5,FALSE)</f>
        <v>0</v>
      </c>
      <c r="AE1645">
        <f>VLOOKUP(A:A,[1]android_repos_all_metrics!B:K,6,FALSE)</f>
        <v>2</v>
      </c>
      <c r="AF1645">
        <f>VLOOKUP(A:A,[1]android_repos_all_metrics!B:K,7,FALSE)</f>
        <v>21400</v>
      </c>
      <c r="AG1645">
        <f>VLOOKUP(A:A,[1]android_repos_all_metrics!B:K,8,FALSE)</f>
        <v>12</v>
      </c>
      <c r="AH1645">
        <f>VLOOKUP(A:A,[1]android_repos_all_metrics!B:K,9,FALSE)</f>
        <v>99</v>
      </c>
      <c r="AI1645">
        <f>VLOOKUP(A:A,[1]android_repos_all_metrics!B:K,10,FALSE)</f>
        <v>0</v>
      </c>
    </row>
    <row r="1646" spans="1:35">
      <c r="A1646" t="s">
        <v>1713</v>
      </c>
      <c r="B1646" t="b">
        <v>0</v>
      </c>
      <c r="C1646" t="b">
        <v>0</v>
      </c>
      <c r="D1646" t="b">
        <v>0</v>
      </c>
      <c r="F1646" t="b">
        <v>0</v>
      </c>
      <c r="H1646" t="s">
        <v>325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>
        <v>2</v>
      </c>
      <c r="AB1646">
        <v>0</v>
      </c>
      <c r="AC1646">
        <f>VLOOKUP(A:A,[1]android_repos_all_metrics!B:K,4,FALSE)</f>
        <v>196</v>
      </c>
      <c r="AD1646">
        <f>VLOOKUP(A:A,[1]android_repos_all_metrics!B:K,5,FALSE)</f>
        <v>1</v>
      </c>
      <c r="AE1646">
        <f>VLOOKUP(A:A,[1]android_repos_all_metrics!B:K,6,FALSE)</f>
        <v>2</v>
      </c>
      <c r="AF1646">
        <f>VLOOKUP(A:A,[1]android_repos_all_metrics!B:K,7,FALSE)</f>
        <v>39692</v>
      </c>
      <c r="AG1646">
        <f>VLOOKUP(A:A,[1]android_repos_all_metrics!B:K,8,FALSE)</f>
        <v>7</v>
      </c>
      <c r="AH1646">
        <f>VLOOKUP(A:A,[1]android_repos_all_metrics!B:K,9,FALSE)</f>
        <v>12</v>
      </c>
      <c r="AI1646">
        <f>VLOOKUP(A:A,[1]android_repos_all_metrics!B:K,10,FALSE)</f>
        <v>1</v>
      </c>
    </row>
    <row r="1647" spans="1:35">
      <c r="A1647" t="s">
        <v>1714</v>
      </c>
      <c r="B1647" t="b">
        <v>0</v>
      </c>
      <c r="C1647" t="b">
        <v>0</v>
      </c>
      <c r="D1647" t="b">
        <v>0</v>
      </c>
      <c r="F1647" t="b">
        <v>0</v>
      </c>
      <c r="H1647" t="s">
        <v>41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>
        <v>1</v>
      </c>
      <c r="AB1647">
        <v>0</v>
      </c>
      <c r="AC1647">
        <f>VLOOKUP(A:A,[1]android_repos_all_metrics!B:K,4,FALSE)</f>
        <v>128</v>
      </c>
      <c r="AD1647">
        <f>VLOOKUP(A:A,[1]android_repos_all_metrics!B:K,5,FALSE)</f>
        <v>2</v>
      </c>
      <c r="AE1647">
        <f>VLOOKUP(A:A,[1]android_repos_all_metrics!B:K,6,FALSE)</f>
        <v>2</v>
      </c>
      <c r="AF1647">
        <f>VLOOKUP(A:A,[1]android_repos_all_metrics!B:K,7,FALSE)</f>
        <v>353</v>
      </c>
      <c r="AG1647">
        <f>VLOOKUP(A:A,[1]android_repos_all_metrics!B:K,8,FALSE)</f>
        <v>13</v>
      </c>
      <c r="AH1647">
        <f>VLOOKUP(A:A,[1]android_repos_all_metrics!B:K,9,FALSE)</f>
        <v>107</v>
      </c>
      <c r="AI1647">
        <f>VLOOKUP(A:A,[1]android_repos_all_metrics!B:K,10,FALSE)</f>
        <v>0</v>
      </c>
    </row>
    <row r="1648" spans="1:35">
      <c r="A1648" t="s">
        <v>1715</v>
      </c>
      <c r="B1648" t="b">
        <v>1</v>
      </c>
      <c r="C1648" t="b">
        <v>0</v>
      </c>
      <c r="D1648" t="b">
        <v>0</v>
      </c>
      <c r="F1648" t="b">
        <v>0</v>
      </c>
      <c r="H1648" t="s">
        <v>37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>
        <v>1</v>
      </c>
      <c r="AB1648">
        <v>0</v>
      </c>
      <c r="AC1648">
        <f>VLOOKUP(A:A,[1]android_repos_all_metrics!B:K,4,FALSE)</f>
        <v>324</v>
      </c>
      <c r="AD1648">
        <f>VLOOKUP(A:A,[1]android_repos_all_metrics!B:K,5,FALSE)</f>
        <v>242</v>
      </c>
      <c r="AE1648">
        <f>VLOOKUP(A:A,[1]android_repos_all_metrics!B:K,6,FALSE)</f>
        <v>4</v>
      </c>
      <c r="AF1648">
        <f>VLOOKUP(A:A,[1]android_repos_all_metrics!B:K,7,FALSE)</f>
        <v>1705</v>
      </c>
      <c r="AG1648">
        <f>VLOOKUP(A:A,[1]android_repos_all_metrics!B:K,8,FALSE)</f>
        <v>1</v>
      </c>
      <c r="AH1648">
        <f>VLOOKUP(A:A,[1]android_repos_all_metrics!B:K,9,FALSE)</f>
        <v>10</v>
      </c>
      <c r="AI1648">
        <f>VLOOKUP(A:A,[1]android_repos_all_metrics!B:K,10,FALSE)</f>
        <v>2</v>
      </c>
    </row>
    <row r="1649" spans="1:35">
      <c r="A1649" t="s">
        <v>1716</v>
      </c>
      <c r="B1649" t="b">
        <v>1</v>
      </c>
      <c r="C1649" t="b">
        <v>0</v>
      </c>
      <c r="D1649" t="b">
        <v>0</v>
      </c>
      <c r="F1649" t="b">
        <v>0</v>
      </c>
      <c r="H1649" t="s">
        <v>43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>
        <v>1</v>
      </c>
      <c r="AB1649">
        <v>0</v>
      </c>
      <c r="AC1649">
        <f>VLOOKUP(A:A,[1]android_repos_all_metrics!B:K,4,FALSE)</f>
        <v>72</v>
      </c>
      <c r="AD1649">
        <f>VLOOKUP(A:A,[1]android_repos_all_metrics!B:K,5,FALSE)</f>
        <v>58</v>
      </c>
      <c r="AE1649">
        <f>VLOOKUP(A:A,[1]android_repos_all_metrics!B:K,6,FALSE)</f>
        <v>1</v>
      </c>
      <c r="AF1649">
        <f>VLOOKUP(A:A,[1]android_repos_all_metrics!B:K,7,FALSE)</f>
        <v>912</v>
      </c>
      <c r="AG1649">
        <f>VLOOKUP(A:A,[1]android_repos_all_metrics!B:K,8,FALSE)</f>
        <v>0</v>
      </c>
      <c r="AH1649">
        <f>VLOOKUP(A:A,[1]android_repos_all_metrics!B:K,9,FALSE)</f>
        <v>1</v>
      </c>
      <c r="AI1649">
        <f>VLOOKUP(A:A,[1]android_repos_all_metrics!B:K,10,FALSE)</f>
        <v>21</v>
      </c>
    </row>
    <row r="1650" spans="1:35">
      <c r="A1650" t="s">
        <v>1717</v>
      </c>
      <c r="B1650" t="b">
        <v>1</v>
      </c>
      <c r="C1650" t="b">
        <v>0</v>
      </c>
      <c r="D1650" t="b">
        <v>0</v>
      </c>
      <c r="F1650" t="b">
        <v>0</v>
      </c>
      <c r="H1650" t="s">
        <v>37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>
        <v>2</v>
      </c>
      <c r="AB1650">
        <v>0</v>
      </c>
      <c r="AC1650">
        <f>VLOOKUP(A:A,[1]android_repos_all_metrics!B:K,4,FALSE)</f>
        <v>166</v>
      </c>
      <c r="AD1650">
        <f>VLOOKUP(A:A,[1]android_repos_all_metrics!B:K,5,FALSE)</f>
        <v>15</v>
      </c>
      <c r="AE1650">
        <f>VLOOKUP(A:A,[1]android_repos_all_metrics!B:K,6,FALSE)</f>
        <v>5</v>
      </c>
      <c r="AF1650">
        <f>VLOOKUP(A:A,[1]android_repos_all_metrics!B:K,7,FALSE)</f>
        <v>815</v>
      </c>
      <c r="AG1650">
        <f>VLOOKUP(A:A,[1]android_repos_all_metrics!B:K,8,FALSE)</f>
        <v>102</v>
      </c>
      <c r="AH1650">
        <f>VLOOKUP(A:A,[1]android_repos_all_metrics!B:K,9,FALSE)</f>
        <v>257</v>
      </c>
      <c r="AI1650">
        <f>VLOOKUP(A:A,[1]android_repos_all_metrics!B:K,10,FALSE)</f>
        <v>23</v>
      </c>
    </row>
    <row r="1651" spans="1:35">
      <c r="A1651" t="s">
        <v>1718</v>
      </c>
      <c r="B1651" t="b">
        <v>1</v>
      </c>
      <c r="C1651" t="b">
        <v>0</v>
      </c>
      <c r="D1651" t="b">
        <v>0</v>
      </c>
      <c r="F1651" t="b">
        <v>0</v>
      </c>
      <c r="H1651" t="s">
        <v>37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>
        <v>1</v>
      </c>
      <c r="AB1651">
        <v>0</v>
      </c>
      <c r="AC1651">
        <f>VLOOKUP(A:A,[1]android_repos_all_metrics!B:K,4,FALSE)</f>
        <v>33</v>
      </c>
      <c r="AD1651">
        <f>VLOOKUP(A:A,[1]android_repos_all_metrics!B:K,5,FALSE)</f>
        <v>0</v>
      </c>
      <c r="AE1651">
        <f>VLOOKUP(A:A,[1]android_repos_all_metrics!B:K,6,FALSE)</f>
        <v>1</v>
      </c>
      <c r="AF1651">
        <f>VLOOKUP(A:A,[1]android_repos_all_metrics!B:K,7,FALSE)</f>
        <v>2038</v>
      </c>
      <c r="AG1651">
        <f>VLOOKUP(A:A,[1]android_repos_all_metrics!B:K,8,FALSE)</f>
        <v>0</v>
      </c>
      <c r="AH1651">
        <f>VLOOKUP(A:A,[1]android_repos_all_metrics!B:K,9,FALSE)</f>
        <v>1</v>
      </c>
      <c r="AI1651">
        <f>VLOOKUP(A:A,[1]android_repos_all_metrics!B:K,10,FALSE)</f>
        <v>0</v>
      </c>
    </row>
    <row r="1652" spans="1:35">
      <c r="A1652" t="s">
        <v>1719</v>
      </c>
      <c r="B1652" t="b">
        <v>1</v>
      </c>
      <c r="C1652" t="b">
        <v>0</v>
      </c>
      <c r="D1652" t="b">
        <v>0</v>
      </c>
      <c r="F1652" t="b">
        <v>0</v>
      </c>
      <c r="H1652" t="s">
        <v>37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>
        <v>1</v>
      </c>
      <c r="AB1652">
        <v>0</v>
      </c>
      <c r="AC1652">
        <f>VLOOKUP(A:A,[1]android_repos_all_metrics!B:K,4,FALSE)</f>
        <v>320</v>
      </c>
      <c r="AD1652">
        <f>VLOOKUP(A:A,[1]android_repos_all_metrics!B:K,5,FALSE)</f>
        <v>5</v>
      </c>
      <c r="AE1652">
        <f>VLOOKUP(A:A,[1]android_repos_all_metrics!B:K,6,FALSE)</f>
        <v>3</v>
      </c>
      <c r="AF1652">
        <f>VLOOKUP(A:A,[1]android_repos_all_metrics!B:K,7,FALSE)</f>
        <v>9610</v>
      </c>
      <c r="AG1652">
        <f>VLOOKUP(A:A,[1]android_repos_all_metrics!B:K,8,FALSE)</f>
        <v>20</v>
      </c>
      <c r="AH1652">
        <f>VLOOKUP(A:A,[1]android_repos_all_metrics!B:K,9,FALSE)</f>
        <v>148</v>
      </c>
      <c r="AI1652">
        <f>VLOOKUP(A:A,[1]android_repos_all_metrics!B:K,10,FALSE)</f>
        <v>11</v>
      </c>
    </row>
    <row r="1653" spans="1:35">
      <c r="A1653" t="s">
        <v>1720</v>
      </c>
      <c r="B1653" t="b">
        <v>1</v>
      </c>
      <c r="C1653" t="b">
        <v>0</v>
      </c>
      <c r="D1653" t="b">
        <v>0</v>
      </c>
      <c r="F1653" t="b">
        <v>0</v>
      </c>
      <c r="H1653" t="s">
        <v>37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>
        <v>1</v>
      </c>
      <c r="AB1653">
        <v>0</v>
      </c>
      <c r="AC1653">
        <f>VLOOKUP(A:A,[1]android_repos_all_metrics!B:K,4,FALSE)</f>
        <v>224</v>
      </c>
      <c r="AD1653">
        <f>VLOOKUP(A:A,[1]android_repos_all_metrics!B:K,5,FALSE)</f>
        <v>3</v>
      </c>
      <c r="AE1653">
        <f>VLOOKUP(A:A,[1]android_repos_all_metrics!B:K,6,FALSE)</f>
        <v>2</v>
      </c>
      <c r="AF1653">
        <f>VLOOKUP(A:A,[1]android_repos_all_metrics!B:K,7,FALSE)</f>
        <v>4284</v>
      </c>
      <c r="AG1653">
        <f>VLOOKUP(A:A,[1]android_repos_all_metrics!B:K,8,FALSE)</f>
        <v>1</v>
      </c>
      <c r="AH1653">
        <f>VLOOKUP(A:A,[1]android_repos_all_metrics!B:K,9,FALSE)</f>
        <v>4</v>
      </c>
      <c r="AI1653">
        <f>VLOOKUP(A:A,[1]android_repos_all_metrics!B:K,10,FALSE)</f>
        <v>0</v>
      </c>
    </row>
    <row r="1654" spans="1:35">
      <c r="A1654" t="s">
        <v>1721</v>
      </c>
      <c r="B1654" t="b">
        <v>1</v>
      </c>
      <c r="C1654" t="b">
        <v>1</v>
      </c>
      <c r="D1654" t="b">
        <v>0</v>
      </c>
      <c r="F1654" t="b">
        <v>1</v>
      </c>
      <c r="G1654" t="s">
        <v>39</v>
      </c>
      <c r="H1654" t="s">
        <v>41</v>
      </c>
      <c r="I1654" t="s">
        <v>41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>
        <v>1</v>
      </c>
      <c r="AB1654">
        <v>0</v>
      </c>
      <c r="AC1654">
        <f>VLOOKUP(A:A,[1]android_repos_all_metrics!B:K,4,FALSE)</f>
        <v>33</v>
      </c>
      <c r="AD1654">
        <f>VLOOKUP(A:A,[1]android_repos_all_metrics!B:K,5,FALSE)</f>
        <v>1</v>
      </c>
      <c r="AE1654">
        <f>VLOOKUP(A:A,[1]android_repos_all_metrics!B:K,6,FALSE)</f>
        <v>2</v>
      </c>
      <c r="AF1654">
        <f>VLOOKUP(A:A,[1]android_repos_all_metrics!B:K,7,FALSE)</f>
        <v>273</v>
      </c>
      <c r="AG1654">
        <f>VLOOKUP(A:A,[1]android_repos_all_metrics!B:K,8,FALSE)</f>
        <v>1</v>
      </c>
      <c r="AH1654">
        <f>VLOOKUP(A:A,[1]android_repos_all_metrics!B:K,9,FALSE)</f>
        <v>3</v>
      </c>
      <c r="AI1654">
        <f>VLOOKUP(A:A,[1]android_repos_all_metrics!B:K,10,FALSE)</f>
        <v>0</v>
      </c>
    </row>
    <row r="1655" spans="1:35">
      <c r="A1655" t="s">
        <v>1722</v>
      </c>
      <c r="B1655" t="b">
        <v>1</v>
      </c>
      <c r="C1655" t="b">
        <v>0</v>
      </c>
      <c r="D1655" t="b">
        <v>0</v>
      </c>
      <c r="F1655" t="b">
        <v>0</v>
      </c>
      <c r="H1655" t="s">
        <v>86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>
        <v>3</v>
      </c>
      <c r="AB1655">
        <v>0</v>
      </c>
      <c r="AC1655">
        <f>VLOOKUP(A:A,[1]android_repos_all_metrics!B:K,4,FALSE)</f>
        <v>327</v>
      </c>
      <c r="AD1655">
        <f>VLOOKUP(A:A,[1]android_repos_all_metrics!B:K,5,FALSE)</f>
        <v>146</v>
      </c>
      <c r="AE1655">
        <f>VLOOKUP(A:A,[1]android_repos_all_metrics!B:K,6,FALSE)</f>
        <v>21</v>
      </c>
      <c r="AF1655">
        <f>VLOOKUP(A:A,[1]android_repos_all_metrics!B:K,7,FALSE)</f>
        <v>1889</v>
      </c>
      <c r="AG1655">
        <f>VLOOKUP(A:A,[1]android_repos_all_metrics!B:K,8,FALSE)</f>
        <v>69</v>
      </c>
      <c r="AH1655">
        <f>VLOOKUP(A:A,[1]android_repos_all_metrics!B:K,9,FALSE)</f>
        <v>347</v>
      </c>
      <c r="AI1655">
        <f>VLOOKUP(A:A,[1]android_repos_all_metrics!B:K,10,FALSE)</f>
        <v>35</v>
      </c>
    </row>
    <row r="1656" spans="1:35">
      <c r="A1656" t="s">
        <v>1723</v>
      </c>
      <c r="B1656" t="b">
        <v>0</v>
      </c>
      <c r="C1656" t="b">
        <v>0</v>
      </c>
      <c r="D1656" t="b">
        <v>0</v>
      </c>
      <c r="F1656" t="b">
        <v>0</v>
      </c>
      <c r="H1656" t="s">
        <v>41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>
        <v>1</v>
      </c>
      <c r="AB1656">
        <v>0</v>
      </c>
      <c r="AC1656">
        <f>VLOOKUP(A:A,[1]android_repos_all_metrics!B:K,4,FALSE)</f>
        <v>490</v>
      </c>
      <c r="AD1656">
        <f>VLOOKUP(A:A,[1]android_repos_all_metrics!B:K,5,FALSE)</f>
        <v>61</v>
      </c>
      <c r="AE1656">
        <f>VLOOKUP(A:A,[1]android_repos_all_metrics!B:K,6,FALSE)</f>
        <v>26</v>
      </c>
      <c r="AF1656">
        <f>VLOOKUP(A:A,[1]android_repos_all_metrics!B:K,7,FALSE)</f>
        <v>1055</v>
      </c>
      <c r="AG1656">
        <f>VLOOKUP(A:A,[1]android_repos_all_metrics!B:K,8,FALSE)</f>
        <v>681</v>
      </c>
      <c r="AH1656">
        <f>VLOOKUP(A:A,[1]android_repos_all_metrics!B:K,9,FALSE)</f>
        <v>1428</v>
      </c>
      <c r="AI1656">
        <f>VLOOKUP(A:A,[1]android_repos_all_metrics!B:K,10,FALSE)</f>
        <v>31</v>
      </c>
    </row>
    <row r="1657" spans="1:35">
      <c r="A1657" t="s">
        <v>1724</v>
      </c>
      <c r="B1657" t="b">
        <v>1</v>
      </c>
      <c r="C1657" t="b">
        <v>0</v>
      </c>
      <c r="D1657" t="b">
        <v>0</v>
      </c>
      <c r="F1657" t="b">
        <v>0</v>
      </c>
      <c r="H1657" t="s">
        <v>37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>
        <v>1</v>
      </c>
      <c r="AB1657">
        <v>0</v>
      </c>
      <c r="AC1657">
        <f>VLOOKUP(A:A,[1]android_repos_all_metrics!B:K,4,FALSE)</f>
        <v>1566</v>
      </c>
      <c r="AD1657">
        <f>VLOOKUP(A:A,[1]android_repos_all_metrics!B:K,5,FALSE)</f>
        <v>106</v>
      </c>
      <c r="AE1657">
        <f>VLOOKUP(A:A,[1]android_repos_all_metrics!B:K,6,FALSE)</f>
        <v>4</v>
      </c>
      <c r="AF1657">
        <f>VLOOKUP(A:A,[1]android_repos_all_metrics!B:K,7,FALSE)</f>
        <v>9397</v>
      </c>
      <c r="AG1657">
        <f>VLOOKUP(A:A,[1]android_repos_all_metrics!B:K,8,FALSE)</f>
        <v>0</v>
      </c>
      <c r="AH1657">
        <f>VLOOKUP(A:A,[1]android_repos_all_metrics!B:K,9,FALSE)</f>
        <v>21</v>
      </c>
      <c r="AI1657">
        <f>VLOOKUP(A:A,[1]android_repos_all_metrics!B:K,10,FALSE)</f>
        <v>7</v>
      </c>
    </row>
    <row r="1658" spans="1:35">
      <c r="A1658" t="s">
        <v>1725</v>
      </c>
      <c r="B1658" t="b">
        <v>1</v>
      </c>
      <c r="C1658" t="b">
        <v>0</v>
      </c>
      <c r="D1658" t="b">
        <v>0</v>
      </c>
      <c r="F1658" t="b">
        <v>0</v>
      </c>
      <c r="H1658" t="s">
        <v>308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>
        <v>2</v>
      </c>
      <c r="AB1658">
        <v>0</v>
      </c>
      <c r="AC1658">
        <f>VLOOKUP(A:A,[1]android_repos_all_metrics!B:K,4,FALSE)</f>
        <v>487</v>
      </c>
      <c r="AD1658">
        <f>VLOOKUP(A:A,[1]android_repos_all_metrics!B:K,5,FALSE)</f>
        <v>60</v>
      </c>
      <c r="AE1658">
        <f>VLOOKUP(A:A,[1]android_repos_all_metrics!B:K,6,FALSE)</f>
        <v>11</v>
      </c>
      <c r="AF1658">
        <f>VLOOKUP(A:A,[1]android_repos_all_metrics!B:K,7,FALSE)</f>
        <v>9913</v>
      </c>
      <c r="AG1658">
        <f>VLOOKUP(A:A,[1]android_repos_all_metrics!B:K,8,FALSE)</f>
        <v>3</v>
      </c>
      <c r="AH1658">
        <f>VLOOKUP(A:A,[1]android_repos_all_metrics!B:K,9,FALSE)</f>
        <v>3</v>
      </c>
      <c r="AI1658">
        <f>VLOOKUP(A:A,[1]android_repos_all_metrics!B:K,10,FALSE)</f>
        <v>38</v>
      </c>
    </row>
    <row r="1659" spans="1:35">
      <c r="A1659" t="s">
        <v>1726</v>
      </c>
      <c r="B1659" t="b">
        <v>1</v>
      </c>
      <c r="C1659" t="b">
        <v>1</v>
      </c>
      <c r="D1659" t="b">
        <v>1</v>
      </c>
      <c r="E1659" t="s">
        <v>36</v>
      </c>
      <c r="F1659" t="b">
        <v>0</v>
      </c>
      <c r="H1659" t="s">
        <v>37</v>
      </c>
      <c r="I1659" t="s">
        <v>37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U1659" t="b">
        <v>1</v>
      </c>
      <c r="V1659" t="b">
        <v>1</v>
      </c>
      <c r="W1659" t="b">
        <v>0</v>
      </c>
      <c r="X1659" t="b">
        <v>0</v>
      </c>
      <c r="Y1659" t="b">
        <v>0</v>
      </c>
      <c r="Z1659">
        <v>3</v>
      </c>
      <c r="AA1659">
        <v>2</v>
      </c>
      <c r="AB1659">
        <v>0</v>
      </c>
      <c r="AC1659">
        <f>VLOOKUP(A:A,[1]android_repos_all_metrics!B:K,4,FALSE)</f>
        <v>1476</v>
      </c>
      <c r="AD1659">
        <f>VLOOKUP(A:A,[1]android_repos_all_metrics!B:K,5,FALSE)</f>
        <v>186</v>
      </c>
      <c r="AE1659">
        <f>VLOOKUP(A:A,[1]android_repos_all_metrics!B:K,6,FALSE)</f>
        <v>15</v>
      </c>
      <c r="AF1659">
        <f>VLOOKUP(A:A,[1]android_repos_all_metrics!B:K,7,FALSE)</f>
        <v>40964</v>
      </c>
      <c r="AG1659">
        <f>VLOOKUP(A:A,[1]android_repos_all_metrics!B:K,8,FALSE)</f>
        <v>11</v>
      </c>
      <c r="AH1659">
        <f>VLOOKUP(A:A,[1]android_repos_all_metrics!B:K,9,FALSE)</f>
        <v>21</v>
      </c>
      <c r="AI1659">
        <f>VLOOKUP(A:A,[1]android_repos_all_metrics!B:K,10,FALSE)</f>
        <v>0</v>
      </c>
    </row>
    <row r="1660" spans="1:35">
      <c r="A1660" t="s">
        <v>1727</v>
      </c>
      <c r="B1660" t="b">
        <v>1</v>
      </c>
      <c r="C1660" t="b">
        <v>0</v>
      </c>
      <c r="D1660" t="b">
        <v>0</v>
      </c>
      <c r="F1660" t="b">
        <v>0</v>
      </c>
      <c r="H1660" t="s">
        <v>110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>
        <v>2</v>
      </c>
      <c r="AB1660">
        <v>0</v>
      </c>
      <c r="AC1660">
        <f>VLOOKUP(A:A,[1]android_repos_all_metrics!B:K,4,FALSE)</f>
        <v>1134</v>
      </c>
      <c r="AD1660">
        <f>VLOOKUP(A:A,[1]android_repos_all_metrics!B:K,5,FALSE)</f>
        <v>140</v>
      </c>
      <c r="AE1660">
        <f>VLOOKUP(A:A,[1]android_repos_all_metrics!B:K,6,FALSE)</f>
        <v>77</v>
      </c>
      <c r="AF1660">
        <f>VLOOKUP(A:A,[1]android_repos_all_metrics!B:K,7,FALSE)</f>
        <v>7943</v>
      </c>
      <c r="AG1660">
        <f>VLOOKUP(A:A,[1]android_repos_all_metrics!B:K,8,FALSE)</f>
        <v>51</v>
      </c>
      <c r="AH1660">
        <f>VLOOKUP(A:A,[1]android_repos_all_metrics!B:K,9,FALSE)</f>
        <v>311</v>
      </c>
      <c r="AI1660">
        <f>VLOOKUP(A:A,[1]android_repos_all_metrics!B:K,10,FALSE)</f>
        <v>75</v>
      </c>
    </row>
    <row r="1661" spans="1:35">
      <c r="A1661" t="s">
        <v>1728</v>
      </c>
      <c r="B1661" t="b">
        <v>1</v>
      </c>
      <c r="C1661" t="b">
        <v>0</v>
      </c>
      <c r="D1661" t="b">
        <v>0</v>
      </c>
      <c r="F1661" t="b">
        <v>0</v>
      </c>
      <c r="H1661" t="s">
        <v>37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>
        <v>1</v>
      </c>
      <c r="AB1661">
        <v>0</v>
      </c>
      <c r="AC1661">
        <f>VLOOKUP(A:A,[1]android_repos_all_metrics!B:K,4,FALSE)</f>
        <v>3</v>
      </c>
      <c r="AD1661">
        <f>VLOOKUP(A:A,[1]android_repos_all_metrics!B:K,5,FALSE)</f>
        <v>0</v>
      </c>
      <c r="AE1661">
        <f>VLOOKUP(A:A,[1]android_repos_all_metrics!B:K,6,FALSE)</f>
        <v>1</v>
      </c>
      <c r="AF1661">
        <f>VLOOKUP(A:A,[1]android_repos_all_metrics!B:K,7,FALSE)</f>
        <v>286</v>
      </c>
      <c r="AG1661">
        <f>VLOOKUP(A:A,[1]android_repos_all_metrics!B:K,8,FALSE)</f>
        <v>0</v>
      </c>
      <c r="AH1661">
        <f>VLOOKUP(A:A,[1]android_repos_all_metrics!B:K,9,FALSE)</f>
        <v>1</v>
      </c>
      <c r="AI1661">
        <f>VLOOKUP(A:A,[1]android_repos_all_metrics!B:K,10,FALSE)</f>
        <v>0</v>
      </c>
    </row>
    <row r="1662" spans="1:35">
      <c r="A1662" t="s">
        <v>1729</v>
      </c>
      <c r="B1662" t="b">
        <v>1</v>
      </c>
      <c r="C1662" t="b">
        <v>0</v>
      </c>
      <c r="D1662" t="b">
        <v>0</v>
      </c>
      <c r="F1662" t="b">
        <v>0</v>
      </c>
      <c r="H1662" t="s">
        <v>37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>
        <v>2</v>
      </c>
      <c r="AB1662">
        <v>0</v>
      </c>
      <c r="AC1662">
        <f>VLOOKUP(A:A,[1]android_repos_all_metrics!B:K,4,FALSE)</f>
        <v>87</v>
      </c>
      <c r="AD1662">
        <f>VLOOKUP(A:A,[1]android_repos_all_metrics!B:K,5,FALSE)</f>
        <v>0</v>
      </c>
      <c r="AE1662">
        <f>VLOOKUP(A:A,[1]android_repos_all_metrics!B:K,6,FALSE)</f>
        <v>1</v>
      </c>
      <c r="AF1662">
        <f>VLOOKUP(A:A,[1]android_repos_all_metrics!B:K,7,FALSE)</f>
        <v>5248</v>
      </c>
      <c r="AG1662">
        <f>VLOOKUP(A:A,[1]android_repos_all_metrics!B:K,8,FALSE)</f>
        <v>1</v>
      </c>
      <c r="AH1662">
        <f>VLOOKUP(A:A,[1]android_repos_all_metrics!B:K,9,FALSE)</f>
        <v>2</v>
      </c>
      <c r="AI1662">
        <f>VLOOKUP(A:A,[1]android_repos_all_metrics!B:K,10,FALSE)</f>
        <v>0</v>
      </c>
    </row>
    <row r="1663" spans="1:35">
      <c r="A1663" t="s">
        <v>1730</v>
      </c>
      <c r="B1663" t="b">
        <v>0</v>
      </c>
      <c r="C1663" t="b">
        <v>0</v>
      </c>
      <c r="D1663" t="b">
        <v>0</v>
      </c>
      <c r="F1663" t="b">
        <v>0</v>
      </c>
      <c r="H1663" t="s">
        <v>43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>
        <v>1</v>
      </c>
      <c r="AB1663">
        <v>0</v>
      </c>
      <c r="AC1663">
        <f>VLOOKUP(A:A,[1]android_repos_all_metrics!B:K,4,FALSE)</f>
        <v>112</v>
      </c>
      <c r="AD1663">
        <f>VLOOKUP(A:A,[1]android_repos_all_metrics!B:K,5,FALSE)</f>
        <v>60</v>
      </c>
      <c r="AE1663">
        <f>VLOOKUP(A:A,[1]android_repos_all_metrics!B:K,6,FALSE)</f>
        <v>1</v>
      </c>
      <c r="AF1663">
        <f>VLOOKUP(A:A,[1]android_repos_all_metrics!B:K,7,FALSE)</f>
        <v>1437</v>
      </c>
      <c r="AG1663">
        <f>VLOOKUP(A:A,[1]android_repos_all_metrics!B:K,8,FALSE)</f>
        <v>3</v>
      </c>
      <c r="AH1663">
        <f>VLOOKUP(A:A,[1]android_repos_all_metrics!B:K,9,FALSE)</f>
        <v>15</v>
      </c>
      <c r="AI1663">
        <f>VLOOKUP(A:A,[1]android_repos_all_metrics!B:K,10,FALSE)</f>
        <v>0</v>
      </c>
    </row>
    <row r="1664" spans="1:35">
      <c r="A1664" t="s">
        <v>1731</v>
      </c>
      <c r="B1664" t="b">
        <v>1</v>
      </c>
      <c r="C1664" t="b">
        <v>0</v>
      </c>
      <c r="D1664" t="b">
        <v>0</v>
      </c>
      <c r="F1664" t="b">
        <v>0</v>
      </c>
      <c r="H1664" t="s">
        <v>41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>
        <v>1</v>
      </c>
      <c r="AB1664">
        <v>0</v>
      </c>
      <c r="AC1664">
        <f>VLOOKUP(A:A,[1]android_repos_all_metrics!B:K,4,FALSE)</f>
        <v>315</v>
      </c>
      <c r="AD1664">
        <f>VLOOKUP(A:A,[1]android_repos_all_metrics!B:K,5,FALSE)</f>
        <v>1</v>
      </c>
      <c r="AE1664">
        <f>VLOOKUP(A:A,[1]android_repos_all_metrics!B:K,6,FALSE)</f>
        <v>2</v>
      </c>
      <c r="AF1664">
        <f>VLOOKUP(A:A,[1]android_repos_all_metrics!B:K,7,FALSE)</f>
        <v>1048</v>
      </c>
      <c r="AG1664">
        <f>VLOOKUP(A:A,[1]android_repos_all_metrics!B:K,8,FALSE)</f>
        <v>10</v>
      </c>
      <c r="AH1664">
        <f>VLOOKUP(A:A,[1]android_repos_all_metrics!B:K,9,FALSE)</f>
        <v>21</v>
      </c>
      <c r="AI1664">
        <f>VLOOKUP(A:A,[1]android_repos_all_metrics!B:K,10,FALSE)</f>
        <v>0</v>
      </c>
    </row>
    <row r="1665" spans="1:35">
      <c r="A1665" t="s">
        <v>1732</v>
      </c>
      <c r="B1665" t="b">
        <v>1</v>
      </c>
      <c r="C1665" t="b">
        <v>0</v>
      </c>
      <c r="D1665" t="b">
        <v>0</v>
      </c>
      <c r="F1665" t="b">
        <v>0</v>
      </c>
      <c r="H1665" t="s">
        <v>37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>
        <v>3</v>
      </c>
      <c r="AB1665">
        <v>0</v>
      </c>
      <c r="AC1665">
        <f>VLOOKUP(A:A,[1]android_repos_all_metrics!B:K,4,FALSE)</f>
        <v>345</v>
      </c>
      <c r="AD1665">
        <f>VLOOKUP(A:A,[1]android_repos_all_metrics!B:K,5,FALSE)</f>
        <v>38</v>
      </c>
      <c r="AE1665">
        <f>VLOOKUP(A:A,[1]android_repos_all_metrics!B:K,6,FALSE)</f>
        <v>8</v>
      </c>
      <c r="AF1665">
        <f>VLOOKUP(A:A,[1]android_repos_all_metrics!B:K,7,FALSE)</f>
        <v>3672</v>
      </c>
      <c r="AG1665">
        <f>VLOOKUP(A:A,[1]android_repos_all_metrics!B:K,8,FALSE)</f>
        <v>19</v>
      </c>
      <c r="AH1665">
        <f>VLOOKUP(A:A,[1]android_repos_all_metrics!B:K,9,FALSE)</f>
        <v>190</v>
      </c>
      <c r="AI1665">
        <f>VLOOKUP(A:A,[1]android_repos_all_metrics!B:K,10,FALSE)</f>
        <v>36</v>
      </c>
    </row>
    <row r="1666" spans="1:35">
      <c r="A1666" t="s">
        <v>1733</v>
      </c>
      <c r="B1666" t="b">
        <v>1</v>
      </c>
      <c r="C1666" t="b">
        <v>1</v>
      </c>
      <c r="D1666" t="b">
        <v>1</v>
      </c>
      <c r="E1666" t="s">
        <v>36</v>
      </c>
      <c r="F1666" t="b">
        <v>0</v>
      </c>
      <c r="H1666" t="s">
        <v>37</v>
      </c>
      <c r="I1666" t="s">
        <v>37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>
        <v>1</v>
      </c>
      <c r="AA1666">
        <v>5</v>
      </c>
      <c r="AB1666">
        <v>0</v>
      </c>
      <c r="AC1666">
        <f>VLOOKUP(A:A,[1]android_repos_all_metrics!B:K,4,FALSE)</f>
        <v>7175</v>
      </c>
      <c r="AD1666">
        <f>VLOOKUP(A:A,[1]android_repos_all_metrics!B:K,5,FALSE)</f>
        <v>607</v>
      </c>
      <c r="AE1666">
        <f>VLOOKUP(A:A,[1]android_repos_all_metrics!B:K,6,FALSE)</f>
        <v>63</v>
      </c>
      <c r="AF1666">
        <f>VLOOKUP(A:A,[1]android_repos_all_metrics!B:K,7,FALSE)</f>
        <v>43533</v>
      </c>
      <c r="AG1666">
        <f>VLOOKUP(A:A,[1]android_repos_all_metrics!B:K,8,FALSE)</f>
        <v>170</v>
      </c>
      <c r="AH1666">
        <f>VLOOKUP(A:A,[1]android_repos_all_metrics!B:K,9,FALSE)</f>
        <v>612</v>
      </c>
      <c r="AI1666">
        <f>VLOOKUP(A:A,[1]android_repos_all_metrics!B:K,10,FALSE)</f>
        <v>132</v>
      </c>
    </row>
    <row r="1667" spans="1:35">
      <c r="A1667" t="s">
        <v>1734</v>
      </c>
      <c r="B1667" t="b">
        <v>1</v>
      </c>
      <c r="C1667" t="b">
        <v>0</v>
      </c>
      <c r="D1667" t="b">
        <v>0</v>
      </c>
      <c r="F1667" t="b">
        <v>0</v>
      </c>
      <c r="H1667" t="s">
        <v>37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>
        <v>1</v>
      </c>
      <c r="AB1667">
        <v>0</v>
      </c>
      <c r="AC1667">
        <f>VLOOKUP(A:A,[1]android_repos_all_metrics!B:K,4,FALSE)</f>
        <v>69</v>
      </c>
      <c r="AD1667">
        <f>VLOOKUP(A:A,[1]android_repos_all_metrics!B:K,5,FALSE)</f>
        <v>22</v>
      </c>
      <c r="AE1667">
        <f>VLOOKUP(A:A,[1]android_repos_all_metrics!B:K,6,FALSE)</f>
        <v>4</v>
      </c>
      <c r="AF1667">
        <f>VLOOKUP(A:A,[1]android_repos_all_metrics!B:K,7,FALSE)</f>
        <v>206</v>
      </c>
      <c r="AG1667">
        <f>VLOOKUP(A:A,[1]android_repos_all_metrics!B:K,8,FALSE)</f>
        <v>4</v>
      </c>
      <c r="AH1667">
        <f>VLOOKUP(A:A,[1]android_repos_all_metrics!B:K,9,FALSE)</f>
        <v>4</v>
      </c>
      <c r="AI1667">
        <f>VLOOKUP(A:A,[1]android_repos_all_metrics!B:K,10,FALSE)</f>
        <v>5</v>
      </c>
    </row>
    <row r="1668" spans="1:35">
      <c r="A1668" t="s">
        <v>1735</v>
      </c>
      <c r="B1668" t="b">
        <v>1</v>
      </c>
      <c r="C1668" t="b">
        <v>0</v>
      </c>
      <c r="D1668" t="b">
        <v>0</v>
      </c>
      <c r="F1668" t="b">
        <v>0</v>
      </c>
      <c r="H1668" t="s">
        <v>37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>
        <v>4</v>
      </c>
      <c r="AB1668">
        <v>0</v>
      </c>
      <c r="AC1668">
        <f>VLOOKUP(A:A,[1]android_repos_all_metrics!B:K,4,FALSE)</f>
        <v>14</v>
      </c>
      <c r="AD1668">
        <f>VLOOKUP(A:A,[1]android_repos_all_metrics!B:K,5,FALSE)</f>
        <v>1</v>
      </c>
      <c r="AE1668">
        <f>VLOOKUP(A:A,[1]android_repos_all_metrics!B:K,6,FALSE)</f>
        <v>1</v>
      </c>
      <c r="AF1668">
        <f>VLOOKUP(A:A,[1]android_repos_all_metrics!B:K,7,FALSE)</f>
        <v>3979</v>
      </c>
      <c r="AG1668">
        <f>VLOOKUP(A:A,[1]android_repos_all_metrics!B:K,8,FALSE)</f>
        <v>0</v>
      </c>
      <c r="AH1668">
        <f>VLOOKUP(A:A,[1]android_repos_all_metrics!B:K,9,FALSE)</f>
        <v>2</v>
      </c>
      <c r="AI1668">
        <f>VLOOKUP(A:A,[1]android_repos_all_metrics!B:K,10,FALSE)</f>
        <v>0</v>
      </c>
    </row>
    <row r="1669" spans="1:35">
      <c r="A1669" t="s">
        <v>1736</v>
      </c>
      <c r="B1669" t="b">
        <v>1</v>
      </c>
      <c r="C1669" t="b">
        <v>0</v>
      </c>
      <c r="D1669" t="b">
        <v>0</v>
      </c>
      <c r="F1669" t="b">
        <v>0</v>
      </c>
      <c r="H1669" t="s">
        <v>37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>
        <v>1</v>
      </c>
      <c r="AB1669">
        <v>0</v>
      </c>
      <c r="AC1669">
        <f>VLOOKUP(A:A,[1]android_repos_all_metrics!B:K,4,FALSE)</f>
        <v>211</v>
      </c>
      <c r="AD1669">
        <f>VLOOKUP(A:A,[1]android_repos_all_metrics!B:K,5,FALSE)</f>
        <v>33</v>
      </c>
      <c r="AE1669">
        <f>VLOOKUP(A:A,[1]android_repos_all_metrics!B:K,6,FALSE)</f>
        <v>3</v>
      </c>
      <c r="AF1669">
        <f>VLOOKUP(A:A,[1]android_repos_all_metrics!B:K,7,FALSE)</f>
        <v>561</v>
      </c>
      <c r="AG1669">
        <f>VLOOKUP(A:A,[1]android_repos_all_metrics!B:K,8,FALSE)</f>
        <v>0</v>
      </c>
      <c r="AH1669">
        <f>VLOOKUP(A:A,[1]android_repos_all_metrics!B:K,9,FALSE)</f>
        <v>3</v>
      </c>
      <c r="AI1669">
        <f>VLOOKUP(A:A,[1]android_repos_all_metrics!B:K,10,FALSE)</f>
        <v>0</v>
      </c>
    </row>
    <row r="1670" spans="1:35">
      <c r="A1670" t="s">
        <v>1737</v>
      </c>
      <c r="B1670" t="b">
        <v>1</v>
      </c>
      <c r="C1670" t="b">
        <v>0</v>
      </c>
      <c r="D1670" t="b">
        <v>0</v>
      </c>
      <c r="F1670" t="b">
        <v>0</v>
      </c>
      <c r="H1670" t="s">
        <v>37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>
        <v>5</v>
      </c>
      <c r="AB1670">
        <v>0</v>
      </c>
      <c r="AC1670">
        <f>VLOOKUP(A:A,[1]android_repos_all_metrics!B:K,4,FALSE)</f>
        <v>448</v>
      </c>
      <c r="AD1670">
        <f>VLOOKUP(A:A,[1]android_repos_all_metrics!B:K,5,FALSE)</f>
        <v>239</v>
      </c>
      <c r="AE1670">
        <f>VLOOKUP(A:A,[1]android_repos_all_metrics!B:K,6,FALSE)</f>
        <v>30</v>
      </c>
      <c r="AF1670">
        <f>VLOOKUP(A:A,[1]android_repos_all_metrics!B:K,7,FALSE)</f>
        <v>3226</v>
      </c>
      <c r="AG1670">
        <f>VLOOKUP(A:A,[1]android_repos_all_metrics!B:K,8,FALSE)</f>
        <v>10</v>
      </c>
      <c r="AH1670">
        <f>VLOOKUP(A:A,[1]android_repos_all_metrics!B:K,9,FALSE)</f>
        <v>38</v>
      </c>
      <c r="AI1670">
        <f>VLOOKUP(A:A,[1]android_repos_all_metrics!B:K,10,FALSE)</f>
        <v>23</v>
      </c>
    </row>
    <row r="1671" spans="1:35">
      <c r="A1671" t="s">
        <v>1738</v>
      </c>
      <c r="B1671" t="b">
        <v>0</v>
      </c>
      <c r="C1671" t="b">
        <v>0</v>
      </c>
      <c r="D1671" t="b">
        <v>0</v>
      </c>
      <c r="F1671" t="b">
        <v>0</v>
      </c>
      <c r="H1671" t="s">
        <v>41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>
        <v>1</v>
      </c>
      <c r="AB1671">
        <v>0</v>
      </c>
      <c r="AC1671">
        <f>VLOOKUP(A:A,[1]android_repos_all_metrics!B:K,4,FALSE)</f>
        <v>235</v>
      </c>
      <c r="AD1671">
        <f>VLOOKUP(A:A,[1]android_repos_all_metrics!B:K,5,FALSE)</f>
        <v>12</v>
      </c>
      <c r="AE1671">
        <f>VLOOKUP(A:A,[1]android_repos_all_metrics!B:K,6,FALSE)</f>
        <v>9</v>
      </c>
      <c r="AF1671">
        <f>VLOOKUP(A:A,[1]android_repos_all_metrics!B:K,7,FALSE)</f>
        <v>2259</v>
      </c>
      <c r="AG1671">
        <f>VLOOKUP(A:A,[1]android_repos_all_metrics!B:K,8,FALSE)</f>
        <v>10</v>
      </c>
      <c r="AH1671">
        <f>VLOOKUP(A:A,[1]android_repos_all_metrics!B:K,9,FALSE)</f>
        <v>48</v>
      </c>
      <c r="AI1671">
        <f>VLOOKUP(A:A,[1]android_repos_all_metrics!B:K,10,FALSE)</f>
        <v>15</v>
      </c>
    </row>
    <row r="1672" spans="1:35">
      <c r="A1672" t="s">
        <v>1739</v>
      </c>
      <c r="B1672" t="b">
        <v>1</v>
      </c>
      <c r="C1672" t="b">
        <v>0</v>
      </c>
      <c r="D1672" t="b">
        <v>0</v>
      </c>
      <c r="F1672" t="b">
        <v>0</v>
      </c>
      <c r="H1672" t="s">
        <v>37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>
        <v>3</v>
      </c>
      <c r="AB1672">
        <v>0</v>
      </c>
      <c r="AC1672">
        <f>VLOOKUP(A:A,[1]android_repos_all_metrics!B:K,4,FALSE)</f>
        <v>3496</v>
      </c>
      <c r="AD1672">
        <f>VLOOKUP(A:A,[1]android_repos_all_metrics!B:K,5,FALSE)</f>
        <v>14</v>
      </c>
      <c r="AE1672">
        <f>VLOOKUP(A:A,[1]android_repos_all_metrics!B:K,6,FALSE)</f>
        <v>6</v>
      </c>
      <c r="AF1672">
        <f>VLOOKUP(A:A,[1]android_repos_all_metrics!B:K,7,FALSE)</f>
        <v>13034</v>
      </c>
      <c r="AG1672">
        <f>VLOOKUP(A:A,[1]android_repos_all_metrics!B:K,8,FALSE)</f>
        <v>5</v>
      </c>
      <c r="AH1672">
        <f>VLOOKUP(A:A,[1]android_repos_all_metrics!B:K,9,FALSE)</f>
        <v>121</v>
      </c>
      <c r="AI1672">
        <f>VLOOKUP(A:A,[1]android_repos_all_metrics!B:K,10,FALSE)</f>
        <v>26</v>
      </c>
    </row>
    <row r="1673" spans="1:35">
      <c r="A1673" t="s">
        <v>1740</v>
      </c>
      <c r="B1673" t="b">
        <v>1</v>
      </c>
      <c r="C1673" t="b">
        <v>1</v>
      </c>
      <c r="D1673" t="b">
        <v>0</v>
      </c>
      <c r="F1673" t="b">
        <v>1</v>
      </c>
      <c r="G1673" t="s">
        <v>39</v>
      </c>
      <c r="H1673" t="s">
        <v>86</v>
      </c>
      <c r="I1673" t="s">
        <v>41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>
        <v>2</v>
      </c>
      <c r="AB1673">
        <v>0</v>
      </c>
      <c r="AC1673">
        <f>VLOOKUP(A:A,[1]android_repos_all_metrics!B:K,4,FALSE)</f>
        <v>57</v>
      </c>
      <c r="AD1673">
        <f>VLOOKUP(A:A,[1]android_repos_all_metrics!B:K,5,FALSE)</f>
        <v>3</v>
      </c>
      <c r="AE1673">
        <f>VLOOKUP(A:A,[1]android_repos_all_metrics!B:K,6,FALSE)</f>
        <v>2</v>
      </c>
      <c r="AF1673">
        <f>VLOOKUP(A:A,[1]android_repos_all_metrics!B:K,7,FALSE)</f>
        <v>8368</v>
      </c>
      <c r="AG1673">
        <f>VLOOKUP(A:A,[1]android_repos_all_metrics!B:K,8,FALSE)</f>
        <v>4</v>
      </c>
      <c r="AH1673">
        <f>VLOOKUP(A:A,[1]android_repos_all_metrics!B:K,9,FALSE)</f>
        <v>11</v>
      </c>
      <c r="AI1673">
        <f>VLOOKUP(A:A,[1]android_repos_all_metrics!B:K,10,FALSE)</f>
        <v>0</v>
      </c>
    </row>
    <row r="1674" spans="1:35">
      <c r="A1674" t="s">
        <v>1741</v>
      </c>
      <c r="B1674" t="b">
        <v>1</v>
      </c>
      <c r="C1674" t="b">
        <v>0</v>
      </c>
      <c r="D1674" t="b">
        <v>0</v>
      </c>
      <c r="F1674" t="b">
        <v>0</v>
      </c>
      <c r="H1674" t="s">
        <v>37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>
        <v>1</v>
      </c>
      <c r="AB1674">
        <v>0</v>
      </c>
      <c r="AC1674">
        <f>VLOOKUP(A:A,[1]android_repos_all_metrics!B:K,4,FALSE)</f>
        <v>44</v>
      </c>
      <c r="AD1674">
        <f>VLOOKUP(A:A,[1]android_repos_all_metrics!B:K,5,FALSE)</f>
        <v>10</v>
      </c>
      <c r="AE1674">
        <f>VLOOKUP(A:A,[1]android_repos_all_metrics!B:K,6,FALSE)</f>
        <v>3</v>
      </c>
      <c r="AF1674">
        <f>VLOOKUP(A:A,[1]android_repos_all_metrics!B:K,7,FALSE)</f>
        <v>17737</v>
      </c>
      <c r="AG1674">
        <f>VLOOKUP(A:A,[1]android_repos_all_metrics!B:K,8,FALSE)</f>
        <v>0</v>
      </c>
      <c r="AH1674">
        <f>VLOOKUP(A:A,[1]android_repos_all_metrics!B:K,9,FALSE)</f>
        <v>3</v>
      </c>
      <c r="AI1674">
        <f>VLOOKUP(A:A,[1]android_repos_all_metrics!B:K,10,FALSE)</f>
        <v>0</v>
      </c>
    </row>
    <row r="1675" spans="1:35">
      <c r="A1675" t="s">
        <v>1742</v>
      </c>
      <c r="B1675" t="b">
        <v>1</v>
      </c>
      <c r="C1675" t="b">
        <v>1</v>
      </c>
      <c r="D1675" t="b">
        <v>1</v>
      </c>
      <c r="E1675" t="s">
        <v>36</v>
      </c>
      <c r="F1675" t="b">
        <v>0</v>
      </c>
      <c r="H1675" t="s">
        <v>37</v>
      </c>
      <c r="I1675" t="s">
        <v>37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>
        <v>4</v>
      </c>
      <c r="AB1675">
        <v>0</v>
      </c>
      <c r="AC1675">
        <f>VLOOKUP(A:A,[1]android_repos_all_metrics!B:K,4,FALSE)</f>
        <v>339</v>
      </c>
      <c r="AD1675">
        <f>VLOOKUP(A:A,[1]android_repos_all_metrics!B:K,5,FALSE)</f>
        <v>263</v>
      </c>
      <c r="AE1675">
        <f>VLOOKUP(A:A,[1]android_repos_all_metrics!B:K,6,FALSE)</f>
        <v>4</v>
      </c>
      <c r="AF1675">
        <f>VLOOKUP(A:A,[1]android_repos_all_metrics!B:K,7,FALSE)</f>
        <v>30963</v>
      </c>
      <c r="AG1675">
        <f>VLOOKUP(A:A,[1]android_repos_all_metrics!B:K,8,FALSE)</f>
        <v>17</v>
      </c>
      <c r="AH1675">
        <f>VLOOKUP(A:A,[1]android_repos_all_metrics!B:K,9,FALSE)</f>
        <v>42</v>
      </c>
      <c r="AI1675">
        <f>VLOOKUP(A:A,[1]android_repos_all_metrics!B:K,10,FALSE)</f>
        <v>34</v>
      </c>
    </row>
    <row r="1676" spans="1:35">
      <c r="A1676" t="s">
        <v>1743</v>
      </c>
      <c r="B1676" t="b">
        <v>1</v>
      </c>
      <c r="C1676" t="b">
        <v>0</v>
      </c>
      <c r="D1676" t="b">
        <v>0</v>
      </c>
      <c r="F1676" t="b">
        <v>0</v>
      </c>
      <c r="H1676" t="s">
        <v>37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>
        <v>4</v>
      </c>
      <c r="AB1676">
        <v>0</v>
      </c>
      <c r="AC1676">
        <f>VLOOKUP(A:A,[1]android_repos_all_metrics!B:K,4,FALSE)</f>
        <v>869</v>
      </c>
      <c r="AD1676">
        <f>VLOOKUP(A:A,[1]android_repos_all_metrics!B:K,5,FALSE)</f>
        <v>102</v>
      </c>
      <c r="AE1676">
        <f>VLOOKUP(A:A,[1]android_repos_all_metrics!B:K,6,FALSE)</f>
        <v>25</v>
      </c>
      <c r="AF1676">
        <f>VLOOKUP(A:A,[1]android_repos_all_metrics!B:K,7,FALSE)</f>
        <v>4980</v>
      </c>
      <c r="AG1676">
        <f>VLOOKUP(A:A,[1]android_repos_all_metrics!B:K,8,FALSE)</f>
        <v>30</v>
      </c>
      <c r="AH1676">
        <f>VLOOKUP(A:A,[1]android_repos_all_metrics!B:K,9,FALSE)</f>
        <v>283</v>
      </c>
      <c r="AI1676">
        <f>VLOOKUP(A:A,[1]android_repos_all_metrics!B:K,10,FALSE)</f>
        <v>23</v>
      </c>
    </row>
    <row r="1677" spans="1:35">
      <c r="A1677" t="s">
        <v>1744</v>
      </c>
      <c r="B1677" t="b">
        <v>1</v>
      </c>
      <c r="C1677" t="b">
        <v>0</v>
      </c>
      <c r="D1677" t="b">
        <v>0</v>
      </c>
      <c r="F1677" t="b">
        <v>0</v>
      </c>
      <c r="H1677" t="s">
        <v>37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>
        <v>2</v>
      </c>
      <c r="AB1677">
        <v>0</v>
      </c>
      <c r="AC1677">
        <f>VLOOKUP(A:A,[1]android_repos_all_metrics!B:K,4,FALSE)</f>
        <v>372</v>
      </c>
      <c r="AD1677">
        <f>VLOOKUP(A:A,[1]android_repos_all_metrics!B:K,5,FALSE)</f>
        <v>45</v>
      </c>
      <c r="AE1677">
        <f>VLOOKUP(A:A,[1]android_repos_all_metrics!B:K,6,FALSE)</f>
        <v>3</v>
      </c>
      <c r="AF1677">
        <f>VLOOKUP(A:A,[1]android_repos_all_metrics!B:K,7,FALSE)</f>
        <v>4724</v>
      </c>
      <c r="AG1677">
        <f>VLOOKUP(A:A,[1]android_repos_all_metrics!B:K,8,FALSE)</f>
        <v>29</v>
      </c>
      <c r="AH1677">
        <f>VLOOKUP(A:A,[1]android_repos_all_metrics!B:K,9,FALSE)</f>
        <v>301</v>
      </c>
      <c r="AI1677">
        <f>VLOOKUP(A:A,[1]android_repos_all_metrics!B:K,10,FALSE)</f>
        <v>14</v>
      </c>
    </row>
    <row r="1678" spans="1:35">
      <c r="A1678" t="s">
        <v>1745</v>
      </c>
      <c r="B1678" t="b">
        <v>1</v>
      </c>
      <c r="C1678" t="b">
        <v>0</v>
      </c>
      <c r="D1678" t="b">
        <v>0</v>
      </c>
      <c r="F1678" t="b">
        <v>0</v>
      </c>
      <c r="H1678" t="s">
        <v>37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>
        <v>2</v>
      </c>
      <c r="AB1678">
        <v>0</v>
      </c>
      <c r="AC1678">
        <f>VLOOKUP(A:A,[1]android_repos_all_metrics!B:K,4,FALSE)</f>
        <v>85</v>
      </c>
      <c r="AD1678">
        <f>VLOOKUP(A:A,[1]android_repos_all_metrics!B:K,5,FALSE)</f>
        <v>4</v>
      </c>
      <c r="AE1678">
        <f>VLOOKUP(A:A,[1]android_repos_all_metrics!B:K,6,FALSE)</f>
        <v>3</v>
      </c>
      <c r="AF1678">
        <f>VLOOKUP(A:A,[1]android_repos_all_metrics!B:K,7,FALSE)</f>
        <v>6827</v>
      </c>
      <c r="AG1678">
        <f>VLOOKUP(A:A,[1]android_repos_all_metrics!B:K,8,FALSE)</f>
        <v>0</v>
      </c>
      <c r="AH1678">
        <f>VLOOKUP(A:A,[1]android_repos_all_metrics!B:K,9,FALSE)</f>
        <v>5</v>
      </c>
      <c r="AI1678">
        <f>VLOOKUP(A:A,[1]android_repos_all_metrics!B:K,10,FALSE)</f>
        <v>2</v>
      </c>
    </row>
    <row r="1679" spans="1:35">
      <c r="A1679" t="s">
        <v>1746</v>
      </c>
      <c r="B1679" t="b">
        <v>1</v>
      </c>
      <c r="C1679" t="b">
        <v>0</v>
      </c>
      <c r="D1679" t="b">
        <v>0</v>
      </c>
      <c r="F1679" t="b">
        <v>0</v>
      </c>
      <c r="H1679" t="s">
        <v>41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>
        <v>1</v>
      </c>
      <c r="AB1679">
        <v>0</v>
      </c>
      <c r="AC1679">
        <f>VLOOKUP(A:A,[1]android_repos_all_metrics!B:K,4,FALSE)</f>
        <v>557</v>
      </c>
      <c r="AD1679">
        <f>VLOOKUP(A:A,[1]android_repos_all_metrics!B:K,5,FALSE)</f>
        <v>0</v>
      </c>
      <c r="AE1679">
        <f>VLOOKUP(A:A,[1]android_repos_all_metrics!B:K,6,FALSE)</f>
        <v>4</v>
      </c>
      <c r="AF1679">
        <f>VLOOKUP(A:A,[1]android_repos_all_metrics!B:K,7,FALSE)</f>
        <v>5277</v>
      </c>
      <c r="AG1679">
        <f>VLOOKUP(A:A,[1]android_repos_all_metrics!B:K,8,FALSE)</f>
        <v>16</v>
      </c>
      <c r="AH1679">
        <f>VLOOKUP(A:A,[1]android_repos_all_metrics!B:K,9,FALSE)</f>
        <v>33</v>
      </c>
      <c r="AI1679">
        <f>VLOOKUP(A:A,[1]android_repos_all_metrics!B:K,10,FALSE)</f>
        <v>5</v>
      </c>
    </row>
    <row r="1680" spans="1:35">
      <c r="A1680" t="s">
        <v>1747</v>
      </c>
      <c r="B1680" t="b">
        <v>1</v>
      </c>
      <c r="C1680" t="b">
        <v>0</v>
      </c>
      <c r="D1680" t="b">
        <v>0</v>
      </c>
      <c r="F1680" t="b">
        <v>0</v>
      </c>
      <c r="H1680" t="s">
        <v>37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>
        <v>1</v>
      </c>
      <c r="AB1680">
        <v>0</v>
      </c>
      <c r="AC1680">
        <f>VLOOKUP(A:A,[1]android_repos_all_metrics!B:K,4,FALSE)</f>
        <v>391</v>
      </c>
      <c r="AD1680">
        <f>VLOOKUP(A:A,[1]android_repos_all_metrics!B:K,5,FALSE)</f>
        <v>70</v>
      </c>
      <c r="AE1680">
        <f>VLOOKUP(A:A,[1]android_repos_all_metrics!B:K,6,FALSE)</f>
        <v>2</v>
      </c>
      <c r="AF1680">
        <f>VLOOKUP(A:A,[1]android_repos_all_metrics!B:K,7,FALSE)</f>
        <v>34129</v>
      </c>
      <c r="AG1680">
        <f>VLOOKUP(A:A,[1]android_repos_all_metrics!B:K,8,FALSE)</f>
        <v>15</v>
      </c>
      <c r="AH1680">
        <f>VLOOKUP(A:A,[1]android_repos_all_metrics!B:K,9,FALSE)</f>
        <v>76</v>
      </c>
      <c r="AI1680">
        <f>VLOOKUP(A:A,[1]android_repos_all_metrics!B:K,10,FALSE)</f>
        <v>5</v>
      </c>
    </row>
    <row r="1681" spans="1:35">
      <c r="A1681" t="s">
        <v>1748</v>
      </c>
      <c r="B1681" t="b">
        <v>1</v>
      </c>
      <c r="C1681" t="b">
        <v>0</v>
      </c>
      <c r="D1681" t="b">
        <v>0</v>
      </c>
      <c r="F1681" t="b">
        <v>0</v>
      </c>
      <c r="H1681" t="s">
        <v>37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>
        <v>3</v>
      </c>
      <c r="AB1681">
        <v>0</v>
      </c>
      <c r="AC1681">
        <f>VLOOKUP(A:A,[1]android_repos_all_metrics!B:K,4,FALSE)</f>
        <v>8491</v>
      </c>
      <c r="AD1681">
        <f>VLOOKUP(A:A,[1]android_repos_all_metrics!B:K,5,FALSE)</f>
        <v>1128</v>
      </c>
      <c r="AE1681">
        <f>VLOOKUP(A:A,[1]android_repos_all_metrics!B:K,6,FALSE)</f>
        <v>16</v>
      </c>
      <c r="AF1681">
        <f>VLOOKUP(A:A,[1]android_repos_all_metrics!B:K,7,FALSE)</f>
        <v>324305</v>
      </c>
      <c r="AG1681">
        <f>VLOOKUP(A:A,[1]android_repos_all_metrics!B:K,8,FALSE)</f>
        <v>18</v>
      </c>
      <c r="AH1681">
        <f>VLOOKUP(A:A,[1]android_repos_all_metrics!B:K,9,FALSE)</f>
        <v>342</v>
      </c>
      <c r="AI1681">
        <f>VLOOKUP(A:A,[1]android_repos_all_metrics!B:K,10,FALSE)</f>
        <v>35</v>
      </c>
    </row>
    <row r="1682" spans="1:35">
      <c r="A1682" t="s">
        <v>1749</v>
      </c>
      <c r="B1682" t="b">
        <v>0</v>
      </c>
      <c r="C1682" t="b">
        <v>0</v>
      </c>
      <c r="D1682" t="b">
        <v>0</v>
      </c>
      <c r="F1682" t="b">
        <v>0</v>
      </c>
      <c r="H1682" t="s">
        <v>41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>
        <v>1</v>
      </c>
      <c r="AB1682">
        <v>0</v>
      </c>
      <c r="AC1682">
        <f>VLOOKUP(A:A,[1]android_repos_all_metrics!B:K,4,FALSE)</f>
        <v>373</v>
      </c>
      <c r="AD1682">
        <f>VLOOKUP(A:A,[1]android_repos_all_metrics!B:K,5,FALSE)</f>
        <v>5</v>
      </c>
      <c r="AE1682">
        <f>VLOOKUP(A:A,[1]android_repos_all_metrics!B:K,6,FALSE)</f>
        <v>7</v>
      </c>
      <c r="AF1682">
        <f>VLOOKUP(A:A,[1]android_repos_all_metrics!B:K,7,FALSE)</f>
        <v>3210</v>
      </c>
      <c r="AG1682">
        <f>VLOOKUP(A:A,[1]android_repos_all_metrics!B:K,8,FALSE)</f>
        <v>286</v>
      </c>
      <c r="AH1682">
        <f>VLOOKUP(A:A,[1]android_repos_all_metrics!B:K,9,FALSE)</f>
        <v>957</v>
      </c>
      <c r="AI1682">
        <f>VLOOKUP(A:A,[1]android_repos_all_metrics!B:K,10,FALSE)</f>
        <v>5</v>
      </c>
    </row>
    <row r="1683" spans="1:35">
      <c r="A1683" t="s">
        <v>1750</v>
      </c>
      <c r="B1683" t="b">
        <v>1</v>
      </c>
      <c r="C1683" t="b">
        <v>0</v>
      </c>
      <c r="D1683" t="b">
        <v>0</v>
      </c>
      <c r="F1683" t="b">
        <v>0</v>
      </c>
      <c r="H1683" t="s">
        <v>37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>
        <v>1</v>
      </c>
      <c r="AB1683">
        <v>0</v>
      </c>
      <c r="AC1683">
        <f>VLOOKUP(A:A,[1]android_repos_all_metrics!B:K,4,FALSE)</f>
        <v>37</v>
      </c>
      <c r="AD1683">
        <f>VLOOKUP(A:A,[1]android_repos_all_metrics!B:K,5,FALSE)</f>
        <v>0</v>
      </c>
      <c r="AE1683">
        <f>VLOOKUP(A:A,[1]android_repos_all_metrics!B:K,6,FALSE)</f>
        <v>1</v>
      </c>
      <c r="AF1683">
        <f>VLOOKUP(A:A,[1]android_repos_all_metrics!B:K,7,FALSE)</f>
        <v>11233</v>
      </c>
      <c r="AG1683">
        <f>VLOOKUP(A:A,[1]android_repos_all_metrics!B:K,8,FALSE)</f>
        <v>3</v>
      </c>
      <c r="AH1683">
        <f>VLOOKUP(A:A,[1]android_repos_all_metrics!B:K,9,FALSE)</f>
        <v>9</v>
      </c>
      <c r="AI1683">
        <f>VLOOKUP(A:A,[1]android_repos_all_metrics!B:K,10,FALSE)</f>
        <v>0</v>
      </c>
    </row>
    <row r="1684" spans="1:35">
      <c r="A1684" t="s">
        <v>1751</v>
      </c>
      <c r="B1684" t="b">
        <v>1</v>
      </c>
      <c r="C1684" t="b">
        <v>0</v>
      </c>
      <c r="D1684" t="b">
        <v>0</v>
      </c>
      <c r="F1684" t="b">
        <v>0</v>
      </c>
      <c r="H1684" t="s">
        <v>37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>
        <v>3</v>
      </c>
      <c r="AB1684">
        <v>0</v>
      </c>
      <c r="AC1684">
        <f>VLOOKUP(A:A,[1]android_repos_all_metrics!B:K,4,FALSE)</f>
        <v>300</v>
      </c>
      <c r="AD1684">
        <f>VLOOKUP(A:A,[1]android_repos_all_metrics!B:K,5,FALSE)</f>
        <v>22</v>
      </c>
      <c r="AE1684">
        <f>VLOOKUP(A:A,[1]android_repos_all_metrics!B:K,6,FALSE)</f>
        <v>11</v>
      </c>
      <c r="AF1684">
        <f>VLOOKUP(A:A,[1]android_repos_all_metrics!B:K,7,FALSE)</f>
        <v>2733</v>
      </c>
      <c r="AG1684">
        <f>VLOOKUP(A:A,[1]android_repos_all_metrics!B:K,8,FALSE)</f>
        <v>5</v>
      </c>
      <c r="AH1684">
        <f>VLOOKUP(A:A,[1]android_repos_all_metrics!B:K,9,FALSE)</f>
        <v>14</v>
      </c>
      <c r="AI1684">
        <f>VLOOKUP(A:A,[1]android_repos_all_metrics!B:K,10,FALSE)</f>
        <v>1</v>
      </c>
    </row>
    <row r="1685" spans="1:35">
      <c r="A1685" t="s">
        <v>1752</v>
      </c>
      <c r="B1685" t="b">
        <v>1</v>
      </c>
      <c r="C1685" t="b">
        <v>1</v>
      </c>
      <c r="D1685" t="b">
        <v>0</v>
      </c>
      <c r="F1685" t="b">
        <v>1</v>
      </c>
      <c r="G1685" t="s">
        <v>39</v>
      </c>
      <c r="H1685" t="s">
        <v>86</v>
      </c>
      <c r="I1685" t="s">
        <v>41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>
        <v>2</v>
      </c>
      <c r="AB1685">
        <v>0</v>
      </c>
      <c r="AC1685">
        <f>VLOOKUP(A:A,[1]android_repos_all_metrics!B:K,4,FALSE)</f>
        <v>108</v>
      </c>
      <c r="AD1685">
        <f>VLOOKUP(A:A,[1]android_repos_all_metrics!B:K,5,FALSE)</f>
        <v>8</v>
      </c>
      <c r="AE1685">
        <f>VLOOKUP(A:A,[1]android_repos_all_metrics!B:K,6,FALSE)</f>
        <v>2</v>
      </c>
      <c r="AF1685">
        <f>VLOOKUP(A:A,[1]android_repos_all_metrics!B:K,7,FALSE)</f>
        <v>934</v>
      </c>
      <c r="AG1685">
        <f>VLOOKUP(A:A,[1]android_repos_all_metrics!B:K,8,FALSE)</f>
        <v>1</v>
      </c>
      <c r="AH1685">
        <f>VLOOKUP(A:A,[1]android_repos_all_metrics!B:K,9,FALSE)</f>
        <v>3</v>
      </c>
      <c r="AI1685">
        <f>VLOOKUP(A:A,[1]android_repos_all_metrics!B:K,10,FALSE)</f>
        <v>0</v>
      </c>
    </row>
    <row r="1686" spans="1:35">
      <c r="A1686" t="s">
        <v>1753</v>
      </c>
      <c r="B1686" t="b">
        <v>1</v>
      </c>
      <c r="C1686" t="b">
        <v>0</v>
      </c>
      <c r="D1686" t="b">
        <v>0</v>
      </c>
      <c r="F1686" t="b">
        <v>0</v>
      </c>
      <c r="H1686" t="s">
        <v>37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>
        <v>4</v>
      </c>
      <c r="AB1686">
        <v>0</v>
      </c>
      <c r="AC1686">
        <f>VLOOKUP(A:A,[1]android_repos_all_metrics!B:K,4,FALSE)</f>
        <v>229</v>
      </c>
      <c r="AD1686">
        <f>VLOOKUP(A:A,[1]android_repos_all_metrics!B:K,5,FALSE)</f>
        <v>9</v>
      </c>
      <c r="AE1686">
        <f>VLOOKUP(A:A,[1]android_repos_all_metrics!B:K,6,FALSE)</f>
        <v>3</v>
      </c>
      <c r="AF1686">
        <f>VLOOKUP(A:A,[1]android_repos_all_metrics!B:K,7,FALSE)</f>
        <v>12441</v>
      </c>
      <c r="AG1686">
        <f>VLOOKUP(A:A,[1]android_repos_all_metrics!B:K,8,FALSE)</f>
        <v>39</v>
      </c>
      <c r="AH1686">
        <f>VLOOKUP(A:A,[1]android_repos_all_metrics!B:K,9,FALSE)</f>
        <v>287</v>
      </c>
      <c r="AI1686">
        <f>VLOOKUP(A:A,[1]android_repos_all_metrics!B:K,10,FALSE)</f>
        <v>0</v>
      </c>
    </row>
    <row r="1687" spans="1:35">
      <c r="A1687" t="s">
        <v>1754</v>
      </c>
      <c r="B1687" t="b">
        <v>1</v>
      </c>
      <c r="C1687" t="b">
        <v>0</v>
      </c>
      <c r="D1687" t="b">
        <v>0</v>
      </c>
      <c r="F1687" t="b">
        <v>0</v>
      </c>
      <c r="H1687" t="s">
        <v>41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>
        <v>1</v>
      </c>
      <c r="AB1687">
        <v>0</v>
      </c>
      <c r="AC1687">
        <f>VLOOKUP(A:A,[1]android_repos_all_metrics!B:K,4,FALSE)</f>
        <v>178</v>
      </c>
      <c r="AD1687">
        <f>VLOOKUP(A:A,[1]android_repos_all_metrics!B:K,5,FALSE)</f>
        <v>0</v>
      </c>
      <c r="AE1687">
        <f>VLOOKUP(A:A,[1]android_repos_all_metrics!B:K,6,FALSE)</f>
        <v>1</v>
      </c>
      <c r="AF1687">
        <f>VLOOKUP(A:A,[1]android_repos_all_metrics!B:K,7,FALSE)</f>
        <v>4824</v>
      </c>
      <c r="AG1687">
        <f>VLOOKUP(A:A,[1]android_repos_all_metrics!B:K,8,FALSE)</f>
        <v>1</v>
      </c>
      <c r="AH1687">
        <f>VLOOKUP(A:A,[1]android_repos_all_metrics!B:K,9,FALSE)</f>
        <v>6</v>
      </c>
      <c r="AI1687">
        <f>VLOOKUP(A:A,[1]android_repos_all_metrics!B:K,10,FALSE)</f>
        <v>0</v>
      </c>
    </row>
    <row r="1688" spans="1:35">
      <c r="A1688" t="s">
        <v>1755</v>
      </c>
      <c r="B1688" t="b">
        <v>1</v>
      </c>
      <c r="C1688" t="b">
        <v>0</v>
      </c>
      <c r="D1688" t="b">
        <v>0</v>
      </c>
      <c r="F1688" t="b">
        <v>0</v>
      </c>
      <c r="H1688" t="s">
        <v>37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>
        <v>9</v>
      </c>
      <c r="AB1688">
        <v>0</v>
      </c>
      <c r="AC1688">
        <f>VLOOKUP(A:A,[1]android_repos_all_metrics!B:K,4,FALSE)</f>
        <v>158</v>
      </c>
      <c r="AD1688">
        <f>VLOOKUP(A:A,[1]android_repos_all_metrics!B:K,5,FALSE)</f>
        <v>178</v>
      </c>
      <c r="AE1688">
        <f>VLOOKUP(A:A,[1]android_repos_all_metrics!B:K,6,FALSE)</f>
        <v>2</v>
      </c>
      <c r="AF1688">
        <f>VLOOKUP(A:A,[1]android_repos_all_metrics!B:K,7,FALSE)</f>
        <v>4605</v>
      </c>
      <c r="AG1688">
        <f>VLOOKUP(A:A,[1]android_repos_all_metrics!B:K,8,FALSE)</f>
        <v>13</v>
      </c>
      <c r="AH1688">
        <f>VLOOKUP(A:A,[1]android_repos_all_metrics!B:K,9,FALSE)</f>
        <v>94</v>
      </c>
      <c r="AI1688">
        <f>VLOOKUP(A:A,[1]android_repos_all_metrics!B:K,10,FALSE)</f>
        <v>10</v>
      </c>
    </row>
    <row r="1689" spans="1:35">
      <c r="A1689" t="s">
        <v>1756</v>
      </c>
      <c r="B1689" t="b">
        <v>1</v>
      </c>
      <c r="C1689" t="b">
        <v>0</v>
      </c>
      <c r="D1689" t="b">
        <v>0</v>
      </c>
      <c r="F1689" t="b">
        <v>0</v>
      </c>
      <c r="H1689" t="s">
        <v>37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>
        <v>1</v>
      </c>
      <c r="AB1689">
        <v>0</v>
      </c>
      <c r="AC1689">
        <f>VLOOKUP(A:A,[1]android_repos_all_metrics!B:K,4,FALSE)</f>
        <v>234</v>
      </c>
      <c r="AD1689">
        <f>VLOOKUP(A:A,[1]android_repos_all_metrics!B:K,5,FALSE)</f>
        <v>5</v>
      </c>
      <c r="AE1689">
        <f>VLOOKUP(A:A,[1]android_repos_all_metrics!B:K,6,FALSE)</f>
        <v>1</v>
      </c>
      <c r="AF1689">
        <f>VLOOKUP(A:A,[1]android_repos_all_metrics!B:K,7,FALSE)</f>
        <v>4371</v>
      </c>
      <c r="AG1689">
        <f>VLOOKUP(A:A,[1]android_repos_all_metrics!B:K,8,FALSE)</f>
        <v>248</v>
      </c>
      <c r="AH1689">
        <f>VLOOKUP(A:A,[1]android_repos_all_metrics!B:K,9,FALSE)</f>
        <v>3427</v>
      </c>
      <c r="AI1689">
        <f>VLOOKUP(A:A,[1]android_repos_all_metrics!B:K,10,FALSE)</f>
        <v>32</v>
      </c>
    </row>
    <row r="1690" spans="1:35">
      <c r="A1690" t="s">
        <v>1757</v>
      </c>
      <c r="B1690" t="b">
        <v>1</v>
      </c>
      <c r="C1690" t="b">
        <v>0</v>
      </c>
      <c r="D1690" t="b">
        <v>0</v>
      </c>
      <c r="F1690" t="b">
        <v>0</v>
      </c>
      <c r="H1690" t="s">
        <v>37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>
        <v>3</v>
      </c>
      <c r="AB1690">
        <v>0</v>
      </c>
      <c r="AC1690">
        <f>VLOOKUP(A:A,[1]android_repos_all_metrics!B:K,4,FALSE)</f>
        <v>101</v>
      </c>
      <c r="AD1690">
        <f>VLOOKUP(A:A,[1]android_repos_all_metrics!B:K,5,FALSE)</f>
        <v>2</v>
      </c>
      <c r="AE1690">
        <f>VLOOKUP(A:A,[1]android_repos_all_metrics!B:K,6,FALSE)</f>
        <v>2</v>
      </c>
      <c r="AF1690">
        <f>VLOOKUP(A:A,[1]android_repos_all_metrics!B:K,7,FALSE)</f>
        <v>2118</v>
      </c>
      <c r="AG1690">
        <f>VLOOKUP(A:A,[1]android_repos_all_metrics!B:K,8,FALSE)</f>
        <v>2</v>
      </c>
      <c r="AH1690">
        <f>VLOOKUP(A:A,[1]android_repos_all_metrics!B:K,9,FALSE)</f>
        <v>54</v>
      </c>
      <c r="AI1690">
        <f>VLOOKUP(A:A,[1]android_repos_all_metrics!B:K,10,FALSE)</f>
        <v>8</v>
      </c>
    </row>
    <row r="1691" spans="1:35">
      <c r="A1691" t="s">
        <v>1758</v>
      </c>
      <c r="B1691" t="b">
        <v>1</v>
      </c>
      <c r="C1691" t="b">
        <v>1</v>
      </c>
      <c r="D1691" t="b">
        <v>0</v>
      </c>
      <c r="F1691" t="b">
        <v>1</v>
      </c>
      <c r="G1691" t="s">
        <v>39</v>
      </c>
      <c r="H1691" t="s">
        <v>41</v>
      </c>
      <c r="I1691" t="s">
        <v>41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>
        <v>1</v>
      </c>
      <c r="AB1691">
        <v>0</v>
      </c>
      <c r="AC1691">
        <f>VLOOKUP(A:A,[1]android_repos_all_metrics!B:K,4,FALSE)</f>
        <v>942</v>
      </c>
      <c r="AD1691">
        <f>VLOOKUP(A:A,[1]android_repos_all_metrics!B:K,5,FALSE)</f>
        <v>24</v>
      </c>
      <c r="AE1691">
        <f>VLOOKUP(A:A,[1]android_repos_all_metrics!B:K,6,FALSE)</f>
        <v>9</v>
      </c>
      <c r="AF1691">
        <f>VLOOKUP(A:A,[1]android_repos_all_metrics!B:K,7,FALSE)</f>
        <v>19170</v>
      </c>
      <c r="AG1691">
        <f>VLOOKUP(A:A,[1]android_repos_all_metrics!B:K,8,FALSE)</f>
        <v>62</v>
      </c>
      <c r="AH1691">
        <f>VLOOKUP(A:A,[1]android_repos_all_metrics!B:K,9,FALSE)</f>
        <v>297</v>
      </c>
      <c r="AI1691">
        <f>VLOOKUP(A:A,[1]android_repos_all_metrics!B:K,10,FALSE)</f>
        <v>40</v>
      </c>
    </row>
    <row r="1692" spans="1:35">
      <c r="A1692" t="s">
        <v>1759</v>
      </c>
      <c r="B1692" t="b">
        <v>1</v>
      </c>
      <c r="C1692" t="b">
        <v>0</v>
      </c>
      <c r="D1692" t="b">
        <v>0</v>
      </c>
      <c r="F1692" t="b">
        <v>0</v>
      </c>
      <c r="H1692" t="s">
        <v>37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>
        <v>1</v>
      </c>
      <c r="AB1692">
        <v>0</v>
      </c>
      <c r="AC1692">
        <f>VLOOKUP(A:A,[1]android_repos_all_metrics!B:K,4,FALSE)</f>
        <v>72</v>
      </c>
      <c r="AD1692">
        <f>VLOOKUP(A:A,[1]android_repos_all_metrics!B:K,5,FALSE)</f>
        <v>5</v>
      </c>
      <c r="AE1692">
        <f>VLOOKUP(A:A,[1]android_repos_all_metrics!B:K,6,FALSE)</f>
        <v>2</v>
      </c>
      <c r="AF1692">
        <f>VLOOKUP(A:A,[1]android_repos_all_metrics!B:K,7,FALSE)</f>
        <v>1592</v>
      </c>
      <c r="AG1692">
        <f>VLOOKUP(A:A,[1]android_repos_all_metrics!B:K,8,FALSE)</f>
        <v>8</v>
      </c>
      <c r="AH1692">
        <f>VLOOKUP(A:A,[1]android_repos_all_metrics!B:K,9,FALSE)</f>
        <v>51</v>
      </c>
      <c r="AI1692">
        <f>VLOOKUP(A:A,[1]android_repos_all_metrics!B:K,10,FALSE)</f>
        <v>2</v>
      </c>
    </row>
    <row r="1693" spans="1:35">
      <c r="A1693" t="s">
        <v>1760</v>
      </c>
      <c r="B1693" t="b">
        <v>1</v>
      </c>
      <c r="C1693" t="b">
        <v>0</v>
      </c>
      <c r="D1693" t="b">
        <v>0</v>
      </c>
      <c r="F1693" t="b">
        <v>0</v>
      </c>
      <c r="H1693" t="s">
        <v>41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>
        <v>1</v>
      </c>
      <c r="AB1693">
        <v>0</v>
      </c>
      <c r="AC1693">
        <f>VLOOKUP(A:A,[1]android_repos_all_metrics!B:K,4,FALSE)</f>
        <v>199</v>
      </c>
      <c r="AD1693">
        <f>VLOOKUP(A:A,[1]android_repos_all_metrics!B:K,5,FALSE)</f>
        <v>205</v>
      </c>
      <c r="AE1693">
        <f>VLOOKUP(A:A,[1]android_repos_all_metrics!B:K,6,FALSE)</f>
        <v>6</v>
      </c>
      <c r="AF1693">
        <f>VLOOKUP(A:A,[1]android_repos_all_metrics!B:K,7,FALSE)</f>
        <v>27010</v>
      </c>
      <c r="AG1693">
        <f>VLOOKUP(A:A,[1]android_repos_all_metrics!B:K,8,FALSE)</f>
        <v>2</v>
      </c>
      <c r="AH1693">
        <f>VLOOKUP(A:A,[1]android_repos_all_metrics!B:K,9,FALSE)</f>
        <v>9</v>
      </c>
      <c r="AI1693">
        <f>VLOOKUP(A:A,[1]android_repos_all_metrics!B:K,10,FALSE)</f>
        <v>1</v>
      </c>
    </row>
    <row r="1694" spans="1:35">
      <c r="A1694" t="s">
        <v>1761</v>
      </c>
      <c r="B1694" t="b">
        <v>1</v>
      </c>
      <c r="C1694" t="b">
        <v>0</v>
      </c>
      <c r="D1694" t="b">
        <v>0</v>
      </c>
      <c r="F1694" t="b">
        <v>0</v>
      </c>
      <c r="H1694" t="s">
        <v>43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>
        <v>1</v>
      </c>
      <c r="AB1694">
        <v>0</v>
      </c>
      <c r="AC1694">
        <f>VLOOKUP(A:A,[1]android_repos_all_metrics!B:K,4,FALSE)</f>
        <v>23</v>
      </c>
      <c r="AD1694">
        <f>VLOOKUP(A:A,[1]android_repos_all_metrics!B:K,5,FALSE)</f>
        <v>59</v>
      </c>
      <c r="AE1694">
        <f>VLOOKUP(A:A,[1]android_repos_all_metrics!B:K,6,FALSE)</f>
        <v>2</v>
      </c>
      <c r="AF1694">
        <f>VLOOKUP(A:A,[1]android_repos_all_metrics!B:K,7,FALSE)</f>
        <v>150</v>
      </c>
      <c r="AG1694">
        <f>VLOOKUP(A:A,[1]android_repos_all_metrics!B:K,8,FALSE)</f>
        <v>0</v>
      </c>
      <c r="AH1694">
        <f>VLOOKUP(A:A,[1]android_repos_all_metrics!B:K,9,FALSE)</f>
        <v>1</v>
      </c>
      <c r="AI1694">
        <f>VLOOKUP(A:A,[1]android_repos_all_metrics!B:K,10,FALSE)</f>
        <v>6</v>
      </c>
    </row>
    <row r="1695" spans="1:35">
      <c r="A1695" t="s">
        <v>1762</v>
      </c>
      <c r="B1695" t="b">
        <v>1</v>
      </c>
      <c r="C1695" t="b">
        <v>1</v>
      </c>
      <c r="D1695" t="b">
        <v>0</v>
      </c>
      <c r="F1695" t="b">
        <v>1</v>
      </c>
      <c r="G1695" t="s">
        <v>39</v>
      </c>
      <c r="H1695" t="s">
        <v>41</v>
      </c>
      <c r="I1695" t="s">
        <v>41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>
        <v>1</v>
      </c>
      <c r="AB1695">
        <v>0</v>
      </c>
      <c r="AC1695">
        <f>VLOOKUP(A:A,[1]android_repos_all_metrics!B:K,4,FALSE)</f>
        <v>584</v>
      </c>
      <c r="AD1695">
        <f>VLOOKUP(A:A,[1]android_repos_all_metrics!B:K,5,FALSE)</f>
        <v>97</v>
      </c>
      <c r="AE1695">
        <f>VLOOKUP(A:A,[1]android_repos_all_metrics!B:K,6,FALSE)</f>
        <v>11</v>
      </c>
      <c r="AF1695">
        <f>VLOOKUP(A:A,[1]android_repos_all_metrics!B:K,7,FALSE)</f>
        <v>16195</v>
      </c>
      <c r="AG1695">
        <f>VLOOKUP(A:A,[1]android_repos_all_metrics!B:K,8,FALSE)</f>
        <v>45</v>
      </c>
      <c r="AH1695">
        <f>VLOOKUP(A:A,[1]android_repos_all_metrics!B:K,9,FALSE)</f>
        <v>138</v>
      </c>
      <c r="AI1695">
        <f>VLOOKUP(A:A,[1]android_repos_all_metrics!B:K,10,FALSE)</f>
        <v>69</v>
      </c>
    </row>
    <row r="1696" spans="1:35">
      <c r="A1696" t="s">
        <v>1763</v>
      </c>
      <c r="B1696" t="b">
        <v>1</v>
      </c>
      <c r="C1696" t="b">
        <v>0</v>
      </c>
      <c r="D1696" t="b">
        <v>0</v>
      </c>
      <c r="F1696" t="b">
        <v>0</v>
      </c>
      <c r="H1696" t="s">
        <v>37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>
        <v>1</v>
      </c>
      <c r="AB1696">
        <v>0</v>
      </c>
      <c r="AC1696">
        <f>VLOOKUP(A:A,[1]android_repos_all_metrics!B:K,4,FALSE)</f>
        <v>61</v>
      </c>
      <c r="AD1696">
        <f>VLOOKUP(A:A,[1]android_repos_all_metrics!B:K,5,FALSE)</f>
        <v>5</v>
      </c>
      <c r="AE1696">
        <f>VLOOKUP(A:A,[1]android_repos_all_metrics!B:K,6,FALSE)</f>
        <v>1</v>
      </c>
      <c r="AF1696">
        <f>VLOOKUP(A:A,[1]android_repos_all_metrics!B:K,7,FALSE)</f>
        <v>4329</v>
      </c>
      <c r="AG1696">
        <f>VLOOKUP(A:A,[1]android_repos_all_metrics!B:K,8,FALSE)</f>
        <v>3</v>
      </c>
      <c r="AH1696">
        <f>VLOOKUP(A:A,[1]android_repos_all_metrics!B:K,9,FALSE)</f>
        <v>77</v>
      </c>
      <c r="AI1696">
        <f>VLOOKUP(A:A,[1]android_repos_all_metrics!B:K,10,FALSE)</f>
        <v>5</v>
      </c>
    </row>
    <row r="1697" spans="1:35">
      <c r="A1697" t="s">
        <v>1764</v>
      </c>
      <c r="B1697" t="b">
        <v>1</v>
      </c>
      <c r="C1697" t="b">
        <v>0</v>
      </c>
      <c r="D1697" t="b">
        <v>0</v>
      </c>
      <c r="F1697" t="b">
        <v>0</v>
      </c>
      <c r="H1697" t="s">
        <v>37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>
        <v>6</v>
      </c>
      <c r="AB1697">
        <v>0</v>
      </c>
      <c r="AC1697">
        <f>VLOOKUP(A:A,[1]android_repos_all_metrics!B:K,4,FALSE)</f>
        <v>1</v>
      </c>
      <c r="AD1697">
        <f>VLOOKUP(A:A,[1]android_repos_all_metrics!B:K,5,FALSE)</f>
        <v>0</v>
      </c>
      <c r="AE1697">
        <f>VLOOKUP(A:A,[1]android_repos_all_metrics!B:K,6,FALSE)</f>
        <v>1</v>
      </c>
      <c r="AF1697">
        <f>VLOOKUP(A:A,[1]android_repos_all_metrics!B:K,7,FALSE)</f>
        <v>126191</v>
      </c>
      <c r="AG1697">
        <f>VLOOKUP(A:A,[1]android_repos_all_metrics!B:K,8,FALSE)</f>
        <v>2</v>
      </c>
      <c r="AH1697">
        <f>VLOOKUP(A:A,[1]android_repos_all_metrics!B:K,9,FALSE)</f>
        <v>4</v>
      </c>
      <c r="AI1697">
        <f>VLOOKUP(A:A,[1]android_repos_all_metrics!B:K,10,FALSE)</f>
        <v>0</v>
      </c>
    </row>
    <row r="1698" spans="1:35">
      <c r="A1698" t="s">
        <v>1765</v>
      </c>
      <c r="B1698" t="b">
        <v>1</v>
      </c>
      <c r="C1698" t="b">
        <v>0</v>
      </c>
      <c r="D1698" t="b">
        <v>0</v>
      </c>
      <c r="F1698" t="b">
        <v>0</v>
      </c>
      <c r="H1698" t="s">
        <v>37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>
        <v>2</v>
      </c>
      <c r="AB1698">
        <v>0</v>
      </c>
      <c r="AC1698">
        <f>VLOOKUP(A:A,[1]android_repos_all_metrics!B:K,4,FALSE)</f>
        <v>3001</v>
      </c>
      <c r="AD1698">
        <f>VLOOKUP(A:A,[1]android_repos_all_metrics!B:K,5,FALSE)</f>
        <v>164</v>
      </c>
      <c r="AE1698">
        <f>VLOOKUP(A:A,[1]android_repos_all_metrics!B:K,6,FALSE)</f>
        <v>22</v>
      </c>
      <c r="AF1698">
        <f>VLOOKUP(A:A,[1]android_repos_all_metrics!B:K,7,FALSE)</f>
        <v>57268</v>
      </c>
      <c r="AG1698">
        <f>VLOOKUP(A:A,[1]android_repos_all_metrics!B:K,8,FALSE)</f>
        <v>47</v>
      </c>
      <c r="AH1698">
        <f>VLOOKUP(A:A,[1]android_repos_all_metrics!B:K,9,FALSE)</f>
        <v>318</v>
      </c>
      <c r="AI1698">
        <f>VLOOKUP(A:A,[1]android_repos_all_metrics!B:K,10,FALSE)</f>
        <v>35</v>
      </c>
    </row>
    <row r="1699" spans="1:35">
      <c r="A1699" t="s">
        <v>1766</v>
      </c>
      <c r="B1699" t="b">
        <v>1</v>
      </c>
      <c r="C1699" t="b">
        <v>0</v>
      </c>
      <c r="D1699" t="b">
        <v>0</v>
      </c>
      <c r="F1699" t="b">
        <v>0</v>
      </c>
      <c r="H1699" t="s">
        <v>37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>
        <v>1</v>
      </c>
      <c r="AB1699">
        <v>0</v>
      </c>
      <c r="AC1699">
        <f>VLOOKUP(A:A,[1]android_repos_all_metrics!B:K,4,FALSE)</f>
        <v>308</v>
      </c>
      <c r="AD1699">
        <f>VLOOKUP(A:A,[1]android_repos_all_metrics!B:K,5,FALSE)</f>
        <v>50</v>
      </c>
      <c r="AE1699">
        <f>VLOOKUP(A:A,[1]android_repos_all_metrics!B:K,6,FALSE)</f>
        <v>13</v>
      </c>
      <c r="AF1699">
        <f>VLOOKUP(A:A,[1]android_repos_all_metrics!B:K,7,FALSE)</f>
        <v>16888</v>
      </c>
      <c r="AG1699">
        <f>VLOOKUP(A:A,[1]android_repos_all_metrics!B:K,8,FALSE)</f>
        <v>204</v>
      </c>
      <c r="AH1699">
        <f>VLOOKUP(A:A,[1]android_repos_all_metrics!B:K,9,FALSE)</f>
        <v>758</v>
      </c>
      <c r="AI1699">
        <f>VLOOKUP(A:A,[1]android_repos_all_metrics!B:K,10,FALSE)</f>
        <v>12</v>
      </c>
    </row>
    <row r="1700" spans="1:35">
      <c r="A1700" t="s">
        <v>1767</v>
      </c>
      <c r="B1700" t="b">
        <v>1</v>
      </c>
      <c r="C1700" t="b">
        <v>0</v>
      </c>
      <c r="D1700" t="b">
        <v>0</v>
      </c>
      <c r="F1700" t="b">
        <v>0</v>
      </c>
      <c r="H1700" t="s">
        <v>37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>
        <v>7</v>
      </c>
      <c r="AB1700">
        <v>0</v>
      </c>
      <c r="AC1700">
        <f>VLOOKUP(A:A,[1]android_repos_all_metrics!B:K,4,FALSE)</f>
        <v>4826</v>
      </c>
      <c r="AD1700">
        <f>VLOOKUP(A:A,[1]android_repos_all_metrics!B:K,5,FALSE)</f>
        <v>714</v>
      </c>
      <c r="AE1700">
        <f>VLOOKUP(A:A,[1]android_repos_all_metrics!B:K,6,FALSE)</f>
        <v>114</v>
      </c>
      <c r="AF1700">
        <f>VLOOKUP(A:A,[1]android_repos_all_metrics!B:K,7,FALSE)</f>
        <v>40629</v>
      </c>
      <c r="AG1700">
        <f>VLOOKUP(A:A,[1]android_repos_all_metrics!B:K,8,FALSE)</f>
        <v>609</v>
      </c>
      <c r="AH1700">
        <f>VLOOKUP(A:A,[1]android_repos_all_metrics!B:K,9,FALSE)</f>
        <v>1434</v>
      </c>
      <c r="AI1700">
        <f>VLOOKUP(A:A,[1]android_repos_all_metrics!B:K,10,FALSE)</f>
        <v>104</v>
      </c>
    </row>
    <row r="1701" spans="1:35">
      <c r="A1701" t="s">
        <v>1768</v>
      </c>
      <c r="B1701" t="b">
        <v>1</v>
      </c>
      <c r="C1701" t="b">
        <v>0</v>
      </c>
      <c r="D1701" t="b">
        <v>0</v>
      </c>
      <c r="F1701" t="b">
        <v>0</v>
      </c>
      <c r="H1701" t="s">
        <v>40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>
        <v>2</v>
      </c>
      <c r="AB1701">
        <v>0</v>
      </c>
      <c r="AC1701">
        <f>VLOOKUP(A:A,[1]android_repos_all_metrics!B:K,4,FALSE)</f>
        <v>298</v>
      </c>
      <c r="AD1701">
        <f>VLOOKUP(A:A,[1]android_repos_all_metrics!B:K,5,FALSE)</f>
        <v>13</v>
      </c>
      <c r="AE1701">
        <f>VLOOKUP(A:A,[1]android_repos_all_metrics!B:K,6,FALSE)</f>
        <v>4</v>
      </c>
      <c r="AF1701">
        <f>VLOOKUP(A:A,[1]android_repos_all_metrics!B:K,7,FALSE)</f>
        <v>10098</v>
      </c>
      <c r="AG1701">
        <f>VLOOKUP(A:A,[1]android_repos_all_metrics!B:K,8,FALSE)</f>
        <v>21</v>
      </c>
      <c r="AH1701">
        <f>VLOOKUP(A:A,[1]android_repos_all_metrics!B:K,9,FALSE)</f>
        <v>67</v>
      </c>
      <c r="AI1701">
        <f>VLOOKUP(A:A,[1]android_repos_all_metrics!B:K,10,FALSE)</f>
        <v>2</v>
      </c>
    </row>
    <row r="1702" spans="1:35">
      <c r="A1702" t="s">
        <v>1769</v>
      </c>
      <c r="B1702" t="b">
        <v>1</v>
      </c>
      <c r="C1702" t="b">
        <v>0</v>
      </c>
      <c r="D1702" t="b">
        <v>0</v>
      </c>
      <c r="F1702" t="b">
        <v>0</v>
      </c>
      <c r="H1702" t="s">
        <v>37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>
        <v>5</v>
      </c>
      <c r="AB1702">
        <v>0</v>
      </c>
      <c r="AC1702">
        <f>VLOOKUP(A:A,[1]android_repos_all_metrics!B:K,4,FALSE)</f>
        <v>94</v>
      </c>
      <c r="AD1702">
        <f>VLOOKUP(A:A,[1]android_repos_all_metrics!B:K,5,FALSE)</f>
        <v>3</v>
      </c>
      <c r="AE1702">
        <f>VLOOKUP(A:A,[1]android_repos_all_metrics!B:K,6,FALSE)</f>
        <v>1</v>
      </c>
      <c r="AF1702">
        <f>VLOOKUP(A:A,[1]android_repos_all_metrics!B:K,7,FALSE)</f>
        <v>3857</v>
      </c>
      <c r="AG1702">
        <f>VLOOKUP(A:A,[1]android_repos_all_metrics!B:K,8,FALSE)</f>
        <v>6</v>
      </c>
      <c r="AH1702">
        <f>VLOOKUP(A:A,[1]android_repos_all_metrics!B:K,9,FALSE)</f>
        <v>14</v>
      </c>
      <c r="AI1702">
        <f>VLOOKUP(A:A,[1]android_repos_all_metrics!B:K,10,FALSE)</f>
        <v>0</v>
      </c>
    </row>
    <row r="1703" spans="1:35">
      <c r="A1703" t="s">
        <v>1770</v>
      </c>
      <c r="B1703" t="b">
        <v>1</v>
      </c>
      <c r="C1703" t="b">
        <v>0</v>
      </c>
      <c r="D1703" t="b">
        <v>0</v>
      </c>
      <c r="F1703" t="b">
        <v>0</v>
      </c>
      <c r="H1703" t="s">
        <v>37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>
        <v>2</v>
      </c>
      <c r="AB1703">
        <v>0</v>
      </c>
      <c r="AC1703">
        <f>VLOOKUP(A:A,[1]android_repos_all_metrics!B:K,4,FALSE)</f>
        <v>240</v>
      </c>
      <c r="AD1703">
        <f>VLOOKUP(A:A,[1]android_repos_all_metrics!B:K,5,FALSE)</f>
        <v>202</v>
      </c>
      <c r="AE1703">
        <f>VLOOKUP(A:A,[1]android_repos_all_metrics!B:K,6,FALSE)</f>
        <v>4</v>
      </c>
      <c r="AF1703">
        <f>VLOOKUP(A:A,[1]android_repos_all_metrics!B:K,7,FALSE)</f>
        <v>3602</v>
      </c>
      <c r="AG1703">
        <f>VLOOKUP(A:A,[1]android_repos_all_metrics!B:K,8,FALSE)</f>
        <v>3</v>
      </c>
      <c r="AH1703">
        <f>VLOOKUP(A:A,[1]android_repos_all_metrics!B:K,9,FALSE)</f>
        <v>27</v>
      </c>
      <c r="AI1703">
        <f>VLOOKUP(A:A,[1]android_repos_all_metrics!B:K,10,FALSE)</f>
        <v>29</v>
      </c>
    </row>
    <row r="1704" spans="1:35">
      <c r="A1704" t="s">
        <v>1771</v>
      </c>
      <c r="B1704" t="b">
        <v>1</v>
      </c>
      <c r="C1704" t="b">
        <v>0</v>
      </c>
      <c r="D1704" t="b">
        <v>0</v>
      </c>
      <c r="F1704" t="b">
        <v>0</v>
      </c>
      <c r="H1704" t="s">
        <v>37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>
        <v>1</v>
      </c>
      <c r="AB1704">
        <v>0</v>
      </c>
      <c r="AC1704">
        <f>VLOOKUP(A:A,[1]android_repos_all_metrics!B:K,4,FALSE)</f>
        <v>0</v>
      </c>
      <c r="AD1704">
        <f>VLOOKUP(A:A,[1]android_repos_all_metrics!B:K,5,FALSE)</f>
        <v>0</v>
      </c>
      <c r="AE1704">
        <f>VLOOKUP(A:A,[1]android_repos_all_metrics!B:K,6,FALSE)</f>
        <v>0</v>
      </c>
      <c r="AF1704">
        <f>VLOOKUP(A:A,[1]android_repos_all_metrics!B:K,7,FALSE)</f>
        <v>5249</v>
      </c>
      <c r="AG1704">
        <f>VLOOKUP(A:A,[1]android_repos_all_metrics!B:K,8,FALSE)</f>
        <v>63</v>
      </c>
      <c r="AH1704">
        <f>VLOOKUP(A:A,[1]android_repos_all_metrics!B:K,9,FALSE)</f>
        <v>58</v>
      </c>
      <c r="AI1704">
        <f>VLOOKUP(A:A,[1]android_repos_all_metrics!B:K,10,FALSE)</f>
        <v>0</v>
      </c>
    </row>
    <row r="1705" spans="1:35">
      <c r="A1705" t="s">
        <v>1772</v>
      </c>
      <c r="B1705" t="b">
        <v>1</v>
      </c>
      <c r="C1705" t="b">
        <v>0</v>
      </c>
      <c r="D1705" t="b">
        <v>0</v>
      </c>
      <c r="F1705" t="b">
        <v>0</v>
      </c>
      <c r="H1705" t="s">
        <v>37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>
        <v>1</v>
      </c>
      <c r="AB1705">
        <v>0</v>
      </c>
      <c r="AC1705">
        <f>VLOOKUP(A:A,[1]android_repos_all_metrics!B:K,4,FALSE)</f>
        <v>22</v>
      </c>
      <c r="AD1705">
        <f>VLOOKUP(A:A,[1]android_repos_all_metrics!B:K,5,FALSE)</f>
        <v>2</v>
      </c>
      <c r="AE1705">
        <f>VLOOKUP(A:A,[1]android_repos_all_metrics!B:K,6,FALSE)</f>
        <v>2</v>
      </c>
      <c r="AF1705">
        <f>VLOOKUP(A:A,[1]android_repos_all_metrics!B:K,7,FALSE)</f>
        <v>5648</v>
      </c>
      <c r="AG1705">
        <f>VLOOKUP(A:A,[1]android_repos_all_metrics!B:K,8,FALSE)</f>
        <v>2</v>
      </c>
      <c r="AH1705">
        <f>VLOOKUP(A:A,[1]android_repos_all_metrics!B:K,9,FALSE)</f>
        <v>8</v>
      </c>
      <c r="AI1705">
        <f>VLOOKUP(A:A,[1]android_repos_all_metrics!B:K,10,FALSE)</f>
        <v>0</v>
      </c>
    </row>
    <row r="1706" spans="1:35">
      <c r="A1706" t="s">
        <v>1773</v>
      </c>
      <c r="B1706" t="b">
        <v>1</v>
      </c>
      <c r="C1706" t="b">
        <v>0</v>
      </c>
      <c r="D1706" t="b">
        <v>0</v>
      </c>
      <c r="F1706" t="b">
        <v>0</v>
      </c>
      <c r="H1706" t="s">
        <v>37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>
        <v>3</v>
      </c>
      <c r="AB1706">
        <v>0</v>
      </c>
      <c r="AC1706">
        <f>VLOOKUP(A:A,[1]android_repos_all_metrics!B:K,4,FALSE)</f>
        <v>275</v>
      </c>
      <c r="AD1706">
        <f>VLOOKUP(A:A,[1]android_repos_all_metrics!B:K,5,FALSE)</f>
        <v>21</v>
      </c>
      <c r="AE1706">
        <f>VLOOKUP(A:A,[1]android_repos_all_metrics!B:K,6,FALSE)</f>
        <v>4</v>
      </c>
      <c r="AF1706">
        <f>VLOOKUP(A:A,[1]android_repos_all_metrics!B:K,7,FALSE)</f>
        <v>1013</v>
      </c>
      <c r="AG1706">
        <f>VLOOKUP(A:A,[1]android_repos_all_metrics!B:K,8,FALSE)</f>
        <v>78</v>
      </c>
      <c r="AH1706">
        <f>VLOOKUP(A:A,[1]android_repos_all_metrics!B:K,9,FALSE)</f>
        <v>265</v>
      </c>
      <c r="AI1706">
        <f>VLOOKUP(A:A,[1]android_repos_all_metrics!B:K,10,FALSE)</f>
        <v>31</v>
      </c>
    </row>
    <row r="1707" spans="1:35">
      <c r="A1707" t="s">
        <v>1774</v>
      </c>
      <c r="B1707" t="b">
        <v>0</v>
      </c>
      <c r="C1707" t="b">
        <v>0</v>
      </c>
      <c r="D1707" t="b">
        <v>0</v>
      </c>
      <c r="F1707" t="b">
        <v>0</v>
      </c>
      <c r="H1707" t="s">
        <v>41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>
        <v>1</v>
      </c>
      <c r="AB1707">
        <v>0</v>
      </c>
      <c r="AC1707">
        <f>VLOOKUP(A:A,[1]android_repos_all_metrics!B:K,4,FALSE)</f>
        <v>23</v>
      </c>
      <c r="AD1707">
        <f>VLOOKUP(A:A,[1]android_repos_all_metrics!B:K,5,FALSE)</f>
        <v>4</v>
      </c>
      <c r="AE1707">
        <f>VLOOKUP(A:A,[1]android_repos_all_metrics!B:K,6,FALSE)</f>
        <v>1</v>
      </c>
      <c r="AF1707">
        <f>VLOOKUP(A:A,[1]android_repos_all_metrics!B:K,7,FALSE)</f>
        <v>36768</v>
      </c>
      <c r="AG1707">
        <f>VLOOKUP(A:A,[1]android_repos_all_metrics!B:K,8,FALSE)</f>
        <v>4</v>
      </c>
      <c r="AH1707">
        <f>VLOOKUP(A:A,[1]android_repos_all_metrics!B:K,9,FALSE)</f>
        <v>3</v>
      </c>
      <c r="AI1707">
        <f>VLOOKUP(A:A,[1]android_repos_all_metrics!B:K,10,FALSE)</f>
        <v>5</v>
      </c>
    </row>
    <row r="1708" spans="1:35">
      <c r="A1708" t="s">
        <v>1775</v>
      </c>
      <c r="B1708" t="b">
        <v>1</v>
      </c>
      <c r="C1708" t="b">
        <v>0</v>
      </c>
      <c r="D1708" t="b">
        <v>0</v>
      </c>
      <c r="F1708" t="b">
        <v>0</v>
      </c>
      <c r="H1708" t="s">
        <v>86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>
        <v>2</v>
      </c>
      <c r="AB1708">
        <v>0</v>
      </c>
      <c r="AC1708">
        <f>VLOOKUP(A:A,[1]android_repos_all_metrics!B:K,4,FALSE)</f>
        <v>932</v>
      </c>
      <c r="AD1708">
        <f>VLOOKUP(A:A,[1]android_repos_all_metrics!B:K,5,FALSE)</f>
        <v>0</v>
      </c>
      <c r="AE1708">
        <f>VLOOKUP(A:A,[1]android_repos_all_metrics!B:K,6,FALSE)</f>
        <v>1</v>
      </c>
      <c r="AF1708">
        <f>VLOOKUP(A:A,[1]android_repos_all_metrics!B:K,7,FALSE)</f>
        <v>9961</v>
      </c>
      <c r="AG1708">
        <f>VLOOKUP(A:A,[1]android_repos_all_metrics!B:K,8,FALSE)</f>
        <v>1</v>
      </c>
      <c r="AH1708">
        <f>VLOOKUP(A:A,[1]android_repos_all_metrics!B:K,9,FALSE)</f>
        <v>4</v>
      </c>
      <c r="AI1708">
        <f>VLOOKUP(A:A,[1]android_repos_all_metrics!B:K,10,FALSE)</f>
        <v>1</v>
      </c>
    </row>
    <row r="1709" spans="1:35">
      <c r="A1709" t="s">
        <v>1776</v>
      </c>
      <c r="B1709" t="b">
        <v>1</v>
      </c>
      <c r="C1709" t="b">
        <v>0</v>
      </c>
      <c r="D1709" t="b">
        <v>0</v>
      </c>
      <c r="F1709" t="b">
        <v>0</v>
      </c>
      <c r="H1709" t="s">
        <v>41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>
        <v>1</v>
      </c>
      <c r="AB1709">
        <v>0</v>
      </c>
      <c r="AC1709">
        <f>VLOOKUP(A:A,[1]android_repos_all_metrics!B:K,4,FALSE)</f>
        <v>994</v>
      </c>
      <c r="AD1709">
        <f>VLOOKUP(A:A,[1]android_repos_all_metrics!B:K,5,FALSE)</f>
        <v>121</v>
      </c>
      <c r="AE1709">
        <f>VLOOKUP(A:A,[1]android_repos_all_metrics!B:K,6,FALSE)</f>
        <v>4</v>
      </c>
      <c r="AF1709">
        <f>VLOOKUP(A:A,[1]android_repos_all_metrics!B:K,7,FALSE)</f>
        <v>53137</v>
      </c>
      <c r="AG1709">
        <f>VLOOKUP(A:A,[1]android_repos_all_metrics!B:K,8,FALSE)</f>
        <v>10</v>
      </c>
      <c r="AH1709">
        <f>VLOOKUP(A:A,[1]android_repos_all_metrics!B:K,9,FALSE)</f>
        <v>66</v>
      </c>
      <c r="AI1709">
        <f>VLOOKUP(A:A,[1]android_repos_all_metrics!B:K,10,FALSE)</f>
        <v>14</v>
      </c>
    </row>
    <row r="1710" spans="1:35">
      <c r="A1710" t="s">
        <v>1777</v>
      </c>
      <c r="B1710" t="b">
        <v>1</v>
      </c>
      <c r="C1710" t="b">
        <v>0</v>
      </c>
      <c r="D1710" t="b">
        <v>0</v>
      </c>
      <c r="F1710" t="b">
        <v>0</v>
      </c>
      <c r="H1710" t="s">
        <v>43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>
        <v>1</v>
      </c>
      <c r="AB1710">
        <v>0</v>
      </c>
      <c r="AC1710">
        <f>VLOOKUP(A:A,[1]android_repos_all_metrics!B:K,4,FALSE)</f>
        <v>155</v>
      </c>
      <c r="AD1710">
        <f>VLOOKUP(A:A,[1]android_repos_all_metrics!B:K,5,FALSE)</f>
        <v>2</v>
      </c>
      <c r="AE1710">
        <f>VLOOKUP(A:A,[1]android_repos_all_metrics!B:K,6,FALSE)</f>
        <v>2</v>
      </c>
      <c r="AF1710">
        <f>VLOOKUP(A:A,[1]android_repos_all_metrics!B:K,7,FALSE)</f>
        <v>307</v>
      </c>
      <c r="AG1710">
        <f>VLOOKUP(A:A,[1]android_repos_all_metrics!B:K,8,FALSE)</f>
        <v>3</v>
      </c>
      <c r="AH1710">
        <f>VLOOKUP(A:A,[1]android_repos_all_metrics!B:K,9,FALSE)</f>
        <v>10</v>
      </c>
      <c r="AI1710">
        <f>VLOOKUP(A:A,[1]android_repos_all_metrics!B:K,10,FALSE)</f>
        <v>1</v>
      </c>
    </row>
    <row r="1711" spans="1:35">
      <c r="A1711" t="s">
        <v>1778</v>
      </c>
      <c r="B1711" t="b">
        <v>0</v>
      </c>
      <c r="C1711" t="b">
        <v>0</v>
      </c>
      <c r="D1711" t="b">
        <v>0</v>
      </c>
      <c r="F1711" t="b">
        <v>0</v>
      </c>
      <c r="H1711" t="s">
        <v>37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>
        <v>1</v>
      </c>
      <c r="AB1711">
        <v>0</v>
      </c>
      <c r="AC1711">
        <f>VLOOKUP(A:A,[1]android_repos_all_metrics!B:K,4,FALSE)</f>
        <v>9</v>
      </c>
      <c r="AD1711">
        <f>VLOOKUP(A:A,[1]android_repos_all_metrics!B:K,5,FALSE)</f>
        <v>5</v>
      </c>
      <c r="AE1711">
        <f>VLOOKUP(A:A,[1]android_repos_all_metrics!B:K,6,FALSE)</f>
        <v>1</v>
      </c>
      <c r="AF1711">
        <f>VLOOKUP(A:A,[1]android_repos_all_metrics!B:K,7,FALSE)</f>
        <v>113</v>
      </c>
      <c r="AG1711">
        <f>VLOOKUP(A:A,[1]android_repos_all_metrics!B:K,8,FALSE)</f>
        <v>0</v>
      </c>
      <c r="AH1711">
        <f>VLOOKUP(A:A,[1]android_repos_all_metrics!B:K,9,FALSE)</f>
        <v>1</v>
      </c>
      <c r="AI1711">
        <f>VLOOKUP(A:A,[1]android_repos_all_metrics!B:K,10,FALSE)</f>
        <v>0</v>
      </c>
    </row>
    <row r="1712" spans="1:35">
      <c r="A1712" t="s">
        <v>1779</v>
      </c>
      <c r="B1712" t="b">
        <v>1</v>
      </c>
      <c r="C1712" t="b">
        <v>0</v>
      </c>
      <c r="D1712" t="b">
        <v>0</v>
      </c>
      <c r="F1712" t="b">
        <v>0</v>
      </c>
      <c r="H1712" t="s">
        <v>136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>
        <v>2</v>
      </c>
      <c r="AB1712">
        <v>0</v>
      </c>
      <c r="AC1712">
        <f>VLOOKUP(A:A,[1]android_repos_all_metrics!B:K,4,FALSE)</f>
        <v>154</v>
      </c>
      <c r="AD1712">
        <f>VLOOKUP(A:A,[1]android_repos_all_metrics!B:K,5,FALSE)</f>
        <v>1</v>
      </c>
      <c r="AE1712">
        <f>VLOOKUP(A:A,[1]android_repos_all_metrics!B:K,6,FALSE)</f>
        <v>2</v>
      </c>
      <c r="AF1712">
        <f>VLOOKUP(A:A,[1]android_repos_all_metrics!B:K,7,FALSE)</f>
        <v>22919</v>
      </c>
      <c r="AG1712">
        <f>VLOOKUP(A:A,[1]android_repos_all_metrics!B:K,8,FALSE)</f>
        <v>1</v>
      </c>
      <c r="AH1712">
        <f>VLOOKUP(A:A,[1]android_repos_all_metrics!B:K,9,FALSE)</f>
        <v>12</v>
      </c>
      <c r="AI1712">
        <f>VLOOKUP(A:A,[1]android_repos_all_metrics!B:K,10,FALSE)</f>
        <v>0</v>
      </c>
    </row>
    <row r="1713" spans="1:35">
      <c r="A1713" t="s">
        <v>1780</v>
      </c>
      <c r="B1713" t="b">
        <v>1</v>
      </c>
      <c r="C1713" t="b">
        <v>0</v>
      </c>
      <c r="D1713" t="b">
        <v>0</v>
      </c>
      <c r="F1713" t="b">
        <v>0</v>
      </c>
      <c r="H1713" t="s">
        <v>37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>
        <v>8</v>
      </c>
      <c r="AB1713">
        <v>0</v>
      </c>
      <c r="AC1713">
        <f>VLOOKUP(A:A,[1]android_repos_all_metrics!B:K,4,FALSE)</f>
        <v>17</v>
      </c>
      <c r="AD1713">
        <f>VLOOKUP(A:A,[1]android_repos_all_metrics!B:K,5,FALSE)</f>
        <v>0</v>
      </c>
      <c r="AE1713">
        <f>VLOOKUP(A:A,[1]android_repos_all_metrics!B:K,6,FALSE)</f>
        <v>1</v>
      </c>
      <c r="AF1713">
        <f>VLOOKUP(A:A,[1]android_repos_all_metrics!B:K,7,FALSE)</f>
        <v>102</v>
      </c>
      <c r="AG1713">
        <f>VLOOKUP(A:A,[1]android_repos_all_metrics!B:K,8,FALSE)</f>
        <v>21</v>
      </c>
      <c r="AH1713">
        <f>VLOOKUP(A:A,[1]android_repos_all_metrics!B:K,9,FALSE)</f>
        <v>21</v>
      </c>
      <c r="AI1713">
        <f>VLOOKUP(A:A,[1]android_repos_all_metrics!B:K,10,FALSE)</f>
        <v>0</v>
      </c>
    </row>
    <row r="1714" spans="1:35">
      <c r="A1714" t="s">
        <v>1781</v>
      </c>
      <c r="B1714" t="b">
        <v>1</v>
      </c>
      <c r="C1714" t="b">
        <v>0</v>
      </c>
      <c r="D1714" t="b">
        <v>0</v>
      </c>
      <c r="F1714" t="b">
        <v>0</v>
      </c>
      <c r="H1714" t="s">
        <v>37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>
        <v>1</v>
      </c>
      <c r="AB1714">
        <v>0</v>
      </c>
      <c r="AC1714">
        <f>VLOOKUP(A:A,[1]android_repos_all_metrics!B:K,4,FALSE)</f>
        <v>55</v>
      </c>
      <c r="AD1714">
        <f>VLOOKUP(A:A,[1]android_repos_all_metrics!B:K,5,FALSE)</f>
        <v>1</v>
      </c>
      <c r="AE1714">
        <f>VLOOKUP(A:A,[1]android_repos_all_metrics!B:K,6,FALSE)</f>
        <v>1</v>
      </c>
      <c r="AF1714">
        <f>VLOOKUP(A:A,[1]android_repos_all_metrics!B:K,7,FALSE)</f>
        <v>30689</v>
      </c>
      <c r="AG1714">
        <f>VLOOKUP(A:A,[1]android_repos_all_metrics!B:K,8,FALSE)</f>
        <v>0</v>
      </c>
      <c r="AH1714">
        <f>VLOOKUP(A:A,[1]android_repos_all_metrics!B:K,9,FALSE)</f>
        <v>2</v>
      </c>
      <c r="AI1714">
        <f>VLOOKUP(A:A,[1]android_repos_all_metrics!B:K,10,FALSE)</f>
        <v>0</v>
      </c>
    </row>
    <row r="1715" spans="1:35">
      <c r="A1715" t="s">
        <v>1782</v>
      </c>
      <c r="B1715" t="b">
        <v>1</v>
      </c>
      <c r="C1715" t="b">
        <v>0</v>
      </c>
      <c r="D1715" t="b">
        <v>0</v>
      </c>
      <c r="F1715" t="b">
        <v>0</v>
      </c>
      <c r="H1715" t="s">
        <v>37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>
        <v>1</v>
      </c>
      <c r="AB1715">
        <v>0</v>
      </c>
      <c r="AC1715">
        <f>VLOOKUP(A:A,[1]android_repos_all_metrics!B:K,4,FALSE)</f>
        <v>6</v>
      </c>
      <c r="AD1715">
        <f>VLOOKUP(A:A,[1]android_repos_all_metrics!B:K,5,FALSE)</f>
        <v>0</v>
      </c>
      <c r="AE1715">
        <f>VLOOKUP(A:A,[1]android_repos_all_metrics!B:K,6,FALSE)</f>
        <v>1</v>
      </c>
      <c r="AF1715">
        <f>VLOOKUP(A:A,[1]android_repos_all_metrics!B:K,7,FALSE)</f>
        <v>29178</v>
      </c>
      <c r="AG1715">
        <f>VLOOKUP(A:A,[1]android_repos_all_metrics!B:K,8,FALSE)</f>
        <v>1</v>
      </c>
      <c r="AH1715">
        <f>VLOOKUP(A:A,[1]android_repos_all_metrics!B:K,9,FALSE)</f>
        <v>4</v>
      </c>
      <c r="AI1715">
        <f>VLOOKUP(A:A,[1]android_repos_all_metrics!B:K,10,FALSE)</f>
        <v>0</v>
      </c>
    </row>
    <row r="1716" spans="1:35">
      <c r="A1716" t="s">
        <v>1783</v>
      </c>
      <c r="B1716" t="b">
        <v>1</v>
      </c>
      <c r="C1716" t="b">
        <v>0</v>
      </c>
      <c r="D1716" t="b">
        <v>0</v>
      </c>
      <c r="F1716" t="b">
        <v>0</v>
      </c>
      <c r="H1716" t="s">
        <v>37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>
        <v>2</v>
      </c>
      <c r="AB1716">
        <v>0</v>
      </c>
      <c r="AC1716">
        <f>VLOOKUP(A:A,[1]android_repos_all_metrics!B:K,4,FALSE)</f>
        <v>504</v>
      </c>
      <c r="AD1716">
        <f>VLOOKUP(A:A,[1]android_repos_all_metrics!B:K,5,FALSE)</f>
        <v>309</v>
      </c>
      <c r="AE1716">
        <f>VLOOKUP(A:A,[1]android_repos_all_metrics!B:K,6,FALSE)</f>
        <v>16</v>
      </c>
      <c r="AF1716">
        <f>VLOOKUP(A:A,[1]android_repos_all_metrics!B:K,7,FALSE)</f>
        <v>35080</v>
      </c>
      <c r="AG1716">
        <f>VLOOKUP(A:A,[1]android_repos_all_metrics!B:K,8,FALSE)</f>
        <v>9</v>
      </c>
      <c r="AH1716">
        <f>VLOOKUP(A:A,[1]android_repos_all_metrics!B:K,9,FALSE)</f>
        <v>19</v>
      </c>
      <c r="AI1716">
        <f>VLOOKUP(A:A,[1]android_repos_all_metrics!B:K,10,FALSE)</f>
        <v>15</v>
      </c>
    </row>
    <row r="1717" spans="1:35">
      <c r="A1717" t="s">
        <v>1784</v>
      </c>
      <c r="B1717" t="b">
        <v>1</v>
      </c>
      <c r="C1717" t="b">
        <v>0</v>
      </c>
      <c r="D1717" t="b">
        <v>0</v>
      </c>
      <c r="F1717" t="b">
        <v>0</v>
      </c>
      <c r="H1717" t="s">
        <v>37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>
        <v>3</v>
      </c>
      <c r="AB1717">
        <v>0</v>
      </c>
      <c r="AC1717">
        <f>VLOOKUP(A:A,[1]android_repos_all_metrics!B:K,4,FALSE)</f>
        <v>1059</v>
      </c>
      <c r="AD1717">
        <f>VLOOKUP(A:A,[1]android_repos_all_metrics!B:K,5,FALSE)</f>
        <v>16</v>
      </c>
      <c r="AE1717">
        <f>VLOOKUP(A:A,[1]android_repos_all_metrics!B:K,6,FALSE)</f>
        <v>6</v>
      </c>
      <c r="AF1717">
        <f>VLOOKUP(A:A,[1]android_repos_all_metrics!B:K,7,FALSE)</f>
        <v>40223</v>
      </c>
      <c r="AG1717">
        <f>VLOOKUP(A:A,[1]android_repos_all_metrics!B:K,8,FALSE)</f>
        <v>7</v>
      </c>
      <c r="AH1717">
        <f>VLOOKUP(A:A,[1]android_repos_all_metrics!B:K,9,FALSE)</f>
        <v>58</v>
      </c>
      <c r="AI1717">
        <f>VLOOKUP(A:A,[1]android_repos_all_metrics!B:K,10,FALSE)</f>
        <v>12</v>
      </c>
    </row>
    <row r="1718" spans="1:35">
      <c r="A1718" t="s">
        <v>1785</v>
      </c>
      <c r="B1718" t="b">
        <v>1</v>
      </c>
      <c r="C1718" t="b">
        <v>0</v>
      </c>
      <c r="D1718" t="b">
        <v>0</v>
      </c>
      <c r="F1718" t="b">
        <v>0</v>
      </c>
      <c r="H1718" t="s">
        <v>37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>
        <v>1</v>
      </c>
      <c r="AB1718">
        <v>0</v>
      </c>
      <c r="AC1718">
        <f>VLOOKUP(A:A,[1]android_repos_all_metrics!B:K,4,FALSE)</f>
        <v>96</v>
      </c>
      <c r="AD1718">
        <f>VLOOKUP(A:A,[1]android_repos_all_metrics!B:K,5,FALSE)</f>
        <v>13</v>
      </c>
      <c r="AE1718">
        <f>VLOOKUP(A:A,[1]android_repos_all_metrics!B:K,6,FALSE)</f>
        <v>2</v>
      </c>
      <c r="AF1718">
        <f>VLOOKUP(A:A,[1]android_repos_all_metrics!B:K,7,FALSE)</f>
        <v>2375</v>
      </c>
      <c r="AG1718">
        <f>VLOOKUP(A:A,[1]android_repos_all_metrics!B:K,8,FALSE)</f>
        <v>1</v>
      </c>
      <c r="AH1718">
        <f>VLOOKUP(A:A,[1]android_repos_all_metrics!B:K,9,FALSE)</f>
        <v>4</v>
      </c>
      <c r="AI1718">
        <f>VLOOKUP(A:A,[1]android_repos_all_metrics!B:K,10,FALSE)</f>
        <v>1</v>
      </c>
    </row>
    <row r="1719" spans="1:35">
      <c r="A1719" t="s">
        <v>1786</v>
      </c>
      <c r="B1719" t="b">
        <v>1</v>
      </c>
      <c r="C1719" t="b">
        <v>0</v>
      </c>
      <c r="D1719" t="b">
        <v>0</v>
      </c>
      <c r="F1719" t="b">
        <v>0</v>
      </c>
      <c r="H1719" t="s">
        <v>37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>
        <v>2</v>
      </c>
      <c r="AB1719">
        <v>0</v>
      </c>
      <c r="AC1719">
        <f>VLOOKUP(A:A,[1]android_repos_all_metrics!B:K,4,FALSE)</f>
        <v>256</v>
      </c>
      <c r="AD1719">
        <f>VLOOKUP(A:A,[1]android_repos_all_metrics!B:K,5,FALSE)</f>
        <v>33</v>
      </c>
      <c r="AE1719">
        <f>VLOOKUP(A:A,[1]android_repos_all_metrics!B:K,6,FALSE)</f>
        <v>1</v>
      </c>
      <c r="AF1719">
        <f>VLOOKUP(A:A,[1]android_repos_all_metrics!B:K,7,FALSE)</f>
        <v>1565</v>
      </c>
      <c r="AG1719">
        <f>VLOOKUP(A:A,[1]android_repos_all_metrics!B:K,8,FALSE)</f>
        <v>0</v>
      </c>
      <c r="AH1719">
        <f>VLOOKUP(A:A,[1]android_repos_all_metrics!B:K,9,FALSE)</f>
        <v>10</v>
      </c>
      <c r="AI1719">
        <f>VLOOKUP(A:A,[1]android_repos_all_metrics!B:K,10,FALSE)</f>
        <v>5</v>
      </c>
    </row>
    <row r="1720" spans="1:35">
      <c r="A1720" t="s">
        <v>1787</v>
      </c>
      <c r="B1720" t="b">
        <v>1</v>
      </c>
      <c r="C1720" t="b">
        <v>0</v>
      </c>
      <c r="D1720" t="b">
        <v>0</v>
      </c>
      <c r="F1720" t="b">
        <v>0</v>
      </c>
      <c r="H1720" t="s">
        <v>43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>
        <v>1</v>
      </c>
      <c r="AB1720">
        <v>0</v>
      </c>
      <c r="AC1720">
        <f>VLOOKUP(A:A,[1]android_repos_all_metrics!B:K,4,FALSE)</f>
        <v>130</v>
      </c>
      <c r="AD1720">
        <f>VLOOKUP(A:A,[1]android_repos_all_metrics!B:K,5,FALSE)</f>
        <v>9</v>
      </c>
      <c r="AE1720">
        <f>VLOOKUP(A:A,[1]android_repos_all_metrics!B:K,6,FALSE)</f>
        <v>2</v>
      </c>
      <c r="AF1720">
        <f>VLOOKUP(A:A,[1]android_repos_all_metrics!B:K,7,FALSE)</f>
        <v>440</v>
      </c>
      <c r="AG1720">
        <f>VLOOKUP(A:A,[1]android_repos_all_metrics!B:K,8,FALSE)</f>
        <v>4</v>
      </c>
      <c r="AH1720">
        <f>VLOOKUP(A:A,[1]android_repos_all_metrics!B:K,9,FALSE)</f>
        <v>20</v>
      </c>
      <c r="AI1720">
        <f>VLOOKUP(A:A,[1]android_repos_all_metrics!B:K,10,FALSE)</f>
        <v>3</v>
      </c>
    </row>
    <row r="1721" spans="1:35">
      <c r="A1721" t="s">
        <v>1788</v>
      </c>
      <c r="B1721" t="b">
        <v>0</v>
      </c>
      <c r="C1721" t="b">
        <v>0</v>
      </c>
      <c r="D1721" t="b">
        <v>0</v>
      </c>
      <c r="F1721" t="b">
        <v>0</v>
      </c>
      <c r="H1721" t="s">
        <v>41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>
        <v>1</v>
      </c>
      <c r="AB1721">
        <v>0</v>
      </c>
      <c r="AC1721">
        <f>VLOOKUP(A:A,[1]android_repos_all_metrics!B:K,4,FALSE)</f>
        <v>63</v>
      </c>
      <c r="AD1721">
        <f>VLOOKUP(A:A,[1]android_repos_all_metrics!B:K,5,FALSE)</f>
        <v>7</v>
      </c>
      <c r="AE1721">
        <f>VLOOKUP(A:A,[1]android_repos_all_metrics!B:K,6,FALSE)</f>
        <v>1</v>
      </c>
      <c r="AF1721">
        <f>VLOOKUP(A:A,[1]android_repos_all_metrics!B:K,7,FALSE)</f>
        <v>4649</v>
      </c>
      <c r="AG1721">
        <f>VLOOKUP(A:A,[1]android_repos_all_metrics!B:K,8,FALSE)</f>
        <v>11</v>
      </c>
      <c r="AH1721">
        <f>VLOOKUP(A:A,[1]android_repos_all_metrics!B:K,9,FALSE)</f>
        <v>7</v>
      </c>
      <c r="AI1721">
        <f>VLOOKUP(A:A,[1]android_repos_all_metrics!B:K,10,FALSE)</f>
        <v>2</v>
      </c>
    </row>
    <row r="1722" spans="1:35">
      <c r="A1722" t="s">
        <v>1789</v>
      </c>
      <c r="B1722" t="b">
        <v>1</v>
      </c>
      <c r="C1722" t="b">
        <v>0</v>
      </c>
      <c r="D1722" t="b">
        <v>0</v>
      </c>
      <c r="F1722" t="b">
        <v>0</v>
      </c>
      <c r="H1722" t="s">
        <v>37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>
        <v>1</v>
      </c>
      <c r="AB1722">
        <v>0</v>
      </c>
      <c r="AC1722">
        <f>VLOOKUP(A:A,[1]android_repos_all_metrics!B:K,4,FALSE)</f>
        <v>52</v>
      </c>
      <c r="AD1722">
        <f>VLOOKUP(A:A,[1]android_repos_all_metrics!B:K,5,FALSE)</f>
        <v>5</v>
      </c>
      <c r="AE1722">
        <f>VLOOKUP(A:A,[1]android_repos_all_metrics!B:K,6,FALSE)</f>
        <v>2</v>
      </c>
      <c r="AF1722">
        <f>VLOOKUP(A:A,[1]android_repos_all_metrics!B:K,7,FALSE)</f>
        <v>10265</v>
      </c>
      <c r="AG1722">
        <f>VLOOKUP(A:A,[1]android_repos_all_metrics!B:K,8,FALSE)</f>
        <v>1</v>
      </c>
      <c r="AH1722">
        <f>VLOOKUP(A:A,[1]android_repos_all_metrics!B:K,9,FALSE)</f>
        <v>3</v>
      </c>
      <c r="AI1722">
        <f>VLOOKUP(A:A,[1]android_repos_all_metrics!B:K,10,FALSE)</f>
        <v>0</v>
      </c>
    </row>
    <row r="1723" spans="1:35">
      <c r="A1723" t="s">
        <v>1790</v>
      </c>
      <c r="B1723" t="b">
        <v>1</v>
      </c>
      <c r="C1723" t="b">
        <v>1</v>
      </c>
      <c r="D1723" t="b">
        <v>0</v>
      </c>
      <c r="F1723" t="b">
        <v>1</v>
      </c>
      <c r="G1723" t="s">
        <v>512</v>
      </c>
      <c r="H1723" t="s">
        <v>136</v>
      </c>
      <c r="I1723" t="s">
        <v>136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>
        <v>2</v>
      </c>
      <c r="AB1723">
        <v>0</v>
      </c>
      <c r="AC1723">
        <f>VLOOKUP(A:A,[1]android_repos_all_metrics!B:K,4,FALSE)</f>
        <v>131</v>
      </c>
      <c r="AD1723">
        <f>VLOOKUP(A:A,[1]android_repos_all_metrics!B:K,5,FALSE)</f>
        <v>11</v>
      </c>
      <c r="AE1723">
        <f>VLOOKUP(A:A,[1]android_repos_all_metrics!B:K,6,FALSE)</f>
        <v>1</v>
      </c>
      <c r="AF1723">
        <f>VLOOKUP(A:A,[1]android_repos_all_metrics!B:K,7,FALSE)</f>
        <v>28548</v>
      </c>
      <c r="AG1723">
        <f>VLOOKUP(A:A,[1]android_repos_all_metrics!B:K,8,FALSE)</f>
        <v>123</v>
      </c>
      <c r="AH1723">
        <f>VLOOKUP(A:A,[1]android_repos_all_metrics!B:K,9,FALSE)</f>
        <v>300</v>
      </c>
      <c r="AI1723">
        <f>VLOOKUP(A:A,[1]android_repos_all_metrics!B:K,10,FALSE)</f>
        <v>1</v>
      </c>
    </row>
    <row r="1724" spans="1:35">
      <c r="A1724" t="s">
        <v>1791</v>
      </c>
      <c r="B1724" t="b">
        <v>0</v>
      </c>
      <c r="C1724" t="b">
        <v>0</v>
      </c>
      <c r="D1724" t="b">
        <v>0</v>
      </c>
      <c r="F1724" t="b">
        <v>0</v>
      </c>
      <c r="H1724" t="s">
        <v>41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>
        <v>1</v>
      </c>
      <c r="AB1724">
        <v>0</v>
      </c>
      <c r="AC1724">
        <f>VLOOKUP(A:A,[1]android_repos_all_metrics!B:K,4,FALSE)</f>
        <v>43</v>
      </c>
      <c r="AD1724">
        <f>VLOOKUP(A:A,[1]android_repos_all_metrics!B:K,5,FALSE)</f>
        <v>0</v>
      </c>
      <c r="AE1724">
        <f>VLOOKUP(A:A,[1]android_repos_all_metrics!B:K,6,FALSE)</f>
        <v>1</v>
      </c>
      <c r="AF1724">
        <f>VLOOKUP(A:A,[1]android_repos_all_metrics!B:K,7,FALSE)</f>
        <v>42471</v>
      </c>
      <c r="AG1724">
        <f>VLOOKUP(A:A,[1]android_repos_all_metrics!B:K,8,FALSE)</f>
        <v>1</v>
      </c>
      <c r="AH1724">
        <f>VLOOKUP(A:A,[1]android_repos_all_metrics!B:K,9,FALSE)</f>
        <v>5</v>
      </c>
      <c r="AI1724">
        <f>VLOOKUP(A:A,[1]android_repos_all_metrics!B:K,10,FALSE)</f>
        <v>0</v>
      </c>
    </row>
    <row r="1725" spans="1:35">
      <c r="A1725" t="s">
        <v>1792</v>
      </c>
      <c r="B1725" t="b">
        <v>1</v>
      </c>
      <c r="C1725" t="b">
        <v>0</v>
      </c>
      <c r="D1725" t="b">
        <v>0</v>
      </c>
      <c r="F1725" t="b">
        <v>0</v>
      </c>
      <c r="H1725" t="s">
        <v>37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>
        <v>1</v>
      </c>
      <c r="AB1725">
        <v>0</v>
      </c>
      <c r="AC1725">
        <f>VLOOKUP(A:A,[1]android_repos_all_metrics!B:K,4,FALSE)</f>
        <v>46</v>
      </c>
      <c r="AD1725">
        <f>VLOOKUP(A:A,[1]android_repos_all_metrics!B:K,5,FALSE)</f>
        <v>17</v>
      </c>
      <c r="AE1725">
        <f>VLOOKUP(A:A,[1]android_repos_all_metrics!B:K,6,FALSE)</f>
        <v>2</v>
      </c>
      <c r="AF1725">
        <f>VLOOKUP(A:A,[1]android_repos_all_metrics!B:K,7,FALSE)</f>
        <v>30224</v>
      </c>
      <c r="AG1725">
        <f>VLOOKUP(A:A,[1]android_repos_all_metrics!B:K,8,FALSE)</f>
        <v>1</v>
      </c>
      <c r="AH1725">
        <f>VLOOKUP(A:A,[1]android_repos_all_metrics!B:K,9,FALSE)</f>
        <v>7</v>
      </c>
      <c r="AI1725">
        <f>VLOOKUP(A:A,[1]android_repos_all_metrics!B:K,10,FALSE)</f>
        <v>0</v>
      </c>
    </row>
    <row r="1726" spans="1:35">
      <c r="A1726" t="s">
        <v>1793</v>
      </c>
      <c r="B1726" t="b">
        <v>1</v>
      </c>
      <c r="C1726" t="b">
        <v>0</v>
      </c>
      <c r="D1726" t="b">
        <v>0</v>
      </c>
      <c r="F1726" t="b">
        <v>0</v>
      </c>
      <c r="H1726" t="s">
        <v>43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>
        <v>1</v>
      </c>
      <c r="AB1726">
        <v>0</v>
      </c>
      <c r="AC1726">
        <f>VLOOKUP(A:A,[1]android_repos_all_metrics!B:K,4,FALSE)</f>
        <v>101</v>
      </c>
      <c r="AD1726">
        <f>VLOOKUP(A:A,[1]android_repos_all_metrics!B:K,5,FALSE)</f>
        <v>8</v>
      </c>
      <c r="AE1726">
        <f>VLOOKUP(A:A,[1]android_repos_all_metrics!B:K,6,FALSE)</f>
        <v>2</v>
      </c>
      <c r="AF1726">
        <f>VLOOKUP(A:A,[1]android_repos_all_metrics!B:K,7,FALSE)</f>
        <v>182</v>
      </c>
      <c r="AG1726">
        <f>VLOOKUP(A:A,[1]android_repos_all_metrics!B:K,8,FALSE)</f>
        <v>5</v>
      </c>
      <c r="AH1726">
        <f>VLOOKUP(A:A,[1]android_repos_all_metrics!B:K,9,FALSE)</f>
        <v>5</v>
      </c>
      <c r="AI1726">
        <f>VLOOKUP(A:A,[1]android_repos_all_metrics!B:K,10,FALSE)</f>
        <v>2</v>
      </c>
    </row>
    <row r="1727" spans="1:35">
      <c r="A1727" t="s">
        <v>1794</v>
      </c>
      <c r="B1727" t="b">
        <v>1</v>
      </c>
      <c r="C1727" t="b">
        <v>0</v>
      </c>
      <c r="D1727" t="b">
        <v>0</v>
      </c>
      <c r="F1727" t="b">
        <v>0</v>
      </c>
      <c r="H1727" t="s">
        <v>40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>
        <v>2</v>
      </c>
      <c r="AB1727">
        <v>0</v>
      </c>
      <c r="AC1727">
        <f>VLOOKUP(A:A,[1]android_repos_all_metrics!B:K,4,FALSE)</f>
        <v>47</v>
      </c>
      <c r="AD1727">
        <f>VLOOKUP(A:A,[1]android_repos_all_metrics!B:K,5,FALSE)</f>
        <v>0</v>
      </c>
      <c r="AE1727">
        <f>VLOOKUP(A:A,[1]android_repos_all_metrics!B:K,6,FALSE)</f>
        <v>2</v>
      </c>
      <c r="AF1727">
        <f>VLOOKUP(A:A,[1]android_repos_all_metrics!B:K,7,FALSE)</f>
        <v>10354</v>
      </c>
      <c r="AG1727">
        <f>VLOOKUP(A:A,[1]android_repos_all_metrics!B:K,8,FALSE)</f>
        <v>2</v>
      </c>
      <c r="AH1727">
        <f>VLOOKUP(A:A,[1]android_repos_all_metrics!B:K,9,FALSE)</f>
        <v>4</v>
      </c>
      <c r="AI1727">
        <f>VLOOKUP(A:A,[1]android_repos_all_metrics!B:K,10,FALSE)</f>
        <v>0</v>
      </c>
    </row>
    <row r="1728" spans="1:35">
      <c r="A1728" t="s">
        <v>1795</v>
      </c>
      <c r="B1728" t="b">
        <v>1</v>
      </c>
      <c r="C1728" t="b">
        <v>0</v>
      </c>
      <c r="D1728" t="b">
        <v>0</v>
      </c>
      <c r="F1728" t="b">
        <v>0</v>
      </c>
      <c r="H1728" t="s">
        <v>1796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>
        <v>6</v>
      </c>
      <c r="AB1728">
        <v>0</v>
      </c>
      <c r="AC1728">
        <f>VLOOKUP(A:A,[1]android_repos_all_metrics!B:K,4,FALSE)</f>
        <v>36873</v>
      </c>
      <c r="AD1728">
        <f>VLOOKUP(A:A,[1]android_repos_all_metrics!B:K,5,FALSE)</f>
        <v>8949</v>
      </c>
      <c r="AE1728">
        <f>VLOOKUP(A:A,[1]android_repos_all_metrics!B:K,6,FALSE)</f>
        <v>343</v>
      </c>
      <c r="AF1728">
        <f>VLOOKUP(A:A,[1]android_repos_all_metrics!B:K,7,FALSE)</f>
        <v>282817</v>
      </c>
      <c r="AG1728">
        <f>VLOOKUP(A:A,[1]android_repos_all_metrics!B:K,8,FALSE)</f>
        <v>2001</v>
      </c>
      <c r="AH1728">
        <f>VLOOKUP(A:A,[1]android_repos_all_metrics!B:K,9,FALSE)</f>
        <v>8926</v>
      </c>
      <c r="AI1728">
        <f>VLOOKUP(A:A,[1]android_repos_all_metrics!B:K,10,FALSE)</f>
        <v>1067</v>
      </c>
    </row>
    <row r="1729" spans="1:35">
      <c r="A1729" t="s">
        <v>1797</v>
      </c>
      <c r="B1729" t="b">
        <v>1</v>
      </c>
      <c r="C1729" t="b">
        <v>0</v>
      </c>
      <c r="D1729" t="b">
        <v>0</v>
      </c>
      <c r="F1729" t="b">
        <v>0</v>
      </c>
      <c r="H1729" t="s">
        <v>407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>
        <v>1</v>
      </c>
      <c r="AB1729">
        <v>0</v>
      </c>
      <c r="AC1729" t="e">
        <f>VLOOKUP(A:A,[1]android_repos_all_metrics!B:K,4,FALSE)</f>
        <v>#N/A</v>
      </c>
      <c r="AD1729" t="e">
        <f>VLOOKUP(A:A,[1]android_repos_all_metrics!B:K,5,FALSE)</f>
        <v>#N/A</v>
      </c>
      <c r="AE1729" t="e">
        <f>VLOOKUP(A:A,[1]android_repos_all_metrics!B:K,6,FALSE)</f>
        <v>#N/A</v>
      </c>
      <c r="AF1729" t="e">
        <f>VLOOKUP(A:A,[1]android_repos_all_metrics!B:K,7,FALSE)</f>
        <v>#N/A</v>
      </c>
      <c r="AG1729" t="e">
        <f>VLOOKUP(A:A,[1]android_repos_all_metrics!B:K,8,FALSE)</f>
        <v>#N/A</v>
      </c>
      <c r="AH1729" t="e">
        <f>VLOOKUP(A:A,[1]android_repos_all_metrics!B:K,9,FALSE)</f>
        <v>#N/A</v>
      </c>
      <c r="AI1729" t="e">
        <f>VLOOKUP(A:A,[1]android_repos_all_metrics!B:K,10,FALSE)</f>
        <v>#N/A</v>
      </c>
    </row>
    <row r="1730" spans="1:35">
      <c r="A1730" t="s">
        <v>1798</v>
      </c>
      <c r="B1730" t="b">
        <v>0</v>
      </c>
      <c r="C1730" t="b">
        <v>0</v>
      </c>
      <c r="D1730" t="b">
        <v>0</v>
      </c>
      <c r="F1730" t="b">
        <v>0</v>
      </c>
      <c r="H1730" t="s">
        <v>43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>
        <v>1</v>
      </c>
      <c r="AB1730">
        <v>0</v>
      </c>
      <c r="AC1730">
        <f>VLOOKUP(A:A,[1]android_repos_all_metrics!B:K,4,FALSE)</f>
        <v>35</v>
      </c>
      <c r="AD1730">
        <f>VLOOKUP(A:A,[1]android_repos_all_metrics!B:K,5,FALSE)</f>
        <v>9</v>
      </c>
      <c r="AE1730">
        <f>VLOOKUP(A:A,[1]android_repos_all_metrics!B:K,6,FALSE)</f>
        <v>1</v>
      </c>
      <c r="AF1730">
        <f>VLOOKUP(A:A,[1]android_repos_all_metrics!B:K,7,FALSE)</f>
        <v>190</v>
      </c>
      <c r="AG1730">
        <f>VLOOKUP(A:A,[1]android_repos_all_metrics!B:K,8,FALSE)</f>
        <v>0</v>
      </c>
      <c r="AH1730">
        <f>VLOOKUP(A:A,[1]android_repos_all_metrics!B:K,9,FALSE)</f>
        <v>9</v>
      </c>
      <c r="AI1730">
        <f>VLOOKUP(A:A,[1]android_repos_all_metrics!B:K,10,FALSE)</f>
        <v>0</v>
      </c>
    </row>
    <row r="1731" spans="1:35">
      <c r="A1731" t="s">
        <v>1799</v>
      </c>
      <c r="B1731" t="b">
        <v>0</v>
      </c>
      <c r="C1731" t="b">
        <v>0</v>
      </c>
      <c r="D1731" t="b">
        <v>0</v>
      </c>
      <c r="F1731" t="b">
        <v>0</v>
      </c>
      <c r="H1731" t="s">
        <v>41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>
        <v>1</v>
      </c>
      <c r="AB1731">
        <v>0</v>
      </c>
      <c r="AC1731">
        <f>VLOOKUP(A:A,[1]android_repos_all_metrics!B:K,4,FALSE)</f>
        <v>31</v>
      </c>
      <c r="AD1731">
        <f>VLOOKUP(A:A,[1]android_repos_all_metrics!B:K,5,FALSE)</f>
        <v>2</v>
      </c>
      <c r="AE1731">
        <f>VLOOKUP(A:A,[1]android_repos_all_metrics!B:K,6,FALSE)</f>
        <v>2</v>
      </c>
      <c r="AF1731">
        <f>VLOOKUP(A:A,[1]android_repos_all_metrics!B:K,7,FALSE)</f>
        <v>150</v>
      </c>
      <c r="AG1731">
        <f>VLOOKUP(A:A,[1]android_repos_all_metrics!B:K,8,FALSE)</f>
        <v>22</v>
      </c>
      <c r="AH1731">
        <f>VLOOKUP(A:A,[1]android_repos_all_metrics!B:K,9,FALSE)</f>
        <v>154</v>
      </c>
      <c r="AI1731">
        <f>VLOOKUP(A:A,[1]android_repos_all_metrics!B:K,10,FALSE)</f>
        <v>2</v>
      </c>
    </row>
    <row r="1732" spans="1:35">
      <c r="A1732" t="s">
        <v>1800</v>
      </c>
      <c r="B1732" t="b">
        <v>1</v>
      </c>
      <c r="C1732" t="b">
        <v>0</v>
      </c>
      <c r="D1732" t="b">
        <v>0</v>
      </c>
      <c r="F1732" t="b">
        <v>0</v>
      </c>
      <c r="H1732" t="s">
        <v>37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>
        <v>3</v>
      </c>
      <c r="AB1732">
        <v>0</v>
      </c>
      <c r="AC1732">
        <f>VLOOKUP(A:A,[1]android_repos_all_metrics!B:K,4,FALSE)</f>
        <v>270</v>
      </c>
      <c r="AD1732">
        <f>VLOOKUP(A:A,[1]android_repos_all_metrics!B:K,5,FALSE)</f>
        <v>160</v>
      </c>
      <c r="AE1732">
        <f>VLOOKUP(A:A,[1]android_repos_all_metrics!B:K,6,FALSE)</f>
        <v>15</v>
      </c>
      <c r="AF1732">
        <f>VLOOKUP(A:A,[1]android_repos_all_metrics!B:K,7,FALSE)</f>
        <v>2183</v>
      </c>
      <c r="AG1732">
        <f>VLOOKUP(A:A,[1]android_repos_all_metrics!B:K,8,FALSE)</f>
        <v>11</v>
      </c>
      <c r="AH1732">
        <f>VLOOKUP(A:A,[1]android_repos_all_metrics!B:K,9,FALSE)</f>
        <v>28</v>
      </c>
      <c r="AI1732">
        <f>VLOOKUP(A:A,[1]android_repos_all_metrics!B:K,10,FALSE)</f>
        <v>14</v>
      </c>
    </row>
    <row r="1733" spans="1:35">
      <c r="A1733" t="s">
        <v>1801</v>
      </c>
      <c r="B1733" t="b">
        <v>1</v>
      </c>
      <c r="C1733" t="b">
        <v>0</v>
      </c>
      <c r="D1733" t="b">
        <v>0</v>
      </c>
      <c r="F1733" t="b">
        <v>0</v>
      </c>
      <c r="H1733" t="s">
        <v>37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>
        <v>1</v>
      </c>
      <c r="AB1733">
        <v>0</v>
      </c>
      <c r="AC1733">
        <f>VLOOKUP(A:A,[1]android_repos_all_metrics!B:K,4,FALSE)</f>
        <v>206</v>
      </c>
      <c r="AD1733">
        <f>VLOOKUP(A:A,[1]android_repos_all_metrics!B:K,5,FALSE)</f>
        <v>20</v>
      </c>
      <c r="AE1733">
        <f>VLOOKUP(A:A,[1]android_repos_all_metrics!B:K,6,FALSE)</f>
        <v>4</v>
      </c>
      <c r="AF1733">
        <f>VLOOKUP(A:A,[1]android_repos_all_metrics!B:K,7,FALSE)</f>
        <v>3111</v>
      </c>
      <c r="AG1733">
        <f>VLOOKUP(A:A,[1]android_repos_all_metrics!B:K,8,FALSE)</f>
        <v>11</v>
      </c>
      <c r="AH1733">
        <f>VLOOKUP(A:A,[1]android_repos_all_metrics!B:K,9,FALSE)</f>
        <v>70</v>
      </c>
      <c r="AI1733">
        <f>VLOOKUP(A:A,[1]android_repos_all_metrics!B:K,10,FALSE)</f>
        <v>9</v>
      </c>
    </row>
    <row r="1734" spans="1:35">
      <c r="A1734" t="s">
        <v>1802</v>
      </c>
      <c r="B1734" t="b">
        <v>1</v>
      </c>
      <c r="C1734" t="b">
        <v>0</v>
      </c>
      <c r="D1734" t="b">
        <v>0</v>
      </c>
      <c r="F1734" t="b">
        <v>0</v>
      </c>
      <c r="H1734" t="s">
        <v>43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>
        <v>1</v>
      </c>
      <c r="AB1734">
        <v>0</v>
      </c>
      <c r="AC1734">
        <f>VLOOKUP(A:A,[1]android_repos_all_metrics!B:K,4,FALSE)</f>
        <v>1191</v>
      </c>
      <c r="AD1734">
        <f>VLOOKUP(A:A,[1]android_repos_all_metrics!B:K,5,FALSE)</f>
        <v>222</v>
      </c>
      <c r="AE1734">
        <f>VLOOKUP(A:A,[1]android_repos_all_metrics!B:K,6,FALSE)</f>
        <v>26</v>
      </c>
      <c r="AF1734">
        <f>VLOOKUP(A:A,[1]android_repos_all_metrics!B:K,7,FALSE)</f>
        <v>3094</v>
      </c>
      <c r="AG1734">
        <f>VLOOKUP(A:A,[1]android_repos_all_metrics!B:K,8,FALSE)</f>
        <v>71</v>
      </c>
      <c r="AH1734">
        <f>VLOOKUP(A:A,[1]android_repos_all_metrics!B:K,9,FALSE)</f>
        <v>296</v>
      </c>
      <c r="AI1734">
        <f>VLOOKUP(A:A,[1]android_repos_all_metrics!B:K,10,FALSE)</f>
        <v>14</v>
      </c>
    </row>
    <row r="1735" spans="1:35">
      <c r="A1735" t="s">
        <v>1803</v>
      </c>
      <c r="B1735" t="b">
        <v>1</v>
      </c>
      <c r="C1735" t="b">
        <v>0</v>
      </c>
      <c r="D1735" t="b">
        <v>0</v>
      </c>
      <c r="F1735" t="b">
        <v>0</v>
      </c>
      <c r="H1735" t="s">
        <v>37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>
        <v>1</v>
      </c>
      <c r="AB1735">
        <v>0</v>
      </c>
      <c r="AC1735">
        <f>VLOOKUP(A:A,[1]android_repos_all_metrics!B:K,4,FALSE)</f>
        <v>1088</v>
      </c>
      <c r="AD1735">
        <f>VLOOKUP(A:A,[1]android_repos_all_metrics!B:K,5,FALSE)</f>
        <v>201</v>
      </c>
      <c r="AE1735">
        <f>VLOOKUP(A:A,[1]android_repos_all_metrics!B:K,6,FALSE)</f>
        <v>6</v>
      </c>
      <c r="AF1735">
        <f>VLOOKUP(A:A,[1]android_repos_all_metrics!B:K,7,FALSE)</f>
        <v>83394</v>
      </c>
      <c r="AG1735">
        <f>VLOOKUP(A:A,[1]android_repos_all_metrics!B:K,8,FALSE)</f>
        <v>5</v>
      </c>
      <c r="AH1735">
        <f>VLOOKUP(A:A,[1]android_repos_all_metrics!B:K,9,FALSE)</f>
        <v>61</v>
      </c>
      <c r="AI1735">
        <f>VLOOKUP(A:A,[1]android_repos_all_metrics!B:K,10,FALSE)</f>
        <v>12</v>
      </c>
    </row>
    <row r="1736" spans="1:35">
      <c r="A1736" t="s">
        <v>1804</v>
      </c>
      <c r="B1736" t="b">
        <v>0</v>
      </c>
      <c r="C1736" t="b">
        <v>0</v>
      </c>
      <c r="D1736" t="b">
        <v>0</v>
      </c>
      <c r="F1736" t="b">
        <v>0</v>
      </c>
      <c r="H1736" t="s">
        <v>40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>
        <v>2</v>
      </c>
      <c r="AB1736">
        <v>0</v>
      </c>
      <c r="AC1736">
        <f>VLOOKUP(A:A,[1]android_repos_all_metrics!B:K,4,FALSE)</f>
        <v>151</v>
      </c>
      <c r="AD1736">
        <f>VLOOKUP(A:A,[1]android_repos_all_metrics!B:K,5,FALSE)</f>
        <v>17</v>
      </c>
      <c r="AE1736">
        <f>VLOOKUP(A:A,[1]android_repos_all_metrics!B:K,6,FALSE)</f>
        <v>10</v>
      </c>
      <c r="AF1736">
        <f>VLOOKUP(A:A,[1]android_repos_all_metrics!B:K,7,FALSE)</f>
        <v>613</v>
      </c>
      <c r="AG1736">
        <f>VLOOKUP(A:A,[1]android_repos_all_metrics!B:K,8,FALSE)</f>
        <v>18</v>
      </c>
      <c r="AH1736">
        <f>VLOOKUP(A:A,[1]android_repos_all_metrics!B:K,9,FALSE)</f>
        <v>32</v>
      </c>
      <c r="AI1736">
        <f>VLOOKUP(A:A,[1]android_repos_all_metrics!B:K,10,FALSE)</f>
        <v>12</v>
      </c>
    </row>
    <row r="1737" spans="1:35">
      <c r="A1737" t="s">
        <v>1805</v>
      </c>
      <c r="B1737" t="b">
        <v>1</v>
      </c>
      <c r="C1737" t="b">
        <v>0</v>
      </c>
      <c r="D1737" t="b">
        <v>0</v>
      </c>
      <c r="F1737" t="b">
        <v>0</v>
      </c>
      <c r="H1737" t="s">
        <v>110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>
        <v>2</v>
      </c>
      <c r="AB1737">
        <v>0</v>
      </c>
      <c r="AC1737">
        <f>VLOOKUP(A:A,[1]android_repos_all_metrics!B:K,4,FALSE)</f>
        <v>309</v>
      </c>
      <c r="AD1737">
        <f>VLOOKUP(A:A,[1]android_repos_all_metrics!B:K,5,FALSE)</f>
        <v>44</v>
      </c>
      <c r="AE1737">
        <f>VLOOKUP(A:A,[1]android_repos_all_metrics!B:K,6,FALSE)</f>
        <v>4</v>
      </c>
      <c r="AF1737">
        <f>VLOOKUP(A:A,[1]android_repos_all_metrics!B:K,7,FALSE)</f>
        <v>16882</v>
      </c>
      <c r="AG1737">
        <f>VLOOKUP(A:A,[1]android_repos_all_metrics!B:K,8,FALSE)</f>
        <v>6</v>
      </c>
      <c r="AH1737">
        <f>VLOOKUP(A:A,[1]android_repos_all_metrics!B:K,9,FALSE)</f>
        <v>2</v>
      </c>
      <c r="AI1737">
        <f>VLOOKUP(A:A,[1]android_repos_all_metrics!B:K,10,FALSE)</f>
        <v>11</v>
      </c>
    </row>
    <row r="1738" spans="1:35">
      <c r="A1738" t="s">
        <v>1806</v>
      </c>
      <c r="B1738" t="b">
        <v>1</v>
      </c>
      <c r="C1738" t="b">
        <v>0</v>
      </c>
      <c r="D1738" t="b">
        <v>0</v>
      </c>
      <c r="F1738" t="b">
        <v>0</v>
      </c>
      <c r="H1738" t="s">
        <v>110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>
        <v>2</v>
      </c>
      <c r="AB1738">
        <v>0</v>
      </c>
      <c r="AC1738">
        <f>VLOOKUP(A:A,[1]android_repos_all_metrics!B:K,4,FALSE)</f>
        <v>410</v>
      </c>
      <c r="AD1738">
        <f>VLOOKUP(A:A,[1]android_repos_all_metrics!B:K,5,FALSE)</f>
        <v>44</v>
      </c>
      <c r="AE1738">
        <f>VLOOKUP(A:A,[1]android_repos_all_metrics!B:K,6,FALSE)</f>
        <v>29</v>
      </c>
      <c r="AF1738">
        <f>VLOOKUP(A:A,[1]android_repos_all_metrics!B:K,7,FALSE)</f>
        <v>911</v>
      </c>
      <c r="AG1738">
        <f>VLOOKUP(A:A,[1]android_repos_all_metrics!B:K,8,FALSE)</f>
        <v>14</v>
      </c>
      <c r="AH1738">
        <f>VLOOKUP(A:A,[1]android_repos_all_metrics!B:K,9,FALSE)</f>
        <v>16</v>
      </c>
      <c r="AI1738">
        <f>VLOOKUP(A:A,[1]android_repos_all_metrics!B:K,10,FALSE)</f>
        <v>13</v>
      </c>
    </row>
    <row r="1739" spans="1:35">
      <c r="A1739" t="s">
        <v>1807</v>
      </c>
      <c r="B1739" t="b">
        <v>1</v>
      </c>
      <c r="C1739" t="b">
        <v>0</v>
      </c>
      <c r="D1739" t="b">
        <v>0</v>
      </c>
      <c r="F1739" t="b">
        <v>0</v>
      </c>
      <c r="H1739" t="s">
        <v>37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>
        <v>1</v>
      </c>
      <c r="AB1739">
        <v>0</v>
      </c>
      <c r="AC1739">
        <f>VLOOKUP(A:A,[1]android_repos_all_metrics!B:K,4,FALSE)</f>
        <v>113</v>
      </c>
      <c r="AD1739">
        <f>VLOOKUP(A:A,[1]android_repos_all_metrics!B:K,5,FALSE)</f>
        <v>5</v>
      </c>
      <c r="AE1739">
        <f>VLOOKUP(A:A,[1]android_repos_all_metrics!B:K,6,FALSE)</f>
        <v>5</v>
      </c>
      <c r="AF1739">
        <f>VLOOKUP(A:A,[1]android_repos_all_metrics!B:K,7,FALSE)</f>
        <v>7337</v>
      </c>
      <c r="AG1739">
        <f>VLOOKUP(A:A,[1]android_repos_all_metrics!B:K,8,FALSE)</f>
        <v>2</v>
      </c>
      <c r="AH1739">
        <f>VLOOKUP(A:A,[1]android_repos_all_metrics!B:K,9,FALSE)</f>
        <v>23</v>
      </c>
      <c r="AI1739">
        <f>VLOOKUP(A:A,[1]android_repos_all_metrics!B:K,10,FALSE)</f>
        <v>4</v>
      </c>
    </row>
    <row r="1740" spans="1:35">
      <c r="A1740" t="s">
        <v>1808</v>
      </c>
      <c r="B1740" t="b">
        <v>1</v>
      </c>
      <c r="C1740" t="b">
        <v>0</v>
      </c>
      <c r="D1740" t="b">
        <v>0</v>
      </c>
      <c r="F1740" t="b">
        <v>0</v>
      </c>
      <c r="H1740" t="s">
        <v>43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>
        <v>1</v>
      </c>
      <c r="AB1740">
        <v>0</v>
      </c>
      <c r="AC1740">
        <f>VLOOKUP(A:A,[1]android_repos_all_metrics!B:K,4,FALSE)</f>
        <v>132</v>
      </c>
      <c r="AD1740">
        <f>VLOOKUP(A:A,[1]android_repos_all_metrics!B:K,5,FALSE)</f>
        <v>2</v>
      </c>
      <c r="AE1740">
        <f>VLOOKUP(A:A,[1]android_repos_all_metrics!B:K,6,FALSE)</f>
        <v>1</v>
      </c>
      <c r="AF1740">
        <f>VLOOKUP(A:A,[1]android_repos_all_metrics!B:K,7,FALSE)</f>
        <v>1864</v>
      </c>
      <c r="AG1740">
        <f>VLOOKUP(A:A,[1]android_repos_all_metrics!B:K,8,FALSE)</f>
        <v>0</v>
      </c>
      <c r="AH1740">
        <f>VLOOKUP(A:A,[1]android_repos_all_metrics!B:K,9,FALSE)</f>
        <v>6</v>
      </c>
      <c r="AI1740">
        <f>VLOOKUP(A:A,[1]android_repos_all_metrics!B:K,10,FALSE)</f>
        <v>0</v>
      </c>
    </row>
    <row r="1741" spans="1:35">
      <c r="A1741" t="s">
        <v>1809</v>
      </c>
      <c r="B1741" t="b">
        <v>1</v>
      </c>
      <c r="C1741" t="b">
        <v>0</v>
      </c>
      <c r="D1741" t="b">
        <v>0</v>
      </c>
      <c r="F1741" t="b">
        <v>0</v>
      </c>
      <c r="H1741" t="s">
        <v>86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>
        <v>2</v>
      </c>
      <c r="AB1741">
        <v>0</v>
      </c>
      <c r="AC1741">
        <f>VLOOKUP(A:A,[1]android_repos_all_metrics!B:K,4,FALSE)</f>
        <v>1023</v>
      </c>
      <c r="AD1741">
        <f>VLOOKUP(A:A,[1]android_repos_all_metrics!B:K,5,FALSE)</f>
        <v>42</v>
      </c>
      <c r="AE1741">
        <f>VLOOKUP(A:A,[1]android_repos_all_metrics!B:K,6,FALSE)</f>
        <v>57</v>
      </c>
      <c r="AF1741">
        <f>VLOOKUP(A:A,[1]android_repos_all_metrics!B:K,7,FALSE)</f>
        <v>17113</v>
      </c>
      <c r="AG1741">
        <f>VLOOKUP(A:A,[1]android_repos_all_metrics!B:K,8,FALSE)</f>
        <v>77</v>
      </c>
      <c r="AH1741">
        <f>VLOOKUP(A:A,[1]android_repos_all_metrics!B:K,9,FALSE)</f>
        <v>487</v>
      </c>
      <c r="AI1741">
        <f>VLOOKUP(A:A,[1]android_repos_all_metrics!B:K,10,FALSE)</f>
        <v>47</v>
      </c>
    </row>
    <row r="1742" spans="1:35">
      <c r="A1742" t="s">
        <v>1810</v>
      </c>
      <c r="B1742" t="b">
        <v>1</v>
      </c>
      <c r="C1742" t="b">
        <v>0</v>
      </c>
      <c r="D1742" t="b">
        <v>0</v>
      </c>
      <c r="F1742" t="b">
        <v>0</v>
      </c>
      <c r="H1742" t="s">
        <v>37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>
        <v>2</v>
      </c>
      <c r="AB1742">
        <v>0</v>
      </c>
      <c r="AC1742">
        <f>VLOOKUP(A:A,[1]android_repos_all_metrics!B:K,4,FALSE)</f>
        <v>60</v>
      </c>
      <c r="AD1742">
        <f>VLOOKUP(A:A,[1]android_repos_all_metrics!B:K,5,FALSE)</f>
        <v>3</v>
      </c>
      <c r="AE1742">
        <f>VLOOKUP(A:A,[1]android_repos_all_metrics!B:K,6,FALSE)</f>
        <v>5</v>
      </c>
      <c r="AF1742">
        <f>VLOOKUP(A:A,[1]android_repos_all_metrics!B:K,7,FALSE)</f>
        <v>1434</v>
      </c>
      <c r="AG1742">
        <f>VLOOKUP(A:A,[1]android_repos_all_metrics!B:K,8,FALSE)</f>
        <v>4</v>
      </c>
      <c r="AH1742">
        <f>VLOOKUP(A:A,[1]android_repos_all_metrics!B:K,9,FALSE)</f>
        <v>35</v>
      </c>
      <c r="AI1742">
        <f>VLOOKUP(A:A,[1]android_repos_all_metrics!B:K,10,FALSE)</f>
        <v>0</v>
      </c>
    </row>
    <row r="1743" spans="1:35">
      <c r="A1743" t="s">
        <v>1811</v>
      </c>
      <c r="B1743" t="b">
        <v>1</v>
      </c>
      <c r="C1743" t="b">
        <v>0</v>
      </c>
      <c r="D1743" t="b">
        <v>0</v>
      </c>
      <c r="F1743" t="b">
        <v>0</v>
      </c>
      <c r="H1743" t="s">
        <v>37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>
        <v>1</v>
      </c>
      <c r="AB1743">
        <v>0</v>
      </c>
      <c r="AC1743">
        <f>VLOOKUP(A:A,[1]android_repos_all_metrics!B:K,4,FALSE)</f>
        <v>59</v>
      </c>
      <c r="AD1743">
        <f>VLOOKUP(A:A,[1]android_repos_all_metrics!B:K,5,FALSE)</f>
        <v>0</v>
      </c>
      <c r="AE1743">
        <f>VLOOKUP(A:A,[1]android_repos_all_metrics!B:K,6,FALSE)</f>
        <v>1</v>
      </c>
      <c r="AF1743">
        <f>VLOOKUP(A:A,[1]android_repos_all_metrics!B:K,7,FALSE)</f>
        <v>195</v>
      </c>
      <c r="AG1743">
        <f>VLOOKUP(A:A,[1]android_repos_all_metrics!B:K,8,FALSE)</f>
        <v>0</v>
      </c>
      <c r="AH1743">
        <f>VLOOKUP(A:A,[1]android_repos_all_metrics!B:K,9,FALSE)</f>
        <v>5</v>
      </c>
      <c r="AI1743">
        <f>VLOOKUP(A:A,[1]android_repos_all_metrics!B:K,10,FALSE)</f>
        <v>2</v>
      </c>
    </row>
    <row r="1744" spans="1:35">
      <c r="A1744" t="s">
        <v>1812</v>
      </c>
      <c r="B1744" t="b">
        <v>1</v>
      </c>
      <c r="C1744" t="b">
        <v>0</v>
      </c>
      <c r="D1744" t="b">
        <v>0</v>
      </c>
      <c r="F1744" t="b">
        <v>0</v>
      </c>
      <c r="H1744" t="s">
        <v>37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>
        <v>1</v>
      </c>
      <c r="AB1744">
        <v>0</v>
      </c>
      <c r="AC1744">
        <f>VLOOKUP(A:A,[1]android_repos_all_metrics!B:K,4,FALSE)</f>
        <v>84</v>
      </c>
      <c r="AD1744">
        <f>VLOOKUP(A:A,[1]android_repos_all_metrics!B:K,5,FALSE)</f>
        <v>8</v>
      </c>
      <c r="AE1744">
        <f>VLOOKUP(A:A,[1]android_repos_all_metrics!B:K,6,FALSE)</f>
        <v>20</v>
      </c>
      <c r="AF1744">
        <f>VLOOKUP(A:A,[1]android_repos_all_metrics!B:K,7,FALSE)</f>
        <v>12958</v>
      </c>
      <c r="AG1744">
        <f>VLOOKUP(A:A,[1]android_repos_all_metrics!B:K,8,FALSE)</f>
        <v>12</v>
      </c>
      <c r="AH1744">
        <f>VLOOKUP(A:A,[1]android_repos_all_metrics!B:K,9,FALSE)</f>
        <v>22</v>
      </c>
      <c r="AI1744">
        <f>VLOOKUP(A:A,[1]android_repos_all_metrics!B:K,10,FALSE)</f>
        <v>13</v>
      </c>
    </row>
    <row r="1745" spans="1:35">
      <c r="A1745" t="s">
        <v>1813</v>
      </c>
      <c r="B1745" t="b">
        <v>1</v>
      </c>
      <c r="C1745" t="b">
        <v>1</v>
      </c>
      <c r="D1745" t="b">
        <v>1</v>
      </c>
      <c r="E1745" t="s">
        <v>36</v>
      </c>
      <c r="F1745" t="b">
        <v>0</v>
      </c>
      <c r="H1745" t="s">
        <v>37</v>
      </c>
      <c r="I1745" t="s">
        <v>37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>
        <v>2</v>
      </c>
      <c r="AB1745">
        <v>0</v>
      </c>
      <c r="AC1745">
        <f>VLOOKUP(A:A,[1]android_repos_all_metrics!B:K,4,FALSE)</f>
        <v>79</v>
      </c>
      <c r="AD1745">
        <f>VLOOKUP(A:A,[1]android_repos_all_metrics!B:K,5,FALSE)</f>
        <v>4</v>
      </c>
      <c r="AE1745">
        <f>VLOOKUP(A:A,[1]android_repos_all_metrics!B:K,6,FALSE)</f>
        <v>6</v>
      </c>
      <c r="AF1745">
        <f>VLOOKUP(A:A,[1]android_repos_all_metrics!B:K,7,FALSE)</f>
        <v>1392</v>
      </c>
      <c r="AG1745">
        <f>VLOOKUP(A:A,[1]android_repos_all_metrics!B:K,8,FALSE)</f>
        <v>2</v>
      </c>
      <c r="AH1745">
        <f>VLOOKUP(A:A,[1]android_repos_all_metrics!B:K,9,FALSE)</f>
        <v>22</v>
      </c>
      <c r="AI1745">
        <f>VLOOKUP(A:A,[1]android_repos_all_metrics!B:K,10,FALSE)</f>
        <v>6</v>
      </c>
    </row>
    <row r="1746" spans="1:35">
      <c r="A1746" t="s">
        <v>1814</v>
      </c>
      <c r="B1746" t="b">
        <v>1</v>
      </c>
      <c r="C1746" t="b">
        <v>0</v>
      </c>
      <c r="D1746" t="b">
        <v>0</v>
      </c>
      <c r="F1746" t="b">
        <v>0</v>
      </c>
      <c r="H1746" t="s">
        <v>37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>
        <v>1</v>
      </c>
      <c r="AB1746">
        <v>0</v>
      </c>
      <c r="AC1746">
        <f>VLOOKUP(A:A,[1]android_repos_all_metrics!B:K,4,FALSE)</f>
        <v>109</v>
      </c>
      <c r="AD1746">
        <f>VLOOKUP(A:A,[1]android_repos_all_metrics!B:K,5,FALSE)</f>
        <v>5</v>
      </c>
      <c r="AE1746">
        <f>VLOOKUP(A:A,[1]android_repos_all_metrics!B:K,6,FALSE)</f>
        <v>8</v>
      </c>
      <c r="AF1746">
        <f>VLOOKUP(A:A,[1]android_repos_all_metrics!B:K,7,FALSE)</f>
        <v>77824</v>
      </c>
      <c r="AG1746">
        <f>VLOOKUP(A:A,[1]android_repos_all_metrics!B:K,8,FALSE)</f>
        <v>3</v>
      </c>
      <c r="AH1746">
        <f>VLOOKUP(A:A,[1]android_repos_all_metrics!B:K,9,FALSE)</f>
        <v>7</v>
      </c>
      <c r="AI1746">
        <f>VLOOKUP(A:A,[1]android_repos_all_metrics!B:K,10,FALSE)</f>
        <v>3</v>
      </c>
    </row>
    <row r="1747" spans="1:35">
      <c r="A1747" t="s">
        <v>1815</v>
      </c>
      <c r="B1747" t="b">
        <v>1</v>
      </c>
      <c r="C1747" t="b">
        <v>0</v>
      </c>
      <c r="D1747" t="b">
        <v>0</v>
      </c>
      <c r="F1747" t="b">
        <v>0</v>
      </c>
      <c r="H1747" t="s">
        <v>37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>
        <v>1</v>
      </c>
      <c r="AB1747">
        <v>0</v>
      </c>
      <c r="AC1747">
        <f>VLOOKUP(A:A,[1]android_repos_all_metrics!B:K,4,FALSE)</f>
        <v>125</v>
      </c>
      <c r="AD1747">
        <f>VLOOKUP(A:A,[1]android_repos_all_metrics!B:K,5,FALSE)</f>
        <v>9</v>
      </c>
      <c r="AE1747">
        <f>VLOOKUP(A:A,[1]android_repos_all_metrics!B:K,6,FALSE)</f>
        <v>13</v>
      </c>
      <c r="AF1747">
        <f>VLOOKUP(A:A,[1]android_repos_all_metrics!B:K,7,FALSE)</f>
        <v>1782</v>
      </c>
      <c r="AG1747">
        <f>VLOOKUP(A:A,[1]android_repos_all_metrics!B:K,8,FALSE)</f>
        <v>9</v>
      </c>
      <c r="AH1747">
        <f>VLOOKUP(A:A,[1]android_repos_all_metrics!B:K,9,FALSE)</f>
        <v>18</v>
      </c>
      <c r="AI1747">
        <f>VLOOKUP(A:A,[1]android_repos_all_metrics!B:K,10,FALSE)</f>
        <v>6</v>
      </c>
    </row>
    <row r="1748" spans="1:35">
      <c r="A1748" t="s">
        <v>1816</v>
      </c>
      <c r="B1748" t="b">
        <v>1</v>
      </c>
      <c r="C1748" t="b">
        <v>0</v>
      </c>
      <c r="D1748" t="b">
        <v>0</v>
      </c>
      <c r="F1748" t="b">
        <v>0</v>
      </c>
      <c r="H1748" t="s">
        <v>37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>
        <v>1</v>
      </c>
      <c r="AB1748">
        <v>0</v>
      </c>
      <c r="AC1748">
        <f>VLOOKUP(A:A,[1]android_repos_all_metrics!B:K,4,FALSE)</f>
        <v>119</v>
      </c>
      <c r="AD1748">
        <f>VLOOKUP(A:A,[1]android_repos_all_metrics!B:K,5,FALSE)</f>
        <v>3</v>
      </c>
      <c r="AE1748">
        <f>VLOOKUP(A:A,[1]android_repos_all_metrics!B:K,6,FALSE)</f>
        <v>7</v>
      </c>
      <c r="AF1748">
        <f>VLOOKUP(A:A,[1]android_repos_all_metrics!B:K,7,FALSE)</f>
        <v>1269</v>
      </c>
      <c r="AG1748">
        <f>VLOOKUP(A:A,[1]android_repos_all_metrics!B:K,8,FALSE)</f>
        <v>9</v>
      </c>
      <c r="AH1748">
        <f>VLOOKUP(A:A,[1]android_repos_all_metrics!B:K,9,FALSE)</f>
        <v>10</v>
      </c>
      <c r="AI1748">
        <f>VLOOKUP(A:A,[1]android_repos_all_metrics!B:K,10,FALSE)</f>
        <v>2</v>
      </c>
    </row>
    <row r="1749" spans="1:35">
      <c r="A1749" t="s">
        <v>1817</v>
      </c>
      <c r="B1749" t="b">
        <v>1</v>
      </c>
      <c r="C1749" t="b">
        <v>0</v>
      </c>
      <c r="D1749" t="b">
        <v>0</v>
      </c>
      <c r="F1749" t="b">
        <v>0</v>
      </c>
      <c r="H1749" t="s">
        <v>86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>
        <v>2</v>
      </c>
      <c r="AB1749">
        <v>0</v>
      </c>
      <c r="AC1749">
        <f>VLOOKUP(A:A,[1]android_repos_all_metrics!B:K,4,FALSE)</f>
        <v>147</v>
      </c>
      <c r="AD1749">
        <f>VLOOKUP(A:A,[1]android_repos_all_metrics!B:K,5,FALSE)</f>
        <v>11</v>
      </c>
      <c r="AE1749">
        <f>VLOOKUP(A:A,[1]android_repos_all_metrics!B:K,6,FALSE)</f>
        <v>9</v>
      </c>
      <c r="AF1749">
        <f>VLOOKUP(A:A,[1]android_repos_all_metrics!B:K,7,FALSE)</f>
        <v>1212</v>
      </c>
      <c r="AG1749">
        <f>VLOOKUP(A:A,[1]android_repos_all_metrics!B:K,8,FALSE)</f>
        <v>12</v>
      </c>
      <c r="AH1749">
        <f>VLOOKUP(A:A,[1]android_repos_all_metrics!B:K,9,FALSE)</f>
        <v>16</v>
      </c>
      <c r="AI1749">
        <f>VLOOKUP(A:A,[1]android_repos_all_metrics!B:K,10,FALSE)</f>
        <v>3</v>
      </c>
    </row>
    <row r="1750" spans="1:35">
      <c r="A1750" t="s">
        <v>1818</v>
      </c>
      <c r="B1750" t="b">
        <v>1</v>
      </c>
      <c r="C1750" t="b">
        <v>0</v>
      </c>
      <c r="D1750" t="b">
        <v>0</v>
      </c>
      <c r="F1750" t="b">
        <v>0</v>
      </c>
      <c r="H1750" t="s">
        <v>37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>
        <v>1</v>
      </c>
      <c r="AB1750">
        <v>0</v>
      </c>
      <c r="AC1750">
        <f>VLOOKUP(A:A,[1]android_repos_all_metrics!B:K,4,FALSE)</f>
        <v>547</v>
      </c>
      <c r="AD1750">
        <f>VLOOKUP(A:A,[1]android_repos_all_metrics!B:K,5,FALSE)</f>
        <v>16</v>
      </c>
      <c r="AE1750">
        <f>VLOOKUP(A:A,[1]android_repos_all_metrics!B:K,6,FALSE)</f>
        <v>11</v>
      </c>
      <c r="AF1750">
        <f>VLOOKUP(A:A,[1]android_repos_all_metrics!B:K,7,FALSE)</f>
        <v>2650</v>
      </c>
      <c r="AG1750">
        <f>VLOOKUP(A:A,[1]android_repos_all_metrics!B:K,8,FALSE)</f>
        <v>18</v>
      </c>
      <c r="AH1750">
        <f>VLOOKUP(A:A,[1]android_repos_all_metrics!B:K,9,FALSE)</f>
        <v>32</v>
      </c>
      <c r="AI1750">
        <f>VLOOKUP(A:A,[1]android_repos_all_metrics!B:K,10,FALSE)</f>
        <v>23</v>
      </c>
    </row>
    <row r="1751" spans="1:35">
      <c r="A1751" t="s">
        <v>1819</v>
      </c>
      <c r="B1751" t="b">
        <v>1</v>
      </c>
      <c r="C1751" t="b">
        <v>0</v>
      </c>
      <c r="D1751" t="b">
        <v>0</v>
      </c>
      <c r="F1751" t="b">
        <v>0</v>
      </c>
      <c r="H1751" t="s">
        <v>37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>
        <v>1</v>
      </c>
      <c r="AB1751">
        <v>0</v>
      </c>
      <c r="AC1751">
        <f>VLOOKUP(A:A,[1]android_repos_all_metrics!B:K,4,FALSE)</f>
        <v>261</v>
      </c>
      <c r="AD1751">
        <f>VLOOKUP(A:A,[1]android_repos_all_metrics!B:K,5,FALSE)</f>
        <v>51</v>
      </c>
      <c r="AE1751">
        <f>VLOOKUP(A:A,[1]android_repos_all_metrics!B:K,6,FALSE)</f>
        <v>11</v>
      </c>
      <c r="AF1751">
        <f>VLOOKUP(A:A,[1]android_repos_all_metrics!B:K,7,FALSE)</f>
        <v>1826</v>
      </c>
      <c r="AG1751">
        <f>VLOOKUP(A:A,[1]android_repos_all_metrics!B:K,8,FALSE)</f>
        <v>18</v>
      </c>
      <c r="AH1751">
        <f>VLOOKUP(A:A,[1]android_repos_all_metrics!B:K,9,FALSE)</f>
        <v>45</v>
      </c>
      <c r="AI1751">
        <f>VLOOKUP(A:A,[1]android_repos_all_metrics!B:K,10,FALSE)</f>
        <v>29</v>
      </c>
    </row>
    <row r="1752" spans="1:35">
      <c r="A1752" t="s">
        <v>1820</v>
      </c>
      <c r="B1752" t="b">
        <v>1</v>
      </c>
      <c r="C1752" t="b">
        <v>0</v>
      </c>
      <c r="D1752" t="b">
        <v>0</v>
      </c>
      <c r="F1752" t="b">
        <v>0</v>
      </c>
      <c r="H1752" t="s">
        <v>37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>
        <v>1</v>
      </c>
      <c r="AB1752">
        <v>0</v>
      </c>
      <c r="AC1752">
        <f>VLOOKUP(A:A,[1]android_repos_all_metrics!B:K,4,FALSE)</f>
        <v>134</v>
      </c>
      <c r="AD1752">
        <f>VLOOKUP(A:A,[1]android_repos_all_metrics!B:K,5,FALSE)</f>
        <v>11</v>
      </c>
      <c r="AE1752">
        <f>VLOOKUP(A:A,[1]android_repos_all_metrics!B:K,6,FALSE)</f>
        <v>11</v>
      </c>
      <c r="AF1752">
        <f>VLOOKUP(A:A,[1]android_repos_all_metrics!B:K,7,FALSE)</f>
        <v>14970</v>
      </c>
      <c r="AG1752">
        <f>VLOOKUP(A:A,[1]android_repos_all_metrics!B:K,8,FALSE)</f>
        <v>19</v>
      </c>
      <c r="AH1752">
        <f>VLOOKUP(A:A,[1]android_repos_all_metrics!B:K,9,FALSE)</f>
        <v>31</v>
      </c>
      <c r="AI1752">
        <f>VLOOKUP(A:A,[1]android_repos_all_metrics!B:K,10,FALSE)</f>
        <v>25</v>
      </c>
    </row>
    <row r="1753" spans="1:35">
      <c r="A1753" t="s">
        <v>1821</v>
      </c>
      <c r="B1753" t="b">
        <v>1</v>
      </c>
      <c r="C1753" t="b">
        <v>0</v>
      </c>
      <c r="D1753" t="b">
        <v>0</v>
      </c>
      <c r="F1753" t="b">
        <v>0</v>
      </c>
      <c r="H1753" t="s">
        <v>37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>
        <v>1</v>
      </c>
      <c r="AB1753">
        <v>0</v>
      </c>
      <c r="AC1753">
        <f>VLOOKUP(A:A,[1]android_repos_all_metrics!B:K,4,FALSE)</f>
        <v>83</v>
      </c>
      <c r="AD1753">
        <f>VLOOKUP(A:A,[1]android_repos_all_metrics!B:K,5,FALSE)</f>
        <v>3</v>
      </c>
      <c r="AE1753">
        <f>VLOOKUP(A:A,[1]android_repos_all_metrics!B:K,6,FALSE)</f>
        <v>8</v>
      </c>
      <c r="AF1753">
        <f>VLOOKUP(A:A,[1]android_repos_all_metrics!B:K,7,FALSE)</f>
        <v>16328</v>
      </c>
      <c r="AG1753">
        <f>VLOOKUP(A:A,[1]android_repos_all_metrics!B:K,8,FALSE)</f>
        <v>34</v>
      </c>
      <c r="AH1753">
        <f>VLOOKUP(A:A,[1]android_repos_all_metrics!B:K,9,FALSE)</f>
        <v>45</v>
      </c>
      <c r="AI1753">
        <f>VLOOKUP(A:A,[1]android_repos_all_metrics!B:K,10,FALSE)</f>
        <v>7</v>
      </c>
    </row>
    <row r="1754" spans="1:35">
      <c r="A1754" t="s">
        <v>1822</v>
      </c>
      <c r="B1754" t="b">
        <v>1</v>
      </c>
      <c r="C1754" t="b">
        <v>0</v>
      </c>
      <c r="D1754" t="b">
        <v>0</v>
      </c>
      <c r="F1754" t="b">
        <v>0</v>
      </c>
      <c r="H1754" t="s">
        <v>37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>
        <v>1</v>
      </c>
      <c r="AB1754">
        <v>0</v>
      </c>
      <c r="AC1754">
        <f>VLOOKUP(A:A,[1]android_repos_all_metrics!B:K,4,FALSE)</f>
        <v>114</v>
      </c>
      <c r="AD1754">
        <f>VLOOKUP(A:A,[1]android_repos_all_metrics!B:K,5,FALSE)</f>
        <v>15</v>
      </c>
      <c r="AE1754">
        <f>VLOOKUP(A:A,[1]android_repos_all_metrics!B:K,6,FALSE)</f>
        <v>10</v>
      </c>
      <c r="AF1754">
        <f>VLOOKUP(A:A,[1]android_repos_all_metrics!B:K,7,FALSE)</f>
        <v>4729</v>
      </c>
      <c r="AG1754">
        <f>VLOOKUP(A:A,[1]android_repos_all_metrics!B:K,8,FALSE)</f>
        <v>24</v>
      </c>
      <c r="AH1754">
        <f>VLOOKUP(A:A,[1]android_repos_all_metrics!B:K,9,FALSE)</f>
        <v>22</v>
      </c>
      <c r="AI1754">
        <f>VLOOKUP(A:A,[1]android_repos_all_metrics!B:K,10,FALSE)</f>
        <v>10</v>
      </c>
    </row>
    <row r="1755" spans="1:35">
      <c r="A1755" t="s">
        <v>1823</v>
      </c>
      <c r="B1755" t="b">
        <v>1</v>
      </c>
      <c r="C1755" t="b">
        <v>0</v>
      </c>
      <c r="D1755" t="b">
        <v>0</v>
      </c>
      <c r="F1755" t="b">
        <v>0</v>
      </c>
      <c r="H1755" t="s">
        <v>37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>
        <v>1</v>
      </c>
      <c r="AB1755">
        <v>0</v>
      </c>
      <c r="AC1755">
        <f>VLOOKUP(A:A,[1]android_repos_all_metrics!B:K,4,FALSE)</f>
        <v>222</v>
      </c>
      <c r="AD1755">
        <f>VLOOKUP(A:A,[1]android_repos_all_metrics!B:K,5,FALSE)</f>
        <v>13</v>
      </c>
      <c r="AE1755">
        <f>VLOOKUP(A:A,[1]android_repos_all_metrics!B:K,6,FALSE)</f>
        <v>10</v>
      </c>
      <c r="AF1755">
        <f>VLOOKUP(A:A,[1]android_repos_all_metrics!B:K,7,FALSE)</f>
        <v>1938</v>
      </c>
      <c r="AG1755">
        <f>VLOOKUP(A:A,[1]android_repos_all_metrics!B:K,8,FALSE)</f>
        <v>7</v>
      </c>
      <c r="AH1755">
        <f>VLOOKUP(A:A,[1]android_repos_all_metrics!B:K,9,FALSE)</f>
        <v>17</v>
      </c>
      <c r="AI1755">
        <f>VLOOKUP(A:A,[1]android_repos_all_metrics!B:K,10,FALSE)</f>
        <v>12</v>
      </c>
    </row>
    <row r="1756" spans="1:35">
      <c r="A1756" t="s">
        <v>1824</v>
      </c>
      <c r="B1756" t="b">
        <v>1</v>
      </c>
      <c r="C1756" t="b">
        <v>1</v>
      </c>
      <c r="D1756" t="b">
        <v>1</v>
      </c>
      <c r="E1756" t="s">
        <v>36</v>
      </c>
      <c r="F1756" t="b">
        <v>0</v>
      </c>
      <c r="H1756" t="s">
        <v>37</v>
      </c>
      <c r="I1756" t="s">
        <v>37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>
        <v>2</v>
      </c>
      <c r="AB1756">
        <v>0</v>
      </c>
      <c r="AC1756">
        <f>VLOOKUP(A:A,[1]android_repos_all_metrics!B:K,4,FALSE)</f>
        <v>341</v>
      </c>
      <c r="AD1756">
        <f>VLOOKUP(A:A,[1]android_repos_all_metrics!B:K,5,FALSE)</f>
        <v>30</v>
      </c>
      <c r="AE1756">
        <f>VLOOKUP(A:A,[1]android_repos_all_metrics!B:K,6,FALSE)</f>
        <v>11</v>
      </c>
      <c r="AF1756">
        <f>VLOOKUP(A:A,[1]android_repos_all_metrics!B:K,7,FALSE)</f>
        <v>1700</v>
      </c>
      <c r="AG1756">
        <f>VLOOKUP(A:A,[1]android_repos_all_metrics!B:K,8,FALSE)</f>
        <v>20</v>
      </c>
      <c r="AH1756">
        <f>VLOOKUP(A:A,[1]android_repos_all_metrics!B:K,9,FALSE)</f>
        <v>77</v>
      </c>
      <c r="AI1756">
        <f>VLOOKUP(A:A,[1]android_repos_all_metrics!B:K,10,FALSE)</f>
        <v>47</v>
      </c>
    </row>
    <row r="1757" spans="1:35">
      <c r="A1757" t="s">
        <v>1825</v>
      </c>
      <c r="B1757" t="b">
        <v>1</v>
      </c>
      <c r="C1757" t="b">
        <v>0</v>
      </c>
      <c r="D1757" t="b">
        <v>0</v>
      </c>
      <c r="F1757" t="b">
        <v>0</v>
      </c>
      <c r="H1757" t="s">
        <v>37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>
        <v>1</v>
      </c>
      <c r="AB1757">
        <v>0</v>
      </c>
      <c r="AC1757">
        <f>VLOOKUP(A:A,[1]android_repos_all_metrics!B:K,4,FALSE)</f>
        <v>193</v>
      </c>
      <c r="AD1757">
        <f>VLOOKUP(A:A,[1]android_repos_all_metrics!B:K,5,FALSE)</f>
        <v>8</v>
      </c>
      <c r="AE1757">
        <f>VLOOKUP(A:A,[1]android_repos_all_metrics!B:K,6,FALSE)</f>
        <v>10</v>
      </c>
      <c r="AF1757">
        <f>VLOOKUP(A:A,[1]android_repos_all_metrics!B:K,7,FALSE)</f>
        <v>1990</v>
      </c>
      <c r="AG1757">
        <f>VLOOKUP(A:A,[1]android_repos_all_metrics!B:K,8,FALSE)</f>
        <v>9</v>
      </c>
      <c r="AH1757">
        <f>VLOOKUP(A:A,[1]android_repos_all_metrics!B:K,9,FALSE)</f>
        <v>25</v>
      </c>
      <c r="AI1757">
        <f>VLOOKUP(A:A,[1]android_repos_all_metrics!B:K,10,FALSE)</f>
        <v>13</v>
      </c>
    </row>
    <row r="1758" spans="1:35">
      <c r="A1758" t="s">
        <v>1826</v>
      </c>
      <c r="B1758" t="b">
        <v>1</v>
      </c>
      <c r="C1758" t="b">
        <v>0</v>
      </c>
      <c r="D1758" t="b">
        <v>0</v>
      </c>
      <c r="F1758" t="b">
        <v>0</v>
      </c>
      <c r="H1758" t="s">
        <v>37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>
        <v>2</v>
      </c>
      <c r="AB1758">
        <v>0</v>
      </c>
      <c r="AC1758">
        <f>VLOOKUP(A:A,[1]android_repos_all_metrics!B:K,4,FALSE)</f>
        <v>311</v>
      </c>
      <c r="AD1758">
        <f>VLOOKUP(A:A,[1]android_repos_all_metrics!B:K,5,FALSE)</f>
        <v>10</v>
      </c>
      <c r="AE1758">
        <f>VLOOKUP(A:A,[1]android_repos_all_metrics!B:K,6,FALSE)</f>
        <v>9</v>
      </c>
      <c r="AF1758">
        <f>VLOOKUP(A:A,[1]android_repos_all_metrics!B:K,7,FALSE)</f>
        <v>1743</v>
      </c>
      <c r="AG1758">
        <f>VLOOKUP(A:A,[1]android_repos_all_metrics!B:K,8,FALSE)</f>
        <v>14</v>
      </c>
      <c r="AH1758">
        <f>VLOOKUP(A:A,[1]android_repos_all_metrics!B:K,9,FALSE)</f>
        <v>38</v>
      </c>
      <c r="AI1758">
        <f>VLOOKUP(A:A,[1]android_repos_all_metrics!B:K,10,FALSE)</f>
        <v>26</v>
      </c>
    </row>
    <row r="1759" spans="1:35">
      <c r="A1759" t="s">
        <v>1827</v>
      </c>
      <c r="B1759" t="b">
        <v>1</v>
      </c>
      <c r="C1759" t="b">
        <v>0</v>
      </c>
      <c r="D1759" t="b">
        <v>0</v>
      </c>
      <c r="F1759" t="b">
        <v>0</v>
      </c>
      <c r="H1759" t="s">
        <v>37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>
        <v>1</v>
      </c>
      <c r="AB1759">
        <v>0</v>
      </c>
      <c r="AC1759">
        <f>VLOOKUP(A:A,[1]android_repos_all_metrics!B:K,4,FALSE)</f>
        <v>172</v>
      </c>
      <c r="AD1759">
        <f>VLOOKUP(A:A,[1]android_repos_all_metrics!B:K,5,FALSE)</f>
        <v>1</v>
      </c>
      <c r="AE1759">
        <f>VLOOKUP(A:A,[1]android_repos_all_metrics!B:K,6,FALSE)</f>
        <v>7</v>
      </c>
      <c r="AF1759">
        <f>VLOOKUP(A:A,[1]android_repos_all_metrics!B:K,7,FALSE)</f>
        <v>6397</v>
      </c>
      <c r="AG1759">
        <f>VLOOKUP(A:A,[1]android_repos_all_metrics!B:K,8,FALSE)</f>
        <v>5</v>
      </c>
      <c r="AH1759">
        <f>VLOOKUP(A:A,[1]android_repos_all_metrics!B:K,9,FALSE)</f>
        <v>15</v>
      </c>
      <c r="AI1759">
        <f>VLOOKUP(A:A,[1]android_repos_all_metrics!B:K,10,FALSE)</f>
        <v>9</v>
      </c>
    </row>
    <row r="1760" spans="1:35">
      <c r="A1760" t="s">
        <v>1828</v>
      </c>
      <c r="B1760" t="b">
        <v>1</v>
      </c>
      <c r="C1760" t="b">
        <v>0</v>
      </c>
      <c r="D1760" t="b">
        <v>0</v>
      </c>
      <c r="F1760" t="b">
        <v>0</v>
      </c>
      <c r="H1760" t="s">
        <v>37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>
        <v>2</v>
      </c>
      <c r="AB1760">
        <v>0</v>
      </c>
      <c r="AC1760">
        <f>VLOOKUP(A:A,[1]android_repos_all_metrics!B:K,4,FALSE)</f>
        <v>361</v>
      </c>
      <c r="AD1760">
        <f>VLOOKUP(A:A,[1]android_repos_all_metrics!B:K,5,FALSE)</f>
        <v>29</v>
      </c>
      <c r="AE1760">
        <f>VLOOKUP(A:A,[1]android_repos_all_metrics!B:K,6,FALSE)</f>
        <v>20</v>
      </c>
      <c r="AF1760">
        <f>VLOOKUP(A:A,[1]android_repos_all_metrics!B:K,7,FALSE)</f>
        <v>18911</v>
      </c>
      <c r="AG1760">
        <f>VLOOKUP(A:A,[1]android_repos_all_metrics!B:K,8,FALSE)</f>
        <v>47</v>
      </c>
      <c r="AH1760">
        <f>VLOOKUP(A:A,[1]android_repos_all_metrics!B:K,9,FALSE)</f>
        <v>152</v>
      </c>
      <c r="AI1760">
        <f>VLOOKUP(A:A,[1]android_repos_all_metrics!B:K,10,FALSE)</f>
        <v>31</v>
      </c>
    </row>
    <row r="1761" spans="1:35">
      <c r="A1761" t="s">
        <v>1829</v>
      </c>
      <c r="B1761" t="b">
        <v>1</v>
      </c>
      <c r="C1761" t="b">
        <v>0</v>
      </c>
      <c r="D1761" t="b">
        <v>0</v>
      </c>
      <c r="F1761" t="b">
        <v>0</v>
      </c>
      <c r="H1761" t="s">
        <v>37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>
        <v>1</v>
      </c>
      <c r="AB1761">
        <v>0</v>
      </c>
      <c r="AC1761">
        <f>VLOOKUP(A:A,[1]android_repos_all_metrics!B:K,4,FALSE)</f>
        <v>220</v>
      </c>
      <c r="AD1761">
        <f>VLOOKUP(A:A,[1]android_repos_all_metrics!B:K,5,FALSE)</f>
        <v>4</v>
      </c>
      <c r="AE1761">
        <f>VLOOKUP(A:A,[1]android_repos_all_metrics!B:K,6,FALSE)</f>
        <v>8</v>
      </c>
      <c r="AF1761">
        <f>VLOOKUP(A:A,[1]android_repos_all_metrics!B:K,7,FALSE)</f>
        <v>1959</v>
      </c>
      <c r="AG1761">
        <f>VLOOKUP(A:A,[1]android_repos_all_metrics!B:K,8,FALSE)</f>
        <v>10</v>
      </c>
      <c r="AH1761">
        <f>VLOOKUP(A:A,[1]android_repos_all_metrics!B:K,9,FALSE)</f>
        <v>15</v>
      </c>
      <c r="AI1761">
        <f>VLOOKUP(A:A,[1]android_repos_all_metrics!B:K,10,FALSE)</f>
        <v>2</v>
      </c>
    </row>
    <row r="1762" spans="1:35">
      <c r="A1762" t="s">
        <v>1830</v>
      </c>
      <c r="B1762" t="b">
        <v>1</v>
      </c>
      <c r="C1762" t="b">
        <v>0</v>
      </c>
      <c r="D1762" t="b">
        <v>0</v>
      </c>
      <c r="F1762" t="b">
        <v>0</v>
      </c>
      <c r="H1762" t="s">
        <v>37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>
        <v>1</v>
      </c>
      <c r="AB1762">
        <v>0</v>
      </c>
      <c r="AC1762">
        <f>VLOOKUP(A:A,[1]android_repos_all_metrics!B:K,4,FALSE)</f>
        <v>296</v>
      </c>
      <c r="AD1762">
        <f>VLOOKUP(A:A,[1]android_repos_all_metrics!B:K,5,FALSE)</f>
        <v>48</v>
      </c>
      <c r="AE1762">
        <f>VLOOKUP(A:A,[1]android_repos_all_metrics!B:K,6,FALSE)</f>
        <v>46</v>
      </c>
      <c r="AF1762">
        <f>VLOOKUP(A:A,[1]android_repos_all_metrics!B:K,7,FALSE)</f>
        <v>42911</v>
      </c>
      <c r="AG1762">
        <f>VLOOKUP(A:A,[1]android_repos_all_metrics!B:K,8,FALSE)</f>
        <v>43</v>
      </c>
      <c r="AH1762">
        <f>VLOOKUP(A:A,[1]android_repos_all_metrics!B:K,9,FALSE)</f>
        <v>222</v>
      </c>
      <c r="AI1762">
        <f>VLOOKUP(A:A,[1]android_repos_all_metrics!B:K,10,FALSE)</f>
        <v>39</v>
      </c>
    </row>
    <row r="1763" spans="1:35">
      <c r="A1763" t="s">
        <v>1831</v>
      </c>
      <c r="B1763" t="b">
        <v>1</v>
      </c>
      <c r="C1763" t="b">
        <v>0</v>
      </c>
      <c r="D1763" t="b">
        <v>0</v>
      </c>
      <c r="F1763" t="b">
        <v>0</v>
      </c>
      <c r="H1763" t="s">
        <v>37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>
        <v>1</v>
      </c>
      <c r="AB1763">
        <v>0</v>
      </c>
      <c r="AC1763">
        <f>VLOOKUP(A:A,[1]android_repos_all_metrics!B:K,4,FALSE)</f>
        <v>79</v>
      </c>
      <c r="AD1763">
        <f>VLOOKUP(A:A,[1]android_repos_all_metrics!B:K,5,FALSE)</f>
        <v>1</v>
      </c>
      <c r="AE1763">
        <f>VLOOKUP(A:A,[1]android_repos_all_metrics!B:K,6,FALSE)</f>
        <v>8</v>
      </c>
      <c r="AF1763">
        <f>VLOOKUP(A:A,[1]android_repos_all_metrics!B:K,7,FALSE)</f>
        <v>633</v>
      </c>
      <c r="AG1763">
        <f>VLOOKUP(A:A,[1]android_repos_all_metrics!B:K,8,FALSE)</f>
        <v>2</v>
      </c>
      <c r="AH1763">
        <f>VLOOKUP(A:A,[1]android_repos_all_metrics!B:K,9,FALSE)</f>
        <v>10</v>
      </c>
      <c r="AI1763">
        <f>VLOOKUP(A:A,[1]android_repos_all_metrics!B:K,10,FALSE)</f>
        <v>4</v>
      </c>
    </row>
    <row r="1764" spans="1:35">
      <c r="A1764" t="s">
        <v>1832</v>
      </c>
      <c r="B1764" t="b">
        <v>1</v>
      </c>
      <c r="C1764" t="b">
        <v>0</v>
      </c>
      <c r="D1764" t="b">
        <v>0</v>
      </c>
      <c r="F1764" t="b">
        <v>0</v>
      </c>
      <c r="H1764" t="s">
        <v>37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>
        <v>1</v>
      </c>
      <c r="AB1764">
        <v>0</v>
      </c>
      <c r="AC1764">
        <f>VLOOKUP(A:A,[1]android_repos_all_metrics!B:K,4,FALSE)</f>
        <v>109</v>
      </c>
      <c r="AD1764">
        <f>VLOOKUP(A:A,[1]android_repos_all_metrics!B:K,5,FALSE)</f>
        <v>7</v>
      </c>
      <c r="AE1764">
        <f>VLOOKUP(A:A,[1]android_repos_all_metrics!B:K,6,FALSE)</f>
        <v>7</v>
      </c>
      <c r="AF1764">
        <f>VLOOKUP(A:A,[1]android_repos_all_metrics!B:K,7,FALSE)</f>
        <v>922</v>
      </c>
      <c r="AG1764">
        <f>VLOOKUP(A:A,[1]android_repos_all_metrics!B:K,8,FALSE)</f>
        <v>13</v>
      </c>
      <c r="AH1764">
        <f>VLOOKUP(A:A,[1]android_repos_all_metrics!B:K,9,FALSE)</f>
        <v>26</v>
      </c>
      <c r="AI1764">
        <f>VLOOKUP(A:A,[1]android_repos_all_metrics!B:K,10,FALSE)</f>
        <v>14</v>
      </c>
    </row>
    <row r="1765" spans="1:35">
      <c r="A1765" t="s">
        <v>1833</v>
      </c>
      <c r="B1765" t="b">
        <v>1</v>
      </c>
      <c r="C1765" t="b">
        <v>0</v>
      </c>
      <c r="D1765" t="b">
        <v>0</v>
      </c>
      <c r="F1765" t="b">
        <v>0</v>
      </c>
      <c r="H1765" t="s">
        <v>37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>
        <v>1</v>
      </c>
      <c r="AB1765">
        <v>0</v>
      </c>
      <c r="AC1765">
        <f>VLOOKUP(A:A,[1]android_repos_all_metrics!B:K,4,FALSE)</f>
        <v>431</v>
      </c>
      <c r="AD1765">
        <f>VLOOKUP(A:A,[1]android_repos_all_metrics!B:K,5,FALSE)</f>
        <v>22</v>
      </c>
      <c r="AE1765">
        <f>VLOOKUP(A:A,[1]android_repos_all_metrics!B:K,6,FALSE)</f>
        <v>16</v>
      </c>
      <c r="AF1765">
        <f>VLOOKUP(A:A,[1]android_repos_all_metrics!B:K,7,FALSE)</f>
        <v>3338</v>
      </c>
      <c r="AG1765">
        <f>VLOOKUP(A:A,[1]android_repos_all_metrics!B:K,8,FALSE)</f>
        <v>36</v>
      </c>
      <c r="AH1765">
        <f>VLOOKUP(A:A,[1]android_repos_all_metrics!B:K,9,FALSE)</f>
        <v>59</v>
      </c>
      <c r="AI1765">
        <f>VLOOKUP(A:A,[1]android_repos_all_metrics!B:K,10,FALSE)</f>
        <v>57</v>
      </c>
    </row>
    <row r="1766" spans="1:35">
      <c r="A1766" t="s">
        <v>1834</v>
      </c>
      <c r="B1766" t="b">
        <v>1</v>
      </c>
      <c r="C1766" t="b">
        <v>0</v>
      </c>
      <c r="D1766" t="b">
        <v>0</v>
      </c>
      <c r="F1766" t="b">
        <v>0</v>
      </c>
      <c r="H1766" t="s">
        <v>37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>
        <v>1</v>
      </c>
      <c r="AB1766">
        <v>0</v>
      </c>
      <c r="AC1766">
        <f>VLOOKUP(A:A,[1]android_repos_all_metrics!B:K,4,FALSE)</f>
        <v>214</v>
      </c>
      <c r="AD1766">
        <f>VLOOKUP(A:A,[1]android_repos_all_metrics!B:K,5,FALSE)</f>
        <v>3</v>
      </c>
      <c r="AE1766">
        <f>VLOOKUP(A:A,[1]android_repos_all_metrics!B:K,6,FALSE)</f>
        <v>10</v>
      </c>
      <c r="AF1766">
        <f>VLOOKUP(A:A,[1]android_repos_all_metrics!B:K,7,FALSE)</f>
        <v>1895</v>
      </c>
      <c r="AG1766">
        <f>VLOOKUP(A:A,[1]android_repos_all_metrics!B:K,8,FALSE)</f>
        <v>8</v>
      </c>
      <c r="AH1766">
        <f>VLOOKUP(A:A,[1]android_repos_all_metrics!B:K,9,FALSE)</f>
        <v>15</v>
      </c>
      <c r="AI1766">
        <f>VLOOKUP(A:A,[1]android_repos_all_metrics!B:K,10,FALSE)</f>
        <v>8</v>
      </c>
    </row>
    <row r="1767" spans="1:35">
      <c r="A1767" t="s">
        <v>1835</v>
      </c>
      <c r="B1767" t="b">
        <v>1</v>
      </c>
      <c r="C1767" t="b">
        <v>0</v>
      </c>
      <c r="D1767" t="b">
        <v>0</v>
      </c>
      <c r="F1767" t="b">
        <v>0</v>
      </c>
      <c r="H1767" t="s">
        <v>37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>
        <v>1</v>
      </c>
      <c r="AB1767">
        <v>0</v>
      </c>
      <c r="AC1767">
        <f>VLOOKUP(A:A,[1]android_repos_all_metrics!B:K,4,FALSE)</f>
        <v>266</v>
      </c>
      <c r="AD1767">
        <f>VLOOKUP(A:A,[1]android_repos_all_metrics!B:K,5,FALSE)</f>
        <v>1</v>
      </c>
      <c r="AE1767">
        <f>VLOOKUP(A:A,[1]android_repos_all_metrics!B:K,6,FALSE)</f>
        <v>9</v>
      </c>
      <c r="AF1767">
        <f>VLOOKUP(A:A,[1]android_repos_all_metrics!B:K,7,FALSE)</f>
        <v>5690</v>
      </c>
      <c r="AG1767">
        <f>VLOOKUP(A:A,[1]android_repos_all_metrics!B:K,8,FALSE)</f>
        <v>10</v>
      </c>
      <c r="AH1767">
        <f>VLOOKUP(A:A,[1]android_repos_all_metrics!B:K,9,FALSE)</f>
        <v>17</v>
      </c>
      <c r="AI1767">
        <f>VLOOKUP(A:A,[1]android_repos_all_metrics!B:K,10,FALSE)</f>
        <v>13</v>
      </c>
    </row>
    <row r="1768" spans="1:35">
      <c r="A1768" t="s">
        <v>1836</v>
      </c>
      <c r="B1768" t="b">
        <v>1</v>
      </c>
      <c r="C1768" t="b">
        <v>1</v>
      </c>
      <c r="D1768" t="b">
        <v>1</v>
      </c>
      <c r="E1768" t="s">
        <v>36</v>
      </c>
      <c r="F1768" t="b">
        <v>0</v>
      </c>
      <c r="H1768" t="s">
        <v>37</v>
      </c>
      <c r="I1768" t="s">
        <v>37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>
        <v>2</v>
      </c>
      <c r="AB1768">
        <v>0</v>
      </c>
      <c r="AC1768">
        <f>VLOOKUP(A:A,[1]android_repos_all_metrics!B:K,4,FALSE)</f>
        <v>504</v>
      </c>
      <c r="AD1768">
        <f>VLOOKUP(A:A,[1]android_repos_all_metrics!B:K,5,FALSE)</f>
        <v>26</v>
      </c>
      <c r="AE1768">
        <f>VLOOKUP(A:A,[1]android_repos_all_metrics!B:K,6,FALSE)</f>
        <v>17</v>
      </c>
      <c r="AF1768">
        <f>VLOOKUP(A:A,[1]android_repos_all_metrics!B:K,7,FALSE)</f>
        <v>2814</v>
      </c>
      <c r="AG1768">
        <f>VLOOKUP(A:A,[1]android_repos_all_metrics!B:K,8,FALSE)</f>
        <v>49</v>
      </c>
      <c r="AH1768">
        <f>VLOOKUP(A:A,[1]android_repos_all_metrics!B:K,9,FALSE)</f>
        <v>97</v>
      </c>
      <c r="AI1768">
        <f>VLOOKUP(A:A,[1]android_repos_all_metrics!B:K,10,FALSE)</f>
        <v>36</v>
      </c>
    </row>
    <row r="1769" spans="1:35">
      <c r="A1769" t="s">
        <v>1837</v>
      </c>
      <c r="B1769" t="b">
        <v>1</v>
      </c>
      <c r="C1769" t="b">
        <v>0</v>
      </c>
      <c r="D1769" t="b">
        <v>0</v>
      </c>
      <c r="F1769" t="b">
        <v>0</v>
      </c>
      <c r="H1769" t="s">
        <v>37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>
        <v>1</v>
      </c>
      <c r="AB1769">
        <v>0</v>
      </c>
      <c r="AC1769">
        <f>VLOOKUP(A:A,[1]android_repos_all_metrics!B:K,4,FALSE)</f>
        <v>184</v>
      </c>
      <c r="AD1769">
        <f>VLOOKUP(A:A,[1]android_repos_all_metrics!B:K,5,FALSE)</f>
        <v>5</v>
      </c>
      <c r="AE1769">
        <f>VLOOKUP(A:A,[1]android_repos_all_metrics!B:K,6,FALSE)</f>
        <v>10</v>
      </c>
      <c r="AF1769">
        <f>VLOOKUP(A:A,[1]android_repos_all_metrics!B:K,7,FALSE)</f>
        <v>17729</v>
      </c>
      <c r="AG1769">
        <f>VLOOKUP(A:A,[1]android_repos_all_metrics!B:K,8,FALSE)</f>
        <v>10</v>
      </c>
      <c r="AH1769">
        <f>VLOOKUP(A:A,[1]android_repos_all_metrics!B:K,9,FALSE)</f>
        <v>19</v>
      </c>
      <c r="AI1769">
        <f>VLOOKUP(A:A,[1]android_repos_all_metrics!B:K,10,FALSE)</f>
        <v>8</v>
      </c>
    </row>
    <row r="1770" spans="1:35">
      <c r="A1770" t="s">
        <v>1838</v>
      </c>
      <c r="B1770" t="b">
        <v>1</v>
      </c>
      <c r="C1770" t="b">
        <v>0</v>
      </c>
      <c r="D1770" t="b">
        <v>0</v>
      </c>
      <c r="F1770" t="b">
        <v>0</v>
      </c>
      <c r="H1770" t="s">
        <v>37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>
        <v>2</v>
      </c>
      <c r="AB1770">
        <v>0</v>
      </c>
      <c r="AC1770">
        <f>VLOOKUP(A:A,[1]android_repos_all_metrics!B:K,4,FALSE)</f>
        <v>328</v>
      </c>
      <c r="AD1770">
        <f>VLOOKUP(A:A,[1]android_repos_all_metrics!B:K,5,FALSE)</f>
        <v>15</v>
      </c>
      <c r="AE1770">
        <f>VLOOKUP(A:A,[1]android_repos_all_metrics!B:K,6,FALSE)</f>
        <v>15</v>
      </c>
      <c r="AF1770">
        <f>VLOOKUP(A:A,[1]android_repos_all_metrics!B:K,7,FALSE)</f>
        <v>56850</v>
      </c>
      <c r="AG1770">
        <f>VLOOKUP(A:A,[1]android_repos_all_metrics!B:K,8,FALSE)</f>
        <v>42</v>
      </c>
      <c r="AH1770">
        <f>VLOOKUP(A:A,[1]android_repos_all_metrics!B:K,9,FALSE)</f>
        <v>81</v>
      </c>
      <c r="AI1770">
        <f>VLOOKUP(A:A,[1]android_repos_all_metrics!B:K,10,FALSE)</f>
        <v>42</v>
      </c>
    </row>
    <row r="1771" spans="1:35">
      <c r="A1771" t="s">
        <v>1839</v>
      </c>
      <c r="B1771" t="b">
        <v>1</v>
      </c>
      <c r="C1771" t="b">
        <v>0</v>
      </c>
      <c r="D1771" t="b">
        <v>0</v>
      </c>
      <c r="F1771" t="b">
        <v>0</v>
      </c>
      <c r="H1771" t="s">
        <v>37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>
        <v>1</v>
      </c>
      <c r="AB1771">
        <v>0</v>
      </c>
      <c r="AC1771">
        <f>VLOOKUP(A:A,[1]android_repos_all_metrics!B:K,4,FALSE)</f>
        <v>66</v>
      </c>
      <c r="AD1771">
        <f>VLOOKUP(A:A,[1]android_repos_all_metrics!B:K,5,FALSE)</f>
        <v>5</v>
      </c>
      <c r="AE1771">
        <f>VLOOKUP(A:A,[1]android_repos_all_metrics!B:K,6,FALSE)</f>
        <v>9</v>
      </c>
      <c r="AF1771">
        <f>VLOOKUP(A:A,[1]android_repos_all_metrics!B:K,7,FALSE)</f>
        <v>1032</v>
      </c>
      <c r="AG1771">
        <f>VLOOKUP(A:A,[1]android_repos_all_metrics!B:K,8,FALSE)</f>
        <v>8</v>
      </c>
      <c r="AH1771">
        <f>VLOOKUP(A:A,[1]android_repos_all_metrics!B:K,9,FALSE)</f>
        <v>25</v>
      </c>
      <c r="AI1771">
        <f>VLOOKUP(A:A,[1]android_repos_all_metrics!B:K,10,FALSE)</f>
        <v>9</v>
      </c>
    </row>
    <row r="1772" spans="1:35">
      <c r="A1772" t="s">
        <v>1840</v>
      </c>
      <c r="B1772" t="b">
        <v>1</v>
      </c>
      <c r="C1772" t="b">
        <v>1</v>
      </c>
      <c r="D1772" t="b">
        <v>1</v>
      </c>
      <c r="E1772" t="s">
        <v>36</v>
      </c>
      <c r="F1772" t="b">
        <v>0</v>
      </c>
      <c r="H1772" t="s">
        <v>37</v>
      </c>
      <c r="I1772" t="s">
        <v>37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>
        <v>1</v>
      </c>
      <c r="AA1772">
        <v>4</v>
      </c>
      <c r="AB1772">
        <v>0</v>
      </c>
      <c r="AC1772">
        <f>VLOOKUP(A:A,[1]android_repos_all_metrics!B:K,4,FALSE)</f>
        <v>1692</v>
      </c>
      <c r="AD1772">
        <f>VLOOKUP(A:A,[1]android_repos_all_metrics!B:K,5,FALSE)</f>
        <v>425</v>
      </c>
      <c r="AE1772">
        <f>VLOOKUP(A:A,[1]android_repos_all_metrics!B:K,6,FALSE)</f>
        <v>18</v>
      </c>
      <c r="AF1772">
        <f>VLOOKUP(A:A,[1]android_repos_all_metrics!B:K,7,FALSE)</f>
        <v>34151</v>
      </c>
      <c r="AG1772">
        <f>VLOOKUP(A:A,[1]android_repos_all_metrics!B:K,8,FALSE)</f>
        <v>43</v>
      </c>
      <c r="AH1772">
        <f>VLOOKUP(A:A,[1]android_repos_all_metrics!B:K,9,FALSE)</f>
        <v>144</v>
      </c>
      <c r="AI1772">
        <f>VLOOKUP(A:A,[1]android_repos_all_metrics!B:K,10,FALSE)</f>
        <v>11</v>
      </c>
    </row>
    <row r="1773" spans="1:35">
      <c r="A1773" t="s">
        <v>1841</v>
      </c>
      <c r="B1773" t="b">
        <v>0</v>
      </c>
      <c r="C1773" t="b">
        <v>0</v>
      </c>
      <c r="D1773" t="b">
        <v>0</v>
      </c>
      <c r="F1773" t="b">
        <v>0</v>
      </c>
      <c r="H1773" t="s">
        <v>43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>
        <v>1</v>
      </c>
      <c r="AB1773">
        <v>0</v>
      </c>
      <c r="AC1773">
        <f>VLOOKUP(A:A,[1]android_repos_all_metrics!B:K,4,FALSE)</f>
        <v>375</v>
      </c>
      <c r="AD1773">
        <f>VLOOKUP(A:A,[1]android_repos_all_metrics!B:K,5,FALSE)</f>
        <v>32</v>
      </c>
      <c r="AE1773">
        <f>VLOOKUP(A:A,[1]android_repos_all_metrics!B:K,6,FALSE)</f>
        <v>5</v>
      </c>
      <c r="AF1773">
        <f>VLOOKUP(A:A,[1]android_repos_all_metrics!B:K,7,FALSE)</f>
        <v>4070</v>
      </c>
      <c r="AG1773">
        <f>VLOOKUP(A:A,[1]android_repos_all_metrics!B:K,8,FALSE)</f>
        <v>17</v>
      </c>
      <c r="AH1773">
        <f>VLOOKUP(A:A,[1]android_repos_all_metrics!B:K,9,FALSE)</f>
        <v>79</v>
      </c>
      <c r="AI1773">
        <f>VLOOKUP(A:A,[1]android_repos_all_metrics!B:K,10,FALSE)</f>
        <v>24</v>
      </c>
    </row>
    <row r="1774" spans="1:35">
      <c r="A1774" t="s">
        <v>1842</v>
      </c>
      <c r="B1774" t="b">
        <v>1</v>
      </c>
      <c r="C1774" t="b">
        <v>0</v>
      </c>
      <c r="D1774" t="b">
        <v>0</v>
      </c>
      <c r="F1774" t="b">
        <v>0</v>
      </c>
      <c r="H1774" t="s">
        <v>37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>
        <v>1</v>
      </c>
      <c r="AB1774">
        <v>0</v>
      </c>
      <c r="AC1774">
        <f>VLOOKUP(A:A,[1]android_repos_all_metrics!B:K,4,FALSE)</f>
        <v>650</v>
      </c>
      <c r="AD1774">
        <f>VLOOKUP(A:A,[1]android_repos_all_metrics!B:K,5,FALSE)</f>
        <v>10</v>
      </c>
      <c r="AE1774">
        <f>VLOOKUP(A:A,[1]android_repos_all_metrics!B:K,6,FALSE)</f>
        <v>1</v>
      </c>
      <c r="AF1774">
        <f>VLOOKUP(A:A,[1]android_repos_all_metrics!B:K,7,FALSE)</f>
        <v>36688</v>
      </c>
      <c r="AG1774">
        <f>VLOOKUP(A:A,[1]android_repos_all_metrics!B:K,8,FALSE)</f>
        <v>10</v>
      </c>
      <c r="AH1774">
        <f>VLOOKUP(A:A,[1]android_repos_all_metrics!B:K,9,FALSE)</f>
        <v>175</v>
      </c>
      <c r="AI1774">
        <f>VLOOKUP(A:A,[1]android_repos_all_metrics!B:K,10,FALSE)</f>
        <v>22</v>
      </c>
    </row>
    <row r="1775" spans="1:35">
      <c r="A1775" t="s">
        <v>1843</v>
      </c>
      <c r="B1775" t="b">
        <v>1</v>
      </c>
      <c r="C1775" t="b">
        <v>0</v>
      </c>
      <c r="D1775" t="b">
        <v>0</v>
      </c>
      <c r="F1775" t="b">
        <v>0</v>
      </c>
      <c r="H1775" t="s">
        <v>41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>
        <v>1</v>
      </c>
      <c r="AB1775">
        <v>0</v>
      </c>
      <c r="AC1775">
        <f>VLOOKUP(A:A,[1]android_repos_all_metrics!B:K,4,FALSE)</f>
        <v>35</v>
      </c>
      <c r="AD1775">
        <f>VLOOKUP(A:A,[1]android_repos_all_metrics!B:K,5,FALSE)</f>
        <v>1</v>
      </c>
      <c r="AE1775">
        <f>VLOOKUP(A:A,[1]android_repos_all_metrics!B:K,6,FALSE)</f>
        <v>1</v>
      </c>
      <c r="AF1775">
        <f>VLOOKUP(A:A,[1]android_repos_all_metrics!B:K,7,FALSE)</f>
        <v>24377</v>
      </c>
      <c r="AG1775">
        <f>VLOOKUP(A:A,[1]android_repos_all_metrics!B:K,8,FALSE)</f>
        <v>6</v>
      </c>
      <c r="AH1775">
        <f>VLOOKUP(A:A,[1]android_repos_all_metrics!B:K,9,FALSE)</f>
        <v>87</v>
      </c>
      <c r="AI1775">
        <f>VLOOKUP(A:A,[1]android_repos_all_metrics!B:K,10,FALSE)</f>
        <v>0</v>
      </c>
    </row>
    <row r="1776" spans="1:35">
      <c r="A1776" t="s">
        <v>1844</v>
      </c>
      <c r="B1776" t="b">
        <v>1</v>
      </c>
      <c r="C1776" t="b">
        <v>0</v>
      </c>
      <c r="D1776" t="b">
        <v>0</v>
      </c>
      <c r="F1776" t="b">
        <v>0</v>
      </c>
      <c r="H1776" t="s">
        <v>37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>
        <v>2</v>
      </c>
      <c r="AB1776">
        <v>0</v>
      </c>
      <c r="AC1776">
        <f>VLOOKUP(A:A,[1]android_repos_all_metrics!B:K,4,FALSE)</f>
        <v>206</v>
      </c>
      <c r="AD1776">
        <f>VLOOKUP(A:A,[1]android_repos_all_metrics!B:K,5,FALSE)</f>
        <v>6</v>
      </c>
      <c r="AE1776">
        <f>VLOOKUP(A:A,[1]android_repos_all_metrics!B:K,6,FALSE)</f>
        <v>3</v>
      </c>
      <c r="AF1776">
        <f>VLOOKUP(A:A,[1]android_repos_all_metrics!B:K,7,FALSE)</f>
        <v>8791</v>
      </c>
      <c r="AG1776">
        <f>VLOOKUP(A:A,[1]android_repos_all_metrics!B:K,8,FALSE)</f>
        <v>0</v>
      </c>
      <c r="AH1776">
        <f>VLOOKUP(A:A,[1]android_repos_all_metrics!B:K,9,FALSE)</f>
        <v>6</v>
      </c>
      <c r="AI1776">
        <f>VLOOKUP(A:A,[1]android_repos_all_metrics!B:K,10,FALSE)</f>
        <v>0</v>
      </c>
    </row>
    <row r="1777" spans="1:35">
      <c r="A1777" t="s">
        <v>1845</v>
      </c>
      <c r="B1777" t="b">
        <v>1</v>
      </c>
      <c r="C1777" t="b">
        <v>0</v>
      </c>
      <c r="D1777" t="b">
        <v>0</v>
      </c>
      <c r="F1777" t="b">
        <v>0</v>
      </c>
      <c r="H1777" t="s">
        <v>37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>
        <v>3</v>
      </c>
      <c r="AB1777">
        <v>0</v>
      </c>
      <c r="AC1777">
        <f>VLOOKUP(A:A,[1]android_repos_all_metrics!B:K,4,FALSE)</f>
        <v>286</v>
      </c>
      <c r="AD1777">
        <f>VLOOKUP(A:A,[1]android_repos_all_metrics!B:K,5,FALSE)</f>
        <v>177</v>
      </c>
      <c r="AE1777">
        <f>VLOOKUP(A:A,[1]android_repos_all_metrics!B:K,6,FALSE)</f>
        <v>20</v>
      </c>
      <c r="AF1777">
        <f>VLOOKUP(A:A,[1]android_repos_all_metrics!B:K,7,FALSE)</f>
        <v>6093</v>
      </c>
      <c r="AG1777">
        <f>VLOOKUP(A:A,[1]android_repos_all_metrics!B:K,8,FALSE)</f>
        <v>41</v>
      </c>
      <c r="AH1777">
        <f>VLOOKUP(A:A,[1]android_repos_all_metrics!B:K,9,FALSE)</f>
        <v>122</v>
      </c>
      <c r="AI1777">
        <f>VLOOKUP(A:A,[1]android_repos_all_metrics!B:K,10,FALSE)</f>
        <v>23</v>
      </c>
    </row>
    <row r="1778" spans="1:35">
      <c r="A1778" t="s">
        <v>1846</v>
      </c>
      <c r="B1778" t="b">
        <v>1</v>
      </c>
      <c r="C1778" t="b">
        <v>0</v>
      </c>
      <c r="D1778" t="b">
        <v>0</v>
      </c>
      <c r="F1778" t="b">
        <v>0</v>
      </c>
      <c r="H1778" t="s">
        <v>37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>
        <v>1</v>
      </c>
      <c r="AB1778">
        <v>0</v>
      </c>
      <c r="AC1778">
        <f>VLOOKUP(A:A,[1]android_repos_all_metrics!B:K,4,FALSE)</f>
        <v>146</v>
      </c>
      <c r="AD1778">
        <f>VLOOKUP(A:A,[1]android_repos_all_metrics!B:K,5,FALSE)</f>
        <v>24</v>
      </c>
      <c r="AE1778">
        <f>VLOOKUP(A:A,[1]android_repos_all_metrics!B:K,6,FALSE)</f>
        <v>5</v>
      </c>
      <c r="AF1778">
        <f>VLOOKUP(A:A,[1]android_repos_all_metrics!B:K,7,FALSE)</f>
        <v>12627</v>
      </c>
      <c r="AG1778">
        <f>VLOOKUP(A:A,[1]android_repos_all_metrics!B:K,8,FALSE)</f>
        <v>7</v>
      </c>
      <c r="AH1778">
        <f>VLOOKUP(A:A,[1]android_repos_all_metrics!B:K,9,FALSE)</f>
        <v>8</v>
      </c>
      <c r="AI1778">
        <f>VLOOKUP(A:A,[1]android_repos_all_metrics!B:K,10,FALSE)</f>
        <v>4</v>
      </c>
    </row>
    <row r="1779" spans="1:35">
      <c r="A1779" t="s">
        <v>1847</v>
      </c>
      <c r="B1779" t="b">
        <v>1</v>
      </c>
      <c r="C1779" t="b">
        <v>0</v>
      </c>
      <c r="D1779" t="b">
        <v>0</v>
      </c>
      <c r="F1779" t="b">
        <v>0</v>
      </c>
      <c r="H1779" t="s">
        <v>37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>
        <v>1</v>
      </c>
      <c r="AB1779">
        <v>0</v>
      </c>
      <c r="AC1779">
        <f>VLOOKUP(A:A,[1]android_repos_all_metrics!B:K,4,FALSE)</f>
        <v>6317</v>
      </c>
      <c r="AD1779">
        <f>VLOOKUP(A:A,[1]android_repos_all_metrics!B:K,5,FALSE)</f>
        <v>367</v>
      </c>
      <c r="AE1779">
        <f>VLOOKUP(A:A,[1]android_repos_all_metrics!B:K,6,FALSE)</f>
        <v>2</v>
      </c>
      <c r="AF1779">
        <f>VLOOKUP(A:A,[1]android_repos_all_metrics!B:K,7,FALSE)</f>
        <v>57836</v>
      </c>
      <c r="AG1779">
        <f>VLOOKUP(A:A,[1]android_repos_all_metrics!B:K,8,FALSE)</f>
        <v>1</v>
      </c>
      <c r="AH1779">
        <f>VLOOKUP(A:A,[1]android_repos_all_metrics!B:K,9,FALSE)</f>
        <v>6</v>
      </c>
      <c r="AI1779">
        <f>VLOOKUP(A:A,[1]android_repos_all_metrics!B:K,10,FALSE)</f>
        <v>8</v>
      </c>
    </row>
    <row r="1780" spans="1:35">
      <c r="A1780" t="s">
        <v>1848</v>
      </c>
      <c r="B1780" t="b">
        <v>1</v>
      </c>
      <c r="C1780" t="b">
        <v>1</v>
      </c>
      <c r="D1780" t="b">
        <v>1</v>
      </c>
      <c r="E1780" t="s">
        <v>779</v>
      </c>
      <c r="F1780" t="b">
        <v>0</v>
      </c>
      <c r="H1780" t="s">
        <v>37</v>
      </c>
      <c r="I1780" t="s">
        <v>37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>
        <v>2</v>
      </c>
      <c r="AA1780">
        <v>1</v>
      </c>
      <c r="AB1780">
        <v>0</v>
      </c>
      <c r="AC1780">
        <f>VLOOKUP(A:A,[1]android_repos_all_metrics!B:K,4,FALSE)</f>
        <v>84</v>
      </c>
      <c r="AD1780">
        <f>VLOOKUP(A:A,[1]android_repos_all_metrics!B:K,5,FALSE)</f>
        <v>0</v>
      </c>
      <c r="AE1780">
        <f>VLOOKUP(A:A,[1]android_repos_all_metrics!B:K,6,FALSE)</f>
        <v>1</v>
      </c>
      <c r="AF1780">
        <f>VLOOKUP(A:A,[1]android_repos_all_metrics!B:K,7,FALSE)</f>
        <v>1570</v>
      </c>
      <c r="AG1780">
        <f>VLOOKUP(A:A,[1]android_repos_all_metrics!B:K,8,FALSE)</f>
        <v>1</v>
      </c>
      <c r="AH1780">
        <f>VLOOKUP(A:A,[1]android_repos_all_metrics!B:K,9,FALSE)</f>
        <v>4</v>
      </c>
      <c r="AI1780">
        <f>VLOOKUP(A:A,[1]android_repos_all_metrics!B:K,10,FALSE)</f>
        <v>0</v>
      </c>
    </row>
    <row r="1781" spans="1:35">
      <c r="A1781" t="s">
        <v>1849</v>
      </c>
      <c r="B1781" t="b">
        <v>1</v>
      </c>
      <c r="C1781" t="b">
        <v>0</v>
      </c>
      <c r="D1781" t="b">
        <v>0</v>
      </c>
      <c r="F1781" t="b">
        <v>0</v>
      </c>
      <c r="H1781" t="s">
        <v>41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>
        <v>1</v>
      </c>
      <c r="AB1781">
        <v>0</v>
      </c>
      <c r="AC1781">
        <f>VLOOKUP(A:A,[1]android_repos_all_metrics!B:K,4,FALSE)</f>
        <v>127</v>
      </c>
      <c r="AD1781">
        <f>VLOOKUP(A:A,[1]android_repos_all_metrics!B:K,5,FALSE)</f>
        <v>34</v>
      </c>
      <c r="AE1781">
        <f>VLOOKUP(A:A,[1]android_repos_all_metrics!B:K,6,FALSE)</f>
        <v>4</v>
      </c>
      <c r="AF1781">
        <f>VLOOKUP(A:A,[1]android_repos_all_metrics!B:K,7,FALSE)</f>
        <v>372</v>
      </c>
      <c r="AG1781">
        <f>VLOOKUP(A:A,[1]android_repos_all_metrics!B:K,8,FALSE)</f>
        <v>27</v>
      </c>
      <c r="AH1781">
        <f>VLOOKUP(A:A,[1]android_repos_all_metrics!B:K,9,FALSE)</f>
        <v>59</v>
      </c>
      <c r="AI1781">
        <f>VLOOKUP(A:A,[1]android_repos_all_metrics!B:K,10,FALSE)</f>
        <v>10</v>
      </c>
    </row>
    <row r="1782" spans="1:35">
      <c r="A1782" t="s">
        <v>1850</v>
      </c>
      <c r="B1782" t="b">
        <v>1</v>
      </c>
      <c r="C1782" t="b">
        <v>0</v>
      </c>
      <c r="D1782" t="b">
        <v>0</v>
      </c>
      <c r="F1782" t="b">
        <v>0</v>
      </c>
      <c r="H1782" t="s">
        <v>37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>
        <v>1</v>
      </c>
      <c r="AB1782">
        <v>0</v>
      </c>
      <c r="AC1782">
        <f>VLOOKUP(A:A,[1]android_repos_all_metrics!B:K,4,FALSE)</f>
        <v>3326</v>
      </c>
      <c r="AD1782">
        <f>VLOOKUP(A:A,[1]android_repos_all_metrics!B:K,5,FALSE)</f>
        <v>6</v>
      </c>
      <c r="AE1782">
        <f>VLOOKUP(A:A,[1]android_repos_all_metrics!B:K,6,FALSE)</f>
        <v>6</v>
      </c>
      <c r="AF1782">
        <f>VLOOKUP(A:A,[1]android_repos_all_metrics!B:K,7,FALSE)</f>
        <v>81105</v>
      </c>
      <c r="AG1782">
        <f>VLOOKUP(A:A,[1]android_repos_all_metrics!B:K,8,FALSE)</f>
        <v>15</v>
      </c>
      <c r="AH1782">
        <f>VLOOKUP(A:A,[1]android_repos_all_metrics!B:K,9,FALSE)</f>
        <v>109</v>
      </c>
      <c r="AI1782">
        <f>VLOOKUP(A:A,[1]android_repos_all_metrics!B:K,10,FALSE)</f>
        <v>10</v>
      </c>
    </row>
    <row r="1783" spans="1:35">
      <c r="A1783" t="s">
        <v>1851</v>
      </c>
      <c r="B1783" t="b">
        <v>1</v>
      </c>
      <c r="C1783" t="b">
        <v>0</v>
      </c>
      <c r="D1783" t="b">
        <v>0</v>
      </c>
      <c r="F1783" t="b">
        <v>0</v>
      </c>
      <c r="H1783" t="s">
        <v>43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>
        <v>1</v>
      </c>
      <c r="AB1783">
        <v>0</v>
      </c>
      <c r="AC1783">
        <f>VLOOKUP(A:A,[1]android_repos_all_metrics!B:K,4,FALSE)</f>
        <v>193</v>
      </c>
      <c r="AD1783">
        <f>VLOOKUP(A:A,[1]android_repos_all_metrics!B:K,5,FALSE)</f>
        <v>0</v>
      </c>
      <c r="AE1783">
        <f>VLOOKUP(A:A,[1]android_repos_all_metrics!B:K,6,FALSE)</f>
        <v>1</v>
      </c>
      <c r="AF1783">
        <f>VLOOKUP(A:A,[1]android_repos_all_metrics!B:K,7,FALSE)</f>
        <v>22943</v>
      </c>
      <c r="AG1783">
        <f>VLOOKUP(A:A,[1]android_repos_all_metrics!B:K,8,FALSE)</f>
        <v>1</v>
      </c>
      <c r="AH1783">
        <f>VLOOKUP(A:A,[1]android_repos_all_metrics!B:K,9,FALSE)</f>
        <v>18</v>
      </c>
      <c r="AI1783">
        <f>VLOOKUP(A:A,[1]android_repos_all_metrics!B:K,10,FALSE)</f>
        <v>1</v>
      </c>
    </row>
    <row r="1784" spans="1:35">
      <c r="A1784" t="s">
        <v>1852</v>
      </c>
      <c r="B1784" t="b">
        <v>1</v>
      </c>
      <c r="C1784" t="b">
        <v>1</v>
      </c>
      <c r="D1784" t="b">
        <v>0</v>
      </c>
      <c r="F1784" t="b">
        <v>1</v>
      </c>
      <c r="G1784" t="s">
        <v>109</v>
      </c>
      <c r="H1784" t="s">
        <v>308</v>
      </c>
      <c r="I1784" t="s">
        <v>43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>
        <v>2</v>
      </c>
      <c r="AB1784">
        <v>0</v>
      </c>
      <c r="AC1784">
        <f>VLOOKUP(A:A,[1]android_repos_all_metrics!B:K,4,FALSE)</f>
        <v>158</v>
      </c>
      <c r="AD1784">
        <f>VLOOKUP(A:A,[1]android_repos_all_metrics!B:K,5,FALSE)</f>
        <v>4</v>
      </c>
      <c r="AE1784">
        <f>VLOOKUP(A:A,[1]android_repos_all_metrics!B:K,6,FALSE)</f>
        <v>1</v>
      </c>
      <c r="AF1784">
        <f>VLOOKUP(A:A,[1]android_repos_all_metrics!B:K,7,FALSE)</f>
        <v>531</v>
      </c>
      <c r="AG1784">
        <f>VLOOKUP(A:A,[1]android_repos_all_metrics!B:K,8,FALSE)</f>
        <v>10</v>
      </c>
      <c r="AH1784">
        <f>VLOOKUP(A:A,[1]android_repos_all_metrics!B:K,9,FALSE)</f>
        <v>32</v>
      </c>
      <c r="AI1784">
        <f>VLOOKUP(A:A,[1]android_repos_all_metrics!B:K,10,FALSE)</f>
        <v>4</v>
      </c>
    </row>
    <row r="1785" spans="1:35">
      <c r="A1785" t="s">
        <v>1853</v>
      </c>
      <c r="B1785" t="b">
        <v>1</v>
      </c>
      <c r="C1785" t="b">
        <v>0</v>
      </c>
      <c r="D1785" t="b">
        <v>0</v>
      </c>
      <c r="F1785" t="b">
        <v>0</v>
      </c>
      <c r="H1785" t="s">
        <v>37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>
        <v>2</v>
      </c>
      <c r="AB1785">
        <v>0</v>
      </c>
      <c r="AC1785">
        <f>VLOOKUP(A:A,[1]android_repos_all_metrics!B:K,4,FALSE)</f>
        <v>1246</v>
      </c>
      <c r="AD1785">
        <f>VLOOKUP(A:A,[1]android_repos_all_metrics!B:K,5,FALSE)</f>
        <v>1233</v>
      </c>
      <c r="AE1785">
        <f>VLOOKUP(A:A,[1]android_repos_all_metrics!B:K,6,FALSE)</f>
        <v>95</v>
      </c>
      <c r="AF1785">
        <f>VLOOKUP(A:A,[1]android_repos_all_metrics!B:K,7,FALSE)</f>
        <v>172582</v>
      </c>
      <c r="AG1785">
        <f>VLOOKUP(A:A,[1]android_repos_all_metrics!B:K,8,FALSE)</f>
        <v>820</v>
      </c>
      <c r="AH1785">
        <f>VLOOKUP(A:A,[1]android_repos_all_metrics!B:K,9,FALSE)</f>
        <v>2026</v>
      </c>
      <c r="AI1785">
        <f>VLOOKUP(A:A,[1]android_repos_all_metrics!B:K,10,FALSE)</f>
        <v>38</v>
      </c>
    </row>
    <row r="1786" spans="1:35">
      <c r="A1786" t="s">
        <v>1854</v>
      </c>
      <c r="B1786" t="b">
        <v>1</v>
      </c>
      <c r="C1786" t="b">
        <v>0</v>
      </c>
      <c r="D1786" t="b">
        <v>0</v>
      </c>
      <c r="F1786" t="b">
        <v>0</v>
      </c>
      <c r="H1786" t="s">
        <v>37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>
        <v>2</v>
      </c>
      <c r="AB1786">
        <v>0</v>
      </c>
      <c r="AC1786">
        <f>VLOOKUP(A:A,[1]android_repos_all_metrics!B:K,4,FALSE)</f>
        <v>352</v>
      </c>
      <c r="AD1786">
        <f>VLOOKUP(A:A,[1]android_repos_all_metrics!B:K,5,FALSE)</f>
        <v>2</v>
      </c>
      <c r="AE1786">
        <f>VLOOKUP(A:A,[1]android_repos_all_metrics!B:K,6,FALSE)</f>
        <v>3</v>
      </c>
      <c r="AF1786">
        <f>VLOOKUP(A:A,[1]android_repos_all_metrics!B:K,7,FALSE)</f>
        <v>1186</v>
      </c>
      <c r="AG1786">
        <f>VLOOKUP(A:A,[1]android_repos_all_metrics!B:K,8,FALSE)</f>
        <v>4</v>
      </c>
      <c r="AH1786">
        <f>VLOOKUP(A:A,[1]android_repos_all_metrics!B:K,9,FALSE)</f>
        <v>3</v>
      </c>
      <c r="AI1786">
        <f>VLOOKUP(A:A,[1]android_repos_all_metrics!B:K,10,FALSE)</f>
        <v>1</v>
      </c>
    </row>
    <row r="1787" spans="1:35">
      <c r="A1787" t="s">
        <v>1855</v>
      </c>
      <c r="B1787" t="b">
        <v>1</v>
      </c>
      <c r="C1787" t="b">
        <v>0</v>
      </c>
      <c r="D1787" t="b">
        <v>0</v>
      </c>
      <c r="F1787" t="b">
        <v>0</v>
      </c>
      <c r="H1787" t="s">
        <v>1856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>
        <v>2</v>
      </c>
      <c r="AB1787">
        <v>0</v>
      </c>
      <c r="AC1787">
        <f>VLOOKUP(A:A,[1]android_repos_all_metrics!B:K,4,FALSE)</f>
        <v>2</v>
      </c>
      <c r="AD1787">
        <f>VLOOKUP(A:A,[1]android_repos_all_metrics!B:K,5,FALSE)</f>
        <v>0</v>
      </c>
      <c r="AE1787">
        <f>VLOOKUP(A:A,[1]android_repos_all_metrics!B:K,6,FALSE)</f>
        <v>1</v>
      </c>
      <c r="AF1787">
        <f>VLOOKUP(A:A,[1]android_repos_all_metrics!B:K,7,FALSE)</f>
        <v>363585</v>
      </c>
      <c r="AG1787">
        <f>VLOOKUP(A:A,[1]android_repos_all_metrics!B:K,8,FALSE)</f>
        <v>0</v>
      </c>
      <c r="AH1787">
        <f>VLOOKUP(A:A,[1]android_repos_all_metrics!B:K,9,FALSE)</f>
        <v>3</v>
      </c>
      <c r="AI1787">
        <f>VLOOKUP(A:A,[1]android_repos_all_metrics!B:K,10,FALSE)</f>
        <v>0</v>
      </c>
    </row>
    <row r="1788" spans="1:35">
      <c r="A1788" t="s">
        <v>1857</v>
      </c>
      <c r="B1788" t="b">
        <v>1</v>
      </c>
      <c r="C1788" t="b">
        <v>1</v>
      </c>
      <c r="D1788" t="b">
        <v>0</v>
      </c>
      <c r="F1788" t="b">
        <v>1</v>
      </c>
      <c r="G1788" t="s">
        <v>109</v>
      </c>
      <c r="H1788" t="s">
        <v>43</v>
      </c>
      <c r="I1788" t="s">
        <v>43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>
        <v>1</v>
      </c>
      <c r="AB1788">
        <v>0</v>
      </c>
      <c r="AC1788">
        <f>VLOOKUP(A:A,[1]android_repos_all_metrics!B:K,4,FALSE)</f>
        <v>552</v>
      </c>
      <c r="AD1788">
        <f>VLOOKUP(A:A,[1]android_repos_all_metrics!B:K,5,FALSE)</f>
        <v>16</v>
      </c>
      <c r="AE1788">
        <f>VLOOKUP(A:A,[1]android_repos_all_metrics!B:K,6,FALSE)</f>
        <v>1</v>
      </c>
      <c r="AF1788">
        <f>VLOOKUP(A:A,[1]android_repos_all_metrics!B:K,7,FALSE)</f>
        <v>3629</v>
      </c>
      <c r="AG1788">
        <f>VLOOKUP(A:A,[1]android_repos_all_metrics!B:K,8,FALSE)</f>
        <v>1</v>
      </c>
      <c r="AH1788">
        <f>VLOOKUP(A:A,[1]android_repos_all_metrics!B:K,9,FALSE)</f>
        <v>2</v>
      </c>
      <c r="AI1788">
        <f>VLOOKUP(A:A,[1]android_repos_all_metrics!B:K,10,FALSE)</f>
        <v>0</v>
      </c>
    </row>
    <row r="1789" spans="1:35">
      <c r="A1789" t="s">
        <v>1858</v>
      </c>
      <c r="B1789" t="b">
        <v>1</v>
      </c>
      <c r="C1789" t="b">
        <v>1</v>
      </c>
      <c r="D1789" t="b">
        <v>1</v>
      </c>
      <c r="E1789" t="s">
        <v>36</v>
      </c>
      <c r="F1789" t="b">
        <v>0</v>
      </c>
      <c r="H1789" t="s">
        <v>37</v>
      </c>
      <c r="I1789" t="s">
        <v>37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>
        <v>3</v>
      </c>
      <c r="AA1789">
        <v>1</v>
      </c>
      <c r="AB1789">
        <v>0</v>
      </c>
      <c r="AC1789">
        <f>VLOOKUP(A:A,[1]android_repos_all_metrics!B:K,4,FALSE)</f>
        <v>11</v>
      </c>
      <c r="AD1789">
        <f>VLOOKUP(A:A,[1]android_repos_all_metrics!B:K,5,FALSE)</f>
        <v>0</v>
      </c>
      <c r="AE1789">
        <f>VLOOKUP(A:A,[1]android_repos_all_metrics!B:K,6,FALSE)</f>
        <v>1</v>
      </c>
      <c r="AF1789">
        <f>VLOOKUP(A:A,[1]android_repos_all_metrics!B:K,7,FALSE)</f>
        <v>14191</v>
      </c>
      <c r="AG1789">
        <f>VLOOKUP(A:A,[1]android_repos_all_metrics!B:K,8,FALSE)</f>
        <v>0</v>
      </c>
      <c r="AH1789">
        <f>VLOOKUP(A:A,[1]android_repos_all_metrics!B:K,9,FALSE)</f>
        <v>4</v>
      </c>
      <c r="AI1789">
        <f>VLOOKUP(A:A,[1]android_repos_all_metrics!B:K,10,FALSE)</f>
        <v>0</v>
      </c>
    </row>
    <row r="1790" spans="1:35">
      <c r="A1790" t="s">
        <v>1859</v>
      </c>
      <c r="B1790" t="b">
        <v>1</v>
      </c>
      <c r="C1790" t="b">
        <v>0</v>
      </c>
      <c r="D1790" t="b">
        <v>0</v>
      </c>
      <c r="F1790" t="b">
        <v>0</v>
      </c>
      <c r="H1790" t="s">
        <v>41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>
        <v>1</v>
      </c>
      <c r="AB1790">
        <v>0</v>
      </c>
      <c r="AC1790">
        <f>VLOOKUP(A:A,[1]android_repos_all_metrics!B:K,4,FALSE)</f>
        <v>522</v>
      </c>
      <c r="AD1790">
        <f>VLOOKUP(A:A,[1]android_repos_all_metrics!B:K,5,FALSE)</f>
        <v>70</v>
      </c>
      <c r="AE1790">
        <f>VLOOKUP(A:A,[1]android_repos_all_metrics!B:K,6,FALSE)</f>
        <v>7</v>
      </c>
      <c r="AF1790">
        <f>VLOOKUP(A:A,[1]android_repos_all_metrics!B:K,7,FALSE)</f>
        <v>2631</v>
      </c>
      <c r="AG1790">
        <f>VLOOKUP(A:A,[1]android_repos_all_metrics!B:K,8,FALSE)</f>
        <v>5</v>
      </c>
      <c r="AH1790">
        <f>VLOOKUP(A:A,[1]android_repos_all_metrics!B:K,9,FALSE)</f>
        <v>6</v>
      </c>
      <c r="AI1790">
        <f>VLOOKUP(A:A,[1]android_repos_all_metrics!B:K,10,FALSE)</f>
        <v>10</v>
      </c>
    </row>
    <row r="1791" spans="1:35">
      <c r="A1791" t="s">
        <v>1860</v>
      </c>
      <c r="B1791" t="b">
        <v>1</v>
      </c>
      <c r="C1791" t="b">
        <v>0</v>
      </c>
      <c r="D1791" t="b">
        <v>0</v>
      </c>
      <c r="F1791" t="b">
        <v>0</v>
      </c>
      <c r="H1791" t="s">
        <v>37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>
        <v>1</v>
      </c>
      <c r="AB1791">
        <v>0</v>
      </c>
      <c r="AC1791">
        <f>VLOOKUP(A:A,[1]android_repos_all_metrics!B:K,4,FALSE)</f>
        <v>170</v>
      </c>
      <c r="AD1791">
        <f>VLOOKUP(A:A,[1]android_repos_all_metrics!B:K,5,FALSE)</f>
        <v>28</v>
      </c>
      <c r="AE1791">
        <f>VLOOKUP(A:A,[1]android_repos_all_metrics!B:K,6,FALSE)</f>
        <v>1</v>
      </c>
      <c r="AF1791">
        <f>VLOOKUP(A:A,[1]android_repos_all_metrics!B:K,7,FALSE)</f>
        <v>3394</v>
      </c>
      <c r="AG1791">
        <f>VLOOKUP(A:A,[1]android_repos_all_metrics!B:K,8,FALSE)</f>
        <v>8</v>
      </c>
      <c r="AH1791">
        <f>VLOOKUP(A:A,[1]android_repos_all_metrics!B:K,9,FALSE)</f>
        <v>27</v>
      </c>
      <c r="AI1791">
        <f>VLOOKUP(A:A,[1]android_repos_all_metrics!B:K,10,FALSE)</f>
        <v>2</v>
      </c>
    </row>
    <row r="1792" spans="1:35">
      <c r="A1792" t="s">
        <v>1861</v>
      </c>
      <c r="B1792" t="b">
        <v>1</v>
      </c>
      <c r="C1792" t="b">
        <v>0</v>
      </c>
      <c r="D1792" t="b">
        <v>0</v>
      </c>
      <c r="F1792" t="b">
        <v>0</v>
      </c>
      <c r="H1792" t="s">
        <v>43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>
        <v>1</v>
      </c>
      <c r="AB1792">
        <v>0</v>
      </c>
      <c r="AC1792">
        <f>VLOOKUP(A:A,[1]android_repos_all_metrics!B:K,4,FALSE)</f>
        <v>92</v>
      </c>
      <c r="AD1792">
        <f>VLOOKUP(A:A,[1]android_repos_all_metrics!B:K,5,FALSE)</f>
        <v>0</v>
      </c>
      <c r="AE1792">
        <f>VLOOKUP(A:A,[1]android_repos_all_metrics!B:K,6,FALSE)</f>
        <v>1</v>
      </c>
      <c r="AF1792">
        <f>VLOOKUP(A:A,[1]android_repos_all_metrics!B:K,7,FALSE)</f>
        <v>21962</v>
      </c>
      <c r="AG1792">
        <f>VLOOKUP(A:A,[1]android_repos_all_metrics!B:K,8,FALSE)</f>
        <v>1</v>
      </c>
      <c r="AH1792">
        <f>VLOOKUP(A:A,[1]android_repos_all_metrics!B:K,9,FALSE)</f>
        <v>3</v>
      </c>
      <c r="AI1792">
        <f>VLOOKUP(A:A,[1]android_repos_all_metrics!B:K,10,FALSE)</f>
        <v>0</v>
      </c>
    </row>
    <row r="1793" spans="1:35">
      <c r="A1793" t="s">
        <v>1862</v>
      </c>
      <c r="B1793" t="b">
        <v>1</v>
      </c>
      <c r="C1793" t="b">
        <v>0</v>
      </c>
      <c r="D1793" t="b">
        <v>0</v>
      </c>
      <c r="F1793" t="b">
        <v>0</v>
      </c>
      <c r="H1793" t="s">
        <v>37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>
        <v>2</v>
      </c>
      <c r="AB1793">
        <v>0</v>
      </c>
      <c r="AC1793">
        <f>VLOOKUP(A:A,[1]android_repos_all_metrics!B:K,4,FALSE)</f>
        <v>369</v>
      </c>
      <c r="AD1793">
        <f>VLOOKUP(A:A,[1]android_repos_all_metrics!B:K,5,FALSE)</f>
        <v>338</v>
      </c>
      <c r="AE1793">
        <f>VLOOKUP(A:A,[1]android_repos_all_metrics!B:K,6,FALSE)</f>
        <v>4</v>
      </c>
      <c r="AF1793">
        <f>VLOOKUP(A:A,[1]android_repos_all_metrics!B:K,7,FALSE)</f>
        <v>1399</v>
      </c>
      <c r="AG1793">
        <f>VLOOKUP(A:A,[1]android_repos_all_metrics!B:K,8,FALSE)</f>
        <v>4</v>
      </c>
      <c r="AH1793">
        <f>VLOOKUP(A:A,[1]android_repos_all_metrics!B:K,9,FALSE)</f>
        <v>9</v>
      </c>
      <c r="AI1793">
        <f>VLOOKUP(A:A,[1]android_repos_all_metrics!B:K,10,FALSE)</f>
        <v>15</v>
      </c>
    </row>
    <row r="1794" spans="1:35">
      <c r="A1794" t="s">
        <v>1863</v>
      </c>
      <c r="B1794" t="b">
        <v>1</v>
      </c>
      <c r="C1794" t="b">
        <v>0</v>
      </c>
      <c r="D1794" t="b">
        <v>0</v>
      </c>
      <c r="F1794" t="b">
        <v>0</v>
      </c>
      <c r="H1794" t="s">
        <v>37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>
        <v>1</v>
      </c>
      <c r="AB1794">
        <v>0</v>
      </c>
      <c r="AC1794">
        <f>VLOOKUP(A:A,[1]android_repos_all_metrics!B:K,4,FALSE)</f>
        <v>221</v>
      </c>
      <c r="AD1794">
        <f>VLOOKUP(A:A,[1]android_repos_all_metrics!B:K,5,FALSE)</f>
        <v>6</v>
      </c>
      <c r="AE1794">
        <f>VLOOKUP(A:A,[1]android_repos_all_metrics!B:K,6,FALSE)</f>
        <v>3</v>
      </c>
      <c r="AF1794">
        <f>VLOOKUP(A:A,[1]android_repos_all_metrics!B:K,7,FALSE)</f>
        <v>59210</v>
      </c>
      <c r="AG1794">
        <f>VLOOKUP(A:A,[1]android_repos_all_metrics!B:K,8,FALSE)</f>
        <v>7</v>
      </c>
      <c r="AH1794">
        <f>VLOOKUP(A:A,[1]android_repos_all_metrics!B:K,9,FALSE)</f>
        <v>17</v>
      </c>
      <c r="AI1794">
        <f>VLOOKUP(A:A,[1]android_repos_all_metrics!B:K,10,FALSE)</f>
        <v>6</v>
      </c>
    </row>
    <row r="1795" spans="1:35">
      <c r="A1795" t="s">
        <v>1864</v>
      </c>
      <c r="B1795" t="b">
        <v>1</v>
      </c>
      <c r="C1795" t="b">
        <v>0</v>
      </c>
      <c r="D1795" t="b">
        <v>0</v>
      </c>
      <c r="F1795" t="b">
        <v>0</v>
      </c>
      <c r="H1795" t="s">
        <v>37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>
        <v>3</v>
      </c>
      <c r="AB1795">
        <v>0</v>
      </c>
      <c r="AC1795">
        <f>VLOOKUP(A:A,[1]android_repos_all_metrics!B:K,4,FALSE)</f>
        <v>77</v>
      </c>
      <c r="AD1795">
        <f>VLOOKUP(A:A,[1]android_repos_all_metrics!B:K,5,FALSE)</f>
        <v>29</v>
      </c>
      <c r="AE1795">
        <f>VLOOKUP(A:A,[1]android_repos_all_metrics!B:K,6,FALSE)</f>
        <v>4</v>
      </c>
      <c r="AF1795">
        <f>VLOOKUP(A:A,[1]android_repos_all_metrics!B:K,7,FALSE)</f>
        <v>1054</v>
      </c>
      <c r="AG1795">
        <f>VLOOKUP(A:A,[1]android_repos_all_metrics!B:K,8,FALSE)</f>
        <v>4</v>
      </c>
      <c r="AH1795">
        <f>VLOOKUP(A:A,[1]android_repos_all_metrics!B:K,9,FALSE)</f>
        <v>6</v>
      </c>
      <c r="AI1795">
        <f>VLOOKUP(A:A,[1]android_repos_all_metrics!B:K,10,FALSE)</f>
        <v>16</v>
      </c>
    </row>
    <row r="1796" spans="1:35">
      <c r="A1796" t="s">
        <v>1865</v>
      </c>
      <c r="B1796" t="b">
        <v>1</v>
      </c>
      <c r="C1796" t="b">
        <v>0</v>
      </c>
      <c r="D1796" t="b">
        <v>0</v>
      </c>
      <c r="F1796" t="b">
        <v>0</v>
      </c>
      <c r="H1796" t="s">
        <v>37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>
        <v>2</v>
      </c>
      <c r="AB1796">
        <v>0</v>
      </c>
      <c r="AC1796">
        <f>VLOOKUP(A:A,[1]android_repos_all_metrics!B:K,4,FALSE)</f>
        <v>142</v>
      </c>
      <c r="AD1796">
        <f>VLOOKUP(A:A,[1]android_repos_all_metrics!B:K,5,FALSE)</f>
        <v>2</v>
      </c>
      <c r="AE1796">
        <f>VLOOKUP(A:A,[1]android_repos_all_metrics!B:K,6,FALSE)</f>
        <v>1</v>
      </c>
      <c r="AF1796">
        <f>VLOOKUP(A:A,[1]android_repos_all_metrics!B:K,7,FALSE)</f>
        <v>1318</v>
      </c>
      <c r="AG1796">
        <f>VLOOKUP(A:A,[1]android_repos_all_metrics!B:K,8,FALSE)</f>
        <v>0</v>
      </c>
      <c r="AH1796">
        <f>VLOOKUP(A:A,[1]android_repos_all_metrics!B:K,9,FALSE)</f>
        <v>1</v>
      </c>
      <c r="AI1796">
        <f>VLOOKUP(A:A,[1]android_repos_all_metrics!B:K,10,FALSE)</f>
        <v>0</v>
      </c>
    </row>
    <row r="1797" spans="1:35">
      <c r="A1797" t="s">
        <v>1866</v>
      </c>
      <c r="B1797" t="b">
        <v>1</v>
      </c>
      <c r="C1797" t="b">
        <v>0</v>
      </c>
      <c r="D1797" t="b">
        <v>0</v>
      </c>
      <c r="F1797" t="b">
        <v>0</v>
      </c>
      <c r="H1797" t="s">
        <v>37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>
        <v>1</v>
      </c>
      <c r="AB1797">
        <v>0</v>
      </c>
      <c r="AC1797">
        <f>VLOOKUP(A:A,[1]android_repos_all_metrics!B:K,4,FALSE)</f>
        <v>815</v>
      </c>
      <c r="AD1797">
        <f>VLOOKUP(A:A,[1]android_repos_all_metrics!B:K,5,FALSE)</f>
        <v>15</v>
      </c>
      <c r="AE1797">
        <f>VLOOKUP(A:A,[1]android_repos_all_metrics!B:K,6,FALSE)</f>
        <v>6</v>
      </c>
      <c r="AF1797">
        <f>VLOOKUP(A:A,[1]android_repos_all_metrics!B:K,7,FALSE)</f>
        <v>3143</v>
      </c>
      <c r="AG1797">
        <f>VLOOKUP(A:A,[1]android_repos_all_metrics!B:K,8,FALSE)</f>
        <v>3</v>
      </c>
      <c r="AH1797">
        <f>VLOOKUP(A:A,[1]android_repos_all_metrics!B:K,9,FALSE)</f>
        <v>75</v>
      </c>
      <c r="AI1797">
        <f>VLOOKUP(A:A,[1]android_repos_all_metrics!B:K,10,FALSE)</f>
        <v>3</v>
      </c>
    </row>
    <row r="1798" spans="1:35">
      <c r="A1798" t="s">
        <v>1867</v>
      </c>
      <c r="B1798" t="b">
        <v>1</v>
      </c>
      <c r="C1798" t="b">
        <v>0</v>
      </c>
      <c r="D1798" t="b">
        <v>0</v>
      </c>
      <c r="F1798" t="b">
        <v>0</v>
      </c>
      <c r="H1798" t="s">
        <v>37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>
        <v>2</v>
      </c>
      <c r="AB1798">
        <v>0</v>
      </c>
      <c r="AC1798">
        <f>VLOOKUP(A:A,[1]android_repos_all_metrics!B:K,4,FALSE)</f>
        <v>510</v>
      </c>
      <c r="AD1798">
        <f>VLOOKUP(A:A,[1]android_repos_all_metrics!B:K,5,FALSE)</f>
        <v>317</v>
      </c>
      <c r="AE1798">
        <f>VLOOKUP(A:A,[1]android_repos_all_metrics!B:K,6,FALSE)</f>
        <v>4</v>
      </c>
      <c r="AF1798">
        <f>VLOOKUP(A:A,[1]android_repos_all_metrics!B:K,7,FALSE)</f>
        <v>7272</v>
      </c>
      <c r="AG1798">
        <f>VLOOKUP(A:A,[1]android_repos_all_metrics!B:K,8,FALSE)</f>
        <v>7</v>
      </c>
      <c r="AH1798">
        <f>VLOOKUP(A:A,[1]android_repos_all_metrics!B:K,9,FALSE)</f>
        <v>179</v>
      </c>
      <c r="AI1798">
        <f>VLOOKUP(A:A,[1]android_repos_all_metrics!B:K,10,FALSE)</f>
        <v>21</v>
      </c>
    </row>
    <row r="1799" spans="1:35">
      <c r="A1799" t="s">
        <v>1868</v>
      </c>
      <c r="B1799" t="b">
        <v>1</v>
      </c>
      <c r="C1799" t="b">
        <v>0</v>
      </c>
      <c r="D1799" t="b">
        <v>0</v>
      </c>
      <c r="F1799" t="b">
        <v>0</v>
      </c>
      <c r="H1799" t="s">
        <v>37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>
        <v>3</v>
      </c>
      <c r="AB1799">
        <v>0</v>
      </c>
      <c r="AC1799">
        <f>VLOOKUP(A:A,[1]android_repos_all_metrics!B:K,4,FALSE)</f>
        <v>37</v>
      </c>
      <c r="AD1799">
        <f>VLOOKUP(A:A,[1]android_repos_all_metrics!B:K,5,FALSE)</f>
        <v>3</v>
      </c>
      <c r="AE1799">
        <f>VLOOKUP(A:A,[1]android_repos_all_metrics!B:K,6,FALSE)</f>
        <v>1</v>
      </c>
      <c r="AF1799">
        <f>VLOOKUP(A:A,[1]android_repos_all_metrics!B:K,7,FALSE)</f>
        <v>7653</v>
      </c>
      <c r="AG1799">
        <f>VLOOKUP(A:A,[1]android_repos_all_metrics!B:K,8,FALSE)</f>
        <v>59</v>
      </c>
      <c r="AH1799">
        <f>VLOOKUP(A:A,[1]android_repos_all_metrics!B:K,9,FALSE)</f>
        <v>86</v>
      </c>
      <c r="AI1799">
        <f>VLOOKUP(A:A,[1]android_repos_all_metrics!B:K,10,FALSE)</f>
        <v>1</v>
      </c>
    </row>
    <row r="1800" spans="1:35">
      <c r="A1800" t="s">
        <v>1869</v>
      </c>
      <c r="B1800" t="b">
        <v>1</v>
      </c>
      <c r="C1800" t="b">
        <v>0</v>
      </c>
      <c r="D1800" t="b">
        <v>0</v>
      </c>
      <c r="F1800" t="b">
        <v>0</v>
      </c>
      <c r="H1800" t="s">
        <v>41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>
        <v>1</v>
      </c>
      <c r="AB1800">
        <v>0</v>
      </c>
      <c r="AC1800">
        <f>VLOOKUP(A:A,[1]android_repos_all_metrics!B:K,4,FALSE)</f>
        <v>213</v>
      </c>
      <c r="AD1800">
        <f>VLOOKUP(A:A,[1]android_repos_all_metrics!B:K,5,FALSE)</f>
        <v>13</v>
      </c>
      <c r="AE1800">
        <f>VLOOKUP(A:A,[1]android_repos_all_metrics!B:K,6,FALSE)</f>
        <v>5</v>
      </c>
      <c r="AF1800">
        <f>VLOOKUP(A:A,[1]android_repos_all_metrics!B:K,7,FALSE)</f>
        <v>1592</v>
      </c>
      <c r="AG1800">
        <f>VLOOKUP(A:A,[1]android_repos_all_metrics!B:K,8,FALSE)</f>
        <v>44</v>
      </c>
      <c r="AH1800">
        <f>VLOOKUP(A:A,[1]android_repos_all_metrics!B:K,9,FALSE)</f>
        <v>180</v>
      </c>
      <c r="AI1800">
        <f>VLOOKUP(A:A,[1]android_repos_all_metrics!B:K,10,FALSE)</f>
        <v>18</v>
      </c>
    </row>
    <row r="1801" spans="1:35">
      <c r="A1801" t="s">
        <v>1870</v>
      </c>
      <c r="B1801" t="b">
        <v>0</v>
      </c>
      <c r="C1801" t="b">
        <v>0</v>
      </c>
      <c r="D1801" t="b">
        <v>0</v>
      </c>
      <c r="F1801" t="b">
        <v>0</v>
      </c>
      <c r="H1801" t="s">
        <v>41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>
        <v>1</v>
      </c>
      <c r="AB1801">
        <v>0</v>
      </c>
      <c r="AC1801">
        <f>VLOOKUP(A:A,[1]android_repos_all_metrics!B:K,4,FALSE)</f>
        <v>22</v>
      </c>
      <c r="AD1801">
        <f>VLOOKUP(A:A,[1]android_repos_all_metrics!B:K,5,FALSE)</f>
        <v>3</v>
      </c>
      <c r="AE1801">
        <f>VLOOKUP(A:A,[1]android_repos_all_metrics!B:K,6,FALSE)</f>
        <v>1</v>
      </c>
      <c r="AF1801">
        <f>VLOOKUP(A:A,[1]android_repos_all_metrics!B:K,7,FALSE)</f>
        <v>1932</v>
      </c>
      <c r="AG1801">
        <f>VLOOKUP(A:A,[1]android_repos_all_metrics!B:K,8,FALSE)</f>
        <v>4</v>
      </c>
      <c r="AH1801">
        <f>VLOOKUP(A:A,[1]android_repos_all_metrics!B:K,9,FALSE)</f>
        <v>2</v>
      </c>
      <c r="AI1801">
        <f>VLOOKUP(A:A,[1]android_repos_all_metrics!B:K,10,FALSE)</f>
        <v>0</v>
      </c>
    </row>
    <row r="1802" spans="1:35">
      <c r="A1802" t="s">
        <v>1871</v>
      </c>
      <c r="B1802" t="b">
        <v>0</v>
      </c>
      <c r="C1802" t="b">
        <v>0</v>
      </c>
      <c r="D1802" t="b">
        <v>0</v>
      </c>
      <c r="F1802" t="b">
        <v>0</v>
      </c>
      <c r="H1802" t="s">
        <v>37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>
        <v>1</v>
      </c>
      <c r="AB1802">
        <v>0</v>
      </c>
      <c r="AC1802">
        <f>VLOOKUP(A:A,[1]android_repos_all_metrics!B:K,4,FALSE)</f>
        <v>55</v>
      </c>
      <c r="AD1802">
        <f>VLOOKUP(A:A,[1]android_repos_all_metrics!B:K,5,FALSE)</f>
        <v>0</v>
      </c>
      <c r="AE1802">
        <f>VLOOKUP(A:A,[1]android_repos_all_metrics!B:K,6,FALSE)</f>
        <v>1</v>
      </c>
      <c r="AF1802">
        <f>VLOOKUP(A:A,[1]android_repos_all_metrics!B:K,7,FALSE)</f>
        <v>1647</v>
      </c>
      <c r="AG1802">
        <f>VLOOKUP(A:A,[1]android_repos_all_metrics!B:K,8,FALSE)</f>
        <v>10</v>
      </c>
      <c r="AH1802">
        <f>VLOOKUP(A:A,[1]android_repos_all_metrics!B:K,9,FALSE)</f>
        <v>76</v>
      </c>
      <c r="AI1802">
        <f>VLOOKUP(A:A,[1]android_repos_all_metrics!B:K,10,FALSE)</f>
        <v>2</v>
      </c>
    </row>
    <row r="1803" spans="1:35">
      <c r="A1803" t="s">
        <v>1872</v>
      </c>
      <c r="B1803" t="b">
        <v>1</v>
      </c>
      <c r="C1803" t="b">
        <v>0</v>
      </c>
      <c r="D1803" t="b">
        <v>0</v>
      </c>
      <c r="F1803" t="b">
        <v>0</v>
      </c>
      <c r="H1803" t="s">
        <v>37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>
        <v>1</v>
      </c>
      <c r="AB1803">
        <v>0</v>
      </c>
      <c r="AC1803">
        <f>VLOOKUP(A:A,[1]android_repos_all_metrics!B:K,4,FALSE)</f>
        <v>10</v>
      </c>
      <c r="AD1803">
        <f>VLOOKUP(A:A,[1]android_repos_all_metrics!B:K,5,FALSE)</f>
        <v>1</v>
      </c>
      <c r="AE1803">
        <f>VLOOKUP(A:A,[1]android_repos_all_metrics!B:K,6,FALSE)</f>
        <v>1</v>
      </c>
      <c r="AF1803">
        <f>VLOOKUP(A:A,[1]android_repos_all_metrics!B:K,7,FALSE)</f>
        <v>205</v>
      </c>
      <c r="AG1803">
        <f>VLOOKUP(A:A,[1]android_repos_all_metrics!B:K,8,FALSE)</f>
        <v>1</v>
      </c>
      <c r="AH1803">
        <f>VLOOKUP(A:A,[1]android_repos_all_metrics!B:K,9,FALSE)</f>
        <v>2</v>
      </c>
      <c r="AI1803">
        <f>VLOOKUP(A:A,[1]android_repos_all_metrics!B:K,10,FALSE)</f>
        <v>0</v>
      </c>
    </row>
    <row r="1804" spans="1:35">
      <c r="A1804" t="s">
        <v>1873</v>
      </c>
      <c r="B1804" t="b">
        <v>1</v>
      </c>
      <c r="C1804" t="b">
        <v>0</v>
      </c>
      <c r="D1804" t="b">
        <v>0</v>
      </c>
      <c r="F1804" t="b">
        <v>0</v>
      </c>
      <c r="H1804" t="s">
        <v>37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>
        <v>1</v>
      </c>
      <c r="AB1804">
        <v>0</v>
      </c>
      <c r="AC1804">
        <f>VLOOKUP(A:A,[1]android_repos_all_metrics!B:K,4,FALSE)</f>
        <v>23</v>
      </c>
      <c r="AD1804">
        <f>VLOOKUP(A:A,[1]android_repos_all_metrics!B:K,5,FALSE)</f>
        <v>0</v>
      </c>
      <c r="AE1804">
        <f>VLOOKUP(A:A,[1]android_repos_all_metrics!B:K,6,FALSE)</f>
        <v>1</v>
      </c>
      <c r="AF1804">
        <f>VLOOKUP(A:A,[1]android_repos_all_metrics!B:K,7,FALSE)</f>
        <v>105</v>
      </c>
      <c r="AG1804">
        <f>VLOOKUP(A:A,[1]android_repos_all_metrics!B:K,8,FALSE)</f>
        <v>0</v>
      </c>
      <c r="AH1804">
        <f>VLOOKUP(A:A,[1]android_repos_all_metrics!B:K,9,FALSE)</f>
        <v>5</v>
      </c>
      <c r="AI1804">
        <f>VLOOKUP(A:A,[1]android_repos_all_metrics!B:K,10,FALSE)</f>
        <v>0</v>
      </c>
    </row>
    <row r="1805" spans="1:35">
      <c r="A1805" t="s">
        <v>1874</v>
      </c>
      <c r="B1805" t="b">
        <v>1</v>
      </c>
      <c r="C1805" t="b">
        <v>0</v>
      </c>
      <c r="D1805" t="b">
        <v>0</v>
      </c>
      <c r="F1805" t="b">
        <v>0</v>
      </c>
      <c r="H1805" t="s">
        <v>37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>
        <v>3</v>
      </c>
      <c r="AB1805">
        <v>0</v>
      </c>
      <c r="AC1805">
        <f>VLOOKUP(A:A,[1]android_repos_all_metrics!B:K,4,FALSE)</f>
        <v>500</v>
      </c>
      <c r="AD1805">
        <f>VLOOKUP(A:A,[1]android_repos_all_metrics!B:K,5,FALSE)</f>
        <v>526</v>
      </c>
      <c r="AE1805">
        <f>VLOOKUP(A:A,[1]android_repos_all_metrics!B:K,6,FALSE)</f>
        <v>11</v>
      </c>
      <c r="AF1805">
        <f>VLOOKUP(A:A,[1]android_repos_all_metrics!B:K,7,FALSE)</f>
        <v>7335</v>
      </c>
      <c r="AG1805">
        <f>VLOOKUP(A:A,[1]android_repos_all_metrics!B:K,8,FALSE)</f>
        <v>4</v>
      </c>
      <c r="AH1805">
        <f>VLOOKUP(A:A,[1]android_repos_all_metrics!B:K,9,FALSE)</f>
        <v>35</v>
      </c>
      <c r="AI1805">
        <f>VLOOKUP(A:A,[1]android_repos_all_metrics!B:K,10,FALSE)</f>
        <v>11</v>
      </c>
    </row>
    <row r="1806" spans="1:35">
      <c r="A1806" t="s">
        <v>1875</v>
      </c>
      <c r="B1806" t="b">
        <v>1</v>
      </c>
      <c r="C1806" t="b">
        <v>0</v>
      </c>
      <c r="D1806" t="b">
        <v>0</v>
      </c>
      <c r="F1806" t="b">
        <v>0</v>
      </c>
      <c r="H1806" t="s">
        <v>136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>
        <v>2</v>
      </c>
      <c r="AB1806">
        <v>0</v>
      </c>
      <c r="AC1806">
        <f>VLOOKUP(A:A,[1]android_repos_all_metrics!B:K,4,FALSE)</f>
        <v>329</v>
      </c>
      <c r="AD1806">
        <f>VLOOKUP(A:A,[1]android_repos_all_metrics!B:K,5,FALSE)</f>
        <v>3</v>
      </c>
      <c r="AE1806">
        <f>VLOOKUP(A:A,[1]android_repos_all_metrics!B:K,6,FALSE)</f>
        <v>3</v>
      </c>
      <c r="AF1806">
        <f>VLOOKUP(A:A,[1]android_repos_all_metrics!B:K,7,FALSE)</f>
        <v>1105</v>
      </c>
      <c r="AG1806">
        <f>VLOOKUP(A:A,[1]android_repos_all_metrics!B:K,8,FALSE)</f>
        <v>7</v>
      </c>
      <c r="AH1806">
        <f>VLOOKUP(A:A,[1]android_repos_all_metrics!B:K,9,FALSE)</f>
        <v>38</v>
      </c>
      <c r="AI1806">
        <f>VLOOKUP(A:A,[1]android_repos_all_metrics!B:K,10,FALSE)</f>
        <v>3</v>
      </c>
    </row>
    <row r="1807" spans="1:35">
      <c r="A1807" t="s">
        <v>1876</v>
      </c>
      <c r="B1807" t="b">
        <v>1</v>
      </c>
      <c r="C1807" t="b">
        <v>0</v>
      </c>
      <c r="D1807" t="b">
        <v>0</v>
      </c>
      <c r="F1807" t="b">
        <v>0</v>
      </c>
      <c r="H1807" t="s">
        <v>76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>
        <v>1</v>
      </c>
      <c r="AB1807">
        <v>0</v>
      </c>
      <c r="AC1807">
        <f>VLOOKUP(A:A,[1]android_repos_all_metrics!B:K,4,FALSE)</f>
        <v>1335</v>
      </c>
      <c r="AD1807">
        <f>VLOOKUP(A:A,[1]android_repos_all_metrics!B:K,5,FALSE)</f>
        <v>7</v>
      </c>
      <c r="AE1807">
        <f>VLOOKUP(A:A,[1]android_repos_all_metrics!B:K,6,FALSE)</f>
        <v>4</v>
      </c>
      <c r="AF1807">
        <f>VLOOKUP(A:A,[1]android_repos_all_metrics!B:K,7,FALSE)</f>
        <v>28044</v>
      </c>
      <c r="AG1807">
        <f>VLOOKUP(A:A,[1]android_repos_all_metrics!B:K,8,FALSE)</f>
        <v>13</v>
      </c>
      <c r="AH1807">
        <f>VLOOKUP(A:A,[1]android_repos_all_metrics!B:K,9,FALSE)</f>
        <v>63</v>
      </c>
      <c r="AI1807">
        <f>VLOOKUP(A:A,[1]android_repos_all_metrics!B:K,10,FALSE)</f>
        <v>2</v>
      </c>
    </row>
    <row r="1808" spans="1:35">
      <c r="A1808" t="s">
        <v>1877</v>
      </c>
      <c r="B1808" t="b">
        <v>1</v>
      </c>
      <c r="C1808" t="b">
        <v>0</v>
      </c>
      <c r="D1808" t="b">
        <v>0</v>
      </c>
      <c r="F1808" t="b">
        <v>0</v>
      </c>
      <c r="H1808" t="s">
        <v>37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>
        <v>1</v>
      </c>
      <c r="AB1808">
        <v>0</v>
      </c>
      <c r="AC1808">
        <f>VLOOKUP(A:A,[1]android_repos_all_metrics!B:K,4,FALSE)</f>
        <v>28</v>
      </c>
      <c r="AD1808">
        <f>VLOOKUP(A:A,[1]android_repos_all_metrics!B:K,5,FALSE)</f>
        <v>3</v>
      </c>
      <c r="AE1808">
        <f>VLOOKUP(A:A,[1]android_repos_all_metrics!B:K,6,FALSE)</f>
        <v>3</v>
      </c>
      <c r="AF1808">
        <f>VLOOKUP(A:A,[1]android_repos_all_metrics!B:K,7,FALSE)</f>
        <v>732</v>
      </c>
      <c r="AG1808">
        <f>VLOOKUP(A:A,[1]android_repos_all_metrics!B:K,8,FALSE)</f>
        <v>6</v>
      </c>
      <c r="AH1808">
        <f>VLOOKUP(A:A,[1]android_repos_all_metrics!B:K,9,FALSE)</f>
        <v>11</v>
      </c>
      <c r="AI1808">
        <f>VLOOKUP(A:A,[1]android_repos_all_metrics!B:K,10,FALSE)</f>
        <v>3</v>
      </c>
    </row>
    <row r="1809" spans="1:35">
      <c r="A1809" t="s">
        <v>1878</v>
      </c>
      <c r="B1809" t="b">
        <v>1</v>
      </c>
      <c r="C1809" t="b">
        <v>0</v>
      </c>
      <c r="D1809" t="b">
        <v>0</v>
      </c>
      <c r="F1809" t="b">
        <v>0</v>
      </c>
      <c r="H1809" t="s">
        <v>37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>
        <v>1</v>
      </c>
      <c r="AB1809">
        <v>0</v>
      </c>
      <c r="AC1809">
        <f>VLOOKUP(A:A,[1]android_repos_all_metrics!B:K,4,FALSE)</f>
        <v>43</v>
      </c>
      <c r="AD1809">
        <f>VLOOKUP(A:A,[1]android_repos_all_metrics!B:K,5,FALSE)</f>
        <v>1</v>
      </c>
      <c r="AE1809">
        <f>VLOOKUP(A:A,[1]android_repos_all_metrics!B:K,6,FALSE)</f>
        <v>1</v>
      </c>
      <c r="AF1809">
        <f>VLOOKUP(A:A,[1]android_repos_all_metrics!B:K,7,FALSE)</f>
        <v>4649</v>
      </c>
      <c r="AG1809">
        <f>VLOOKUP(A:A,[1]android_repos_all_metrics!B:K,8,FALSE)</f>
        <v>1</v>
      </c>
      <c r="AH1809">
        <f>VLOOKUP(A:A,[1]android_repos_all_metrics!B:K,9,FALSE)</f>
        <v>1</v>
      </c>
      <c r="AI1809">
        <f>VLOOKUP(A:A,[1]android_repos_all_metrics!B:K,10,FALSE)</f>
        <v>1</v>
      </c>
    </row>
    <row r="1810" spans="1:35">
      <c r="A1810" t="s">
        <v>1879</v>
      </c>
      <c r="B1810" t="b">
        <v>1</v>
      </c>
      <c r="C1810" t="b">
        <v>1</v>
      </c>
      <c r="D1810" t="b">
        <v>0</v>
      </c>
      <c r="F1810" t="b">
        <v>1</v>
      </c>
      <c r="G1810" t="s">
        <v>39</v>
      </c>
      <c r="H1810" t="s">
        <v>86</v>
      </c>
      <c r="I1810" t="s">
        <v>41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>
        <v>3</v>
      </c>
      <c r="AB1810">
        <v>0</v>
      </c>
      <c r="AC1810">
        <f>VLOOKUP(A:A,[1]android_repos_all_metrics!B:K,4,FALSE)</f>
        <v>63</v>
      </c>
      <c r="AD1810">
        <f>VLOOKUP(A:A,[1]android_repos_all_metrics!B:K,5,FALSE)</f>
        <v>22</v>
      </c>
      <c r="AE1810">
        <f>VLOOKUP(A:A,[1]android_repos_all_metrics!B:K,6,FALSE)</f>
        <v>2</v>
      </c>
      <c r="AF1810">
        <f>VLOOKUP(A:A,[1]android_repos_all_metrics!B:K,7,FALSE)</f>
        <v>317</v>
      </c>
      <c r="AG1810">
        <f>VLOOKUP(A:A,[1]android_repos_all_metrics!B:K,8,FALSE)</f>
        <v>0</v>
      </c>
      <c r="AH1810">
        <f>VLOOKUP(A:A,[1]android_repos_all_metrics!B:K,9,FALSE)</f>
        <v>4</v>
      </c>
      <c r="AI1810">
        <f>VLOOKUP(A:A,[1]android_repos_all_metrics!B:K,10,FALSE)</f>
        <v>4</v>
      </c>
    </row>
    <row r="1811" spans="1:35">
      <c r="A1811" t="s">
        <v>1880</v>
      </c>
      <c r="B1811" t="b">
        <v>1</v>
      </c>
      <c r="C1811" t="b">
        <v>0</v>
      </c>
      <c r="D1811" t="b">
        <v>0</v>
      </c>
      <c r="F1811" t="b">
        <v>0</v>
      </c>
      <c r="H1811" t="s">
        <v>37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>
        <v>1</v>
      </c>
      <c r="AB1811">
        <v>0</v>
      </c>
      <c r="AC1811">
        <f>VLOOKUP(A:A,[1]android_repos_all_metrics!B:K,4,FALSE)</f>
        <v>40</v>
      </c>
      <c r="AD1811">
        <f>VLOOKUP(A:A,[1]android_repos_all_metrics!B:K,5,FALSE)</f>
        <v>10</v>
      </c>
      <c r="AE1811">
        <f>VLOOKUP(A:A,[1]android_repos_all_metrics!B:K,6,FALSE)</f>
        <v>6</v>
      </c>
      <c r="AF1811">
        <f>VLOOKUP(A:A,[1]android_repos_all_metrics!B:K,7,FALSE)</f>
        <v>2829</v>
      </c>
      <c r="AG1811">
        <f>VLOOKUP(A:A,[1]android_repos_all_metrics!B:K,8,FALSE)</f>
        <v>13</v>
      </c>
      <c r="AH1811">
        <f>VLOOKUP(A:A,[1]android_repos_all_metrics!B:K,9,FALSE)</f>
        <v>38</v>
      </c>
      <c r="AI1811">
        <f>VLOOKUP(A:A,[1]android_repos_all_metrics!B:K,10,FALSE)</f>
        <v>3</v>
      </c>
    </row>
    <row r="1812" spans="1:35">
      <c r="A1812" t="s">
        <v>1881</v>
      </c>
      <c r="B1812" t="b">
        <v>1</v>
      </c>
      <c r="C1812" t="b">
        <v>0</v>
      </c>
      <c r="D1812" t="b">
        <v>0</v>
      </c>
      <c r="F1812" t="b">
        <v>0</v>
      </c>
      <c r="H1812" t="s">
        <v>37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>
        <v>1</v>
      </c>
      <c r="AB1812">
        <v>0</v>
      </c>
      <c r="AC1812">
        <f>VLOOKUP(A:A,[1]android_repos_all_metrics!B:K,4,FALSE)</f>
        <v>64</v>
      </c>
      <c r="AD1812">
        <f>VLOOKUP(A:A,[1]android_repos_all_metrics!B:K,5,FALSE)</f>
        <v>0</v>
      </c>
      <c r="AE1812">
        <f>VLOOKUP(A:A,[1]android_repos_all_metrics!B:K,6,FALSE)</f>
        <v>1</v>
      </c>
      <c r="AF1812">
        <f>VLOOKUP(A:A,[1]android_repos_all_metrics!B:K,7,FALSE)</f>
        <v>2156</v>
      </c>
      <c r="AG1812">
        <f>VLOOKUP(A:A,[1]android_repos_all_metrics!B:K,8,FALSE)</f>
        <v>3</v>
      </c>
      <c r="AH1812">
        <f>VLOOKUP(A:A,[1]android_repos_all_metrics!B:K,9,FALSE)</f>
        <v>9</v>
      </c>
      <c r="AI1812">
        <f>VLOOKUP(A:A,[1]android_repos_all_metrics!B:K,10,FALSE)</f>
        <v>0</v>
      </c>
    </row>
    <row r="1813" spans="1:35">
      <c r="A1813" t="s">
        <v>1882</v>
      </c>
      <c r="B1813" t="b">
        <v>1</v>
      </c>
      <c r="C1813" t="b">
        <v>0</v>
      </c>
      <c r="D1813" t="b">
        <v>0</v>
      </c>
      <c r="F1813" t="b">
        <v>0</v>
      </c>
      <c r="H1813" t="s">
        <v>37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>
        <v>4</v>
      </c>
      <c r="AB1813">
        <v>0</v>
      </c>
      <c r="AC1813">
        <f>VLOOKUP(A:A,[1]android_repos_all_metrics!B:K,4,FALSE)</f>
        <v>546</v>
      </c>
      <c r="AD1813">
        <f>VLOOKUP(A:A,[1]android_repos_all_metrics!B:K,5,FALSE)</f>
        <v>76</v>
      </c>
      <c r="AE1813">
        <f>VLOOKUP(A:A,[1]android_repos_all_metrics!B:K,6,FALSE)</f>
        <v>4</v>
      </c>
      <c r="AF1813">
        <f>VLOOKUP(A:A,[1]android_repos_all_metrics!B:K,7,FALSE)</f>
        <v>19049</v>
      </c>
      <c r="AG1813">
        <f>VLOOKUP(A:A,[1]android_repos_all_metrics!B:K,8,FALSE)</f>
        <v>1</v>
      </c>
      <c r="AH1813">
        <f>VLOOKUP(A:A,[1]android_repos_all_metrics!B:K,9,FALSE)</f>
        <v>2</v>
      </c>
      <c r="AI1813">
        <f>VLOOKUP(A:A,[1]android_repos_all_metrics!B:K,10,FALSE)</f>
        <v>0</v>
      </c>
    </row>
    <row r="1814" spans="1:35">
      <c r="A1814" t="s">
        <v>1883</v>
      </c>
      <c r="B1814" t="b">
        <v>1</v>
      </c>
      <c r="C1814" t="b">
        <v>0</v>
      </c>
      <c r="D1814" t="b">
        <v>0</v>
      </c>
      <c r="F1814" t="b">
        <v>0</v>
      </c>
      <c r="H1814" t="s">
        <v>37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>
        <v>1</v>
      </c>
      <c r="AB1814">
        <v>0</v>
      </c>
      <c r="AC1814">
        <f>VLOOKUP(A:A,[1]android_repos_all_metrics!B:K,4,FALSE)</f>
        <v>109</v>
      </c>
      <c r="AD1814">
        <f>VLOOKUP(A:A,[1]android_repos_all_metrics!B:K,5,FALSE)</f>
        <v>39</v>
      </c>
      <c r="AE1814">
        <f>VLOOKUP(A:A,[1]android_repos_all_metrics!B:K,6,FALSE)</f>
        <v>8</v>
      </c>
      <c r="AF1814">
        <f>VLOOKUP(A:A,[1]android_repos_all_metrics!B:K,7,FALSE)</f>
        <v>28249</v>
      </c>
      <c r="AG1814">
        <f>VLOOKUP(A:A,[1]android_repos_all_metrics!B:K,8,FALSE)</f>
        <v>20</v>
      </c>
      <c r="AH1814">
        <f>VLOOKUP(A:A,[1]android_repos_all_metrics!B:K,9,FALSE)</f>
        <v>97</v>
      </c>
      <c r="AI1814">
        <f>VLOOKUP(A:A,[1]android_repos_all_metrics!B:K,10,FALSE)</f>
        <v>11</v>
      </c>
    </row>
    <row r="1815" spans="1:35">
      <c r="A1815" t="s">
        <v>1884</v>
      </c>
      <c r="B1815" t="b">
        <v>1</v>
      </c>
      <c r="C1815" t="b">
        <v>0</v>
      </c>
      <c r="D1815" t="b">
        <v>0</v>
      </c>
      <c r="F1815" t="b">
        <v>0</v>
      </c>
      <c r="H1815" t="s">
        <v>41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>
        <v>1</v>
      </c>
      <c r="AB1815">
        <v>0</v>
      </c>
      <c r="AC1815">
        <f>VLOOKUP(A:A,[1]android_repos_all_metrics!B:K,4,FALSE)</f>
        <v>141</v>
      </c>
      <c r="AD1815">
        <f>VLOOKUP(A:A,[1]android_repos_all_metrics!B:K,5,FALSE)</f>
        <v>1</v>
      </c>
      <c r="AE1815">
        <f>VLOOKUP(A:A,[1]android_repos_all_metrics!B:K,6,FALSE)</f>
        <v>1</v>
      </c>
      <c r="AF1815">
        <f>VLOOKUP(A:A,[1]android_repos_all_metrics!B:K,7,FALSE)</f>
        <v>612</v>
      </c>
      <c r="AG1815">
        <f>VLOOKUP(A:A,[1]android_repos_all_metrics!B:K,8,FALSE)</f>
        <v>0</v>
      </c>
      <c r="AH1815">
        <f>VLOOKUP(A:A,[1]android_repos_all_metrics!B:K,9,FALSE)</f>
        <v>1</v>
      </c>
      <c r="AI1815">
        <f>VLOOKUP(A:A,[1]android_repos_all_metrics!B:K,10,FALSE)</f>
        <v>0</v>
      </c>
    </row>
    <row r="1816" spans="1:35">
      <c r="A1816" t="s">
        <v>1885</v>
      </c>
      <c r="B1816" t="b">
        <v>1</v>
      </c>
      <c r="C1816" t="b">
        <v>0</v>
      </c>
      <c r="D1816" t="b">
        <v>0</v>
      </c>
      <c r="F1816" t="b">
        <v>0</v>
      </c>
      <c r="H1816" t="s">
        <v>1796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>
        <v>10</v>
      </c>
      <c r="AB1816">
        <v>0</v>
      </c>
      <c r="AC1816">
        <f>VLOOKUP(A:A,[1]android_repos_all_metrics!B:K,4,FALSE)</f>
        <v>1405</v>
      </c>
      <c r="AD1816">
        <f>VLOOKUP(A:A,[1]android_repos_all_metrics!B:K,5,FALSE)</f>
        <v>8</v>
      </c>
      <c r="AE1816">
        <f>VLOOKUP(A:A,[1]android_repos_all_metrics!B:K,6,FALSE)</f>
        <v>3</v>
      </c>
      <c r="AF1816">
        <f>VLOOKUP(A:A,[1]android_repos_all_metrics!B:K,7,FALSE)</f>
        <v>8219</v>
      </c>
      <c r="AG1816">
        <f>VLOOKUP(A:A,[1]android_repos_all_metrics!B:K,8,FALSE)</f>
        <v>51</v>
      </c>
      <c r="AH1816">
        <f>VLOOKUP(A:A,[1]android_repos_all_metrics!B:K,9,FALSE)</f>
        <v>90</v>
      </c>
      <c r="AI1816">
        <f>VLOOKUP(A:A,[1]android_repos_all_metrics!B:K,10,FALSE)</f>
        <v>2</v>
      </c>
    </row>
    <row r="1817" spans="1:35">
      <c r="A1817" t="s">
        <v>1886</v>
      </c>
      <c r="B1817" t="b">
        <v>1</v>
      </c>
      <c r="C1817" t="b">
        <v>1</v>
      </c>
      <c r="D1817" t="b">
        <v>0</v>
      </c>
      <c r="F1817" t="b">
        <v>1</v>
      </c>
      <c r="G1817" t="s">
        <v>39</v>
      </c>
      <c r="H1817" t="s">
        <v>41</v>
      </c>
      <c r="I1817" t="s">
        <v>41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>
        <v>1</v>
      </c>
      <c r="AB1817">
        <v>0</v>
      </c>
      <c r="AC1817">
        <f>VLOOKUP(A:A,[1]android_repos_all_metrics!B:K,4,FALSE)</f>
        <v>154</v>
      </c>
      <c r="AD1817">
        <f>VLOOKUP(A:A,[1]android_repos_all_metrics!B:K,5,FALSE)</f>
        <v>0</v>
      </c>
      <c r="AE1817">
        <f>VLOOKUP(A:A,[1]android_repos_all_metrics!B:K,6,FALSE)</f>
        <v>2</v>
      </c>
      <c r="AF1817">
        <f>VLOOKUP(A:A,[1]android_repos_all_metrics!B:K,7,FALSE)</f>
        <v>1848</v>
      </c>
      <c r="AG1817">
        <f>VLOOKUP(A:A,[1]android_repos_all_metrics!B:K,8,FALSE)</f>
        <v>1</v>
      </c>
      <c r="AH1817">
        <f>VLOOKUP(A:A,[1]android_repos_all_metrics!B:K,9,FALSE)</f>
        <v>5</v>
      </c>
      <c r="AI1817">
        <f>VLOOKUP(A:A,[1]android_repos_all_metrics!B:K,10,FALSE)</f>
        <v>8</v>
      </c>
    </row>
    <row r="1818" spans="1:35">
      <c r="A1818" t="s">
        <v>1887</v>
      </c>
      <c r="B1818" t="b">
        <v>1</v>
      </c>
      <c r="C1818" t="b">
        <v>0</v>
      </c>
      <c r="D1818" t="b">
        <v>0</v>
      </c>
      <c r="F1818" t="b">
        <v>0</v>
      </c>
      <c r="H1818" t="s">
        <v>37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>
        <v>1</v>
      </c>
      <c r="AB1818">
        <v>0</v>
      </c>
      <c r="AC1818">
        <f>VLOOKUP(A:A,[1]android_repos_all_metrics!B:K,4,FALSE)</f>
        <v>194</v>
      </c>
      <c r="AD1818">
        <f>VLOOKUP(A:A,[1]android_repos_all_metrics!B:K,5,FALSE)</f>
        <v>30</v>
      </c>
      <c r="AE1818">
        <f>VLOOKUP(A:A,[1]android_repos_all_metrics!B:K,6,FALSE)</f>
        <v>3</v>
      </c>
      <c r="AF1818">
        <f>VLOOKUP(A:A,[1]android_repos_all_metrics!B:K,7,FALSE)</f>
        <v>1906</v>
      </c>
      <c r="AG1818">
        <f>VLOOKUP(A:A,[1]android_repos_all_metrics!B:K,8,FALSE)</f>
        <v>0</v>
      </c>
      <c r="AH1818">
        <f>VLOOKUP(A:A,[1]android_repos_all_metrics!B:K,9,FALSE)</f>
        <v>7</v>
      </c>
      <c r="AI1818">
        <f>VLOOKUP(A:A,[1]android_repos_all_metrics!B:K,10,FALSE)</f>
        <v>3</v>
      </c>
    </row>
    <row r="1819" spans="1:35">
      <c r="A1819" t="s">
        <v>1888</v>
      </c>
      <c r="B1819" t="b">
        <v>1</v>
      </c>
      <c r="C1819" t="b">
        <v>0</v>
      </c>
      <c r="D1819" t="b">
        <v>0</v>
      </c>
      <c r="F1819" t="b">
        <v>0</v>
      </c>
      <c r="H1819" t="s">
        <v>37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>
        <v>1</v>
      </c>
      <c r="AB1819">
        <v>0</v>
      </c>
      <c r="AC1819">
        <f>VLOOKUP(A:A,[1]android_repos_all_metrics!B:K,4,FALSE)</f>
        <v>425</v>
      </c>
      <c r="AD1819">
        <f>VLOOKUP(A:A,[1]android_repos_all_metrics!B:K,5,FALSE)</f>
        <v>17</v>
      </c>
      <c r="AE1819">
        <f>VLOOKUP(A:A,[1]android_repos_all_metrics!B:K,6,FALSE)</f>
        <v>9</v>
      </c>
      <c r="AF1819">
        <f>VLOOKUP(A:A,[1]android_repos_all_metrics!B:K,7,FALSE)</f>
        <v>41074</v>
      </c>
      <c r="AG1819">
        <f>VLOOKUP(A:A,[1]android_repos_all_metrics!B:K,8,FALSE)</f>
        <v>86</v>
      </c>
      <c r="AH1819">
        <f>VLOOKUP(A:A,[1]android_repos_all_metrics!B:K,9,FALSE)</f>
        <v>392</v>
      </c>
      <c r="AI1819">
        <f>VLOOKUP(A:A,[1]android_repos_all_metrics!B:K,10,FALSE)</f>
        <v>7</v>
      </c>
    </row>
    <row r="1820" spans="1:35">
      <c r="A1820" t="s">
        <v>1889</v>
      </c>
      <c r="B1820" t="b">
        <v>1</v>
      </c>
      <c r="C1820" t="b">
        <v>0</v>
      </c>
      <c r="D1820" t="b">
        <v>0</v>
      </c>
      <c r="F1820" t="b">
        <v>0</v>
      </c>
      <c r="H1820" t="s">
        <v>86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>
        <v>3</v>
      </c>
      <c r="AB1820">
        <v>0</v>
      </c>
      <c r="AC1820">
        <f>VLOOKUP(A:A,[1]android_repos_all_metrics!B:K,4,FALSE)</f>
        <v>494</v>
      </c>
      <c r="AD1820">
        <f>VLOOKUP(A:A,[1]android_repos_all_metrics!B:K,5,FALSE)</f>
        <v>4</v>
      </c>
      <c r="AE1820">
        <f>VLOOKUP(A:A,[1]android_repos_all_metrics!B:K,6,FALSE)</f>
        <v>1</v>
      </c>
      <c r="AF1820">
        <f>VLOOKUP(A:A,[1]android_repos_all_metrics!B:K,7,FALSE)</f>
        <v>21940</v>
      </c>
      <c r="AG1820">
        <f>VLOOKUP(A:A,[1]android_repos_all_metrics!B:K,8,FALSE)</f>
        <v>7</v>
      </c>
      <c r="AH1820">
        <f>VLOOKUP(A:A,[1]android_repos_all_metrics!B:K,9,FALSE)</f>
        <v>17</v>
      </c>
      <c r="AI1820">
        <f>VLOOKUP(A:A,[1]android_repos_all_metrics!B:K,10,FALSE)</f>
        <v>14</v>
      </c>
    </row>
    <row r="1821" spans="1:35">
      <c r="A1821" t="s">
        <v>1890</v>
      </c>
      <c r="B1821" t="b">
        <v>1</v>
      </c>
      <c r="C1821" t="b">
        <v>1</v>
      </c>
      <c r="D1821" t="b">
        <v>1</v>
      </c>
      <c r="E1821" t="s">
        <v>779</v>
      </c>
      <c r="F1821" t="b">
        <v>1</v>
      </c>
      <c r="G1821" t="s">
        <v>270</v>
      </c>
      <c r="H1821" t="s">
        <v>308</v>
      </c>
      <c r="I1821" t="s">
        <v>308</v>
      </c>
      <c r="J1821" t="b">
        <v>1</v>
      </c>
      <c r="K1821" t="b">
        <v>0</v>
      </c>
      <c r="L1821" t="b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1</v>
      </c>
      <c r="S1821" t="b">
        <v>0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>
        <v>4</v>
      </c>
      <c r="AA1821">
        <v>4</v>
      </c>
      <c r="AB1821">
        <v>0</v>
      </c>
      <c r="AC1821">
        <f>VLOOKUP(A:A,[1]android_repos_all_metrics!B:K,4,FALSE)</f>
        <v>1216</v>
      </c>
      <c r="AD1821">
        <f>VLOOKUP(A:A,[1]android_repos_all_metrics!B:K,5,FALSE)</f>
        <v>585</v>
      </c>
      <c r="AE1821">
        <f>VLOOKUP(A:A,[1]android_repos_all_metrics!B:K,6,FALSE)</f>
        <v>40</v>
      </c>
      <c r="AF1821">
        <f>VLOOKUP(A:A,[1]android_repos_all_metrics!B:K,7,FALSE)</f>
        <v>5163</v>
      </c>
      <c r="AG1821">
        <f>VLOOKUP(A:A,[1]android_repos_all_metrics!B:K,8,FALSE)</f>
        <v>135</v>
      </c>
      <c r="AH1821">
        <f>VLOOKUP(A:A,[1]android_repos_all_metrics!B:K,9,FALSE)</f>
        <v>557</v>
      </c>
      <c r="AI1821">
        <f>VLOOKUP(A:A,[1]android_repos_all_metrics!B:K,10,FALSE)</f>
        <v>277</v>
      </c>
    </row>
    <row r="1822" spans="1:35">
      <c r="A1822" t="s">
        <v>1891</v>
      </c>
      <c r="B1822" t="b">
        <v>1</v>
      </c>
      <c r="C1822" t="b">
        <v>0</v>
      </c>
      <c r="D1822" t="b">
        <v>0</v>
      </c>
      <c r="F1822" t="b">
        <v>0</v>
      </c>
      <c r="H1822" t="s">
        <v>37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>
        <v>1</v>
      </c>
      <c r="AB1822">
        <v>0</v>
      </c>
      <c r="AC1822">
        <f>VLOOKUP(A:A,[1]android_repos_all_metrics!B:K,4,FALSE)</f>
        <v>119</v>
      </c>
      <c r="AD1822">
        <f>VLOOKUP(A:A,[1]android_repos_all_metrics!B:K,5,FALSE)</f>
        <v>35</v>
      </c>
      <c r="AE1822">
        <f>VLOOKUP(A:A,[1]android_repos_all_metrics!B:K,6,FALSE)</f>
        <v>3</v>
      </c>
      <c r="AF1822">
        <f>VLOOKUP(A:A,[1]android_repos_all_metrics!B:K,7,FALSE)</f>
        <v>1051</v>
      </c>
      <c r="AG1822">
        <f>VLOOKUP(A:A,[1]android_repos_all_metrics!B:K,8,FALSE)</f>
        <v>7</v>
      </c>
      <c r="AH1822">
        <f>VLOOKUP(A:A,[1]android_repos_all_metrics!B:K,9,FALSE)</f>
        <v>37</v>
      </c>
      <c r="AI1822">
        <f>VLOOKUP(A:A,[1]android_repos_all_metrics!B:K,10,FALSE)</f>
        <v>12</v>
      </c>
    </row>
    <row r="1823" spans="1:35">
      <c r="A1823" t="s">
        <v>1892</v>
      </c>
      <c r="B1823" t="b">
        <v>1</v>
      </c>
      <c r="C1823" t="b">
        <v>0</v>
      </c>
      <c r="D1823" t="b">
        <v>0</v>
      </c>
      <c r="F1823" t="b">
        <v>0</v>
      </c>
      <c r="H1823" t="s">
        <v>37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>
        <v>1</v>
      </c>
      <c r="AB1823">
        <v>0</v>
      </c>
      <c r="AC1823">
        <f>VLOOKUP(A:A,[1]android_repos_all_metrics!B:K,4,FALSE)</f>
        <v>155</v>
      </c>
      <c r="AD1823">
        <f>VLOOKUP(A:A,[1]android_repos_all_metrics!B:K,5,FALSE)</f>
        <v>1</v>
      </c>
      <c r="AE1823">
        <f>VLOOKUP(A:A,[1]android_repos_all_metrics!B:K,6,FALSE)</f>
        <v>2</v>
      </c>
      <c r="AF1823">
        <f>VLOOKUP(A:A,[1]android_repos_all_metrics!B:K,7,FALSE)</f>
        <v>21846</v>
      </c>
      <c r="AG1823">
        <f>VLOOKUP(A:A,[1]android_repos_all_metrics!B:K,8,FALSE)</f>
        <v>60</v>
      </c>
      <c r="AH1823">
        <f>VLOOKUP(A:A,[1]android_repos_all_metrics!B:K,9,FALSE)</f>
        <v>448</v>
      </c>
      <c r="AI1823">
        <f>VLOOKUP(A:A,[1]android_repos_all_metrics!B:K,10,FALSE)</f>
        <v>0</v>
      </c>
    </row>
    <row r="1824" spans="1:35">
      <c r="A1824" t="s">
        <v>1893</v>
      </c>
      <c r="B1824" t="b">
        <v>1</v>
      </c>
      <c r="C1824" t="b">
        <v>0</v>
      </c>
      <c r="D1824" t="b">
        <v>0</v>
      </c>
      <c r="F1824" t="b">
        <v>0</v>
      </c>
      <c r="H1824" t="s">
        <v>37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>
        <v>1</v>
      </c>
      <c r="AB1824">
        <v>0</v>
      </c>
      <c r="AC1824">
        <f>VLOOKUP(A:A,[1]android_repos_all_metrics!B:K,4,FALSE)</f>
        <v>27</v>
      </c>
      <c r="AD1824">
        <f>VLOOKUP(A:A,[1]android_repos_all_metrics!B:K,5,FALSE)</f>
        <v>7</v>
      </c>
      <c r="AE1824">
        <f>VLOOKUP(A:A,[1]android_repos_all_metrics!B:K,6,FALSE)</f>
        <v>3</v>
      </c>
      <c r="AF1824">
        <f>VLOOKUP(A:A,[1]android_repos_all_metrics!B:K,7,FALSE)</f>
        <v>613</v>
      </c>
      <c r="AG1824">
        <f>VLOOKUP(A:A,[1]android_repos_all_metrics!B:K,8,FALSE)</f>
        <v>0</v>
      </c>
      <c r="AH1824">
        <f>VLOOKUP(A:A,[1]android_repos_all_metrics!B:K,9,FALSE)</f>
        <v>2</v>
      </c>
      <c r="AI1824">
        <f>VLOOKUP(A:A,[1]android_repos_all_metrics!B:K,10,FALSE)</f>
        <v>0</v>
      </c>
    </row>
    <row r="1825" spans="1:35">
      <c r="A1825" t="s">
        <v>1894</v>
      </c>
      <c r="B1825" t="b">
        <v>1</v>
      </c>
      <c r="C1825" t="b">
        <v>0</v>
      </c>
      <c r="D1825" t="b">
        <v>0</v>
      </c>
      <c r="F1825" t="b">
        <v>0</v>
      </c>
      <c r="H1825" t="s">
        <v>37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>
        <v>1</v>
      </c>
      <c r="AB1825">
        <v>0</v>
      </c>
      <c r="AC1825">
        <f>VLOOKUP(A:A,[1]android_repos_all_metrics!B:K,4,FALSE)</f>
        <v>44</v>
      </c>
      <c r="AD1825">
        <f>VLOOKUP(A:A,[1]android_repos_all_metrics!B:K,5,FALSE)</f>
        <v>14</v>
      </c>
      <c r="AE1825">
        <f>VLOOKUP(A:A,[1]android_repos_all_metrics!B:K,6,FALSE)</f>
        <v>2</v>
      </c>
      <c r="AF1825">
        <f>VLOOKUP(A:A,[1]android_repos_all_metrics!B:K,7,FALSE)</f>
        <v>174</v>
      </c>
      <c r="AG1825">
        <f>VLOOKUP(A:A,[1]android_repos_all_metrics!B:K,8,FALSE)</f>
        <v>0</v>
      </c>
      <c r="AH1825">
        <f>VLOOKUP(A:A,[1]android_repos_all_metrics!B:K,9,FALSE)</f>
        <v>2</v>
      </c>
      <c r="AI1825">
        <f>VLOOKUP(A:A,[1]android_repos_all_metrics!B:K,10,FALSE)</f>
        <v>0</v>
      </c>
    </row>
    <row r="1826" spans="1:35">
      <c r="A1826" t="s">
        <v>1895</v>
      </c>
      <c r="B1826" t="b">
        <v>1</v>
      </c>
      <c r="C1826" t="b">
        <v>1</v>
      </c>
      <c r="D1826" t="b">
        <v>0</v>
      </c>
      <c r="F1826" t="b">
        <v>1</v>
      </c>
      <c r="G1826" t="s">
        <v>39</v>
      </c>
      <c r="H1826" t="s">
        <v>41</v>
      </c>
      <c r="I1826" t="s">
        <v>41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>
        <v>1</v>
      </c>
      <c r="AB1826">
        <v>0</v>
      </c>
      <c r="AC1826">
        <f>VLOOKUP(A:A,[1]android_repos_all_metrics!B:K,4,FALSE)</f>
        <v>68</v>
      </c>
      <c r="AD1826">
        <f>VLOOKUP(A:A,[1]android_repos_all_metrics!B:K,5,FALSE)</f>
        <v>4</v>
      </c>
      <c r="AE1826">
        <f>VLOOKUP(A:A,[1]android_repos_all_metrics!B:K,6,FALSE)</f>
        <v>1</v>
      </c>
      <c r="AF1826">
        <f>VLOOKUP(A:A,[1]android_repos_all_metrics!B:K,7,FALSE)</f>
        <v>19435</v>
      </c>
      <c r="AG1826">
        <f>VLOOKUP(A:A,[1]android_repos_all_metrics!B:K,8,FALSE)</f>
        <v>1</v>
      </c>
      <c r="AH1826">
        <f>VLOOKUP(A:A,[1]android_repos_all_metrics!B:K,9,FALSE)</f>
        <v>6</v>
      </c>
      <c r="AI1826">
        <f>VLOOKUP(A:A,[1]android_repos_all_metrics!B:K,10,FALSE)</f>
        <v>2</v>
      </c>
    </row>
    <row r="1827" spans="1:35">
      <c r="A1827" t="s">
        <v>1896</v>
      </c>
      <c r="B1827" t="b">
        <v>1</v>
      </c>
      <c r="C1827" t="b">
        <v>0</v>
      </c>
      <c r="D1827" t="b">
        <v>0</v>
      </c>
      <c r="F1827" t="b">
        <v>0</v>
      </c>
      <c r="H1827" t="s">
        <v>37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>
        <v>1</v>
      </c>
      <c r="AB1827">
        <v>0</v>
      </c>
      <c r="AC1827">
        <f>VLOOKUP(A:A,[1]android_repos_all_metrics!B:K,4,FALSE)</f>
        <v>38</v>
      </c>
      <c r="AD1827">
        <f>VLOOKUP(A:A,[1]android_repos_all_metrics!B:K,5,FALSE)</f>
        <v>0</v>
      </c>
      <c r="AE1827">
        <f>VLOOKUP(A:A,[1]android_repos_all_metrics!B:K,6,FALSE)</f>
        <v>2</v>
      </c>
      <c r="AF1827">
        <f>VLOOKUP(A:A,[1]android_repos_all_metrics!B:K,7,FALSE)</f>
        <v>313</v>
      </c>
      <c r="AG1827">
        <f>VLOOKUP(A:A,[1]android_repos_all_metrics!B:K,8,FALSE)</f>
        <v>1</v>
      </c>
      <c r="AH1827">
        <f>VLOOKUP(A:A,[1]android_repos_all_metrics!B:K,9,FALSE)</f>
        <v>5</v>
      </c>
      <c r="AI1827">
        <f>VLOOKUP(A:A,[1]android_repos_all_metrics!B:K,10,FALSE)</f>
        <v>0</v>
      </c>
    </row>
    <row r="1828" spans="1:35">
      <c r="A1828" t="s">
        <v>1897</v>
      </c>
      <c r="B1828" t="b">
        <v>1</v>
      </c>
      <c r="C1828" t="b">
        <v>0</v>
      </c>
      <c r="D1828" t="b">
        <v>0</v>
      </c>
      <c r="F1828" t="b">
        <v>0</v>
      </c>
      <c r="H1828" t="s">
        <v>41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>
        <v>1</v>
      </c>
      <c r="AB1828">
        <v>0</v>
      </c>
      <c r="AC1828">
        <f>VLOOKUP(A:A,[1]android_repos_all_metrics!B:K,4,FALSE)</f>
        <v>75</v>
      </c>
      <c r="AD1828">
        <f>VLOOKUP(A:A,[1]android_repos_all_metrics!B:K,5,FALSE)</f>
        <v>0</v>
      </c>
      <c r="AE1828">
        <f>VLOOKUP(A:A,[1]android_repos_all_metrics!B:K,6,FALSE)</f>
        <v>1</v>
      </c>
      <c r="AF1828">
        <f>VLOOKUP(A:A,[1]android_repos_all_metrics!B:K,7,FALSE)</f>
        <v>499</v>
      </c>
      <c r="AG1828">
        <f>VLOOKUP(A:A,[1]android_repos_all_metrics!B:K,8,FALSE)</f>
        <v>3</v>
      </c>
      <c r="AH1828">
        <f>VLOOKUP(A:A,[1]android_repos_all_metrics!B:K,9,FALSE)</f>
        <v>12</v>
      </c>
      <c r="AI1828">
        <f>VLOOKUP(A:A,[1]android_repos_all_metrics!B:K,10,FALSE)</f>
        <v>1</v>
      </c>
    </row>
    <row r="1829" spans="1:35">
      <c r="A1829" t="s">
        <v>1898</v>
      </c>
      <c r="B1829" t="b">
        <v>1</v>
      </c>
      <c r="C1829" t="b">
        <v>0</v>
      </c>
      <c r="D1829" t="b">
        <v>0</v>
      </c>
      <c r="F1829" t="b">
        <v>0</v>
      </c>
      <c r="H1829" t="s">
        <v>43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>
        <v>1</v>
      </c>
      <c r="AB1829">
        <v>0</v>
      </c>
      <c r="AC1829">
        <f>VLOOKUP(A:A,[1]android_repos_all_metrics!B:K,4,FALSE)</f>
        <v>48</v>
      </c>
      <c r="AD1829">
        <f>VLOOKUP(A:A,[1]android_repos_all_metrics!B:K,5,FALSE)</f>
        <v>3</v>
      </c>
      <c r="AE1829">
        <f>VLOOKUP(A:A,[1]android_repos_all_metrics!B:K,6,FALSE)</f>
        <v>1</v>
      </c>
      <c r="AF1829">
        <f>VLOOKUP(A:A,[1]android_repos_all_metrics!B:K,7,FALSE)</f>
        <v>2049</v>
      </c>
      <c r="AG1829">
        <f>VLOOKUP(A:A,[1]android_repos_all_metrics!B:K,8,FALSE)</f>
        <v>0</v>
      </c>
      <c r="AH1829">
        <f>VLOOKUP(A:A,[1]android_repos_all_metrics!B:K,9,FALSE)</f>
        <v>5</v>
      </c>
      <c r="AI1829">
        <f>VLOOKUP(A:A,[1]android_repos_all_metrics!B:K,10,FALSE)</f>
        <v>3</v>
      </c>
    </row>
    <row r="1830" spans="1:35">
      <c r="A1830" t="s">
        <v>1899</v>
      </c>
      <c r="B1830" t="b">
        <v>1</v>
      </c>
      <c r="C1830" t="b">
        <v>1</v>
      </c>
      <c r="D1830" t="b">
        <v>0</v>
      </c>
      <c r="F1830" t="b">
        <v>1</v>
      </c>
      <c r="G1830" t="s">
        <v>39</v>
      </c>
      <c r="H1830" t="s">
        <v>41</v>
      </c>
      <c r="I1830" t="s">
        <v>41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>
        <v>1</v>
      </c>
      <c r="AB1830">
        <v>0</v>
      </c>
      <c r="AC1830">
        <f>VLOOKUP(A:A,[1]android_repos_all_metrics!B:K,4,FALSE)</f>
        <v>52</v>
      </c>
      <c r="AD1830">
        <f>VLOOKUP(A:A,[1]android_repos_all_metrics!B:K,5,FALSE)</f>
        <v>3</v>
      </c>
      <c r="AE1830">
        <f>VLOOKUP(A:A,[1]android_repos_all_metrics!B:K,6,FALSE)</f>
        <v>2</v>
      </c>
      <c r="AF1830">
        <f>VLOOKUP(A:A,[1]android_repos_all_metrics!B:K,7,FALSE)</f>
        <v>230</v>
      </c>
      <c r="AG1830">
        <f>VLOOKUP(A:A,[1]android_repos_all_metrics!B:K,8,FALSE)</f>
        <v>2</v>
      </c>
      <c r="AH1830">
        <f>VLOOKUP(A:A,[1]android_repos_all_metrics!B:K,9,FALSE)</f>
        <v>5</v>
      </c>
      <c r="AI1830">
        <f>VLOOKUP(A:A,[1]android_repos_all_metrics!B:K,10,FALSE)</f>
        <v>1</v>
      </c>
    </row>
    <row r="1831" spans="1:35">
      <c r="A1831" t="s">
        <v>1900</v>
      </c>
      <c r="B1831" t="b">
        <v>1</v>
      </c>
      <c r="C1831" t="b">
        <v>1</v>
      </c>
      <c r="D1831" t="b">
        <v>0</v>
      </c>
      <c r="F1831" t="b">
        <v>1</v>
      </c>
      <c r="G1831" t="s">
        <v>39</v>
      </c>
      <c r="H1831" t="s">
        <v>41</v>
      </c>
      <c r="I1831" t="s">
        <v>41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>
        <v>1</v>
      </c>
      <c r="AB1831">
        <v>0</v>
      </c>
      <c r="AC1831">
        <f>VLOOKUP(A:A,[1]android_repos_all_metrics!B:K,4,FALSE)</f>
        <v>126</v>
      </c>
      <c r="AD1831">
        <f>VLOOKUP(A:A,[1]android_repos_all_metrics!B:K,5,FALSE)</f>
        <v>0</v>
      </c>
      <c r="AE1831">
        <f>VLOOKUP(A:A,[1]android_repos_all_metrics!B:K,6,FALSE)</f>
        <v>2</v>
      </c>
      <c r="AF1831">
        <f>VLOOKUP(A:A,[1]android_repos_all_metrics!B:K,7,FALSE)</f>
        <v>31645</v>
      </c>
      <c r="AG1831">
        <f>VLOOKUP(A:A,[1]android_repos_all_metrics!B:K,8,FALSE)</f>
        <v>4</v>
      </c>
      <c r="AH1831">
        <f>VLOOKUP(A:A,[1]android_repos_all_metrics!B:K,9,FALSE)</f>
        <v>12</v>
      </c>
      <c r="AI1831">
        <f>VLOOKUP(A:A,[1]android_repos_all_metrics!B:K,10,FALSE)</f>
        <v>1</v>
      </c>
    </row>
    <row r="1832" spans="1:35">
      <c r="A1832" t="s">
        <v>1901</v>
      </c>
      <c r="B1832" t="b">
        <v>1</v>
      </c>
      <c r="C1832" t="b">
        <v>0</v>
      </c>
      <c r="D1832" t="b">
        <v>0</v>
      </c>
      <c r="F1832" t="b">
        <v>0</v>
      </c>
      <c r="H1832" t="s">
        <v>37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>
        <v>1</v>
      </c>
      <c r="AB1832">
        <v>0</v>
      </c>
      <c r="AC1832">
        <f>VLOOKUP(A:A,[1]android_repos_all_metrics!B:K,4,FALSE)</f>
        <v>59</v>
      </c>
      <c r="AD1832">
        <f>VLOOKUP(A:A,[1]android_repos_all_metrics!B:K,5,FALSE)</f>
        <v>65</v>
      </c>
      <c r="AE1832">
        <f>VLOOKUP(A:A,[1]android_repos_all_metrics!B:K,6,FALSE)</f>
        <v>1</v>
      </c>
      <c r="AF1832">
        <f>VLOOKUP(A:A,[1]android_repos_all_metrics!B:K,7,FALSE)</f>
        <v>14200</v>
      </c>
      <c r="AG1832">
        <f>VLOOKUP(A:A,[1]android_repos_all_metrics!B:K,8,FALSE)</f>
        <v>877</v>
      </c>
      <c r="AH1832">
        <f>VLOOKUP(A:A,[1]android_repos_all_metrics!B:K,9,FALSE)</f>
        <v>3251</v>
      </c>
      <c r="AI1832">
        <f>VLOOKUP(A:A,[1]android_repos_all_metrics!B:K,10,FALSE)</f>
        <v>13</v>
      </c>
    </row>
    <row r="1833" spans="1:35">
      <c r="A1833" t="s">
        <v>1902</v>
      </c>
      <c r="B1833" t="b">
        <v>1</v>
      </c>
      <c r="C1833" t="b">
        <v>0</v>
      </c>
      <c r="D1833" t="b">
        <v>0</v>
      </c>
      <c r="F1833" t="b">
        <v>0</v>
      </c>
      <c r="H1833" t="s">
        <v>41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>
        <v>1</v>
      </c>
      <c r="AB1833">
        <v>0</v>
      </c>
      <c r="AC1833">
        <f>VLOOKUP(A:A,[1]android_repos_all_metrics!B:K,4,FALSE)</f>
        <v>700</v>
      </c>
      <c r="AD1833">
        <f>VLOOKUP(A:A,[1]android_repos_all_metrics!B:K,5,FALSE)</f>
        <v>19</v>
      </c>
      <c r="AE1833">
        <f>VLOOKUP(A:A,[1]android_repos_all_metrics!B:K,6,FALSE)</f>
        <v>9</v>
      </c>
      <c r="AF1833">
        <f>VLOOKUP(A:A,[1]android_repos_all_metrics!B:K,7,FALSE)</f>
        <v>6657</v>
      </c>
      <c r="AG1833">
        <f>VLOOKUP(A:A,[1]android_repos_all_metrics!B:K,8,FALSE)</f>
        <v>99</v>
      </c>
      <c r="AH1833">
        <f>VLOOKUP(A:A,[1]android_repos_all_metrics!B:K,9,FALSE)</f>
        <v>388</v>
      </c>
      <c r="AI1833">
        <f>VLOOKUP(A:A,[1]android_repos_all_metrics!B:K,10,FALSE)</f>
        <v>29</v>
      </c>
    </row>
    <row r="1834" spans="1:35">
      <c r="A1834" t="s">
        <v>1903</v>
      </c>
      <c r="B1834" t="b">
        <v>1</v>
      </c>
      <c r="C1834" t="b">
        <v>0</v>
      </c>
      <c r="D1834" t="b">
        <v>0</v>
      </c>
      <c r="F1834" t="b">
        <v>0</v>
      </c>
      <c r="H1834" t="s">
        <v>37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>
        <v>1</v>
      </c>
      <c r="AB1834">
        <v>0</v>
      </c>
      <c r="AC1834">
        <f>VLOOKUP(A:A,[1]android_repos_all_metrics!B:K,4,FALSE)</f>
        <v>127</v>
      </c>
      <c r="AD1834">
        <f>VLOOKUP(A:A,[1]android_repos_all_metrics!B:K,5,FALSE)</f>
        <v>8</v>
      </c>
      <c r="AE1834">
        <f>VLOOKUP(A:A,[1]android_repos_all_metrics!B:K,6,FALSE)</f>
        <v>3</v>
      </c>
      <c r="AF1834">
        <f>VLOOKUP(A:A,[1]android_repos_all_metrics!B:K,7,FALSE)</f>
        <v>93034</v>
      </c>
      <c r="AG1834">
        <f>VLOOKUP(A:A,[1]android_repos_all_metrics!B:K,8,FALSE)</f>
        <v>7</v>
      </c>
      <c r="AH1834">
        <f>VLOOKUP(A:A,[1]android_repos_all_metrics!B:K,9,FALSE)</f>
        <v>60</v>
      </c>
      <c r="AI1834">
        <f>VLOOKUP(A:A,[1]android_repos_all_metrics!B:K,10,FALSE)</f>
        <v>0</v>
      </c>
    </row>
    <row r="1835" spans="1:35">
      <c r="A1835" t="s">
        <v>1904</v>
      </c>
      <c r="B1835" t="b">
        <v>1</v>
      </c>
      <c r="C1835" t="b">
        <v>0</v>
      </c>
      <c r="D1835" t="b">
        <v>0</v>
      </c>
      <c r="F1835" t="b">
        <v>0</v>
      </c>
      <c r="H1835" t="s">
        <v>37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>
        <v>3</v>
      </c>
      <c r="AB1835">
        <v>0</v>
      </c>
      <c r="AC1835">
        <f>VLOOKUP(A:A,[1]android_repos_all_metrics!B:K,4,FALSE)</f>
        <v>775</v>
      </c>
      <c r="AD1835">
        <f>VLOOKUP(A:A,[1]android_repos_all_metrics!B:K,5,FALSE)</f>
        <v>542</v>
      </c>
      <c r="AE1835">
        <f>VLOOKUP(A:A,[1]android_repos_all_metrics!B:K,6,FALSE)</f>
        <v>7</v>
      </c>
      <c r="AF1835">
        <f>VLOOKUP(A:A,[1]android_repos_all_metrics!B:K,7,FALSE)</f>
        <v>49061</v>
      </c>
      <c r="AG1835">
        <f>VLOOKUP(A:A,[1]android_repos_all_metrics!B:K,8,FALSE)</f>
        <v>12</v>
      </c>
      <c r="AH1835">
        <f>VLOOKUP(A:A,[1]android_repos_all_metrics!B:K,9,FALSE)</f>
        <v>38</v>
      </c>
      <c r="AI1835">
        <f>VLOOKUP(A:A,[1]android_repos_all_metrics!B:K,10,FALSE)</f>
        <v>12</v>
      </c>
    </row>
    <row r="1836" spans="1:35">
      <c r="A1836" t="s">
        <v>1905</v>
      </c>
      <c r="B1836" t="b">
        <v>1</v>
      </c>
      <c r="C1836" t="b">
        <v>0</v>
      </c>
      <c r="D1836" t="b">
        <v>0</v>
      </c>
      <c r="F1836" t="b">
        <v>0</v>
      </c>
      <c r="H1836" t="s">
        <v>37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>
        <v>1</v>
      </c>
      <c r="AB1836">
        <v>0</v>
      </c>
      <c r="AC1836">
        <f>VLOOKUP(A:A,[1]android_repos_all_metrics!B:K,4,FALSE)</f>
        <v>0</v>
      </c>
      <c r="AD1836">
        <f>VLOOKUP(A:A,[1]android_repos_all_metrics!B:K,5,FALSE)</f>
        <v>0</v>
      </c>
      <c r="AE1836">
        <f>VLOOKUP(A:A,[1]android_repos_all_metrics!B:K,6,FALSE)</f>
        <v>0</v>
      </c>
      <c r="AF1836">
        <f>VLOOKUP(A:A,[1]android_repos_all_metrics!B:K,7,FALSE)</f>
        <v>2468</v>
      </c>
      <c r="AG1836">
        <f>VLOOKUP(A:A,[1]android_repos_all_metrics!B:K,8,FALSE)</f>
        <v>0</v>
      </c>
      <c r="AH1836">
        <f>VLOOKUP(A:A,[1]android_repos_all_metrics!B:K,9,FALSE)</f>
        <v>3</v>
      </c>
      <c r="AI1836">
        <f>VLOOKUP(A:A,[1]android_repos_all_metrics!B:K,10,FALSE)</f>
        <v>3</v>
      </c>
    </row>
    <row r="1837" spans="1:35">
      <c r="A1837" t="s">
        <v>1906</v>
      </c>
      <c r="B1837" t="b">
        <v>0</v>
      </c>
      <c r="C1837" t="b">
        <v>0</v>
      </c>
      <c r="D1837" t="b">
        <v>0</v>
      </c>
      <c r="F1837" t="b">
        <v>0</v>
      </c>
      <c r="H1837" t="s">
        <v>41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>
        <v>1</v>
      </c>
      <c r="AB1837">
        <v>0</v>
      </c>
      <c r="AC1837">
        <f>VLOOKUP(A:A,[1]android_repos_all_metrics!B:K,4,FALSE)</f>
        <v>58</v>
      </c>
      <c r="AD1837">
        <f>VLOOKUP(A:A,[1]android_repos_all_metrics!B:K,5,FALSE)</f>
        <v>13</v>
      </c>
      <c r="AE1837">
        <f>VLOOKUP(A:A,[1]android_repos_all_metrics!B:K,6,FALSE)</f>
        <v>3</v>
      </c>
      <c r="AF1837">
        <f>VLOOKUP(A:A,[1]android_repos_all_metrics!B:K,7,FALSE)</f>
        <v>642</v>
      </c>
      <c r="AG1837">
        <f>VLOOKUP(A:A,[1]android_repos_all_metrics!B:K,8,FALSE)</f>
        <v>236</v>
      </c>
      <c r="AH1837">
        <f>VLOOKUP(A:A,[1]android_repos_all_metrics!B:K,9,FALSE)</f>
        <v>1662</v>
      </c>
      <c r="AI1837">
        <f>VLOOKUP(A:A,[1]android_repos_all_metrics!B:K,10,FALSE)</f>
        <v>35</v>
      </c>
    </row>
    <row r="1838" spans="1:35">
      <c r="A1838" t="s">
        <v>1907</v>
      </c>
      <c r="B1838" t="b">
        <v>1</v>
      </c>
      <c r="C1838" t="b">
        <v>0</v>
      </c>
      <c r="D1838" t="b">
        <v>0</v>
      </c>
      <c r="F1838" t="b">
        <v>0</v>
      </c>
      <c r="H1838" t="s">
        <v>37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>
        <v>2</v>
      </c>
      <c r="AB1838">
        <v>0</v>
      </c>
      <c r="AC1838">
        <f>VLOOKUP(A:A,[1]android_repos_all_metrics!B:K,4,FALSE)</f>
        <v>340</v>
      </c>
      <c r="AD1838">
        <f>VLOOKUP(A:A,[1]android_repos_all_metrics!B:K,5,FALSE)</f>
        <v>139</v>
      </c>
      <c r="AE1838">
        <f>VLOOKUP(A:A,[1]android_repos_all_metrics!B:K,6,FALSE)</f>
        <v>48</v>
      </c>
      <c r="AF1838">
        <f>VLOOKUP(A:A,[1]android_repos_all_metrics!B:K,7,FALSE)</f>
        <v>6357</v>
      </c>
      <c r="AG1838">
        <f>VLOOKUP(A:A,[1]android_repos_all_metrics!B:K,8,FALSE)</f>
        <v>110</v>
      </c>
      <c r="AH1838">
        <f>VLOOKUP(A:A,[1]android_repos_all_metrics!B:K,9,FALSE)</f>
        <v>2723</v>
      </c>
      <c r="AI1838">
        <f>VLOOKUP(A:A,[1]android_repos_all_metrics!B:K,10,FALSE)</f>
        <v>190</v>
      </c>
    </row>
    <row r="1839" spans="1:35">
      <c r="A1839" t="s">
        <v>1908</v>
      </c>
      <c r="B1839" t="b">
        <v>0</v>
      </c>
      <c r="C1839" t="b">
        <v>0</v>
      </c>
      <c r="D1839" t="b">
        <v>0</v>
      </c>
      <c r="F1839" t="b">
        <v>0</v>
      </c>
      <c r="H1839" t="s">
        <v>41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>
        <v>1</v>
      </c>
      <c r="AB1839">
        <v>0</v>
      </c>
      <c r="AC1839">
        <f>VLOOKUP(A:A,[1]android_repos_all_metrics!B:K,4,FALSE)</f>
        <v>63</v>
      </c>
      <c r="AD1839">
        <f>VLOOKUP(A:A,[1]android_repos_all_metrics!B:K,5,FALSE)</f>
        <v>1</v>
      </c>
      <c r="AE1839">
        <f>VLOOKUP(A:A,[1]android_repos_all_metrics!B:K,6,FALSE)</f>
        <v>1</v>
      </c>
      <c r="AF1839">
        <f>VLOOKUP(A:A,[1]android_repos_all_metrics!B:K,7,FALSE)</f>
        <v>272</v>
      </c>
      <c r="AG1839">
        <f>VLOOKUP(A:A,[1]android_repos_all_metrics!B:K,8,FALSE)</f>
        <v>7</v>
      </c>
      <c r="AH1839">
        <f>VLOOKUP(A:A,[1]android_repos_all_metrics!B:K,9,FALSE)</f>
        <v>23</v>
      </c>
      <c r="AI1839">
        <f>VLOOKUP(A:A,[1]android_repos_all_metrics!B:K,10,FALSE)</f>
        <v>0</v>
      </c>
    </row>
    <row r="1840" spans="1:35">
      <c r="A1840" t="s">
        <v>1909</v>
      </c>
      <c r="B1840" t="b">
        <v>1</v>
      </c>
      <c r="C1840" t="b">
        <v>0</v>
      </c>
      <c r="D1840" t="b">
        <v>0</v>
      </c>
      <c r="F1840" t="b">
        <v>0</v>
      </c>
      <c r="H1840" t="s">
        <v>37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>
        <v>1</v>
      </c>
      <c r="AB1840">
        <v>0</v>
      </c>
      <c r="AC1840">
        <f>VLOOKUP(A:A,[1]android_repos_all_metrics!B:K,4,FALSE)</f>
        <v>61</v>
      </c>
      <c r="AD1840">
        <f>VLOOKUP(A:A,[1]android_repos_all_metrics!B:K,5,FALSE)</f>
        <v>16</v>
      </c>
      <c r="AE1840">
        <f>VLOOKUP(A:A,[1]android_repos_all_metrics!B:K,6,FALSE)</f>
        <v>5</v>
      </c>
      <c r="AF1840">
        <f>VLOOKUP(A:A,[1]android_repos_all_metrics!B:K,7,FALSE)</f>
        <v>494</v>
      </c>
      <c r="AG1840">
        <f>VLOOKUP(A:A,[1]android_repos_all_metrics!B:K,8,FALSE)</f>
        <v>6</v>
      </c>
      <c r="AH1840">
        <f>VLOOKUP(A:A,[1]android_repos_all_metrics!B:K,9,FALSE)</f>
        <v>21</v>
      </c>
      <c r="AI1840">
        <f>VLOOKUP(A:A,[1]android_repos_all_metrics!B:K,10,FALSE)</f>
        <v>1</v>
      </c>
    </row>
    <row r="1841" spans="1:35">
      <c r="A1841" t="s">
        <v>1910</v>
      </c>
      <c r="B1841" t="b">
        <v>1</v>
      </c>
      <c r="C1841" t="b">
        <v>0</v>
      </c>
      <c r="D1841" t="b">
        <v>0</v>
      </c>
      <c r="F1841" t="b">
        <v>0</v>
      </c>
      <c r="H1841" t="s">
        <v>37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>
        <v>1</v>
      </c>
      <c r="AB1841">
        <v>0</v>
      </c>
      <c r="AC1841">
        <f>VLOOKUP(A:A,[1]android_repos_all_metrics!B:K,4,FALSE)</f>
        <v>459</v>
      </c>
      <c r="AD1841">
        <f>VLOOKUP(A:A,[1]android_repos_all_metrics!B:K,5,FALSE)</f>
        <v>2</v>
      </c>
      <c r="AE1841">
        <f>VLOOKUP(A:A,[1]android_repos_all_metrics!B:K,6,FALSE)</f>
        <v>1</v>
      </c>
      <c r="AF1841">
        <f>VLOOKUP(A:A,[1]android_repos_all_metrics!B:K,7,FALSE)</f>
        <v>14779</v>
      </c>
      <c r="AG1841">
        <f>VLOOKUP(A:A,[1]android_repos_all_metrics!B:K,8,FALSE)</f>
        <v>11</v>
      </c>
      <c r="AH1841">
        <f>VLOOKUP(A:A,[1]android_repos_all_metrics!B:K,9,FALSE)</f>
        <v>52</v>
      </c>
      <c r="AI1841">
        <f>VLOOKUP(A:A,[1]android_repos_all_metrics!B:K,10,FALSE)</f>
        <v>0</v>
      </c>
    </row>
    <row r="1842" spans="1:35">
      <c r="A1842" t="s">
        <v>1911</v>
      </c>
      <c r="B1842" t="b">
        <v>1</v>
      </c>
      <c r="C1842" t="b">
        <v>0</v>
      </c>
      <c r="D1842" t="b">
        <v>0</v>
      </c>
      <c r="F1842" t="b">
        <v>0</v>
      </c>
      <c r="H1842" t="s">
        <v>41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>
        <v>1</v>
      </c>
      <c r="AB1842">
        <v>0</v>
      </c>
      <c r="AC1842">
        <f>VLOOKUP(A:A,[1]android_repos_all_metrics!B:K,4,FALSE)</f>
        <v>52</v>
      </c>
      <c r="AD1842">
        <f>VLOOKUP(A:A,[1]android_repos_all_metrics!B:K,5,FALSE)</f>
        <v>17</v>
      </c>
      <c r="AE1842">
        <f>VLOOKUP(A:A,[1]android_repos_all_metrics!B:K,6,FALSE)</f>
        <v>4</v>
      </c>
      <c r="AF1842">
        <f>VLOOKUP(A:A,[1]android_repos_all_metrics!B:K,7,FALSE)</f>
        <v>233</v>
      </c>
      <c r="AG1842">
        <f>VLOOKUP(A:A,[1]android_repos_all_metrics!B:K,8,FALSE)</f>
        <v>3</v>
      </c>
      <c r="AH1842">
        <f>VLOOKUP(A:A,[1]android_repos_all_metrics!B:K,9,FALSE)</f>
        <v>14</v>
      </c>
      <c r="AI1842">
        <f>VLOOKUP(A:A,[1]android_repos_all_metrics!B:K,10,FALSE)</f>
        <v>0</v>
      </c>
    </row>
    <row r="1843" spans="1:35">
      <c r="A1843" t="s">
        <v>1912</v>
      </c>
      <c r="B1843" t="b">
        <v>1</v>
      </c>
      <c r="C1843" t="b">
        <v>0</v>
      </c>
      <c r="D1843" t="b">
        <v>0</v>
      </c>
      <c r="F1843" t="b">
        <v>0</v>
      </c>
      <c r="H1843" t="s">
        <v>37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>
        <v>5</v>
      </c>
      <c r="AB1843">
        <v>0</v>
      </c>
      <c r="AC1843">
        <f>VLOOKUP(A:A,[1]android_repos_all_metrics!B:K,4,FALSE)</f>
        <v>47</v>
      </c>
      <c r="AD1843">
        <f>VLOOKUP(A:A,[1]android_repos_all_metrics!B:K,5,FALSE)</f>
        <v>18</v>
      </c>
      <c r="AE1843">
        <f>VLOOKUP(A:A,[1]android_repos_all_metrics!B:K,6,FALSE)</f>
        <v>11</v>
      </c>
      <c r="AF1843">
        <f>VLOOKUP(A:A,[1]android_repos_all_metrics!B:K,7,FALSE)</f>
        <v>236</v>
      </c>
      <c r="AG1843">
        <f>VLOOKUP(A:A,[1]android_repos_all_metrics!B:K,8,FALSE)</f>
        <v>8</v>
      </c>
      <c r="AH1843">
        <f>VLOOKUP(A:A,[1]android_repos_all_metrics!B:K,9,FALSE)</f>
        <v>36</v>
      </c>
      <c r="AI1843">
        <f>VLOOKUP(A:A,[1]android_repos_all_metrics!B:K,10,FALSE)</f>
        <v>0</v>
      </c>
    </row>
    <row r="1844" spans="1:35">
      <c r="A1844" t="s">
        <v>1913</v>
      </c>
      <c r="B1844" t="b">
        <v>1</v>
      </c>
      <c r="C1844" t="b">
        <v>0</v>
      </c>
      <c r="D1844" t="b">
        <v>0</v>
      </c>
      <c r="F1844" t="b">
        <v>0</v>
      </c>
      <c r="H1844" t="s">
        <v>308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>
        <v>2</v>
      </c>
      <c r="AB1844">
        <v>0</v>
      </c>
      <c r="AC1844">
        <f>VLOOKUP(A:A,[1]android_repos_all_metrics!B:K,4,FALSE)</f>
        <v>21</v>
      </c>
      <c r="AD1844">
        <f>VLOOKUP(A:A,[1]android_repos_all_metrics!B:K,5,FALSE)</f>
        <v>5</v>
      </c>
      <c r="AE1844">
        <f>VLOOKUP(A:A,[1]android_repos_all_metrics!B:K,6,FALSE)</f>
        <v>1</v>
      </c>
      <c r="AF1844">
        <f>VLOOKUP(A:A,[1]android_repos_all_metrics!B:K,7,FALSE)</f>
        <v>389</v>
      </c>
      <c r="AG1844">
        <f>VLOOKUP(A:A,[1]android_repos_all_metrics!B:K,8,FALSE)</f>
        <v>2</v>
      </c>
      <c r="AH1844">
        <f>VLOOKUP(A:A,[1]android_repos_all_metrics!B:K,9,FALSE)</f>
        <v>8</v>
      </c>
      <c r="AI1844">
        <f>VLOOKUP(A:A,[1]android_repos_all_metrics!B:K,10,FALSE)</f>
        <v>1</v>
      </c>
    </row>
    <row r="1845" spans="1:35">
      <c r="A1845" t="s">
        <v>1914</v>
      </c>
      <c r="B1845" t="b">
        <v>0</v>
      </c>
      <c r="C1845" t="b">
        <v>0</v>
      </c>
      <c r="D1845" t="b">
        <v>0</v>
      </c>
      <c r="F1845" t="b">
        <v>0</v>
      </c>
      <c r="H1845" t="s">
        <v>41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>
        <v>1</v>
      </c>
      <c r="AB1845">
        <v>0</v>
      </c>
      <c r="AC1845">
        <f>VLOOKUP(A:A,[1]android_repos_all_metrics!B:K,4,FALSE)</f>
        <v>441</v>
      </c>
      <c r="AD1845">
        <f>VLOOKUP(A:A,[1]android_repos_all_metrics!B:K,5,FALSE)</f>
        <v>0</v>
      </c>
      <c r="AE1845">
        <f>VLOOKUP(A:A,[1]android_repos_all_metrics!B:K,6,FALSE)</f>
        <v>1</v>
      </c>
      <c r="AF1845">
        <f>VLOOKUP(A:A,[1]android_repos_all_metrics!B:K,7,FALSE)</f>
        <v>3417</v>
      </c>
      <c r="AG1845">
        <f>VLOOKUP(A:A,[1]android_repos_all_metrics!B:K,8,FALSE)</f>
        <v>0</v>
      </c>
      <c r="AH1845">
        <f>VLOOKUP(A:A,[1]android_repos_all_metrics!B:K,9,FALSE)</f>
        <v>2</v>
      </c>
      <c r="AI1845">
        <f>VLOOKUP(A:A,[1]android_repos_all_metrics!B:K,10,FALSE)</f>
        <v>10</v>
      </c>
    </row>
    <row r="1846" spans="1:35">
      <c r="A1846" t="s">
        <v>1915</v>
      </c>
      <c r="B1846" t="b">
        <v>1</v>
      </c>
      <c r="C1846" t="b">
        <v>0</v>
      </c>
      <c r="D1846" t="b">
        <v>0</v>
      </c>
      <c r="F1846" t="b">
        <v>0</v>
      </c>
      <c r="H1846" t="s">
        <v>41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>
        <v>1</v>
      </c>
      <c r="AB1846">
        <v>0</v>
      </c>
      <c r="AC1846">
        <f>VLOOKUP(A:A,[1]android_repos_all_metrics!B:K,4,FALSE)</f>
        <v>240</v>
      </c>
      <c r="AD1846">
        <f>VLOOKUP(A:A,[1]android_repos_all_metrics!B:K,5,FALSE)</f>
        <v>77</v>
      </c>
      <c r="AE1846">
        <f>VLOOKUP(A:A,[1]android_repos_all_metrics!B:K,6,FALSE)</f>
        <v>17</v>
      </c>
      <c r="AF1846">
        <f>VLOOKUP(A:A,[1]android_repos_all_metrics!B:K,7,FALSE)</f>
        <v>2060</v>
      </c>
      <c r="AG1846">
        <f>VLOOKUP(A:A,[1]android_repos_all_metrics!B:K,8,FALSE)</f>
        <v>66</v>
      </c>
      <c r="AH1846">
        <f>VLOOKUP(A:A,[1]android_repos_all_metrics!B:K,9,FALSE)</f>
        <v>339</v>
      </c>
      <c r="AI1846">
        <f>VLOOKUP(A:A,[1]android_repos_all_metrics!B:K,10,FALSE)</f>
        <v>13</v>
      </c>
    </row>
    <row r="1847" spans="1:35">
      <c r="A1847" t="s">
        <v>1916</v>
      </c>
      <c r="B1847" t="b">
        <v>1</v>
      </c>
      <c r="C1847" t="b">
        <v>0</v>
      </c>
      <c r="D1847" t="b">
        <v>0</v>
      </c>
      <c r="F1847" t="b">
        <v>0</v>
      </c>
      <c r="H1847" t="s">
        <v>37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>
        <v>1</v>
      </c>
      <c r="AB1847">
        <v>0</v>
      </c>
      <c r="AC1847">
        <f>VLOOKUP(A:A,[1]android_repos_all_metrics!B:K,4,FALSE)</f>
        <v>27</v>
      </c>
      <c r="AD1847">
        <f>VLOOKUP(A:A,[1]android_repos_all_metrics!B:K,5,FALSE)</f>
        <v>2</v>
      </c>
      <c r="AE1847">
        <f>VLOOKUP(A:A,[1]android_repos_all_metrics!B:K,6,FALSE)</f>
        <v>1</v>
      </c>
      <c r="AF1847">
        <f>VLOOKUP(A:A,[1]android_repos_all_metrics!B:K,7,FALSE)</f>
        <v>5862</v>
      </c>
      <c r="AG1847">
        <f>VLOOKUP(A:A,[1]android_repos_all_metrics!B:K,8,FALSE)</f>
        <v>0</v>
      </c>
      <c r="AH1847">
        <f>VLOOKUP(A:A,[1]android_repos_all_metrics!B:K,9,FALSE)</f>
        <v>1</v>
      </c>
      <c r="AI1847">
        <f>VLOOKUP(A:A,[1]android_repos_all_metrics!B:K,10,FALSE)</f>
        <v>0</v>
      </c>
    </row>
    <row r="1848" spans="1:35">
      <c r="A1848" t="s">
        <v>1917</v>
      </c>
      <c r="B1848" t="b">
        <v>1</v>
      </c>
      <c r="C1848" t="b">
        <v>1</v>
      </c>
      <c r="D1848" t="b">
        <v>0</v>
      </c>
      <c r="F1848" t="b">
        <v>1</v>
      </c>
      <c r="G1848" t="s">
        <v>39</v>
      </c>
      <c r="H1848" t="s">
        <v>41</v>
      </c>
      <c r="I1848" t="s">
        <v>41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>
        <v>1</v>
      </c>
      <c r="AB1848">
        <v>0</v>
      </c>
      <c r="AC1848">
        <f>VLOOKUP(A:A,[1]android_repos_all_metrics!B:K,4,FALSE)</f>
        <v>259</v>
      </c>
      <c r="AD1848">
        <f>VLOOKUP(A:A,[1]android_repos_all_metrics!B:K,5,FALSE)</f>
        <v>13</v>
      </c>
      <c r="AE1848">
        <f>VLOOKUP(A:A,[1]android_repos_all_metrics!B:K,6,FALSE)</f>
        <v>3</v>
      </c>
      <c r="AF1848">
        <f>VLOOKUP(A:A,[1]android_repos_all_metrics!B:K,7,FALSE)</f>
        <v>3404</v>
      </c>
      <c r="AG1848">
        <f>VLOOKUP(A:A,[1]android_repos_all_metrics!B:K,8,FALSE)</f>
        <v>19</v>
      </c>
      <c r="AH1848">
        <f>VLOOKUP(A:A,[1]android_repos_all_metrics!B:K,9,FALSE)</f>
        <v>104</v>
      </c>
      <c r="AI1848">
        <f>VLOOKUP(A:A,[1]android_repos_all_metrics!B:K,10,FALSE)</f>
        <v>31</v>
      </c>
    </row>
    <row r="1849" spans="1:35">
      <c r="A1849" t="s">
        <v>1918</v>
      </c>
      <c r="B1849" t="b">
        <v>1</v>
      </c>
      <c r="C1849" t="b">
        <v>0</v>
      </c>
      <c r="D1849" t="b">
        <v>0</v>
      </c>
      <c r="F1849" t="b">
        <v>0</v>
      </c>
      <c r="H1849" t="s">
        <v>37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>
        <v>1</v>
      </c>
      <c r="AB1849">
        <v>0</v>
      </c>
      <c r="AC1849">
        <f>VLOOKUP(A:A,[1]android_repos_all_metrics!B:K,4,FALSE)</f>
        <v>2136</v>
      </c>
      <c r="AD1849">
        <f>VLOOKUP(A:A,[1]android_repos_all_metrics!B:K,5,FALSE)</f>
        <v>373</v>
      </c>
      <c r="AE1849">
        <f>VLOOKUP(A:A,[1]android_repos_all_metrics!B:K,6,FALSE)</f>
        <v>139</v>
      </c>
      <c r="AF1849">
        <f>VLOOKUP(A:A,[1]android_repos_all_metrics!B:K,7,FALSE)</f>
        <v>9161</v>
      </c>
      <c r="AG1849">
        <f>VLOOKUP(A:A,[1]android_repos_all_metrics!B:K,8,FALSE)</f>
        <v>453</v>
      </c>
      <c r="AH1849">
        <f>VLOOKUP(A:A,[1]android_repos_all_metrics!B:K,9,FALSE)</f>
        <v>1583</v>
      </c>
      <c r="AI1849">
        <f>VLOOKUP(A:A,[1]android_repos_all_metrics!B:K,10,FALSE)</f>
        <v>316</v>
      </c>
    </row>
    <row r="1850" spans="1:35">
      <c r="A1850" t="s">
        <v>1919</v>
      </c>
      <c r="B1850" t="b">
        <v>1</v>
      </c>
      <c r="C1850" t="b">
        <v>1</v>
      </c>
      <c r="D1850" t="b">
        <v>0</v>
      </c>
      <c r="F1850" t="b">
        <v>1</v>
      </c>
      <c r="G1850" t="s">
        <v>39</v>
      </c>
      <c r="H1850" t="s">
        <v>41</v>
      </c>
      <c r="I1850" t="s">
        <v>41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>
        <v>1</v>
      </c>
      <c r="AB1850">
        <v>0</v>
      </c>
      <c r="AC1850">
        <f>VLOOKUP(A:A,[1]android_repos_all_metrics!B:K,4,FALSE)</f>
        <v>130</v>
      </c>
      <c r="AD1850">
        <f>VLOOKUP(A:A,[1]android_repos_all_metrics!B:K,5,FALSE)</f>
        <v>0</v>
      </c>
      <c r="AE1850">
        <f>VLOOKUP(A:A,[1]android_repos_all_metrics!B:K,6,FALSE)</f>
        <v>1</v>
      </c>
      <c r="AF1850">
        <f>VLOOKUP(A:A,[1]android_repos_all_metrics!B:K,7,FALSE)</f>
        <v>2118</v>
      </c>
      <c r="AG1850">
        <f>VLOOKUP(A:A,[1]android_repos_all_metrics!B:K,8,FALSE)</f>
        <v>1</v>
      </c>
      <c r="AH1850">
        <f>VLOOKUP(A:A,[1]android_repos_all_metrics!B:K,9,FALSE)</f>
        <v>2</v>
      </c>
      <c r="AI1850">
        <f>VLOOKUP(A:A,[1]android_repos_all_metrics!B:K,10,FALSE)</f>
        <v>9</v>
      </c>
    </row>
    <row r="1851" spans="1:35">
      <c r="A1851" t="s">
        <v>1920</v>
      </c>
      <c r="B1851" t="b">
        <v>0</v>
      </c>
      <c r="C1851" t="b">
        <v>0</v>
      </c>
      <c r="D1851" t="b">
        <v>0</v>
      </c>
      <c r="F1851" t="b">
        <v>0</v>
      </c>
      <c r="H1851" t="s">
        <v>37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>
        <v>1</v>
      </c>
      <c r="AB1851">
        <v>0</v>
      </c>
      <c r="AC1851">
        <f>VLOOKUP(A:A,[1]android_repos_all_metrics!B:K,4,FALSE)</f>
        <v>1662</v>
      </c>
      <c r="AD1851">
        <f>VLOOKUP(A:A,[1]android_repos_all_metrics!B:K,5,FALSE)</f>
        <v>1513</v>
      </c>
      <c r="AE1851">
        <f>VLOOKUP(A:A,[1]android_repos_all_metrics!B:K,6,FALSE)</f>
        <v>58</v>
      </c>
      <c r="AF1851">
        <f>VLOOKUP(A:A,[1]android_repos_all_metrics!B:K,7,FALSE)</f>
        <v>3945</v>
      </c>
      <c r="AG1851">
        <f>VLOOKUP(A:A,[1]android_repos_all_metrics!B:K,8,FALSE)</f>
        <v>140</v>
      </c>
      <c r="AH1851">
        <f>VLOOKUP(A:A,[1]android_repos_all_metrics!B:K,9,FALSE)</f>
        <v>483</v>
      </c>
      <c r="AI1851">
        <f>VLOOKUP(A:A,[1]android_repos_all_metrics!B:K,10,FALSE)</f>
        <v>371</v>
      </c>
    </row>
    <row r="1852" spans="1:35">
      <c r="A1852" t="s">
        <v>1921</v>
      </c>
      <c r="B1852" t="b">
        <v>0</v>
      </c>
      <c r="C1852" t="b">
        <v>0</v>
      </c>
      <c r="D1852" t="b">
        <v>0</v>
      </c>
      <c r="F1852" t="b">
        <v>0</v>
      </c>
      <c r="H1852" t="s">
        <v>41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>
        <v>1</v>
      </c>
      <c r="AB1852">
        <v>0</v>
      </c>
      <c r="AC1852">
        <f>VLOOKUP(A:A,[1]android_repos_all_metrics!B:K,4,FALSE)</f>
        <v>251</v>
      </c>
      <c r="AD1852">
        <f>VLOOKUP(A:A,[1]android_repos_all_metrics!B:K,5,FALSE)</f>
        <v>10</v>
      </c>
      <c r="AE1852">
        <f>VLOOKUP(A:A,[1]android_repos_all_metrics!B:K,6,FALSE)</f>
        <v>4</v>
      </c>
      <c r="AF1852">
        <f>VLOOKUP(A:A,[1]android_repos_all_metrics!B:K,7,FALSE)</f>
        <v>7611</v>
      </c>
      <c r="AG1852">
        <f>VLOOKUP(A:A,[1]android_repos_all_metrics!B:K,8,FALSE)</f>
        <v>20</v>
      </c>
      <c r="AH1852">
        <f>VLOOKUP(A:A,[1]android_repos_all_metrics!B:K,9,FALSE)</f>
        <v>30</v>
      </c>
      <c r="AI1852">
        <f>VLOOKUP(A:A,[1]android_repos_all_metrics!B:K,10,FALSE)</f>
        <v>7</v>
      </c>
    </row>
    <row r="1853" spans="1:35">
      <c r="A1853" t="s">
        <v>1922</v>
      </c>
      <c r="B1853" t="b">
        <v>1</v>
      </c>
      <c r="C1853" t="b">
        <v>0</v>
      </c>
      <c r="D1853" t="b">
        <v>0</v>
      </c>
      <c r="F1853" t="b">
        <v>0</v>
      </c>
      <c r="H1853" t="s">
        <v>244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>
        <v>2</v>
      </c>
      <c r="AB1853">
        <v>0</v>
      </c>
      <c r="AC1853">
        <f>VLOOKUP(A:A,[1]android_repos_all_metrics!B:K,4,FALSE)</f>
        <v>2372</v>
      </c>
      <c r="AD1853">
        <f>VLOOKUP(A:A,[1]android_repos_all_metrics!B:K,5,FALSE)</f>
        <v>560</v>
      </c>
      <c r="AE1853">
        <f>VLOOKUP(A:A,[1]android_repos_all_metrics!B:K,6,FALSE)</f>
        <v>10</v>
      </c>
      <c r="AF1853">
        <f>VLOOKUP(A:A,[1]android_repos_all_metrics!B:K,7,FALSE)</f>
        <v>450589</v>
      </c>
      <c r="AG1853">
        <f>VLOOKUP(A:A,[1]android_repos_all_metrics!B:K,8,FALSE)</f>
        <v>6</v>
      </c>
      <c r="AH1853">
        <f>VLOOKUP(A:A,[1]android_repos_all_metrics!B:K,9,FALSE)</f>
        <v>3</v>
      </c>
      <c r="AI1853">
        <f>VLOOKUP(A:A,[1]android_repos_all_metrics!B:K,10,FALSE)</f>
        <v>9</v>
      </c>
    </row>
    <row r="1854" spans="1:35">
      <c r="A1854" t="s">
        <v>1923</v>
      </c>
      <c r="B1854" t="b">
        <v>0</v>
      </c>
      <c r="C1854" t="b">
        <v>0</v>
      </c>
      <c r="D1854" t="b">
        <v>0</v>
      </c>
      <c r="F1854" t="b">
        <v>0</v>
      </c>
      <c r="H1854" t="s">
        <v>41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>
        <v>1</v>
      </c>
      <c r="AB1854">
        <v>0</v>
      </c>
      <c r="AC1854">
        <f>VLOOKUP(A:A,[1]android_repos_all_metrics!B:K,4,FALSE)</f>
        <v>152</v>
      </c>
      <c r="AD1854">
        <f>VLOOKUP(A:A,[1]android_repos_all_metrics!B:K,5,FALSE)</f>
        <v>0</v>
      </c>
      <c r="AE1854">
        <f>VLOOKUP(A:A,[1]android_repos_all_metrics!B:K,6,FALSE)</f>
        <v>1</v>
      </c>
      <c r="AF1854">
        <f>VLOOKUP(A:A,[1]android_repos_all_metrics!B:K,7,FALSE)</f>
        <v>16429</v>
      </c>
      <c r="AG1854">
        <f>VLOOKUP(A:A,[1]android_repos_all_metrics!B:K,8,FALSE)</f>
        <v>17</v>
      </c>
      <c r="AH1854">
        <f>VLOOKUP(A:A,[1]android_repos_all_metrics!B:K,9,FALSE)</f>
        <v>79</v>
      </c>
      <c r="AI1854">
        <f>VLOOKUP(A:A,[1]android_repos_all_metrics!B:K,10,FALSE)</f>
        <v>0</v>
      </c>
    </row>
    <row r="1855" spans="1:35">
      <c r="A1855" t="s">
        <v>1924</v>
      </c>
      <c r="B1855" t="b">
        <v>1</v>
      </c>
      <c r="C1855" t="b">
        <v>0</v>
      </c>
      <c r="D1855" t="b">
        <v>0</v>
      </c>
      <c r="F1855" t="b">
        <v>0</v>
      </c>
      <c r="H1855" t="s">
        <v>136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>
        <v>2</v>
      </c>
      <c r="AB1855">
        <v>0</v>
      </c>
      <c r="AC1855">
        <f>VLOOKUP(A:A,[1]android_repos_all_metrics!B:K,4,FALSE)</f>
        <v>4672</v>
      </c>
      <c r="AD1855">
        <f>VLOOKUP(A:A,[1]android_repos_all_metrics!B:K,5,FALSE)</f>
        <v>231</v>
      </c>
      <c r="AE1855">
        <f>VLOOKUP(A:A,[1]android_repos_all_metrics!B:K,6,FALSE)</f>
        <v>128</v>
      </c>
      <c r="AF1855">
        <f>VLOOKUP(A:A,[1]android_repos_all_metrics!B:K,7,FALSE)</f>
        <v>86098</v>
      </c>
      <c r="AG1855">
        <f>VLOOKUP(A:A,[1]android_repos_all_metrics!B:K,8,FALSE)</f>
        <v>3</v>
      </c>
      <c r="AH1855">
        <f>VLOOKUP(A:A,[1]android_repos_all_metrics!B:K,9,FALSE)</f>
        <v>3</v>
      </c>
      <c r="AI1855">
        <f>VLOOKUP(A:A,[1]android_repos_all_metrics!B:K,10,FALSE)</f>
        <v>26</v>
      </c>
    </row>
    <row r="1856" spans="1:35">
      <c r="A1856" t="s">
        <v>1925</v>
      </c>
      <c r="B1856" t="b">
        <v>1</v>
      </c>
      <c r="C1856" t="b">
        <v>0</v>
      </c>
      <c r="D1856" t="b">
        <v>0</v>
      </c>
      <c r="F1856" t="b">
        <v>0</v>
      </c>
      <c r="H1856" t="s">
        <v>407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>
        <v>1</v>
      </c>
      <c r="AB1856">
        <v>0</v>
      </c>
      <c r="AC1856" t="e">
        <f>VLOOKUP(A:A,[1]android_repos_all_metrics!B:K,4,FALSE)</f>
        <v>#N/A</v>
      </c>
      <c r="AD1856" t="e">
        <f>VLOOKUP(A:A,[1]android_repos_all_metrics!B:K,5,FALSE)</f>
        <v>#N/A</v>
      </c>
      <c r="AE1856" t="e">
        <f>VLOOKUP(A:A,[1]android_repos_all_metrics!B:K,6,FALSE)</f>
        <v>#N/A</v>
      </c>
      <c r="AF1856" t="e">
        <f>VLOOKUP(A:A,[1]android_repos_all_metrics!B:K,7,FALSE)</f>
        <v>#N/A</v>
      </c>
      <c r="AG1856" t="e">
        <f>VLOOKUP(A:A,[1]android_repos_all_metrics!B:K,8,FALSE)</f>
        <v>#N/A</v>
      </c>
      <c r="AH1856" t="e">
        <f>VLOOKUP(A:A,[1]android_repos_all_metrics!B:K,9,FALSE)</f>
        <v>#N/A</v>
      </c>
      <c r="AI1856" t="e">
        <f>VLOOKUP(A:A,[1]android_repos_all_metrics!B:K,10,FALSE)</f>
        <v>#N/A</v>
      </c>
    </row>
    <row r="1857" spans="1:35">
      <c r="A1857" t="s">
        <v>1926</v>
      </c>
      <c r="B1857" t="b">
        <v>1</v>
      </c>
      <c r="C1857" t="b">
        <v>1</v>
      </c>
      <c r="D1857" t="b">
        <v>0</v>
      </c>
      <c r="F1857" t="b">
        <v>1</v>
      </c>
      <c r="G1857" t="s">
        <v>91</v>
      </c>
      <c r="H1857" t="s">
        <v>37</v>
      </c>
      <c r="I1857" t="s">
        <v>37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>
        <v>2</v>
      </c>
      <c r="AB1857">
        <v>0</v>
      </c>
      <c r="AC1857">
        <f>VLOOKUP(A:A,[1]android_repos_all_metrics!B:K,4,FALSE)</f>
        <v>335</v>
      </c>
      <c r="AD1857">
        <f>VLOOKUP(A:A,[1]android_repos_all_metrics!B:K,5,FALSE)</f>
        <v>638</v>
      </c>
      <c r="AE1857">
        <f>VLOOKUP(A:A,[1]android_repos_all_metrics!B:K,6,FALSE)</f>
        <v>6</v>
      </c>
      <c r="AF1857">
        <f>VLOOKUP(A:A,[1]android_repos_all_metrics!B:K,7,FALSE)</f>
        <v>3688</v>
      </c>
      <c r="AG1857">
        <f>VLOOKUP(A:A,[1]android_repos_all_metrics!B:K,8,FALSE)</f>
        <v>0</v>
      </c>
      <c r="AH1857">
        <f>VLOOKUP(A:A,[1]android_repos_all_metrics!B:K,9,FALSE)</f>
        <v>8</v>
      </c>
      <c r="AI1857">
        <f>VLOOKUP(A:A,[1]android_repos_all_metrics!B:K,10,FALSE)</f>
        <v>36</v>
      </c>
    </row>
    <row r="1858" spans="1:35">
      <c r="A1858" t="s">
        <v>1927</v>
      </c>
      <c r="B1858" t="b">
        <v>1</v>
      </c>
      <c r="C1858" t="b">
        <v>1</v>
      </c>
      <c r="D1858" t="b">
        <v>1</v>
      </c>
      <c r="E1858" t="s">
        <v>36</v>
      </c>
      <c r="F1858" t="b">
        <v>0</v>
      </c>
      <c r="H1858" t="s">
        <v>308</v>
      </c>
      <c r="I1858" t="s">
        <v>37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>
        <v>1</v>
      </c>
      <c r="AA1858">
        <v>2</v>
      </c>
      <c r="AB1858">
        <v>0</v>
      </c>
      <c r="AC1858">
        <f>VLOOKUP(A:A,[1]android_repos_all_metrics!B:K,4,FALSE)</f>
        <v>538</v>
      </c>
      <c r="AD1858">
        <f>VLOOKUP(A:A,[1]android_repos_all_metrics!B:K,5,FALSE)</f>
        <v>253</v>
      </c>
      <c r="AE1858">
        <f>VLOOKUP(A:A,[1]android_repos_all_metrics!B:K,6,FALSE)</f>
        <v>2</v>
      </c>
      <c r="AF1858">
        <f>VLOOKUP(A:A,[1]android_repos_all_metrics!B:K,7,FALSE)</f>
        <v>974</v>
      </c>
      <c r="AG1858">
        <f>VLOOKUP(A:A,[1]android_repos_all_metrics!B:K,8,FALSE)</f>
        <v>3</v>
      </c>
      <c r="AH1858">
        <f>VLOOKUP(A:A,[1]android_repos_all_metrics!B:K,9,FALSE)</f>
        <v>8</v>
      </c>
      <c r="AI1858">
        <f>VLOOKUP(A:A,[1]android_repos_all_metrics!B:K,10,FALSE)</f>
        <v>7</v>
      </c>
    </row>
    <row r="1859" spans="1:35">
      <c r="A1859" t="s">
        <v>1928</v>
      </c>
      <c r="B1859" t="b">
        <v>1</v>
      </c>
      <c r="C1859" t="b">
        <v>0</v>
      </c>
      <c r="D1859" t="b">
        <v>0</v>
      </c>
      <c r="F1859" t="b">
        <v>0</v>
      </c>
      <c r="H1859" t="s">
        <v>43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>
        <v>1</v>
      </c>
      <c r="AB1859">
        <v>0</v>
      </c>
      <c r="AC1859">
        <f>VLOOKUP(A:A,[1]android_repos_all_metrics!B:K,4,FALSE)</f>
        <v>235</v>
      </c>
      <c r="AD1859">
        <f>VLOOKUP(A:A,[1]android_repos_all_metrics!B:K,5,FALSE)</f>
        <v>11</v>
      </c>
      <c r="AE1859">
        <f>VLOOKUP(A:A,[1]android_repos_all_metrics!B:K,6,FALSE)</f>
        <v>1</v>
      </c>
      <c r="AF1859">
        <f>VLOOKUP(A:A,[1]android_repos_all_metrics!B:K,7,FALSE)</f>
        <v>1038</v>
      </c>
      <c r="AG1859">
        <f>VLOOKUP(A:A,[1]android_repos_all_metrics!B:K,8,FALSE)</f>
        <v>7</v>
      </c>
      <c r="AH1859">
        <f>VLOOKUP(A:A,[1]android_repos_all_metrics!B:K,9,FALSE)</f>
        <v>31</v>
      </c>
      <c r="AI1859">
        <f>VLOOKUP(A:A,[1]android_repos_all_metrics!B:K,10,FALSE)</f>
        <v>9</v>
      </c>
    </row>
    <row r="1860" spans="1:35">
      <c r="A1860" t="s">
        <v>1929</v>
      </c>
      <c r="B1860" t="b">
        <v>1</v>
      </c>
      <c r="C1860" t="b">
        <v>0</v>
      </c>
      <c r="D1860" t="b">
        <v>0</v>
      </c>
      <c r="F1860" t="b">
        <v>0</v>
      </c>
      <c r="H1860" t="s">
        <v>37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>
        <v>1</v>
      </c>
      <c r="AB1860">
        <v>0</v>
      </c>
      <c r="AC1860">
        <f>VLOOKUP(A:A,[1]android_repos_all_metrics!B:K,4,FALSE)</f>
        <v>68</v>
      </c>
      <c r="AD1860">
        <f>VLOOKUP(A:A,[1]android_repos_all_metrics!B:K,5,FALSE)</f>
        <v>3</v>
      </c>
      <c r="AE1860">
        <f>VLOOKUP(A:A,[1]android_repos_all_metrics!B:K,6,FALSE)</f>
        <v>2</v>
      </c>
      <c r="AF1860">
        <f>VLOOKUP(A:A,[1]android_repos_all_metrics!B:K,7,FALSE)</f>
        <v>818</v>
      </c>
      <c r="AG1860">
        <f>VLOOKUP(A:A,[1]android_repos_all_metrics!B:K,8,FALSE)</f>
        <v>0</v>
      </c>
      <c r="AH1860">
        <f>VLOOKUP(A:A,[1]android_repos_all_metrics!B:K,9,FALSE)</f>
        <v>8</v>
      </c>
      <c r="AI1860">
        <f>VLOOKUP(A:A,[1]android_repos_all_metrics!B:K,10,FALSE)</f>
        <v>2</v>
      </c>
    </row>
    <row r="1861" spans="1:35">
      <c r="A1861" t="s">
        <v>1930</v>
      </c>
      <c r="B1861" t="b">
        <v>1</v>
      </c>
      <c r="C1861" t="b">
        <v>0</v>
      </c>
      <c r="D1861" t="b">
        <v>0</v>
      </c>
      <c r="F1861" t="b">
        <v>0</v>
      </c>
      <c r="H1861" t="s">
        <v>41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>
        <v>1</v>
      </c>
      <c r="AB1861">
        <v>0</v>
      </c>
      <c r="AC1861">
        <f>VLOOKUP(A:A,[1]android_repos_all_metrics!B:K,4,FALSE)</f>
        <v>108</v>
      </c>
      <c r="AD1861">
        <f>VLOOKUP(A:A,[1]android_repos_all_metrics!B:K,5,FALSE)</f>
        <v>3</v>
      </c>
      <c r="AE1861">
        <f>VLOOKUP(A:A,[1]android_repos_all_metrics!B:K,6,FALSE)</f>
        <v>1</v>
      </c>
      <c r="AF1861">
        <f>VLOOKUP(A:A,[1]android_repos_all_metrics!B:K,7,FALSE)</f>
        <v>5257</v>
      </c>
      <c r="AG1861">
        <f>VLOOKUP(A:A,[1]android_repos_all_metrics!B:K,8,FALSE)</f>
        <v>185</v>
      </c>
      <c r="AH1861">
        <f>VLOOKUP(A:A,[1]android_repos_all_metrics!B:K,9,FALSE)</f>
        <v>452</v>
      </c>
      <c r="AI1861">
        <f>VLOOKUP(A:A,[1]android_repos_all_metrics!B:K,10,FALSE)</f>
        <v>12</v>
      </c>
    </row>
    <row r="1862" spans="1:35">
      <c r="A1862" t="s">
        <v>1931</v>
      </c>
      <c r="B1862" t="b">
        <v>1</v>
      </c>
      <c r="C1862" t="b">
        <v>0</v>
      </c>
      <c r="D1862" t="b">
        <v>0</v>
      </c>
      <c r="F1862" t="b">
        <v>0</v>
      </c>
      <c r="H1862" t="s">
        <v>41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>
        <v>1</v>
      </c>
      <c r="AB1862">
        <v>0</v>
      </c>
      <c r="AC1862">
        <f>VLOOKUP(A:A,[1]android_repos_all_metrics!B:K,4,FALSE)</f>
        <v>186</v>
      </c>
      <c r="AD1862">
        <f>VLOOKUP(A:A,[1]android_repos_all_metrics!B:K,5,FALSE)</f>
        <v>46</v>
      </c>
      <c r="AE1862">
        <f>VLOOKUP(A:A,[1]android_repos_all_metrics!B:K,6,FALSE)</f>
        <v>2</v>
      </c>
      <c r="AF1862">
        <f>VLOOKUP(A:A,[1]android_repos_all_metrics!B:K,7,FALSE)</f>
        <v>3150</v>
      </c>
      <c r="AG1862">
        <f>VLOOKUP(A:A,[1]android_repos_all_metrics!B:K,8,FALSE)</f>
        <v>9</v>
      </c>
      <c r="AH1862">
        <f>VLOOKUP(A:A,[1]android_repos_all_metrics!B:K,9,FALSE)</f>
        <v>11</v>
      </c>
      <c r="AI1862">
        <f>VLOOKUP(A:A,[1]android_repos_all_metrics!B:K,10,FALSE)</f>
        <v>1</v>
      </c>
    </row>
    <row r="1863" spans="1:35">
      <c r="A1863" t="s">
        <v>1932</v>
      </c>
      <c r="B1863" t="b">
        <v>1</v>
      </c>
      <c r="C1863" t="b">
        <v>0</v>
      </c>
      <c r="D1863" t="b">
        <v>0</v>
      </c>
      <c r="F1863" t="b">
        <v>0</v>
      </c>
      <c r="H1863" t="s">
        <v>308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>
        <v>2</v>
      </c>
      <c r="AB1863">
        <v>0</v>
      </c>
      <c r="AC1863">
        <f>VLOOKUP(A:A,[1]android_repos_all_metrics!B:K,4,FALSE)</f>
        <v>74</v>
      </c>
      <c r="AD1863">
        <f>VLOOKUP(A:A,[1]android_repos_all_metrics!B:K,5,FALSE)</f>
        <v>1</v>
      </c>
      <c r="AE1863">
        <f>VLOOKUP(A:A,[1]android_repos_all_metrics!B:K,6,FALSE)</f>
        <v>1</v>
      </c>
      <c r="AF1863">
        <f>VLOOKUP(A:A,[1]android_repos_all_metrics!B:K,7,FALSE)</f>
        <v>34564</v>
      </c>
      <c r="AG1863">
        <f>VLOOKUP(A:A,[1]android_repos_all_metrics!B:K,8,FALSE)</f>
        <v>0</v>
      </c>
      <c r="AH1863">
        <f>VLOOKUP(A:A,[1]android_repos_all_metrics!B:K,9,FALSE)</f>
        <v>1</v>
      </c>
      <c r="AI1863">
        <f>VLOOKUP(A:A,[1]android_repos_all_metrics!B:K,10,FALSE)</f>
        <v>0</v>
      </c>
    </row>
    <row r="1864" spans="1:35">
      <c r="A1864" t="s">
        <v>1933</v>
      </c>
      <c r="B1864" t="b">
        <v>1</v>
      </c>
      <c r="C1864" t="b">
        <v>0</v>
      </c>
      <c r="D1864" t="b">
        <v>0</v>
      </c>
      <c r="F1864" t="b">
        <v>0</v>
      </c>
      <c r="H1864" t="s">
        <v>37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>
        <v>1</v>
      </c>
      <c r="AB1864">
        <v>0</v>
      </c>
      <c r="AC1864">
        <f>VLOOKUP(A:A,[1]android_repos_all_metrics!B:K,4,FALSE)</f>
        <v>207</v>
      </c>
      <c r="AD1864">
        <f>VLOOKUP(A:A,[1]android_repos_all_metrics!B:K,5,FALSE)</f>
        <v>124</v>
      </c>
      <c r="AE1864">
        <f>VLOOKUP(A:A,[1]android_repos_all_metrics!B:K,6,FALSE)</f>
        <v>8</v>
      </c>
      <c r="AF1864">
        <f>VLOOKUP(A:A,[1]android_repos_all_metrics!B:K,7,FALSE)</f>
        <v>679</v>
      </c>
      <c r="AG1864">
        <f>VLOOKUP(A:A,[1]android_repos_all_metrics!B:K,8,FALSE)</f>
        <v>11</v>
      </c>
      <c r="AH1864">
        <f>VLOOKUP(A:A,[1]android_repos_all_metrics!B:K,9,FALSE)</f>
        <v>15</v>
      </c>
      <c r="AI1864">
        <f>VLOOKUP(A:A,[1]android_repos_all_metrics!B:K,10,FALSE)</f>
        <v>9</v>
      </c>
    </row>
    <row r="1865" spans="1:35">
      <c r="A1865" t="s">
        <v>1934</v>
      </c>
      <c r="B1865" t="b">
        <v>0</v>
      </c>
      <c r="C1865" t="b">
        <v>0</v>
      </c>
      <c r="D1865" t="b">
        <v>0</v>
      </c>
      <c r="F1865" t="b">
        <v>0</v>
      </c>
      <c r="H1865" t="s">
        <v>41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>
        <v>1</v>
      </c>
      <c r="AB1865">
        <v>0</v>
      </c>
      <c r="AC1865">
        <f>VLOOKUP(A:A,[1]android_repos_all_metrics!B:K,4,FALSE)</f>
        <v>52</v>
      </c>
      <c r="AD1865">
        <f>VLOOKUP(A:A,[1]android_repos_all_metrics!B:K,5,FALSE)</f>
        <v>0</v>
      </c>
      <c r="AE1865">
        <f>VLOOKUP(A:A,[1]android_repos_all_metrics!B:K,6,FALSE)</f>
        <v>1</v>
      </c>
      <c r="AF1865">
        <f>VLOOKUP(A:A,[1]android_repos_all_metrics!B:K,7,FALSE)</f>
        <v>174</v>
      </c>
      <c r="AG1865">
        <f>VLOOKUP(A:A,[1]android_repos_all_metrics!B:K,8,FALSE)</f>
        <v>1</v>
      </c>
      <c r="AH1865">
        <f>VLOOKUP(A:A,[1]android_repos_all_metrics!B:K,9,FALSE)</f>
        <v>95</v>
      </c>
      <c r="AI1865">
        <f>VLOOKUP(A:A,[1]android_repos_all_metrics!B:K,10,FALSE)</f>
        <v>0</v>
      </c>
    </row>
    <row r="1866" spans="1:35">
      <c r="A1866" t="s">
        <v>1935</v>
      </c>
      <c r="B1866" t="b">
        <v>1</v>
      </c>
      <c r="C1866" t="b">
        <v>0</v>
      </c>
      <c r="D1866" t="b">
        <v>0</v>
      </c>
      <c r="F1866" t="b">
        <v>0</v>
      </c>
      <c r="H1866" t="s">
        <v>37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>
        <v>1</v>
      </c>
      <c r="AB1866">
        <v>0</v>
      </c>
      <c r="AC1866">
        <f>VLOOKUP(A:A,[1]android_repos_all_metrics!B:K,4,FALSE)</f>
        <v>325</v>
      </c>
      <c r="AD1866">
        <f>VLOOKUP(A:A,[1]android_repos_all_metrics!B:K,5,FALSE)</f>
        <v>290</v>
      </c>
      <c r="AE1866">
        <f>VLOOKUP(A:A,[1]android_repos_all_metrics!B:K,6,FALSE)</f>
        <v>2</v>
      </c>
      <c r="AF1866">
        <f>VLOOKUP(A:A,[1]android_repos_all_metrics!B:K,7,FALSE)</f>
        <v>683</v>
      </c>
      <c r="AG1866">
        <f>VLOOKUP(A:A,[1]android_repos_all_metrics!B:K,8,FALSE)</f>
        <v>0</v>
      </c>
      <c r="AH1866">
        <f>VLOOKUP(A:A,[1]android_repos_all_metrics!B:K,9,FALSE)</f>
        <v>2</v>
      </c>
      <c r="AI1866">
        <f>VLOOKUP(A:A,[1]android_repos_all_metrics!B:K,10,FALSE)</f>
        <v>6</v>
      </c>
    </row>
    <row r="1867" spans="1:35">
      <c r="A1867" t="s">
        <v>1936</v>
      </c>
      <c r="B1867" t="b">
        <v>1</v>
      </c>
      <c r="C1867" t="b">
        <v>0</v>
      </c>
      <c r="D1867" t="b">
        <v>0</v>
      </c>
      <c r="F1867" t="b">
        <v>0</v>
      </c>
      <c r="H1867" t="s">
        <v>37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>
        <v>3</v>
      </c>
      <c r="AB1867">
        <v>0</v>
      </c>
      <c r="AC1867">
        <f>VLOOKUP(A:A,[1]android_repos_all_metrics!B:K,4,FALSE)</f>
        <v>1074</v>
      </c>
      <c r="AD1867">
        <f>VLOOKUP(A:A,[1]android_repos_all_metrics!B:K,5,FALSE)</f>
        <v>159</v>
      </c>
      <c r="AE1867">
        <f>VLOOKUP(A:A,[1]android_repos_all_metrics!B:K,6,FALSE)</f>
        <v>131</v>
      </c>
      <c r="AF1867">
        <f>VLOOKUP(A:A,[1]android_repos_all_metrics!B:K,7,FALSE)</f>
        <v>41511</v>
      </c>
      <c r="AG1867">
        <f>VLOOKUP(A:A,[1]android_repos_all_metrics!B:K,8,FALSE)</f>
        <v>89</v>
      </c>
      <c r="AH1867">
        <f>VLOOKUP(A:A,[1]android_repos_all_metrics!B:K,9,FALSE)</f>
        <v>1554</v>
      </c>
      <c r="AI1867">
        <f>VLOOKUP(A:A,[1]android_repos_all_metrics!B:K,10,FALSE)</f>
        <v>177</v>
      </c>
    </row>
    <row r="1868" spans="1:35">
      <c r="A1868" t="s">
        <v>1937</v>
      </c>
      <c r="B1868" t="b">
        <v>0</v>
      </c>
      <c r="C1868" t="b">
        <v>0</v>
      </c>
      <c r="D1868" t="b">
        <v>0</v>
      </c>
      <c r="F1868" t="b">
        <v>0</v>
      </c>
      <c r="H1868" t="s">
        <v>41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>
        <v>1</v>
      </c>
      <c r="AB1868">
        <v>0</v>
      </c>
      <c r="AC1868">
        <f>VLOOKUP(A:A,[1]android_repos_all_metrics!B:K,4,FALSE)</f>
        <v>191</v>
      </c>
      <c r="AD1868">
        <f>VLOOKUP(A:A,[1]android_repos_all_metrics!B:K,5,FALSE)</f>
        <v>3</v>
      </c>
      <c r="AE1868">
        <f>VLOOKUP(A:A,[1]android_repos_all_metrics!B:K,6,FALSE)</f>
        <v>3</v>
      </c>
      <c r="AF1868">
        <f>VLOOKUP(A:A,[1]android_repos_all_metrics!B:K,7,FALSE)</f>
        <v>6799</v>
      </c>
      <c r="AG1868">
        <f>VLOOKUP(A:A,[1]android_repos_all_metrics!B:K,8,FALSE)</f>
        <v>12</v>
      </c>
      <c r="AH1868">
        <f>VLOOKUP(A:A,[1]android_repos_all_metrics!B:K,9,FALSE)</f>
        <v>37</v>
      </c>
      <c r="AI1868">
        <f>VLOOKUP(A:A,[1]android_repos_all_metrics!B:K,10,FALSE)</f>
        <v>7</v>
      </c>
    </row>
    <row r="1869" spans="1:35">
      <c r="A1869" t="s">
        <v>1938</v>
      </c>
      <c r="B1869" t="b">
        <v>1</v>
      </c>
      <c r="C1869" t="b">
        <v>1</v>
      </c>
      <c r="D1869" t="b">
        <v>0</v>
      </c>
      <c r="F1869" t="b">
        <v>1</v>
      </c>
      <c r="G1869" t="s">
        <v>39</v>
      </c>
      <c r="H1869" t="s">
        <v>86</v>
      </c>
      <c r="I1869" t="s">
        <v>41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>
        <v>2</v>
      </c>
      <c r="AB1869">
        <v>0</v>
      </c>
      <c r="AC1869">
        <f>VLOOKUP(A:A,[1]android_repos_all_metrics!B:K,4,FALSE)</f>
        <v>88</v>
      </c>
      <c r="AD1869">
        <f>VLOOKUP(A:A,[1]android_repos_all_metrics!B:K,5,FALSE)</f>
        <v>0</v>
      </c>
      <c r="AE1869">
        <f>VLOOKUP(A:A,[1]android_repos_all_metrics!B:K,6,FALSE)</f>
        <v>1</v>
      </c>
      <c r="AF1869">
        <f>VLOOKUP(A:A,[1]android_repos_all_metrics!B:K,7,FALSE)</f>
        <v>199</v>
      </c>
      <c r="AG1869">
        <f>VLOOKUP(A:A,[1]android_repos_all_metrics!B:K,8,FALSE)</f>
        <v>1</v>
      </c>
      <c r="AH1869">
        <f>VLOOKUP(A:A,[1]android_repos_all_metrics!B:K,9,FALSE)</f>
        <v>6</v>
      </c>
      <c r="AI1869">
        <f>VLOOKUP(A:A,[1]android_repos_all_metrics!B:K,10,FALSE)</f>
        <v>0</v>
      </c>
    </row>
    <row r="1870" spans="1:35">
      <c r="A1870" t="s">
        <v>1939</v>
      </c>
      <c r="B1870" t="b">
        <v>0</v>
      </c>
      <c r="C1870" t="b">
        <v>0</v>
      </c>
      <c r="D1870" t="b">
        <v>0</v>
      </c>
      <c r="F1870" t="b">
        <v>0</v>
      </c>
      <c r="H1870" t="s">
        <v>41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>
        <v>1</v>
      </c>
      <c r="AB1870">
        <v>0</v>
      </c>
      <c r="AC1870">
        <f>VLOOKUP(A:A,[1]android_repos_all_metrics!B:K,4,FALSE)</f>
        <v>143</v>
      </c>
      <c r="AD1870">
        <f>VLOOKUP(A:A,[1]android_repos_all_metrics!B:K,5,FALSE)</f>
        <v>20</v>
      </c>
      <c r="AE1870">
        <f>VLOOKUP(A:A,[1]android_repos_all_metrics!B:K,6,FALSE)</f>
        <v>5</v>
      </c>
      <c r="AF1870">
        <f>VLOOKUP(A:A,[1]android_repos_all_metrics!B:K,7,FALSE)</f>
        <v>16074</v>
      </c>
      <c r="AG1870">
        <f>VLOOKUP(A:A,[1]android_repos_all_metrics!B:K,8,FALSE)</f>
        <v>27</v>
      </c>
      <c r="AH1870">
        <f>VLOOKUP(A:A,[1]android_repos_all_metrics!B:K,9,FALSE)</f>
        <v>158</v>
      </c>
      <c r="AI1870">
        <f>VLOOKUP(A:A,[1]android_repos_all_metrics!B:K,10,FALSE)</f>
        <v>5</v>
      </c>
    </row>
    <row r="1871" spans="1:35">
      <c r="A1871" t="s">
        <v>1940</v>
      </c>
      <c r="B1871" t="b">
        <v>1</v>
      </c>
      <c r="C1871" t="b">
        <v>0</v>
      </c>
      <c r="D1871" t="b">
        <v>0</v>
      </c>
      <c r="F1871" t="b">
        <v>0</v>
      </c>
      <c r="H1871" t="s">
        <v>37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>
        <v>1</v>
      </c>
      <c r="AB1871">
        <v>0</v>
      </c>
      <c r="AC1871">
        <f>VLOOKUP(A:A,[1]android_repos_all_metrics!B:K,4,FALSE)</f>
        <v>3210</v>
      </c>
      <c r="AD1871">
        <f>VLOOKUP(A:A,[1]android_repos_all_metrics!B:K,5,FALSE)</f>
        <v>300</v>
      </c>
      <c r="AE1871">
        <f>VLOOKUP(A:A,[1]android_repos_all_metrics!B:K,6,FALSE)</f>
        <v>71</v>
      </c>
      <c r="AF1871">
        <f>VLOOKUP(A:A,[1]android_repos_all_metrics!B:K,7,FALSE)</f>
        <v>259506</v>
      </c>
      <c r="AG1871">
        <f>VLOOKUP(A:A,[1]android_repos_all_metrics!B:K,8,FALSE)</f>
        <v>622</v>
      </c>
      <c r="AH1871">
        <f>VLOOKUP(A:A,[1]android_repos_all_metrics!B:K,9,FALSE)</f>
        <v>2805</v>
      </c>
      <c r="AI1871">
        <f>VLOOKUP(A:A,[1]android_repos_all_metrics!B:K,10,FALSE)</f>
        <v>159</v>
      </c>
    </row>
    <row r="1872" spans="1:35">
      <c r="A1872" t="s">
        <v>1941</v>
      </c>
      <c r="B1872" t="b">
        <v>1</v>
      </c>
      <c r="C1872" t="b">
        <v>0</v>
      </c>
      <c r="D1872" t="b">
        <v>0</v>
      </c>
      <c r="F1872" t="b">
        <v>0</v>
      </c>
      <c r="H1872" t="s">
        <v>1942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>
        <v>3</v>
      </c>
      <c r="AB1872">
        <v>0</v>
      </c>
      <c r="AC1872">
        <f>VLOOKUP(A:A,[1]android_repos_all_metrics!B:K,4,FALSE)</f>
        <v>16588</v>
      </c>
      <c r="AD1872">
        <f>VLOOKUP(A:A,[1]android_repos_all_metrics!B:K,5,FALSE)</f>
        <v>1863</v>
      </c>
      <c r="AE1872">
        <f>VLOOKUP(A:A,[1]android_repos_all_metrics!B:K,6,FALSE)</f>
        <v>63</v>
      </c>
      <c r="AF1872">
        <f>VLOOKUP(A:A,[1]android_repos_all_metrics!B:K,7,FALSE)</f>
        <v>127829</v>
      </c>
      <c r="AG1872">
        <f>VLOOKUP(A:A,[1]android_repos_all_metrics!B:K,8,FALSE)</f>
        <v>259</v>
      </c>
      <c r="AH1872">
        <f>VLOOKUP(A:A,[1]android_repos_all_metrics!B:K,9,FALSE)</f>
        <v>1563</v>
      </c>
      <c r="AI1872">
        <f>VLOOKUP(A:A,[1]android_repos_all_metrics!B:K,10,FALSE)</f>
        <v>464</v>
      </c>
    </row>
    <row r="1873" spans="1:35">
      <c r="A1873" t="s">
        <v>1943</v>
      </c>
      <c r="B1873" t="b">
        <v>0</v>
      </c>
      <c r="C1873" t="b">
        <v>0</v>
      </c>
      <c r="D1873" t="b">
        <v>0</v>
      </c>
      <c r="F1873" t="b">
        <v>0</v>
      </c>
      <c r="H1873" t="s">
        <v>41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>
        <v>1</v>
      </c>
      <c r="AB1873">
        <v>0</v>
      </c>
      <c r="AC1873">
        <f>VLOOKUP(A:A,[1]android_repos_all_metrics!B:K,4,FALSE)</f>
        <v>56</v>
      </c>
      <c r="AD1873">
        <f>VLOOKUP(A:A,[1]android_repos_all_metrics!B:K,5,FALSE)</f>
        <v>0</v>
      </c>
      <c r="AE1873">
        <f>VLOOKUP(A:A,[1]android_repos_all_metrics!B:K,6,FALSE)</f>
        <v>1</v>
      </c>
      <c r="AF1873">
        <f>VLOOKUP(A:A,[1]android_repos_all_metrics!B:K,7,FALSE)</f>
        <v>5650</v>
      </c>
      <c r="AG1873">
        <f>VLOOKUP(A:A,[1]android_repos_all_metrics!B:K,8,FALSE)</f>
        <v>1</v>
      </c>
      <c r="AH1873">
        <f>VLOOKUP(A:A,[1]android_repos_all_metrics!B:K,9,FALSE)</f>
        <v>2</v>
      </c>
      <c r="AI1873">
        <f>VLOOKUP(A:A,[1]android_repos_all_metrics!B:K,10,FALSE)</f>
        <v>0</v>
      </c>
    </row>
    <row r="1874" spans="1:35">
      <c r="A1874" t="s">
        <v>1944</v>
      </c>
      <c r="B1874" t="b">
        <v>1</v>
      </c>
      <c r="C1874" t="b">
        <v>0</v>
      </c>
      <c r="D1874" t="b">
        <v>0</v>
      </c>
      <c r="F1874" t="b">
        <v>0</v>
      </c>
      <c r="H1874" t="s">
        <v>37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>
        <v>3</v>
      </c>
      <c r="AB1874">
        <v>0</v>
      </c>
      <c r="AC1874">
        <f>VLOOKUP(A:A,[1]android_repos_all_metrics!B:K,4,FALSE)</f>
        <v>1378</v>
      </c>
      <c r="AD1874">
        <f>VLOOKUP(A:A,[1]android_repos_all_metrics!B:K,5,FALSE)</f>
        <v>377</v>
      </c>
      <c r="AE1874">
        <f>VLOOKUP(A:A,[1]android_repos_all_metrics!B:K,6,FALSE)</f>
        <v>40</v>
      </c>
      <c r="AF1874">
        <f>VLOOKUP(A:A,[1]android_repos_all_metrics!B:K,7,FALSE)</f>
        <v>14258</v>
      </c>
      <c r="AG1874">
        <f>VLOOKUP(A:A,[1]android_repos_all_metrics!B:K,8,FALSE)</f>
        <v>203</v>
      </c>
      <c r="AH1874">
        <f>VLOOKUP(A:A,[1]android_repos_all_metrics!B:K,9,FALSE)</f>
        <v>1263</v>
      </c>
      <c r="AI1874">
        <f>VLOOKUP(A:A,[1]android_repos_all_metrics!B:K,10,FALSE)</f>
        <v>128</v>
      </c>
    </row>
    <row r="1875" spans="1:35">
      <c r="A1875" t="s">
        <v>1945</v>
      </c>
      <c r="B1875" t="b">
        <v>1</v>
      </c>
      <c r="C1875" t="b">
        <v>1</v>
      </c>
      <c r="D1875" t="b">
        <v>1</v>
      </c>
      <c r="E1875" t="s">
        <v>36</v>
      </c>
      <c r="F1875" t="b">
        <v>0</v>
      </c>
      <c r="H1875" t="s">
        <v>37</v>
      </c>
      <c r="I1875" t="s">
        <v>37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>
        <v>1</v>
      </c>
      <c r="AA1875">
        <v>6</v>
      </c>
      <c r="AB1875">
        <v>0</v>
      </c>
      <c r="AC1875">
        <f>VLOOKUP(A:A,[1]android_repos_all_metrics!B:K,4,FALSE)</f>
        <v>22</v>
      </c>
      <c r="AD1875">
        <f>VLOOKUP(A:A,[1]android_repos_all_metrics!B:K,5,FALSE)</f>
        <v>0</v>
      </c>
      <c r="AE1875">
        <f>VLOOKUP(A:A,[1]android_repos_all_metrics!B:K,6,FALSE)</f>
        <v>1</v>
      </c>
      <c r="AF1875">
        <f>VLOOKUP(A:A,[1]android_repos_all_metrics!B:K,7,FALSE)</f>
        <v>195</v>
      </c>
      <c r="AG1875">
        <f>VLOOKUP(A:A,[1]android_repos_all_metrics!B:K,8,FALSE)</f>
        <v>0</v>
      </c>
      <c r="AH1875">
        <f>VLOOKUP(A:A,[1]android_repos_all_metrics!B:K,9,FALSE)</f>
        <v>1</v>
      </c>
      <c r="AI1875">
        <f>VLOOKUP(A:A,[1]android_repos_all_metrics!B:K,10,FALSE)</f>
        <v>0</v>
      </c>
    </row>
    <row r="1876" spans="1:35">
      <c r="A1876" t="s">
        <v>1946</v>
      </c>
      <c r="B1876" t="b">
        <v>1</v>
      </c>
      <c r="C1876" t="b">
        <v>0</v>
      </c>
      <c r="D1876" t="b">
        <v>0</v>
      </c>
      <c r="F1876" t="b">
        <v>0</v>
      </c>
      <c r="H1876" t="s">
        <v>37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>
        <v>2</v>
      </c>
      <c r="AB1876">
        <v>0</v>
      </c>
      <c r="AC1876">
        <f>VLOOKUP(A:A,[1]android_repos_all_metrics!B:K,4,FALSE)</f>
        <v>53</v>
      </c>
      <c r="AD1876">
        <f>VLOOKUP(A:A,[1]android_repos_all_metrics!B:K,5,FALSE)</f>
        <v>2</v>
      </c>
      <c r="AE1876">
        <f>VLOOKUP(A:A,[1]android_repos_all_metrics!B:K,6,FALSE)</f>
        <v>1</v>
      </c>
      <c r="AF1876">
        <f>VLOOKUP(A:A,[1]android_repos_all_metrics!B:K,7,FALSE)</f>
        <v>15702</v>
      </c>
      <c r="AG1876">
        <f>VLOOKUP(A:A,[1]android_repos_all_metrics!B:K,8,FALSE)</f>
        <v>0</v>
      </c>
      <c r="AH1876">
        <f>VLOOKUP(A:A,[1]android_repos_all_metrics!B:K,9,FALSE)</f>
        <v>13</v>
      </c>
      <c r="AI1876">
        <f>VLOOKUP(A:A,[1]android_repos_all_metrics!B:K,10,FALSE)</f>
        <v>0</v>
      </c>
    </row>
    <row r="1877" spans="1:35">
      <c r="A1877" t="s">
        <v>1947</v>
      </c>
      <c r="B1877" t="b">
        <v>0</v>
      </c>
      <c r="C1877" t="b">
        <v>0</v>
      </c>
      <c r="D1877" t="b">
        <v>0</v>
      </c>
      <c r="F1877" t="b">
        <v>0</v>
      </c>
      <c r="H1877" t="s">
        <v>37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>
        <v>3</v>
      </c>
      <c r="AB1877">
        <v>0</v>
      </c>
      <c r="AC1877">
        <f>VLOOKUP(A:A,[1]android_repos_all_metrics!B:K,4,FALSE)</f>
        <v>217</v>
      </c>
      <c r="AD1877">
        <f>VLOOKUP(A:A,[1]android_repos_all_metrics!B:K,5,FALSE)</f>
        <v>0</v>
      </c>
      <c r="AE1877">
        <f>VLOOKUP(A:A,[1]android_repos_all_metrics!B:K,6,FALSE)</f>
        <v>2</v>
      </c>
      <c r="AF1877">
        <f>VLOOKUP(A:A,[1]android_repos_all_metrics!B:K,7,FALSE)</f>
        <v>5611</v>
      </c>
      <c r="AG1877">
        <f>VLOOKUP(A:A,[1]android_repos_all_metrics!B:K,8,FALSE)</f>
        <v>0</v>
      </c>
      <c r="AH1877">
        <f>VLOOKUP(A:A,[1]android_repos_all_metrics!B:K,9,FALSE)</f>
        <v>3</v>
      </c>
      <c r="AI1877">
        <f>VLOOKUP(A:A,[1]android_repos_all_metrics!B:K,10,FALSE)</f>
        <v>0</v>
      </c>
    </row>
    <row r="1878" spans="1:35">
      <c r="A1878" t="s">
        <v>1948</v>
      </c>
      <c r="B1878" t="b">
        <v>1</v>
      </c>
      <c r="C1878" t="b">
        <v>1</v>
      </c>
      <c r="D1878" t="b">
        <v>0</v>
      </c>
      <c r="F1878" t="b">
        <v>1</v>
      </c>
      <c r="G1878" t="s">
        <v>39</v>
      </c>
      <c r="H1878" t="s">
        <v>40</v>
      </c>
      <c r="I1878" t="s">
        <v>41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>
        <v>2</v>
      </c>
      <c r="AB1878">
        <v>0</v>
      </c>
      <c r="AC1878">
        <f>VLOOKUP(A:A,[1]android_repos_all_metrics!B:K,4,FALSE)</f>
        <v>155</v>
      </c>
      <c r="AD1878">
        <f>VLOOKUP(A:A,[1]android_repos_all_metrics!B:K,5,FALSE)</f>
        <v>7</v>
      </c>
      <c r="AE1878">
        <f>VLOOKUP(A:A,[1]android_repos_all_metrics!B:K,6,FALSE)</f>
        <v>35</v>
      </c>
      <c r="AF1878">
        <f>VLOOKUP(A:A,[1]android_repos_all_metrics!B:K,7,FALSE)</f>
        <v>2496</v>
      </c>
      <c r="AG1878">
        <f>VLOOKUP(A:A,[1]android_repos_all_metrics!B:K,8,FALSE)</f>
        <v>26</v>
      </c>
      <c r="AH1878">
        <f>VLOOKUP(A:A,[1]android_repos_all_metrics!B:K,9,FALSE)</f>
        <v>172</v>
      </c>
      <c r="AI1878">
        <f>VLOOKUP(A:A,[1]android_repos_all_metrics!B:K,10,FALSE)</f>
        <v>15</v>
      </c>
    </row>
    <row r="1879" spans="1:35">
      <c r="A1879" t="s">
        <v>1949</v>
      </c>
      <c r="B1879" t="b">
        <v>1</v>
      </c>
      <c r="C1879" t="b">
        <v>0</v>
      </c>
      <c r="D1879" t="b">
        <v>0</v>
      </c>
      <c r="F1879" t="b">
        <v>0</v>
      </c>
      <c r="H1879" t="s">
        <v>37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>
        <v>1</v>
      </c>
      <c r="AB1879">
        <v>0</v>
      </c>
      <c r="AC1879">
        <f>VLOOKUP(A:A,[1]android_repos_all_metrics!B:K,4,FALSE)</f>
        <v>96</v>
      </c>
      <c r="AD1879">
        <f>VLOOKUP(A:A,[1]android_repos_all_metrics!B:K,5,FALSE)</f>
        <v>3</v>
      </c>
      <c r="AE1879">
        <f>VLOOKUP(A:A,[1]android_repos_all_metrics!B:K,6,FALSE)</f>
        <v>1</v>
      </c>
      <c r="AF1879">
        <f>VLOOKUP(A:A,[1]android_repos_all_metrics!B:K,7,FALSE)</f>
        <v>380</v>
      </c>
      <c r="AG1879">
        <f>VLOOKUP(A:A,[1]android_repos_all_metrics!B:K,8,FALSE)</f>
        <v>0</v>
      </c>
      <c r="AH1879">
        <f>VLOOKUP(A:A,[1]android_repos_all_metrics!B:K,9,FALSE)</f>
        <v>8</v>
      </c>
      <c r="AI1879">
        <f>VLOOKUP(A:A,[1]android_repos_all_metrics!B:K,10,FALSE)</f>
        <v>1</v>
      </c>
    </row>
    <row r="1880" spans="1:35">
      <c r="A1880" t="s">
        <v>1950</v>
      </c>
      <c r="B1880" t="b">
        <v>1</v>
      </c>
      <c r="C1880" t="b">
        <v>1</v>
      </c>
      <c r="D1880" t="b">
        <v>1</v>
      </c>
      <c r="E1880" t="s">
        <v>36</v>
      </c>
      <c r="F1880" t="b">
        <v>0</v>
      </c>
      <c r="H1880" t="s">
        <v>37</v>
      </c>
      <c r="I1880" t="s">
        <v>37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>
        <v>1</v>
      </c>
      <c r="AA1880">
        <v>1</v>
      </c>
      <c r="AB1880">
        <v>0</v>
      </c>
      <c r="AC1880">
        <f>VLOOKUP(A:A,[1]android_repos_all_metrics!B:K,4,FALSE)</f>
        <v>273</v>
      </c>
      <c r="AD1880">
        <f>VLOOKUP(A:A,[1]android_repos_all_metrics!B:K,5,FALSE)</f>
        <v>37</v>
      </c>
      <c r="AE1880">
        <f>VLOOKUP(A:A,[1]android_repos_all_metrics!B:K,6,FALSE)</f>
        <v>2</v>
      </c>
      <c r="AF1880">
        <f>VLOOKUP(A:A,[1]android_repos_all_metrics!B:K,7,FALSE)</f>
        <v>917</v>
      </c>
      <c r="AG1880">
        <f>VLOOKUP(A:A,[1]android_repos_all_metrics!B:K,8,FALSE)</f>
        <v>0</v>
      </c>
      <c r="AH1880">
        <f>VLOOKUP(A:A,[1]android_repos_all_metrics!B:K,9,FALSE)</f>
        <v>1</v>
      </c>
      <c r="AI1880">
        <f>VLOOKUP(A:A,[1]android_repos_all_metrics!B:K,10,FALSE)</f>
        <v>6</v>
      </c>
    </row>
    <row r="1881" spans="1:35">
      <c r="A1881" t="s">
        <v>1951</v>
      </c>
      <c r="B1881" t="b">
        <v>1</v>
      </c>
      <c r="C1881" t="b">
        <v>0</v>
      </c>
      <c r="D1881" t="b">
        <v>0</v>
      </c>
      <c r="F1881" t="b">
        <v>0</v>
      </c>
      <c r="H1881" t="s">
        <v>37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>
        <v>2</v>
      </c>
      <c r="AB1881">
        <v>0</v>
      </c>
      <c r="AC1881">
        <f>VLOOKUP(A:A,[1]android_repos_all_metrics!B:K,4,FALSE)</f>
        <v>161</v>
      </c>
      <c r="AD1881">
        <f>VLOOKUP(A:A,[1]android_repos_all_metrics!B:K,5,FALSE)</f>
        <v>0</v>
      </c>
      <c r="AE1881">
        <f>VLOOKUP(A:A,[1]android_repos_all_metrics!B:K,6,FALSE)</f>
        <v>2</v>
      </c>
      <c r="AF1881">
        <f>VLOOKUP(A:A,[1]android_repos_all_metrics!B:K,7,FALSE)</f>
        <v>2330</v>
      </c>
      <c r="AG1881">
        <f>VLOOKUP(A:A,[1]android_repos_all_metrics!B:K,8,FALSE)</f>
        <v>0</v>
      </c>
      <c r="AH1881">
        <f>VLOOKUP(A:A,[1]android_repos_all_metrics!B:K,9,FALSE)</f>
        <v>3</v>
      </c>
      <c r="AI1881">
        <f>VLOOKUP(A:A,[1]android_repos_all_metrics!B:K,10,FALSE)</f>
        <v>0</v>
      </c>
    </row>
    <row r="1882" spans="1:35">
      <c r="A1882" t="s">
        <v>1952</v>
      </c>
      <c r="B1882" t="b">
        <v>1</v>
      </c>
      <c r="C1882" t="b">
        <v>0</v>
      </c>
      <c r="D1882" t="b">
        <v>0</v>
      </c>
      <c r="F1882" t="b">
        <v>0</v>
      </c>
      <c r="H1882" t="s">
        <v>37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>
        <v>1</v>
      </c>
      <c r="AB1882">
        <v>0</v>
      </c>
      <c r="AC1882">
        <f>VLOOKUP(A:A,[1]android_repos_all_metrics!B:K,4,FALSE)</f>
        <v>402</v>
      </c>
      <c r="AD1882">
        <f>VLOOKUP(A:A,[1]android_repos_all_metrics!B:K,5,FALSE)</f>
        <v>50</v>
      </c>
      <c r="AE1882">
        <f>VLOOKUP(A:A,[1]android_repos_all_metrics!B:K,6,FALSE)</f>
        <v>7</v>
      </c>
      <c r="AF1882">
        <f>VLOOKUP(A:A,[1]android_repos_all_metrics!B:K,7,FALSE)</f>
        <v>12583</v>
      </c>
      <c r="AG1882">
        <f>VLOOKUP(A:A,[1]android_repos_all_metrics!B:K,8,FALSE)</f>
        <v>8</v>
      </c>
      <c r="AH1882">
        <f>VLOOKUP(A:A,[1]android_repos_all_metrics!B:K,9,FALSE)</f>
        <v>10</v>
      </c>
      <c r="AI1882">
        <f>VLOOKUP(A:A,[1]android_repos_all_metrics!B:K,10,FALSE)</f>
        <v>3</v>
      </c>
    </row>
    <row r="1883" spans="1:35">
      <c r="A1883" t="s">
        <v>1953</v>
      </c>
      <c r="B1883" t="b">
        <v>1</v>
      </c>
      <c r="C1883" t="b">
        <v>0</v>
      </c>
      <c r="D1883" t="b">
        <v>0</v>
      </c>
      <c r="F1883" t="b">
        <v>0</v>
      </c>
      <c r="H1883" t="s">
        <v>37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>
        <v>1</v>
      </c>
      <c r="AB1883">
        <v>0</v>
      </c>
      <c r="AC1883">
        <f>VLOOKUP(A:A,[1]android_repos_all_metrics!B:K,4,FALSE)</f>
        <v>75</v>
      </c>
      <c r="AD1883">
        <f>VLOOKUP(A:A,[1]android_repos_all_metrics!B:K,5,FALSE)</f>
        <v>0</v>
      </c>
      <c r="AE1883">
        <f>VLOOKUP(A:A,[1]android_repos_all_metrics!B:K,6,FALSE)</f>
        <v>1</v>
      </c>
      <c r="AF1883">
        <f>VLOOKUP(A:A,[1]android_repos_all_metrics!B:K,7,FALSE)</f>
        <v>44272</v>
      </c>
      <c r="AG1883">
        <f>VLOOKUP(A:A,[1]android_repos_all_metrics!B:K,8,FALSE)</f>
        <v>1</v>
      </c>
      <c r="AH1883">
        <f>VLOOKUP(A:A,[1]android_repos_all_metrics!B:K,9,FALSE)</f>
        <v>14</v>
      </c>
      <c r="AI1883">
        <f>VLOOKUP(A:A,[1]android_repos_all_metrics!B:K,10,FALSE)</f>
        <v>0</v>
      </c>
    </row>
    <row r="1884" spans="1:35">
      <c r="A1884" t="s">
        <v>1954</v>
      </c>
      <c r="B1884" t="b">
        <v>1</v>
      </c>
      <c r="C1884" t="b">
        <v>0</v>
      </c>
      <c r="D1884" t="b">
        <v>0</v>
      </c>
      <c r="F1884" t="b">
        <v>0</v>
      </c>
      <c r="H1884" t="s">
        <v>37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>
        <v>1</v>
      </c>
      <c r="AB1884">
        <v>0</v>
      </c>
      <c r="AC1884">
        <f>VLOOKUP(A:A,[1]android_repos_all_metrics!B:K,4,FALSE)</f>
        <v>2100</v>
      </c>
      <c r="AD1884">
        <f>VLOOKUP(A:A,[1]android_repos_all_metrics!B:K,5,FALSE)</f>
        <v>53</v>
      </c>
      <c r="AE1884">
        <f>VLOOKUP(A:A,[1]android_repos_all_metrics!B:K,6,FALSE)</f>
        <v>3</v>
      </c>
      <c r="AF1884">
        <f>VLOOKUP(A:A,[1]android_repos_all_metrics!B:K,7,FALSE)</f>
        <v>158663</v>
      </c>
      <c r="AG1884">
        <f>VLOOKUP(A:A,[1]android_repos_all_metrics!B:K,8,FALSE)</f>
        <v>41</v>
      </c>
      <c r="AH1884">
        <f>VLOOKUP(A:A,[1]android_repos_all_metrics!B:K,9,FALSE)</f>
        <v>98</v>
      </c>
      <c r="AI1884">
        <f>VLOOKUP(A:A,[1]android_repos_all_metrics!B:K,10,FALSE)</f>
        <v>47</v>
      </c>
    </row>
    <row r="1885" spans="1:35">
      <c r="A1885" t="s">
        <v>1955</v>
      </c>
      <c r="B1885" t="b">
        <v>1</v>
      </c>
      <c r="C1885" t="b">
        <v>0</v>
      </c>
      <c r="D1885" t="b">
        <v>0</v>
      </c>
      <c r="F1885" t="b">
        <v>0</v>
      </c>
      <c r="H1885" t="s">
        <v>37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>
        <v>2</v>
      </c>
      <c r="AB1885">
        <v>0</v>
      </c>
      <c r="AC1885">
        <f>VLOOKUP(A:A,[1]android_repos_all_metrics!B:K,4,FALSE)</f>
        <v>972</v>
      </c>
      <c r="AD1885">
        <f>VLOOKUP(A:A,[1]android_repos_all_metrics!B:K,5,FALSE)</f>
        <v>6</v>
      </c>
      <c r="AE1885">
        <f>VLOOKUP(A:A,[1]android_repos_all_metrics!B:K,6,FALSE)</f>
        <v>3</v>
      </c>
      <c r="AF1885">
        <f>VLOOKUP(A:A,[1]android_repos_all_metrics!B:K,7,FALSE)</f>
        <v>35115</v>
      </c>
      <c r="AG1885">
        <f>VLOOKUP(A:A,[1]android_repos_all_metrics!B:K,8,FALSE)</f>
        <v>37</v>
      </c>
      <c r="AH1885">
        <f>VLOOKUP(A:A,[1]android_repos_all_metrics!B:K,9,FALSE)</f>
        <v>72</v>
      </c>
      <c r="AI1885">
        <f>VLOOKUP(A:A,[1]android_repos_all_metrics!B:K,10,FALSE)</f>
        <v>4</v>
      </c>
    </row>
    <row r="1886" spans="1:35">
      <c r="A1886" t="s">
        <v>1956</v>
      </c>
      <c r="B1886" t="b">
        <v>1</v>
      </c>
      <c r="C1886" t="b">
        <v>0</v>
      </c>
      <c r="D1886" t="b">
        <v>0</v>
      </c>
      <c r="F1886" t="b">
        <v>0</v>
      </c>
      <c r="H1886" t="s">
        <v>37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>
        <v>1</v>
      </c>
      <c r="AB1886">
        <v>0</v>
      </c>
      <c r="AC1886">
        <f>VLOOKUP(A:A,[1]android_repos_all_metrics!B:K,4,FALSE)</f>
        <v>57</v>
      </c>
      <c r="AD1886">
        <f>VLOOKUP(A:A,[1]android_repos_all_metrics!B:K,5,FALSE)</f>
        <v>34</v>
      </c>
      <c r="AE1886">
        <f>VLOOKUP(A:A,[1]android_repos_all_metrics!B:K,6,FALSE)</f>
        <v>12</v>
      </c>
      <c r="AF1886">
        <f>VLOOKUP(A:A,[1]android_repos_all_metrics!B:K,7,FALSE)</f>
        <v>4980</v>
      </c>
      <c r="AG1886">
        <f>VLOOKUP(A:A,[1]android_repos_all_metrics!B:K,8,FALSE)</f>
        <v>15</v>
      </c>
      <c r="AH1886">
        <f>VLOOKUP(A:A,[1]android_repos_all_metrics!B:K,9,FALSE)</f>
        <v>37</v>
      </c>
      <c r="AI1886">
        <f>VLOOKUP(A:A,[1]android_repos_all_metrics!B:K,10,FALSE)</f>
        <v>22</v>
      </c>
    </row>
    <row r="1887" spans="1:35">
      <c r="A1887" t="s">
        <v>1957</v>
      </c>
      <c r="B1887" t="b">
        <v>1</v>
      </c>
      <c r="C1887" t="b">
        <v>0</v>
      </c>
      <c r="D1887" t="b">
        <v>0</v>
      </c>
      <c r="F1887" t="b">
        <v>0</v>
      </c>
      <c r="H1887" t="s">
        <v>43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>
        <v>1</v>
      </c>
      <c r="AB1887">
        <v>0</v>
      </c>
      <c r="AC1887" t="e">
        <f>VLOOKUP(A:A,[1]android_repos_all_metrics!B:K,4,FALSE)</f>
        <v>#N/A</v>
      </c>
      <c r="AD1887" t="e">
        <f>VLOOKUP(A:A,[1]android_repos_all_metrics!B:K,5,FALSE)</f>
        <v>#N/A</v>
      </c>
      <c r="AE1887" t="e">
        <f>VLOOKUP(A:A,[1]android_repos_all_metrics!B:K,6,FALSE)</f>
        <v>#N/A</v>
      </c>
      <c r="AF1887" t="e">
        <f>VLOOKUP(A:A,[1]android_repos_all_metrics!B:K,7,FALSE)</f>
        <v>#N/A</v>
      </c>
      <c r="AG1887" t="e">
        <f>VLOOKUP(A:A,[1]android_repos_all_metrics!B:K,8,FALSE)</f>
        <v>#N/A</v>
      </c>
      <c r="AH1887" t="e">
        <f>VLOOKUP(A:A,[1]android_repos_all_metrics!B:K,9,FALSE)</f>
        <v>#N/A</v>
      </c>
      <c r="AI1887" t="e">
        <f>VLOOKUP(A:A,[1]android_repos_all_metrics!B:K,10,FALSE)</f>
        <v>#N/A</v>
      </c>
    </row>
    <row r="1888" spans="1:35">
      <c r="A1888" t="s">
        <v>1958</v>
      </c>
      <c r="B1888" t="b">
        <v>1</v>
      </c>
      <c r="C1888" t="b">
        <v>0</v>
      </c>
      <c r="D1888" t="b">
        <v>0</v>
      </c>
      <c r="F1888" t="b">
        <v>0</v>
      </c>
      <c r="H1888" t="s">
        <v>37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>
        <v>2</v>
      </c>
      <c r="AB1888">
        <v>0</v>
      </c>
      <c r="AC1888">
        <f>VLOOKUP(A:A,[1]android_repos_all_metrics!B:K,4,FALSE)</f>
        <v>677</v>
      </c>
      <c r="AD1888">
        <f>VLOOKUP(A:A,[1]android_repos_all_metrics!B:K,5,FALSE)</f>
        <v>75</v>
      </c>
      <c r="AE1888">
        <f>VLOOKUP(A:A,[1]android_repos_all_metrics!B:K,6,FALSE)</f>
        <v>5</v>
      </c>
      <c r="AF1888">
        <f>VLOOKUP(A:A,[1]android_repos_all_metrics!B:K,7,FALSE)</f>
        <v>7789</v>
      </c>
      <c r="AG1888">
        <f>VLOOKUP(A:A,[1]android_repos_all_metrics!B:K,8,FALSE)</f>
        <v>4</v>
      </c>
      <c r="AH1888">
        <f>VLOOKUP(A:A,[1]android_repos_all_metrics!B:K,9,FALSE)</f>
        <v>163</v>
      </c>
      <c r="AI1888">
        <f>VLOOKUP(A:A,[1]android_repos_all_metrics!B:K,10,FALSE)</f>
        <v>6</v>
      </c>
    </row>
    <row r="1889" spans="1:35">
      <c r="A1889" t="s">
        <v>1959</v>
      </c>
      <c r="B1889" t="b">
        <v>1</v>
      </c>
      <c r="C1889" t="b">
        <v>0</v>
      </c>
      <c r="D1889" t="b">
        <v>0</v>
      </c>
      <c r="F1889" t="b">
        <v>0</v>
      </c>
      <c r="H1889" t="s">
        <v>110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>
        <v>3</v>
      </c>
      <c r="AB1889">
        <v>0</v>
      </c>
      <c r="AC1889">
        <f>VLOOKUP(A:A,[1]android_repos_all_metrics!B:K,4,FALSE)</f>
        <v>2931</v>
      </c>
      <c r="AD1889">
        <f>VLOOKUP(A:A,[1]android_repos_all_metrics!B:K,5,FALSE)</f>
        <v>399</v>
      </c>
      <c r="AE1889">
        <f>VLOOKUP(A:A,[1]android_repos_all_metrics!B:K,6,FALSE)</f>
        <v>3</v>
      </c>
      <c r="AF1889">
        <f>VLOOKUP(A:A,[1]android_repos_all_metrics!B:K,7,FALSE)</f>
        <v>52615</v>
      </c>
      <c r="AG1889">
        <f>VLOOKUP(A:A,[1]android_repos_all_metrics!B:K,8,FALSE)</f>
        <v>7</v>
      </c>
      <c r="AH1889">
        <f>VLOOKUP(A:A,[1]android_repos_all_metrics!B:K,9,FALSE)</f>
        <v>28</v>
      </c>
      <c r="AI1889">
        <f>VLOOKUP(A:A,[1]android_repos_all_metrics!B:K,10,FALSE)</f>
        <v>43</v>
      </c>
    </row>
    <row r="1890" spans="1:35">
      <c r="A1890" t="s">
        <v>1960</v>
      </c>
      <c r="B1890" t="b">
        <v>1</v>
      </c>
      <c r="C1890" t="b">
        <v>0</v>
      </c>
      <c r="D1890" t="b">
        <v>0</v>
      </c>
      <c r="F1890" t="b">
        <v>0</v>
      </c>
      <c r="H1890" t="s">
        <v>37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>
        <v>1</v>
      </c>
      <c r="AB1890">
        <v>0</v>
      </c>
      <c r="AC1890">
        <f>VLOOKUP(A:A,[1]android_repos_all_metrics!B:K,4,FALSE)</f>
        <v>107</v>
      </c>
      <c r="AD1890">
        <f>VLOOKUP(A:A,[1]android_repos_all_metrics!B:K,5,FALSE)</f>
        <v>0</v>
      </c>
      <c r="AE1890">
        <f>VLOOKUP(A:A,[1]android_repos_all_metrics!B:K,6,FALSE)</f>
        <v>1</v>
      </c>
      <c r="AF1890">
        <f>VLOOKUP(A:A,[1]android_repos_all_metrics!B:K,7,FALSE)</f>
        <v>219</v>
      </c>
      <c r="AG1890">
        <f>VLOOKUP(A:A,[1]android_repos_all_metrics!B:K,8,FALSE)</f>
        <v>0</v>
      </c>
      <c r="AH1890">
        <f>VLOOKUP(A:A,[1]android_repos_all_metrics!B:K,9,FALSE)</f>
        <v>3</v>
      </c>
      <c r="AI1890">
        <f>VLOOKUP(A:A,[1]android_repos_all_metrics!B:K,10,FALSE)</f>
        <v>0</v>
      </c>
    </row>
    <row r="1891" spans="1:35">
      <c r="A1891" t="s">
        <v>1961</v>
      </c>
      <c r="B1891" t="b">
        <v>1</v>
      </c>
      <c r="C1891" t="b">
        <v>1</v>
      </c>
      <c r="D1891" t="b">
        <v>0</v>
      </c>
      <c r="F1891" t="b">
        <v>1</v>
      </c>
      <c r="G1891" t="s">
        <v>39</v>
      </c>
      <c r="H1891" t="s">
        <v>41</v>
      </c>
      <c r="I1891" t="s">
        <v>41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>
        <v>1</v>
      </c>
      <c r="AB1891">
        <v>0</v>
      </c>
      <c r="AC1891">
        <f>VLOOKUP(A:A,[1]android_repos_all_metrics!B:K,4,FALSE)</f>
        <v>628</v>
      </c>
      <c r="AD1891">
        <f>VLOOKUP(A:A,[1]android_repos_all_metrics!B:K,5,FALSE)</f>
        <v>69</v>
      </c>
      <c r="AE1891">
        <f>VLOOKUP(A:A,[1]android_repos_all_metrics!B:K,6,FALSE)</f>
        <v>17</v>
      </c>
      <c r="AF1891">
        <f>VLOOKUP(A:A,[1]android_repos_all_metrics!B:K,7,FALSE)</f>
        <v>33762</v>
      </c>
      <c r="AG1891">
        <f>VLOOKUP(A:A,[1]android_repos_all_metrics!B:K,8,FALSE)</f>
        <v>66</v>
      </c>
      <c r="AH1891">
        <f>VLOOKUP(A:A,[1]android_repos_all_metrics!B:K,9,FALSE)</f>
        <v>278</v>
      </c>
      <c r="AI1891">
        <f>VLOOKUP(A:A,[1]android_repos_all_metrics!B:K,10,FALSE)</f>
        <v>36</v>
      </c>
    </row>
    <row r="1892" spans="1:35">
      <c r="A1892" t="s">
        <v>1962</v>
      </c>
      <c r="B1892" t="b">
        <v>1</v>
      </c>
      <c r="C1892" t="b">
        <v>0</v>
      </c>
      <c r="D1892" t="b">
        <v>0</v>
      </c>
      <c r="F1892" t="b">
        <v>0</v>
      </c>
      <c r="H1892" t="s">
        <v>37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>
        <v>1</v>
      </c>
      <c r="AB1892">
        <v>0</v>
      </c>
      <c r="AC1892">
        <f>VLOOKUP(A:A,[1]android_repos_all_metrics!B:K,4,FALSE)</f>
        <v>60</v>
      </c>
      <c r="AD1892">
        <f>VLOOKUP(A:A,[1]android_repos_all_metrics!B:K,5,FALSE)</f>
        <v>2</v>
      </c>
      <c r="AE1892">
        <f>VLOOKUP(A:A,[1]android_repos_all_metrics!B:K,6,FALSE)</f>
        <v>1</v>
      </c>
      <c r="AF1892">
        <f>VLOOKUP(A:A,[1]android_repos_all_metrics!B:K,7,FALSE)</f>
        <v>743</v>
      </c>
      <c r="AG1892">
        <f>VLOOKUP(A:A,[1]android_repos_all_metrics!B:K,8,FALSE)</f>
        <v>1</v>
      </c>
      <c r="AH1892">
        <f>VLOOKUP(A:A,[1]android_repos_all_metrics!B:K,9,FALSE)</f>
        <v>23</v>
      </c>
      <c r="AI1892">
        <f>VLOOKUP(A:A,[1]android_repos_all_metrics!B:K,10,FALSE)</f>
        <v>6</v>
      </c>
    </row>
    <row r="1893" spans="1:35">
      <c r="A1893" t="s">
        <v>1963</v>
      </c>
      <c r="B1893" t="b">
        <v>1</v>
      </c>
      <c r="C1893" t="b">
        <v>0</v>
      </c>
      <c r="D1893" t="b">
        <v>0</v>
      </c>
      <c r="F1893" t="b">
        <v>0</v>
      </c>
      <c r="H1893" t="s">
        <v>37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>
        <v>2</v>
      </c>
      <c r="AB1893">
        <v>0</v>
      </c>
      <c r="AC1893">
        <f>VLOOKUP(A:A,[1]android_repos_all_metrics!B:K,4,FALSE)</f>
        <v>821</v>
      </c>
      <c r="AD1893">
        <f>VLOOKUP(A:A,[1]android_repos_all_metrics!B:K,5,FALSE)</f>
        <v>293</v>
      </c>
      <c r="AE1893">
        <f>VLOOKUP(A:A,[1]android_repos_all_metrics!B:K,6,FALSE)</f>
        <v>14</v>
      </c>
      <c r="AF1893">
        <f>VLOOKUP(A:A,[1]android_repos_all_metrics!B:K,7,FALSE)</f>
        <v>7146</v>
      </c>
      <c r="AG1893">
        <f>VLOOKUP(A:A,[1]android_repos_all_metrics!B:K,8,FALSE)</f>
        <v>13</v>
      </c>
      <c r="AH1893">
        <f>VLOOKUP(A:A,[1]android_repos_all_metrics!B:K,9,FALSE)</f>
        <v>25</v>
      </c>
      <c r="AI1893">
        <f>VLOOKUP(A:A,[1]android_repos_all_metrics!B:K,10,FALSE)</f>
        <v>5</v>
      </c>
    </row>
    <row r="1894" spans="1:35">
      <c r="A1894" t="s">
        <v>1964</v>
      </c>
      <c r="B1894" t="b">
        <v>1</v>
      </c>
      <c r="C1894" t="b">
        <v>0</v>
      </c>
      <c r="D1894" t="b">
        <v>0</v>
      </c>
      <c r="F1894" t="b">
        <v>0</v>
      </c>
      <c r="H1894" t="s">
        <v>37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>
        <v>1</v>
      </c>
      <c r="AB1894">
        <v>0</v>
      </c>
      <c r="AC1894">
        <f>VLOOKUP(A:A,[1]android_repos_all_metrics!B:K,4,FALSE)</f>
        <v>114</v>
      </c>
      <c r="AD1894">
        <f>VLOOKUP(A:A,[1]android_repos_all_metrics!B:K,5,FALSE)</f>
        <v>10</v>
      </c>
      <c r="AE1894">
        <f>VLOOKUP(A:A,[1]android_repos_all_metrics!B:K,6,FALSE)</f>
        <v>4</v>
      </c>
      <c r="AF1894">
        <f>VLOOKUP(A:A,[1]android_repos_all_metrics!B:K,7,FALSE)</f>
        <v>1590</v>
      </c>
      <c r="AG1894">
        <f>VLOOKUP(A:A,[1]android_repos_all_metrics!B:K,8,FALSE)</f>
        <v>36</v>
      </c>
      <c r="AH1894">
        <f>VLOOKUP(A:A,[1]android_repos_all_metrics!B:K,9,FALSE)</f>
        <v>609</v>
      </c>
      <c r="AI1894">
        <f>VLOOKUP(A:A,[1]android_repos_all_metrics!B:K,10,FALSE)</f>
        <v>0</v>
      </c>
    </row>
    <row r="1895" spans="1:35">
      <c r="A1895" t="s">
        <v>1965</v>
      </c>
      <c r="B1895" t="b">
        <v>1</v>
      </c>
      <c r="C1895" t="b">
        <v>0</v>
      </c>
      <c r="D1895" t="b">
        <v>0</v>
      </c>
      <c r="F1895" t="b">
        <v>0</v>
      </c>
      <c r="H1895" t="s">
        <v>37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>
        <v>13</v>
      </c>
      <c r="AB1895">
        <v>0</v>
      </c>
      <c r="AC1895">
        <f>VLOOKUP(A:A,[1]android_repos_all_metrics!B:K,4,FALSE)</f>
        <v>1294</v>
      </c>
      <c r="AD1895">
        <f>VLOOKUP(A:A,[1]android_repos_all_metrics!B:K,5,FALSE)</f>
        <v>805</v>
      </c>
      <c r="AE1895">
        <f>VLOOKUP(A:A,[1]android_repos_all_metrics!B:K,6,FALSE)</f>
        <v>16</v>
      </c>
      <c r="AF1895">
        <f>VLOOKUP(A:A,[1]android_repos_all_metrics!B:K,7,FALSE)</f>
        <v>5496</v>
      </c>
      <c r="AG1895">
        <f>VLOOKUP(A:A,[1]android_repos_all_metrics!B:K,8,FALSE)</f>
        <v>13</v>
      </c>
      <c r="AH1895">
        <f>VLOOKUP(A:A,[1]android_repos_all_metrics!B:K,9,FALSE)</f>
        <v>31</v>
      </c>
      <c r="AI1895">
        <f>VLOOKUP(A:A,[1]android_repos_all_metrics!B:K,10,FALSE)</f>
        <v>51</v>
      </c>
    </row>
    <row r="1896" spans="1:35">
      <c r="A1896" t="s">
        <v>1966</v>
      </c>
      <c r="B1896" t="b">
        <v>1</v>
      </c>
      <c r="C1896" t="b">
        <v>0</v>
      </c>
      <c r="D1896" t="b">
        <v>0</v>
      </c>
      <c r="F1896" t="b">
        <v>0</v>
      </c>
      <c r="H1896" t="s">
        <v>37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>
        <v>1</v>
      </c>
      <c r="AB1896">
        <v>0</v>
      </c>
      <c r="AC1896">
        <f>VLOOKUP(A:A,[1]android_repos_all_metrics!B:K,4,FALSE)</f>
        <v>1229</v>
      </c>
      <c r="AD1896">
        <f>VLOOKUP(A:A,[1]android_repos_all_metrics!B:K,5,FALSE)</f>
        <v>79</v>
      </c>
      <c r="AE1896">
        <f>VLOOKUP(A:A,[1]android_repos_all_metrics!B:K,6,FALSE)</f>
        <v>4</v>
      </c>
      <c r="AF1896">
        <f>VLOOKUP(A:A,[1]android_repos_all_metrics!B:K,7,FALSE)</f>
        <v>120940</v>
      </c>
      <c r="AG1896">
        <f>VLOOKUP(A:A,[1]android_repos_all_metrics!B:K,8,FALSE)</f>
        <v>45</v>
      </c>
      <c r="AH1896">
        <f>VLOOKUP(A:A,[1]android_repos_all_metrics!B:K,9,FALSE)</f>
        <v>281</v>
      </c>
      <c r="AI1896">
        <f>VLOOKUP(A:A,[1]android_repos_all_metrics!B:K,10,FALSE)</f>
        <v>6</v>
      </c>
    </row>
    <row r="1897" spans="1:35">
      <c r="A1897" t="s">
        <v>1967</v>
      </c>
      <c r="B1897" t="b">
        <v>1</v>
      </c>
      <c r="C1897" t="b">
        <v>0</v>
      </c>
      <c r="D1897" t="b">
        <v>0</v>
      </c>
      <c r="F1897" t="b">
        <v>0</v>
      </c>
      <c r="H1897" t="s">
        <v>37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>
        <v>1</v>
      </c>
      <c r="AB1897">
        <v>0</v>
      </c>
      <c r="AC1897">
        <f>VLOOKUP(A:A,[1]android_repos_all_metrics!B:K,4,FALSE)</f>
        <v>1511</v>
      </c>
      <c r="AD1897">
        <f>VLOOKUP(A:A,[1]android_repos_all_metrics!B:K,5,FALSE)</f>
        <v>270</v>
      </c>
      <c r="AE1897">
        <f>VLOOKUP(A:A,[1]android_repos_all_metrics!B:K,6,FALSE)</f>
        <v>11</v>
      </c>
      <c r="AF1897">
        <f>VLOOKUP(A:A,[1]android_repos_all_metrics!B:K,7,FALSE)</f>
        <v>34946</v>
      </c>
      <c r="AG1897">
        <f>VLOOKUP(A:A,[1]android_repos_all_metrics!B:K,8,FALSE)</f>
        <v>23</v>
      </c>
      <c r="AH1897">
        <f>VLOOKUP(A:A,[1]android_repos_all_metrics!B:K,9,FALSE)</f>
        <v>111</v>
      </c>
      <c r="AI1897">
        <f>VLOOKUP(A:A,[1]android_repos_all_metrics!B:K,10,FALSE)</f>
        <v>20</v>
      </c>
    </row>
    <row r="1898" spans="1:35">
      <c r="A1898" t="s">
        <v>1968</v>
      </c>
      <c r="B1898" t="b">
        <v>1</v>
      </c>
      <c r="C1898" t="b">
        <v>0</v>
      </c>
      <c r="D1898" t="b">
        <v>0</v>
      </c>
      <c r="F1898" t="b">
        <v>0</v>
      </c>
      <c r="H1898" t="s">
        <v>37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>
        <v>1</v>
      </c>
      <c r="AB1898">
        <v>0</v>
      </c>
      <c r="AC1898">
        <f>VLOOKUP(A:A,[1]android_repos_all_metrics!B:K,4,FALSE)</f>
        <v>171</v>
      </c>
      <c r="AD1898">
        <f>VLOOKUP(A:A,[1]android_repos_all_metrics!B:K,5,FALSE)</f>
        <v>9</v>
      </c>
      <c r="AE1898">
        <f>VLOOKUP(A:A,[1]android_repos_all_metrics!B:K,6,FALSE)</f>
        <v>1</v>
      </c>
      <c r="AF1898">
        <f>VLOOKUP(A:A,[1]android_repos_all_metrics!B:K,7,FALSE)</f>
        <v>6537</v>
      </c>
      <c r="AG1898">
        <f>VLOOKUP(A:A,[1]android_repos_all_metrics!B:K,8,FALSE)</f>
        <v>0</v>
      </c>
      <c r="AH1898">
        <f>VLOOKUP(A:A,[1]android_repos_all_metrics!B:K,9,FALSE)</f>
        <v>22</v>
      </c>
      <c r="AI1898">
        <f>VLOOKUP(A:A,[1]android_repos_all_metrics!B:K,10,FALSE)</f>
        <v>0</v>
      </c>
    </row>
    <row r="1899" spans="1:35">
      <c r="A1899" t="s">
        <v>1969</v>
      </c>
      <c r="B1899" t="b">
        <v>1</v>
      </c>
      <c r="C1899" t="b">
        <v>0</v>
      </c>
      <c r="D1899" t="b">
        <v>0</v>
      </c>
      <c r="F1899" t="b">
        <v>0</v>
      </c>
      <c r="H1899" t="s">
        <v>41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>
        <v>1</v>
      </c>
      <c r="AB1899">
        <v>0</v>
      </c>
      <c r="AC1899">
        <f>VLOOKUP(A:A,[1]android_repos_all_metrics!B:K,4,FALSE)</f>
        <v>3128</v>
      </c>
      <c r="AD1899">
        <f>VLOOKUP(A:A,[1]android_repos_all_metrics!B:K,5,FALSE)</f>
        <v>609</v>
      </c>
      <c r="AE1899">
        <f>VLOOKUP(A:A,[1]android_repos_all_metrics!B:K,6,FALSE)</f>
        <v>56</v>
      </c>
      <c r="AF1899">
        <f>VLOOKUP(A:A,[1]android_repos_all_metrics!B:K,7,FALSE)</f>
        <v>11482</v>
      </c>
      <c r="AG1899">
        <f>VLOOKUP(A:A,[1]android_repos_all_metrics!B:K,8,FALSE)</f>
        <v>263</v>
      </c>
      <c r="AH1899">
        <f>VLOOKUP(A:A,[1]android_repos_all_metrics!B:K,9,FALSE)</f>
        <v>662</v>
      </c>
      <c r="AI1899">
        <f>VLOOKUP(A:A,[1]android_repos_all_metrics!B:K,10,FALSE)</f>
        <v>177</v>
      </c>
    </row>
    <row r="1900" spans="1:35">
      <c r="A1900" t="s">
        <v>1970</v>
      </c>
      <c r="B1900" t="b">
        <v>0</v>
      </c>
      <c r="C1900" t="b">
        <v>0</v>
      </c>
      <c r="D1900" t="b">
        <v>0</v>
      </c>
      <c r="F1900" t="b">
        <v>0</v>
      </c>
      <c r="H1900" t="s">
        <v>41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>
        <v>1</v>
      </c>
      <c r="AB1900">
        <v>0</v>
      </c>
      <c r="AC1900">
        <f>VLOOKUP(A:A,[1]android_repos_all_metrics!B:K,4,FALSE)</f>
        <v>11</v>
      </c>
      <c r="AD1900">
        <f>VLOOKUP(A:A,[1]android_repos_all_metrics!B:K,5,FALSE)</f>
        <v>0</v>
      </c>
      <c r="AE1900">
        <f>VLOOKUP(A:A,[1]android_repos_all_metrics!B:K,6,FALSE)</f>
        <v>1</v>
      </c>
      <c r="AF1900">
        <f>VLOOKUP(A:A,[1]android_repos_all_metrics!B:K,7,FALSE)</f>
        <v>277</v>
      </c>
      <c r="AG1900">
        <f>VLOOKUP(A:A,[1]android_repos_all_metrics!B:K,8,FALSE)</f>
        <v>1</v>
      </c>
      <c r="AH1900">
        <f>VLOOKUP(A:A,[1]android_repos_all_metrics!B:K,9,FALSE)</f>
        <v>3</v>
      </c>
      <c r="AI1900">
        <f>VLOOKUP(A:A,[1]android_repos_all_metrics!B:K,10,FALSE)</f>
        <v>0</v>
      </c>
    </row>
    <row r="1901" spans="1:35">
      <c r="A1901" t="s">
        <v>1971</v>
      </c>
      <c r="B1901" t="b">
        <v>1</v>
      </c>
      <c r="C1901" t="b">
        <v>0</v>
      </c>
      <c r="D1901" t="b">
        <v>0</v>
      </c>
      <c r="F1901" t="b">
        <v>0</v>
      </c>
      <c r="H1901" t="s">
        <v>37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>
        <v>2</v>
      </c>
      <c r="AB1901">
        <v>0</v>
      </c>
      <c r="AC1901">
        <f>VLOOKUP(A:A,[1]android_repos_all_metrics!B:K,4,FALSE)</f>
        <v>283</v>
      </c>
      <c r="AD1901">
        <f>VLOOKUP(A:A,[1]android_repos_all_metrics!B:K,5,FALSE)</f>
        <v>38</v>
      </c>
      <c r="AE1901">
        <f>VLOOKUP(A:A,[1]android_repos_all_metrics!B:K,6,FALSE)</f>
        <v>4</v>
      </c>
      <c r="AF1901">
        <f>VLOOKUP(A:A,[1]android_repos_all_metrics!B:K,7,FALSE)</f>
        <v>1002</v>
      </c>
      <c r="AG1901">
        <f>VLOOKUP(A:A,[1]android_repos_all_metrics!B:K,8,FALSE)</f>
        <v>1</v>
      </c>
      <c r="AH1901">
        <f>VLOOKUP(A:A,[1]android_repos_all_metrics!B:K,9,FALSE)</f>
        <v>56</v>
      </c>
      <c r="AI1901">
        <f>VLOOKUP(A:A,[1]android_repos_all_metrics!B:K,10,FALSE)</f>
        <v>6</v>
      </c>
    </row>
    <row r="1902" spans="1:35">
      <c r="A1902" t="s">
        <v>1972</v>
      </c>
      <c r="B1902" t="b">
        <v>0</v>
      </c>
      <c r="C1902" t="b">
        <v>0</v>
      </c>
      <c r="D1902" t="b">
        <v>0</v>
      </c>
      <c r="F1902" t="b">
        <v>0</v>
      </c>
      <c r="H1902" t="s">
        <v>41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>
        <v>1</v>
      </c>
      <c r="AB1902">
        <v>0</v>
      </c>
      <c r="AC1902">
        <f>VLOOKUP(A:A,[1]android_repos_all_metrics!B:K,4,FALSE)</f>
        <v>152</v>
      </c>
      <c r="AD1902">
        <f>VLOOKUP(A:A,[1]android_repos_all_metrics!B:K,5,FALSE)</f>
        <v>1</v>
      </c>
      <c r="AE1902">
        <f>VLOOKUP(A:A,[1]android_repos_all_metrics!B:K,6,FALSE)</f>
        <v>2</v>
      </c>
      <c r="AF1902">
        <f>VLOOKUP(A:A,[1]android_repos_all_metrics!B:K,7,FALSE)</f>
        <v>1542</v>
      </c>
      <c r="AG1902">
        <f>VLOOKUP(A:A,[1]android_repos_all_metrics!B:K,8,FALSE)</f>
        <v>0</v>
      </c>
      <c r="AH1902">
        <f>VLOOKUP(A:A,[1]android_repos_all_metrics!B:K,9,FALSE)</f>
        <v>11</v>
      </c>
      <c r="AI1902">
        <f>VLOOKUP(A:A,[1]android_repos_all_metrics!B:K,10,FALSE)</f>
        <v>1</v>
      </c>
    </row>
    <row r="1903" spans="1:35">
      <c r="A1903" t="s">
        <v>1973</v>
      </c>
      <c r="B1903" t="b">
        <v>1</v>
      </c>
      <c r="C1903" t="b">
        <v>0</v>
      </c>
      <c r="D1903" t="b">
        <v>0</v>
      </c>
      <c r="F1903" t="b">
        <v>0</v>
      </c>
      <c r="H1903" t="s">
        <v>37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>
        <v>2</v>
      </c>
      <c r="AB1903">
        <v>0</v>
      </c>
      <c r="AC1903">
        <f>VLOOKUP(A:A,[1]android_repos_all_metrics!B:K,4,FALSE)</f>
        <v>57</v>
      </c>
      <c r="AD1903">
        <f>VLOOKUP(A:A,[1]android_repos_all_metrics!B:K,5,FALSE)</f>
        <v>11</v>
      </c>
      <c r="AE1903">
        <f>VLOOKUP(A:A,[1]android_repos_all_metrics!B:K,6,FALSE)</f>
        <v>6</v>
      </c>
      <c r="AF1903">
        <f>VLOOKUP(A:A,[1]android_repos_all_metrics!B:K,7,FALSE)</f>
        <v>64778</v>
      </c>
      <c r="AG1903">
        <f>VLOOKUP(A:A,[1]android_repos_all_metrics!B:K,8,FALSE)</f>
        <v>3</v>
      </c>
      <c r="AH1903">
        <f>VLOOKUP(A:A,[1]android_repos_all_metrics!B:K,9,FALSE)</f>
        <v>2</v>
      </c>
      <c r="AI1903">
        <f>VLOOKUP(A:A,[1]android_repos_all_metrics!B:K,10,FALSE)</f>
        <v>1</v>
      </c>
    </row>
    <row r="1904" spans="1:35">
      <c r="A1904" t="s">
        <v>1974</v>
      </c>
      <c r="B1904" t="b">
        <v>1</v>
      </c>
      <c r="C1904" t="b">
        <v>0</v>
      </c>
      <c r="D1904" t="b">
        <v>0</v>
      </c>
      <c r="F1904" t="b">
        <v>0</v>
      </c>
      <c r="H1904" t="s">
        <v>37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>
        <v>1</v>
      </c>
      <c r="AB1904">
        <v>0</v>
      </c>
      <c r="AC1904">
        <f>VLOOKUP(A:A,[1]android_repos_all_metrics!B:K,4,FALSE)</f>
        <v>592</v>
      </c>
      <c r="AD1904">
        <f>VLOOKUP(A:A,[1]android_repos_all_metrics!B:K,5,FALSE)</f>
        <v>0</v>
      </c>
      <c r="AE1904">
        <f>VLOOKUP(A:A,[1]android_repos_all_metrics!B:K,6,FALSE)</f>
        <v>1</v>
      </c>
      <c r="AF1904">
        <f>VLOOKUP(A:A,[1]android_repos_all_metrics!B:K,7,FALSE)</f>
        <v>8395</v>
      </c>
      <c r="AG1904">
        <f>VLOOKUP(A:A,[1]android_repos_all_metrics!B:K,8,FALSE)</f>
        <v>0</v>
      </c>
      <c r="AH1904">
        <f>VLOOKUP(A:A,[1]android_repos_all_metrics!B:K,9,FALSE)</f>
        <v>1</v>
      </c>
      <c r="AI1904">
        <f>VLOOKUP(A:A,[1]android_repos_all_metrics!B:K,10,FALSE)</f>
        <v>0</v>
      </c>
    </row>
    <row r="1905" spans="1:35">
      <c r="A1905" t="s">
        <v>1975</v>
      </c>
      <c r="B1905" t="b">
        <v>1</v>
      </c>
      <c r="C1905" t="b">
        <v>0</v>
      </c>
      <c r="D1905" t="b">
        <v>0</v>
      </c>
      <c r="F1905" t="b">
        <v>0</v>
      </c>
      <c r="H1905" t="s">
        <v>37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>
        <v>1</v>
      </c>
      <c r="AB1905">
        <v>0</v>
      </c>
      <c r="AC1905">
        <f>VLOOKUP(A:A,[1]android_repos_all_metrics!B:K,4,FALSE)</f>
        <v>1646</v>
      </c>
      <c r="AD1905">
        <f>VLOOKUP(A:A,[1]android_repos_all_metrics!B:K,5,FALSE)</f>
        <v>48</v>
      </c>
      <c r="AE1905">
        <f>VLOOKUP(A:A,[1]android_repos_all_metrics!B:K,6,FALSE)</f>
        <v>21</v>
      </c>
      <c r="AF1905">
        <f>VLOOKUP(A:A,[1]android_repos_all_metrics!B:K,7,FALSE)</f>
        <v>9724</v>
      </c>
      <c r="AG1905">
        <f>VLOOKUP(A:A,[1]android_repos_all_metrics!B:K,8,FALSE)</f>
        <v>16</v>
      </c>
      <c r="AH1905">
        <f>VLOOKUP(A:A,[1]android_repos_all_metrics!B:K,9,FALSE)</f>
        <v>61</v>
      </c>
      <c r="AI1905">
        <f>VLOOKUP(A:A,[1]android_repos_all_metrics!B:K,10,FALSE)</f>
        <v>15</v>
      </c>
    </row>
    <row r="1906" spans="1:35">
      <c r="A1906" t="s">
        <v>1976</v>
      </c>
      <c r="B1906" t="b">
        <v>0</v>
      </c>
      <c r="C1906" t="b">
        <v>0</v>
      </c>
      <c r="D1906" t="b">
        <v>0</v>
      </c>
      <c r="F1906" t="b">
        <v>0</v>
      </c>
      <c r="H1906" t="s">
        <v>41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>
        <v>1</v>
      </c>
      <c r="AB1906">
        <v>0</v>
      </c>
      <c r="AC1906">
        <f>VLOOKUP(A:A,[1]android_repos_all_metrics!B:K,4,FALSE)</f>
        <v>191</v>
      </c>
      <c r="AD1906">
        <f>VLOOKUP(A:A,[1]android_repos_all_metrics!B:K,5,FALSE)</f>
        <v>30</v>
      </c>
      <c r="AE1906">
        <f>VLOOKUP(A:A,[1]android_repos_all_metrics!B:K,6,FALSE)</f>
        <v>9</v>
      </c>
      <c r="AF1906">
        <f>VLOOKUP(A:A,[1]android_repos_all_metrics!B:K,7,FALSE)</f>
        <v>438</v>
      </c>
      <c r="AG1906">
        <f>VLOOKUP(A:A,[1]android_repos_all_metrics!B:K,8,FALSE)</f>
        <v>96</v>
      </c>
      <c r="AH1906">
        <f>VLOOKUP(A:A,[1]android_repos_all_metrics!B:K,9,FALSE)</f>
        <v>401</v>
      </c>
      <c r="AI1906">
        <f>VLOOKUP(A:A,[1]android_repos_all_metrics!B:K,10,FALSE)</f>
        <v>12</v>
      </c>
    </row>
    <row r="1907" spans="1:35">
      <c r="A1907" t="s">
        <v>1977</v>
      </c>
      <c r="B1907" t="b">
        <v>1</v>
      </c>
      <c r="C1907" t="b">
        <v>0</v>
      </c>
      <c r="D1907" t="b">
        <v>0</v>
      </c>
      <c r="F1907" t="b">
        <v>0</v>
      </c>
      <c r="H1907" t="s">
        <v>43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>
        <v>1</v>
      </c>
      <c r="AB1907">
        <v>0</v>
      </c>
      <c r="AC1907">
        <f>VLOOKUP(A:A,[1]android_repos_all_metrics!B:K,4,FALSE)</f>
        <v>163</v>
      </c>
      <c r="AD1907">
        <f>VLOOKUP(A:A,[1]android_repos_all_metrics!B:K,5,FALSE)</f>
        <v>32</v>
      </c>
      <c r="AE1907">
        <f>VLOOKUP(A:A,[1]android_repos_all_metrics!B:K,6,FALSE)</f>
        <v>2</v>
      </c>
      <c r="AF1907">
        <f>VLOOKUP(A:A,[1]android_repos_all_metrics!B:K,7,FALSE)</f>
        <v>435</v>
      </c>
      <c r="AG1907">
        <f>VLOOKUP(A:A,[1]android_repos_all_metrics!B:K,8,FALSE)</f>
        <v>5</v>
      </c>
      <c r="AH1907">
        <f>VLOOKUP(A:A,[1]android_repos_all_metrics!B:K,9,FALSE)</f>
        <v>22</v>
      </c>
      <c r="AI1907">
        <f>VLOOKUP(A:A,[1]android_repos_all_metrics!B:K,10,FALSE)</f>
        <v>2</v>
      </c>
    </row>
    <row r="1908" spans="1:35">
      <c r="A1908" t="s">
        <v>1978</v>
      </c>
      <c r="B1908" t="b">
        <v>0</v>
      </c>
      <c r="C1908" t="b">
        <v>0</v>
      </c>
      <c r="D1908" t="b">
        <v>0</v>
      </c>
      <c r="F1908" t="b">
        <v>0</v>
      </c>
      <c r="H1908" t="s">
        <v>41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>
        <v>1</v>
      </c>
      <c r="AB1908">
        <v>0</v>
      </c>
      <c r="AC1908">
        <f>VLOOKUP(A:A,[1]android_repos_all_metrics!B:K,4,FALSE)</f>
        <v>71</v>
      </c>
      <c r="AD1908">
        <f>VLOOKUP(A:A,[1]android_repos_all_metrics!B:K,5,FALSE)</f>
        <v>10</v>
      </c>
      <c r="AE1908">
        <f>VLOOKUP(A:A,[1]android_repos_all_metrics!B:K,6,FALSE)</f>
        <v>1</v>
      </c>
      <c r="AF1908">
        <f>VLOOKUP(A:A,[1]android_repos_all_metrics!B:K,7,FALSE)</f>
        <v>247</v>
      </c>
      <c r="AG1908">
        <f>VLOOKUP(A:A,[1]android_repos_all_metrics!B:K,8,FALSE)</f>
        <v>4</v>
      </c>
      <c r="AH1908">
        <f>VLOOKUP(A:A,[1]android_repos_all_metrics!B:K,9,FALSE)</f>
        <v>9</v>
      </c>
      <c r="AI1908">
        <f>VLOOKUP(A:A,[1]android_repos_all_metrics!B:K,10,FALSE)</f>
        <v>0</v>
      </c>
    </row>
    <row r="1909" spans="1:35">
      <c r="A1909" t="s">
        <v>1979</v>
      </c>
      <c r="B1909" t="b">
        <v>1</v>
      </c>
      <c r="C1909" t="b">
        <v>0</v>
      </c>
      <c r="D1909" t="b">
        <v>0</v>
      </c>
      <c r="F1909" t="b">
        <v>0</v>
      </c>
      <c r="H1909" t="s">
        <v>41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>
        <v>1</v>
      </c>
      <c r="AB1909">
        <v>0</v>
      </c>
      <c r="AC1909">
        <f>VLOOKUP(A:A,[1]android_repos_all_metrics!B:K,4,FALSE)</f>
        <v>31</v>
      </c>
      <c r="AD1909">
        <f>VLOOKUP(A:A,[1]android_repos_all_metrics!B:K,5,FALSE)</f>
        <v>30</v>
      </c>
      <c r="AE1909">
        <f>VLOOKUP(A:A,[1]android_repos_all_metrics!B:K,6,FALSE)</f>
        <v>3</v>
      </c>
      <c r="AF1909">
        <f>VLOOKUP(A:A,[1]android_repos_all_metrics!B:K,7,FALSE)</f>
        <v>335</v>
      </c>
      <c r="AG1909">
        <f>VLOOKUP(A:A,[1]android_repos_all_metrics!B:K,8,FALSE)</f>
        <v>0</v>
      </c>
      <c r="AH1909">
        <f>VLOOKUP(A:A,[1]android_repos_all_metrics!B:K,9,FALSE)</f>
        <v>3</v>
      </c>
      <c r="AI1909">
        <f>VLOOKUP(A:A,[1]android_repos_all_metrics!B:K,10,FALSE)</f>
        <v>5</v>
      </c>
    </row>
    <row r="1910" spans="1:35">
      <c r="A1910" t="s">
        <v>1980</v>
      </c>
      <c r="B1910" t="b">
        <v>0</v>
      </c>
      <c r="C1910" t="b">
        <v>0</v>
      </c>
      <c r="D1910" t="b">
        <v>0</v>
      </c>
      <c r="F1910" t="b">
        <v>0</v>
      </c>
      <c r="H1910" t="s">
        <v>41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>
        <v>1</v>
      </c>
      <c r="AB1910">
        <v>0</v>
      </c>
      <c r="AC1910">
        <f>VLOOKUP(A:A,[1]android_repos_all_metrics!B:K,4,FALSE)</f>
        <v>245</v>
      </c>
      <c r="AD1910">
        <f>VLOOKUP(A:A,[1]android_repos_all_metrics!B:K,5,FALSE)</f>
        <v>9</v>
      </c>
      <c r="AE1910">
        <f>VLOOKUP(A:A,[1]android_repos_all_metrics!B:K,6,FALSE)</f>
        <v>6</v>
      </c>
      <c r="AF1910">
        <f>VLOOKUP(A:A,[1]android_repos_all_metrics!B:K,7,FALSE)</f>
        <v>2532</v>
      </c>
      <c r="AG1910">
        <f>VLOOKUP(A:A,[1]android_repos_all_metrics!B:K,8,FALSE)</f>
        <v>23</v>
      </c>
      <c r="AH1910">
        <f>VLOOKUP(A:A,[1]android_repos_all_metrics!B:K,9,FALSE)</f>
        <v>46</v>
      </c>
      <c r="AI1910">
        <f>VLOOKUP(A:A,[1]android_repos_all_metrics!B:K,10,FALSE)</f>
        <v>16</v>
      </c>
    </row>
    <row r="1911" spans="1:35">
      <c r="A1911" t="s">
        <v>1981</v>
      </c>
      <c r="B1911" t="b">
        <v>1</v>
      </c>
      <c r="C1911" t="b">
        <v>0</v>
      </c>
      <c r="D1911" t="b">
        <v>0</v>
      </c>
      <c r="F1911" t="b">
        <v>0</v>
      </c>
      <c r="H1911" t="s">
        <v>37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>
        <v>1</v>
      </c>
      <c r="AB1911">
        <v>0</v>
      </c>
      <c r="AC1911">
        <f>VLOOKUP(A:A,[1]android_repos_all_metrics!B:K,4,FALSE)</f>
        <v>152</v>
      </c>
      <c r="AD1911">
        <f>VLOOKUP(A:A,[1]android_repos_all_metrics!B:K,5,FALSE)</f>
        <v>12</v>
      </c>
      <c r="AE1911">
        <f>VLOOKUP(A:A,[1]android_repos_all_metrics!B:K,6,FALSE)</f>
        <v>5</v>
      </c>
      <c r="AF1911">
        <f>VLOOKUP(A:A,[1]android_repos_all_metrics!B:K,7,FALSE)</f>
        <v>2182</v>
      </c>
      <c r="AG1911">
        <f>VLOOKUP(A:A,[1]android_repos_all_metrics!B:K,8,FALSE)</f>
        <v>13</v>
      </c>
      <c r="AH1911">
        <f>VLOOKUP(A:A,[1]android_repos_all_metrics!B:K,9,FALSE)</f>
        <v>86</v>
      </c>
      <c r="AI1911">
        <f>VLOOKUP(A:A,[1]android_repos_all_metrics!B:K,10,FALSE)</f>
        <v>4</v>
      </c>
    </row>
    <row r="1912" spans="1:35">
      <c r="A1912" t="s">
        <v>1982</v>
      </c>
      <c r="B1912" t="b">
        <v>1</v>
      </c>
      <c r="C1912" t="b">
        <v>0</v>
      </c>
      <c r="D1912" t="b">
        <v>0</v>
      </c>
      <c r="F1912" t="b">
        <v>0</v>
      </c>
      <c r="H1912" t="s">
        <v>37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>
        <v>1</v>
      </c>
      <c r="AB1912">
        <v>0</v>
      </c>
      <c r="AC1912">
        <f>VLOOKUP(A:A,[1]android_repos_all_metrics!B:K,4,FALSE)</f>
        <v>427</v>
      </c>
      <c r="AD1912">
        <f>VLOOKUP(A:A,[1]android_repos_all_metrics!B:K,5,FALSE)</f>
        <v>69</v>
      </c>
      <c r="AE1912">
        <f>VLOOKUP(A:A,[1]android_repos_all_metrics!B:K,6,FALSE)</f>
        <v>25</v>
      </c>
      <c r="AF1912">
        <f>VLOOKUP(A:A,[1]android_repos_all_metrics!B:K,7,FALSE)</f>
        <v>9984</v>
      </c>
      <c r="AG1912">
        <f>VLOOKUP(A:A,[1]android_repos_all_metrics!B:K,8,FALSE)</f>
        <v>20</v>
      </c>
      <c r="AH1912">
        <f>VLOOKUP(A:A,[1]android_repos_all_metrics!B:K,9,FALSE)</f>
        <v>167</v>
      </c>
      <c r="AI1912">
        <f>VLOOKUP(A:A,[1]android_repos_all_metrics!B:K,10,FALSE)</f>
        <v>35</v>
      </c>
    </row>
    <row r="1913" spans="1:35">
      <c r="A1913" t="s">
        <v>1983</v>
      </c>
      <c r="B1913" t="b">
        <v>1</v>
      </c>
      <c r="C1913" t="b">
        <v>0</v>
      </c>
      <c r="D1913" t="b">
        <v>0</v>
      </c>
      <c r="F1913" t="b">
        <v>0</v>
      </c>
      <c r="H1913" t="s">
        <v>37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>
        <v>11</v>
      </c>
      <c r="AB1913">
        <v>0</v>
      </c>
      <c r="AC1913">
        <f>VLOOKUP(A:A,[1]android_repos_all_metrics!B:K,4,FALSE)</f>
        <v>1104</v>
      </c>
      <c r="AD1913">
        <f>VLOOKUP(A:A,[1]android_repos_all_metrics!B:K,5,FALSE)</f>
        <v>76</v>
      </c>
      <c r="AE1913">
        <f>VLOOKUP(A:A,[1]android_repos_all_metrics!B:K,6,FALSE)</f>
        <v>22</v>
      </c>
      <c r="AF1913">
        <f>VLOOKUP(A:A,[1]android_repos_all_metrics!B:K,7,FALSE)</f>
        <v>6973</v>
      </c>
      <c r="AG1913">
        <f>VLOOKUP(A:A,[1]android_repos_all_metrics!B:K,8,FALSE)</f>
        <v>796</v>
      </c>
      <c r="AH1913">
        <f>VLOOKUP(A:A,[1]android_repos_all_metrics!B:K,9,FALSE)</f>
        <v>4832</v>
      </c>
      <c r="AI1913">
        <f>VLOOKUP(A:A,[1]android_repos_all_metrics!B:K,10,FALSE)</f>
        <v>90</v>
      </c>
    </row>
    <row r="1914" spans="1:35">
      <c r="A1914" t="s">
        <v>1984</v>
      </c>
      <c r="B1914" t="b">
        <v>1</v>
      </c>
      <c r="C1914" t="b">
        <v>0</v>
      </c>
      <c r="D1914" t="b">
        <v>0</v>
      </c>
      <c r="F1914" t="b">
        <v>0</v>
      </c>
      <c r="H1914" t="s">
        <v>37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>
        <v>1</v>
      </c>
      <c r="AB1914">
        <v>0</v>
      </c>
      <c r="AC1914">
        <f>VLOOKUP(A:A,[1]android_repos_all_metrics!B:K,4,FALSE)</f>
        <v>785</v>
      </c>
      <c r="AD1914">
        <f>VLOOKUP(A:A,[1]android_repos_all_metrics!B:K,5,FALSE)</f>
        <v>66</v>
      </c>
      <c r="AE1914">
        <f>VLOOKUP(A:A,[1]android_repos_all_metrics!B:K,6,FALSE)</f>
        <v>12</v>
      </c>
      <c r="AF1914">
        <f>VLOOKUP(A:A,[1]android_repos_all_metrics!B:K,7,FALSE)</f>
        <v>8307</v>
      </c>
      <c r="AG1914">
        <f>VLOOKUP(A:A,[1]android_repos_all_metrics!B:K,8,FALSE)</f>
        <v>225</v>
      </c>
      <c r="AH1914">
        <f>VLOOKUP(A:A,[1]android_repos_all_metrics!B:K,9,FALSE)</f>
        <v>1813</v>
      </c>
      <c r="AI1914">
        <f>VLOOKUP(A:A,[1]android_repos_all_metrics!B:K,10,FALSE)</f>
        <v>3</v>
      </c>
    </row>
    <row r="1915" spans="1:35">
      <c r="A1915" t="s">
        <v>1985</v>
      </c>
      <c r="B1915" t="b">
        <v>1</v>
      </c>
      <c r="C1915" t="b">
        <v>0</v>
      </c>
      <c r="D1915" t="b">
        <v>0</v>
      </c>
      <c r="F1915" t="b">
        <v>0</v>
      </c>
      <c r="H1915" t="s">
        <v>37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>
        <v>2</v>
      </c>
      <c r="AB1915">
        <v>0</v>
      </c>
      <c r="AC1915">
        <f>VLOOKUP(A:A,[1]android_repos_all_metrics!B:K,4,FALSE)</f>
        <v>225</v>
      </c>
      <c r="AD1915">
        <f>VLOOKUP(A:A,[1]android_repos_all_metrics!B:K,5,FALSE)</f>
        <v>0</v>
      </c>
      <c r="AE1915">
        <f>VLOOKUP(A:A,[1]android_repos_all_metrics!B:K,6,FALSE)</f>
        <v>1</v>
      </c>
      <c r="AF1915">
        <f>VLOOKUP(A:A,[1]android_repos_all_metrics!B:K,7,FALSE)</f>
        <v>46338</v>
      </c>
      <c r="AG1915">
        <f>VLOOKUP(A:A,[1]android_repos_all_metrics!B:K,8,FALSE)</f>
        <v>3</v>
      </c>
      <c r="AH1915">
        <f>VLOOKUP(A:A,[1]android_repos_all_metrics!B:K,9,FALSE)</f>
        <v>5</v>
      </c>
      <c r="AI1915">
        <f>VLOOKUP(A:A,[1]android_repos_all_metrics!B:K,10,FALSE)</f>
        <v>0</v>
      </c>
    </row>
    <row r="1916" spans="1:35">
      <c r="A1916" t="s">
        <v>1986</v>
      </c>
      <c r="B1916" t="b">
        <v>1</v>
      </c>
      <c r="C1916" t="b">
        <v>0</v>
      </c>
      <c r="D1916" t="b">
        <v>0</v>
      </c>
      <c r="F1916" t="b">
        <v>0</v>
      </c>
      <c r="H1916" t="s">
        <v>37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>
        <v>1</v>
      </c>
      <c r="AB1916">
        <v>0</v>
      </c>
      <c r="AC1916">
        <f>VLOOKUP(A:A,[1]android_repos_all_metrics!B:K,4,FALSE)</f>
        <v>307</v>
      </c>
      <c r="AD1916">
        <f>VLOOKUP(A:A,[1]android_repos_all_metrics!B:K,5,FALSE)</f>
        <v>64</v>
      </c>
      <c r="AE1916">
        <f>VLOOKUP(A:A,[1]android_repos_all_metrics!B:K,6,FALSE)</f>
        <v>5</v>
      </c>
      <c r="AF1916">
        <f>VLOOKUP(A:A,[1]android_repos_all_metrics!B:K,7,FALSE)</f>
        <v>909</v>
      </c>
      <c r="AG1916">
        <f>VLOOKUP(A:A,[1]android_repos_all_metrics!B:K,8,FALSE)</f>
        <v>0</v>
      </c>
      <c r="AH1916">
        <f>VLOOKUP(A:A,[1]android_repos_all_metrics!B:K,9,FALSE)</f>
        <v>1</v>
      </c>
      <c r="AI1916">
        <f>VLOOKUP(A:A,[1]android_repos_all_metrics!B:K,10,FALSE)</f>
        <v>0</v>
      </c>
    </row>
    <row r="1917" spans="1:35">
      <c r="A1917" t="s">
        <v>1987</v>
      </c>
      <c r="B1917" t="b">
        <v>0</v>
      </c>
      <c r="C1917" t="b">
        <v>0</v>
      </c>
      <c r="D1917" t="b">
        <v>0</v>
      </c>
      <c r="F1917" t="b">
        <v>0</v>
      </c>
      <c r="H1917" t="s">
        <v>41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>
        <v>1</v>
      </c>
      <c r="AB1917">
        <v>0</v>
      </c>
      <c r="AC1917">
        <f>VLOOKUP(A:A,[1]android_repos_all_metrics!B:K,4,FALSE)</f>
        <v>3167</v>
      </c>
      <c r="AD1917">
        <f>VLOOKUP(A:A,[1]android_repos_all_metrics!B:K,5,FALSE)</f>
        <v>208</v>
      </c>
      <c r="AE1917">
        <f>VLOOKUP(A:A,[1]android_repos_all_metrics!B:K,6,FALSE)</f>
        <v>34</v>
      </c>
      <c r="AF1917">
        <f>VLOOKUP(A:A,[1]android_repos_all_metrics!B:K,7,FALSE)</f>
        <v>39505</v>
      </c>
      <c r="AG1917">
        <f>VLOOKUP(A:A,[1]android_repos_all_metrics!B:K,8,FALSE)</f>
        <v>221</v>
      </c>
      <c r="AH1917">
        <f>VLOOKUP(A:A,[1]android_repos_all_metrics!B:K,9,FALSE)</f>
        <v>580</v>
      </c>
      <c r="AI1917">
        <f>VLOOKUP(A:A,[1]android_repos_all_metrics!B:K,10,FALSE)</f>
        <v>84</v>
      </c>
    </row>
    <row r="1918" spans="1:35">
      <c r="A1918" t="s">
        <v>1988</v>
      </c>
      <c r="B1918" t="b">
        <v>0</v>
      </c>
      <c r="C1918" t="b">
        <v>0</v>
      </c>
      <c r="D1918" t="b">
        <v>0</v>
      </c>
      <c r="F1918" t="b">
        <v>0</v>
      </c>
      <c r="H1918" t="s">
        <v>41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>
        <v>1</v>
      </c>
      <c r="AB1918">
        <v>0</v>
      </c>
      <c r="AC1918">
        <f>VLOOKUP(A:A,[1]android_repos_all_metrics!B:K,4,FALSE)</f>
        <v>121</v>
      </c>
      <c r="AD1918">
        <f>VLOOKUP(A:A,[1]android_repos_all_metrics!B:K,5,FALSE)</f>
        <v>1</v>
      </c>
      <c r="AE1918">
        <f>VLOOKUP(A:A,[1]android_repos_all_metrics!B:K,6,FALSE)</f>
        <v>2</v>
      </c>
      <c r="AF1918">
        <f>VLOOKUP(A:A,[1]android_repos_all_metrics!B:K,7,FALSE)</f>
        <v>1439</v>
      </c>
      <c r="AG1918">
        <f>VLOOKUP(A:A,[1]android_repos_all_metrics!B:K,8,FALSE)</f>
        <v>10</v>
      </c>
      <c r="AH1918">
        <f>VLOOKUP(A:A,[1]android_repos_all_metrics!B:K,9,FALSE)</f>
        <v>37</v>
      </c>
      <c r="AI1918">
        <f>VLOOKUP(A:A,[1]android_repos_all_metrics!B:K,10,FALSE)</f>
        <v>5</v>
      </c>
    </row>
    <row r="1919" spans="1:35">
      <c r="A1919" t="s">
        <v>1989</v>
      </c>
      <c r="B1919" t="b">
        <v>1</v>
      </c>
      <c r="C1919" t="b">
        <v>0</v>
      </c>
      <c r="D1919" t="b">
        <v>0</v>
      </c>
      <c r="F1919" t="b">
        <v>0</v>
      </c>
      <c r="H1919" t="s">
        <v>37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>
        <v>11</v>
      </c>
      <c r="AB1919">
        <v>0</v>
      </c>
      <c r="AC1919">
        <f>VLOOKUP(A:A,[1]android_repos_all_metrics!B:K,4,FALSE)</f>
        <v>3548</v>
      </c>
      <c r="AD1919">
        <f>VLOOKUP(A:A,[1]android_repos_all_metrics!B:K,5,FALSE)</f>
        <v>241</v>
      </c>
      <c r="AE1919">
        <f>VLOOKUP(A:A,[1]android_repos_all_metrics!B:K,6,FALSE)</f>
        <v>26</v>
      </c>
      <c r="AF1919">
        <f>VLOOKUP(A:A,[1]android_repos_all_metrics!B:K,7,FALSE)</f>
        <v>77635</v>
      </c>
      <c r="AG1919">
        <f>VLOOKUP(A:A,[1]android_repos_all_metrics!B:K,8,FALSE)</f>
        <v>19</v>
      </c>
      <c r="AH1919">
        <f>VLOOKUP(A:A,[1]android_repos_all_metrics!B:K,9,FALSE)</f>
        <v>113</v>
      </c>
      <c r="AI1919">
        <f>VLOOKUP(A:A,[1]android_repos_all_metrics!B:K,10,FALSE)</f>
        <v>184</v>
      </c>
    </row>
    <row r="1920" spans="1:35">
      <c r="A1920" t="s">
        <v>1990</v>
      </c>
      <c r="B1920" t="b">
        <v>1</v>
      </c>
      <c r="C1920" t="b">
        <v>0</v>
      </c>
      <c r="D1920" t="b">
        <v>0</v>
      </c>
      <c r="F1920" t="b">
        <v>0</v>
      </c>
      <c r="H1920" t="s">
        <v>37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>
        <v>2</v>
      </c>
      <c r="AB1920">
        <v>0</v>
      </c>
      <c r="AC1920">
        <f>VLOOKUP(A:A,[1]android_repos_all_metrics!B:K,4,FALSE)</f>
        <v>46</v>
      </c>
      <c r="AD1920">
        <f>VLOOKUP(A:A,[1]android_repos_all_metrics!B:K,5,FALSE)</f>
        <v>0</v>
      </c>
      <c r="AE1920">
        <f>VLOOKUP(A:A,[1]android_repos_all_metrics!B:K,6,FALSE)</f>
        <v>2</v>
      </c>
      <c r="AF1920">
        <f>VLOOKUP(A:A,[1]android_repos_all_metrics!B:K,7,FALSE)</f>
        <v>46970</v>
      </c>
      <c r="AG1920">
        <f>VLOOKUP(A:A,[1]android_repos_all_metrics!B:K,8,FALSE)</f>
        <v>0</v>
      </c>
      <c r="AH1920">
        <f>VLOOKUP(A:A,[1]android_repos_all_metrics!B:K,9,FALSE)</f>
        <v>1</v>
      </c>
      <c r="AI1920">
        <f>VLOOKUP(A:A,[1]android_repos_all_metrics!B:K,10,FALSE)</f>
        <v>0</v>
      </c>
    </row>
    <row r="1921" spans="1:35">
      <c r="A1921" t="s">
        <v>1991</v>
      </c>
      <c r="B1921" t="b">
        <v>0</v>
      </c>
      <c r="C1921" t="b">
        <v>0</v>
      </c>
      <c r="D1921" t="b">
        <v>0</v>
      </c>
      <c r="F1921" t="b">
        <v>0</v>
      </c>
      <c r="H1921" t="s">
        <v>41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>
        <v>1</v>
      </c>
      <c r="AB1921">
        <v>0</v>
      </c>
      <c r="AC1921">
        <f>VLOOKUP(A:A,[1]android_repos_all_metrics!B:K,4,FALSE)</f>
        <v>160</v>
      </c>
      <c r="AD1921">
        <f>VLOOKUP(A:A,[1]android_repos_all_metrics!B:K,5,FALSE)</f>
        <v>2</v>
      </c>
      <c r="AE1921">
        <f>VLOOKUP(A:A,[1]android_repos_all_metrics!B:K,6,FALSE)</f>
        <v>1</v>
      </c>
      <c r="AF1921">
        <f>VLOOKUP(A:A,[1]android_repos_all_metrics!B:K,7,FALSE)</f>
        <v>12171</v>
      </c>
      <c r="AG1921">
        <f>VLOOKUP(A:A,[1]android_repos_all_metrics!B:K,8,FALSE)</f>
        <v>23</v>
      </c>
      <c r="AH1921">
        <f>VLOOKUP(A:A,[1]android_repos_all_metrics!B:K,9,FALSE)</f>
        <v>63</v>
      </c>
      <c r="AI1921">
        <f>VLOOKUP(A:A,[1]android_repos_all_metrics!B:K,10,FALSE)</f>
        <v>2</v>
      </c>
    </row>
    <row r="1922" spans="1:35">
      <c r="A1922" t="s">
        <v>1992</v>
      </c>
      <c r="B1922" t="b">
        <v>1</v>
      </c>
      <c r="C1922" t="b">
        <v>0</v>
      </c>
      <c r="D1922" t="b">
        <v>0</v>
      </c>
      <c r="F1922" t="b">
        <v>0</v>
      </c>
      <c r="H1922" t="s">
        <v>37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>
        <v>2</v>
      </c>
      <c r="AB1922">
        <v>0</v>
      </c>
      <c r="AC1922">
        <f>VLOOKUP(A:A,[1]android_repos_all_metrics!B:K,4,FALSE)</f>
        <v>261</v>
      </c>
      <c r="AD1922">
        <f>VLOOKUP(A:A,[1]android_repos_all_metrics!B:K,5,FALSE)</f>
        <v>22</v>
      </c>
      <c r="AE1922">
        <f>VLOOKUP(A:A,[1]android_repos_all_metrics!B:K,6,FALSE)</f>
        <v>7</v>
      </c>
      <c r="AF1922">
        <f>VLOOKUP(A:A,[1]android_repos_all_metrics!B:K,7,FALSE)</f>
        <v>6418</v>
      </c>
      <c r="AG1922">
        <f>VLOOKUP(A:A,[1]android_repos_all_metrics!B:K,8,FALSE)</f>
        <v>3</v>
      </c>
      <c r="AH1922">
        <f>VLOOKUP(A:A,[1]android_repos_all_metrics!B:K,9,FALSE)</f>
        <v>71</v>
      </c>
      <c r="AI1922">
        <f>VLOOKUP(A:A,[1]android_repos_all_metrics!B:K,10,FALSE)</f>
        <v>0</v>
      </c>
    </row>
    <row r="1923" spans="1:35">
      <c r="A1923" t="s">
        <v>1993</v>
      </c>
      <c r="B1923" t="b">
        <v>1</v>
      </c>
      <c r="C1923" t="b">
        <v>0</v>
      </c>
      <c r="D1923" t="b">
        <v>0</v>
      </c>
      <c r="F1923" t="b">
        <v>0</v>
      </c>
      <c r="H1923" t="s">
        <v>41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>
        <v>1</v>
      </c>
      <c r="AB1923">
        <v>0</v>
      </c>
      <c r="AC1923">
        <f>VLOOKUP(A:A,[1]android_repos_all_metrics!B:K,4,FALSE)</f>
        <v>160</v>
      </c>
      <c r="AD1923">
        <f>VLOOKUP(A:A,[1]android_repos_all_metrics!B:K,5,FALSE)</f>
        <v>37</v>
      </c>
      <c r="AE1923">
        <f>VLOOKUP(A:A,[1]android_repos_all_metrics!B:K,6,FALSE)</f>
        <v>4</v>
      </c>
      <c r="AF1923">
        <f>VLOOKUP(A:A,[1]android_repos_all_metrics!B:K,7,FALSE)</f>
        <v>2603</v>
      </c>
      <c r="AG1923">
        <f>VLOOKUP(A:A,[1]android_repos_all_metrics!B:K,8,FALSE)</f>
        <v>17</v>
      </c>
      <c r="AH1923">
        <f>VLOOKUP(A:A,[1]android_repos_all_metrics!B:K,9,FALSE)</f>
        <v>143</v>
      </c>
      <c r="AI1923">
        <f>VLOOKUP(A:A,[1]android_repos_all_metrics!B:K,10,FALSE)</f>
        <v>2</v>
      </c>
    </row>
    <row r="1924" spans="1:35">
      <c r="A1924" t="s">
        <v>1994</v>
      </c>
      <c r="B1924" t="b">
        <v>1</v>
      </c>
      <c r="C1924" t="b">
        <v>0</v>
      </c>
      <c r="D1924" t="b">
        <v>0</v>
      </c>
      <c r="F1924" t="b">
        <v>0</v>
      </c>
      <c r="H1924" t="s">
        <v>37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>
        <v>1</v>
      </c>
      <c r="AB1924">
        <v>0</v>
      </c>
      <c r="AC1924">
        <f>VLOOKUP(A:A,[1]android_repos_all_metrics!B:K,4,FALSE)</f>
        <v>184</v>
      </c>
      <c r="AD1924">
        <f>VLOOKUP(A:A,[1]android_repos_all_metrics!B:K,5,FALSE)</f>
        <v>24</v>
      </c>
      <c r="AE1924">
        <f>VLOOKUP(A:A,[1]android_repos_all_metrics!B:K,6,FALSE)</f>
        <v>4</v>
      </c>
      <c r="AF1924">
        <f>VLOOKUP(A:A,[1]android_repos_all_metrics!B:K,7,FALSE)</f>
        <v>6663</v>
      </c>
      <c r="AG1924">
        <f>VLOOKUP(A:A,[1]android_repos_all_metrics!B:K,8,FALSE)</f>
        <v>0</v>
      </c>
      <c r="AH1924">
        <f>VLOOKUP(A:A,[1]android_repos_all_metrics!B:K,9,FALSE)</f>
        <v>6</v>
      </c>
      <c r="AI1924">
        <f>VLOOKUP(A:A,[1]android_repos_all_metrics!B:K,10,FALSE)</f>
        <v>3</v>
      </c>
    </row>
    <row r="1925" spans="1:35">
      <c r="A1925" t="s">
        <v>1995</v>
      </c>
      <c r="B1925" t="b">
        <v>0</v>
      </c>
      <c r="C1925" t="b">
        <v>0</v>
      </c>
      <c r="D1925" t="b">
        <v>0</v>
      </c>
      <c r="F1925" t="b">
        <v>0</v>
      </c>
      <c r="H1925" t="s">
        <v>37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>
        <v>1</v>
      </c>
      <c r="AB1925">
        <v>0</v>
      </c>
      <c r="AC1925">
        <f>VLOOKUP(A:A,[1]android_repos_all_metrics!B:K,4,FALSE)</f>
        <v>444</v>
      </c>
      <c r="AD1925">
        <f>VLOOKUP(A:A,[1]android_repos_all_metrics!B:K,5,FALSE)</f>
        <v>14</v>
      </c>
      <c r="AE1925">
        <f>VLOOKUP(A:A,[1]android_repos_all_metrics!B:K,6,FALSE)</f>
        <v>1</v>
      </c>
      <c r="AF1925">
        <f>VLOOKUP(A:A,[1]android_repos_all_metrics!B:K,7,FALSE)</f>
        <v>8060</v>
      </c>
      <c r="AG1925">
        <f>VLOOKUP(A:A,[1]android_repos_all_metrics!B:K,8,FALSE)</f>
        <v>4</v>
      </c>
      <c r="AH1925">
        <f>VLOOKUP(A:A,[1]android_repos_all_metrics!B:K,9,FALSE)</f>
        <v>32</v>
      </c>
      <c r="AI1925">
        <f>VLOOKUP(A:A,[1]android_repos_all_metrics!B:K,10,FALSE)</f>
        <v>2</v>
      </c>
    </row>
    <row r="1926" spans="1:35">
      <c r="A1926" t="s">
        <v>1996</v>
      </c>
      <c r="B1926" t="b">
        <v>1</v>
      </c>
      <c r="C1926" t="b">
        <v>0</v>
      </c>
      <c r="D1926" t="b">
        <v>0</v>
      </c>
      <c r="F1926" t="b">
        <v>0</v>
      </c>
      <c r="H1926" t="s">
        <v>37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>
        <v>2</v>
      </c>
      <c r="AB1926">
        <v>0</v>
      </c>
      <c r="AC1926">
        <f>VLOOKUP(A:A,[1]android_repos_all_metrics!B:K,4,FALSE)</f>
        <v>164</v>
      </c>
      <c r="AD1926">
        <f>VLOOKUP(A:A,[1]android_repos_all_metrics!B:K,5,FALSE)</f>
        <v>31</v>
      </c>
      <c r="AE1926">
        <f>VLOOKUP(A:A,[1]android_repos_all_metrics!B:K,6,FALSE)</f>
        <v>10</v>
      </c>
      <c r="AF1926">
        <f>VLOOKUP(A:A,[1]android_repos_all_metrics!B:K,7,FALSE)</f>
        <v>270610</v>
      </c>
      <c r="AG1926">
        <f>VLOOKUP(A:A,[1]android_repos_all_metrics!B:K,8,FALSE)</f>
        <v>76</v>
      </c>
      <c r="AH1926">
        <f>VLOOKUP(A:A,[1]android_repos_all_metrics!B:K,9,FALSE)</f>
        <v>80</v>
      </c>
      <c r="AI1926">
        <f>VLOOKUP(A:A,[1]android_repos_all_metrics!B:K,10,FALSE)</f>
        <v>20</v>
      </c>
    </row>
    <row r="1927" spans="1:35">
      <c r="A1927" t="s">
        <v>1997</v>
      </c>
      <c r="B1927" t="b">
        <v>1</v>
      </c>
      <c r="C1927" t="b">
        <v>0</v>
      </c>
      <c r="D1927" t="b">
        <v>0</v>
      </c>
      <c r="F1927" t="b">
        <v>0</v>
      </c>
      <c r="H1927" t="s">
        <v>37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>
        <v>1</v>
      </c>
      <c r="AB1927">
        <v>0</v>
      </c>
      <c r="AC1927">
        <f>VLOOKUP(A:A,[1]android_repos_all_metrics!B:K,4,FALSE)</f>
        <v>479</v>
      </c>
      <c r="AD1927">
        <f>VLOOKUP(A:A,[1]android_repos_all_metrics!B:K,5,FALSE)</f>
        <v>4</v>
      </c>
      <c r="AE1927">
        <f>VLOOKUP(A:A,[1]android_repos_all_metrics!B:K,6,FALSE)</f>
        <v>3</v>
      </c>
      <c r="AF1927">
        <f>VLOOKUP(A:A,[1]android_repos_all_metrics!B:K,7,FALSE)</f>
        <v>11931</v>
      </c>
      <c r="AG1927">
        <f>VLOOKUP(A:A,[1]android_repos_all_metrics!B:K,8,FALSE)</f>
        <v>2</v>
      </c>
      <c r="AH1927">
        <f>VLOOKUP(A:A,[1]android_repos_all_metrics!B:K,9,FALSE)</f>
        <v>14</v>
      </c>
      <c r="AI1927">
        <f>VLOOKUP(A:A,[1]android_repos_all_metrics!B:K,10,FALSE)</f>
        <v>0</v>
      </c>
    </row>
    <row r="1928" spans="1:35">
      <c r="A1928" t="s">
        <v>1998</v>
      </c>
      <c r="B1928" t="b">
        <v>1</v>
      </c>
      <c r="C1928" t="b">
        <v>0</v>
      </c>
      <c r="D1928" t="b">
        <v>0</v>
      </c>
      <c r="F1928" t="b">
        <v>0</v>
      </c>
      <c r="H1928" t="s">
        <v>37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>
        <v>1</v>
      </c>
      <c r="AB1928">
        <v>0</v>
      </c>
      <c r="AC1928">
        <f>VLOOKUP(A:A,[1]android_repos_all_metrics!B:K,4,FALSE)</f>
        <v>43</v>
      </c>
      <c r="AD1928">
        <f>VLOOKUP(A:A,[1]android_repos_all_metrics!B:K,5,FALSE)</f>
        <v>0</v>
      </c>
      <c r="AE1928">
        <f>VLOOKUP(A:A,[1]android_repos_all_metrics!B:K,6,FALSE)</f>
        <v>1</v>
      </c>
      <c r="AF1928">
        <f>VLOOKUP(A:A,[1]android_repos_all_metrics!B:K,7,FALSE)</f>
        <v>2540</v>
      </c>
      <c r="AG1928">
        <f>VLOOKUP(A:A,[1]android_repos_all_metrics!B:K,8,FALSE)</f>
        <v>0</v>
      </c>
      <c r="AH1928">
        <f>VLOOKUP(A:A,[1]android_repos_all_metrics!B:K,9,FALSE)</f>
        <v>3</v>
      </c>
      <c r="AI1928">
        <f>VLOOKUP(A:A,[1]android_repos_all_metrics!B:K,10,FALSE)</f>
        <v>0</v>
      </c>
    </row>
    <row r="1929" spans="1:35">
      <c r="A1929" t="s">
        <v>1999</v>
      </c>
      <c r="B1929" t="b">
        <v>1</v>
      </c>
      <c r="C1929" t="b">
        <v>0</v>
      </c>
      <c r="D1929" t="b">
        <v>0</v>
      </c>
      <c r="F1929" t="b">
        <v>0</v>
      </c>
      <c r="H1929" t="s">
        <v>37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>
        <v>2</v>
      </c>
      <c r="AB1929">
        <v>0</v>
      </c>
      <c r="AC1929">
        <f>VLOOKUP(A:A,[1]android_repos_all_metrics!B:K,4,FALSE)</f>
        <v>222</v>
      </c>
      <c r="AD1929">
        <f>VLOOKUP(A:A,[1]android_repos_all_metrics!B:K,5,FALSE)</f>
        <v>4</v>
      </c>
      <c r="AE1929">
        <f>VLOOKUP(A:A,[1]android_repos_all_metrics!B:K,6,FALSE)</f>
        <v>3</v>
      </c>
      <c r="AF1929">
        <f>VLOOKUP(A:A,[1]android_repos_all_metrics!B:K,7,FALSE)</f>
        <v>3199</v>
      </c>
      <c r="AG1929">
        <f>VLOOKUP(A:A,[1]android_repos_all_metrics!B:K,8,FALSE)</f>
        <v>47</v>
      </c>
      <c r="AH1929">
        <f>VLOOKUP(A:A,[1]android_repos_all_metrics!B:K,9,FALSE)</f>
        <v>119</v>
      </c>
      <c r="AI1929">
        <f>VLOOKUP(A:A,[1]android_repos_all_metrics!B:K,10,FALSE)</f>
        <v>0</v>
      </c>
    </row>
    <row r="1930" spans="1:35">
      <c r="A1930" t="s">
        <v>2000</v>
      </c>
      <c r="B1930" t="b">
        <v>1</v>
      </c>
      <c r="C1930" t="b">
        <v>1</v>
      </c>
      <c r="D1930" t="b">
        <v>0</v>
      </c>
      <c r="F1930" t="b">
        <v>1</v>
      </c>
      <c r="G1930" t="s">
        <v>109</v>
      </c>
      <c r="H1930" t="s">
        <v>41</v>
      </c>
      <c r="I1930" t="s">
        <v>41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>
        <v>1</v>
      </c>
      <c r="AB1930">
        <v>0</v>
      </c>
      <c r="AC1930">
        <f>VLOOKUP(A:A,[1]android_repos_all_metrics!B:K,4,FALSE)</f>
        <v>309</v>
      </c>
      <c r="AD1930">
        <f>VLOOKUP(A:A,[1]android_repos_all_metrics!B:K,5,FALSE)</f>
        <v>163</v>
      </c>
      <c r="AE1930">
        <f>VLOOKUP(A:A,[1]android_repos_all_metrics!B:K,6,FALSE)</f>
        <v>3</v>
      </c>
      <c r="AF1930">
        <f>VLOOKUP(A:A,[1]android_repos_all_metrics!B:K,7,FALSE)</f>
        <v>4547</v>
      </c>
      <c r="AG1930">
        <f>VLOOKUP(A:A,[1]android_repos_all_metrics!B:K,8,FALSE)</f>
        <v>0</v>
      </c>
      <c r="AH1930">
        <f>VLOOKUP(A:A,[1]android_repos_all_metrics!B:K,9,FALSE)</f>
        <v>7</v>
      </c>
      <c r="AI1930">
        <f>VLOOKUP(A:A,[1]android_repos_all_metrics!B:K,10,FALSE)</f>
        <v>15</v>
      </c>
    </row>
    <row r="1931" spans="1:35">
      <c r="A1931" t="s">
        <v>2001</v>
      </c>
      <c r="B1931" t="b">
        <v>1</v>
      </c>
      <c r="C1931" t="b">
        <v>0</v>
      </c>
      <c r="D1931" t="b">
        <v>0</v>
      </c>
      <c r="F1931" t="b">
        <v>0</v>
      </c>
      <c r="H1931" t="s">
        <v>37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>
        <v>1</v>
      </c>
      <c r="AB1931">
        <v>0</v>
      </c>
      <c r="AC1931">
        <f>VLOOKUP(A:A,[1]android_repos_all_metrics!B:K,4,FALSE)</f>
        <v>83</v>
      </c>
      <c r="AD1931">
        <f>VLOOKUP(A:A,[1]android_repos_all_metrics!B:K,5,FALSE)</f>
        <v>0</v>
      </c>
      <c r="AE1931">
        <f>VLOOKUP(A:A,[1]android_repos_all_metrics!B:K,6,FALSE)</f>
        <v>4</v>
      </c>
      <c r="AF1931">
        <f>VLOOKUP(A:A,[1]android_repos_all_metrics!B:K,7,FALSE)</f>
        <v>10076</v>
      </c>
      <c r="AG1931">
        <f>VLOOKUP(A:A,[1]android_repos_all_metrics!B:K,8,FALSE)</f>
        <v>0</v>
      </c>
      <c r="AH1931">
        <f>VLOOKUP(A:A,[1]android_repos_all_metrics!B:K,9,FALSE)</f>
        <v>4</v>
      </c>
      <c r="AI1931">
        <f>VLOOKUP(A:A,[1]android_repos_all_metrics!B:K,10,FALSE)</f>
        <v>2</v>
      </c>
    </row>
    <row r="1932" spans="1:35">
      <c r="A1932" t="s">
        <v>2002</v>
      </c>
      <c r="B1932" t="b">
        <v>1</v>
      </c>
      <c r="C1932" t="b">
        <v>0</v>
      </c>
      <c r="D1932" t="b">
        <v>0</v>
      </c>
      <c r="F1932" t="b">
        <v>0</v>
      </c>
      <c r="H1932" t="s">
        <v>37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>
        <v>1</v>
      </c>
      <c r="AB1932">
        <v>0</v>
      </c>
      <c r="AC1932">
        <f>VLOOKUP(A:A,[1]android_repos_all_metrics!B:K,4,FALSE)</f>
        <v>25</v>
      </c>
      <c r="AD1932">
        <f>VLOOKUP(A:A,[1]android_repos_all_metrics!B:K,5,FALSE)</f>
        <v>1</v>
      </c>
      <c r="AE1932">
        <f>VLOOKUP(A:A,[1]android_repos_all_metrics!B:K,6,FALSE)</f>
        <v>1</v>
      </c>
      <c r="AF1932">
        <f>VLOOKUP(A:A,[1]android_repos_all_metrics!B:K,7,FALSE)</f>
        <v>4417</v>
      </c>
      <c r="AG1932">
        <f>VLOOKUP(A:A,[1]android_repos_all_metrics!B:K,8,FALSE)</f>
        <v>0</v>
      </c>
      <c r="AH1932">
        <f>VLOOKUP(A:A,[1]android_repos_all_metrics!B:K,9,FALSE)</f>
        <v>2</v>
      </c>
      <c r="AI1932">
        <f>VLOOKUP(A:A,[1]android_repos_all_metrics!B:K,10,FALSE)</f>
        <v>0</v>
      </c>
    </row>
    <row r="1933" spans="1:35">
      <c r="A1933" t="s">
        <v>2003</v>
      </c>
      <c r="B1933" t="b">
        <v>1</v>
      </c>
      <c r="C1933" t="b">
        <v>0</v>
      </c>
      <c r="D1933" t="b">
        <v>0</v>
      </c>
      <c r="F1933" t="b">
        <v>0</v>
      </c>
      <c r="H1933" t="s">
        <v>37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>
        <v>1</v>
      </c>
      <c r="AB1933">
        <v>0</v>
      </c>
      <c r="AC1933">
        <f>VLOOKUP(A:A,[1]android_repos_all_metrics!B:K,4,FALSE)</f>
        <v>138</v>
      </c>
      <c r="AD1933">
        <f>VLOOKUP(A:A,[1]android_repos_all_metrics!B:K,5,FALSE)</f>
        <v>0</v>
      </c>
      <c r="AE1933">
        <f>VLOOKUP(A:A,[1]android_repos_all_metrics!B:K,6,FALSE)</f>
        <v>1</v>
      </c>
      <c r="AF1933">
        <f>VLOOKUP(A:A,[1]android_repos_all_metrics!B:K,7,FALSE)</f>
        <v>1421</v>
      </c>
      <c r="AG1933">
        <f>VLOOKUP(A:A,[1]android_repos_all_metrics!B:K,8,FALSE)</f>
        <v>2</v>
      </c>
      <c r="AH1933">
        <f>VLOOKUP(A:A,[1]android_repos_all_metrics!B:K,9,FALSE)</f>
        <v>12</v>
      </c>
      <c r="AI1933">
        <f>VLOOKUP(A:A,[1]android_repos_all_metrics!B:K,10,FALSE)</f>
        <v>3</v>
      </c>
    </row>
    <row r="1934" spans="1:35">
      <c r="A1934" t="s">
        <v>2004</v>
      </c>
      <c r="B1934" t="b">
        <v>1</v>
      </c>
      <c r="C1934" t="b">
        <v>0</v>
      </c>
      <c r="D1934" t="b">
        <v>0</v>
      </c>
      <c r="F1934" t="b">
        <v>0</v>
      </c>
      <c r="H1934" t="s">
        <v>110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>
        <v>2</v>
      </c>
      <c r="AB1934">
        <v>0</v>
      </c>
      <c r="AC1934">
        <f>VLOOKUP(A:A,[1]android_repos_all_metrics!B:K,4,FALSE)</f>
        <v>142457</v>
      </c>
      <c r="AD1934">
        <f>VLOOKUP(A:A,[1]android_repos_all_metrics!B:K,5,FALSE)</f>
        <v>5048</v>
      </c>
      <c r="AE1934">
        <f>VLOOKUP(A:A,[1]android_repos_all_metrics!B:K,6,FALSE)</f>
        <v>250</v>
      </c>
      <c r="AF1934">
        <f>VLOOKUP(A:A,[1]android_repos_all_metrics!B:K,7,FALSE)</f>
        <v>1477319</v>
      </c>
      <c r="AG1934">
        <f>VLOOKUP(A:A,[1]android_repos_all_metrics!B:K,8,FALSE)</f>
        <v>903</v>
      </c>
      <c r="AH1934">
        <f>VLOOKUP(A:A,[1]android_repos_all_metrics!B:K,9,FALSE)</f>
        <v>2030</v>
      </c>
      <c r="AI1934">
        <f>VLOOKUP(A:A,[1]android_repos_all_metrics!B:K,10,FALSE)</f>
        <v>34</v>
      </c>
    </row>
    <row r="1935" spans="1:35">
      <c r="A1935" t="s">
        <v>2005</v>
      </c>
      <c r="B1935" t="b">
        <v>0</v>
      </c>
      <c r="C1935" t="b">
        <v>0</v>
      </c>
      <c r="D1935" t="b">
        <v>0</v>
      </c>
      <c r="F1935" t="b">
        <v>0</v>
      </c>
      <c r="H1935" t="s">
        <v>37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>
        <v>1</v>
      </c>
      <c r="AB1935">
        <v>0</v>
      </c>
      <c r="AC1935">
        <f>VLOOKUP(A:A,[1]android_repos_all_metrics!B:K,4,FALSE)</f>
        <v>155</v>
      </c>
      <c r="AD1935">
        <f>VLOOKUP(A:A,[1]android_repos_all_metrics!B:K,5,FALSE)</f>
        <v>49</v>
      </c>
      <c r="AE1935">
        <f>VLOOKUP(A:A,[1]android_repos_all_metrics!B:K,6,FALSE)</f>
        <v>4</v>
      </c>
      <c r="AF1935">
        <f>VLOOKUP(A:A,[1]android_repos_all_metrics!B:K,7,FALSE)</f>
        <v>563</v>
      </c>
      <c r="AG1935">
        <f>VLOOKUP(A:A,[1]android_repos_all_metrics!B:K,8,FALSE)</f>
        <v>0</v>
      </c>
      <c r="AH1935">
        <f>VLOOKUP(A:A,[1]android_repos_all_metrics!B:K,9,FALSE)</f>
        <v>5</v>
      </c>
      <c r="AI1935">
        <f>VLOOKUP(A:A,[1]android_repos_all_metrics!B:K,10,FALSE)</f>
        <v>6</v>
      </c>
    </row>
    <row r="1936" spans="1:35">
      <c r="A1936" t="s">
        <v>2006</v>
      </c>
      <c r="B1936" t="b">
        <v>1</v>
      </c>
      <c r="C1936" t="b">
        <v>1</v>
      </c>
      <c r="D1936" t="b">
        <v>1</v>
      </c>
      <c r="E1936" t="s">
        <v>36</v>
      </c>
      <c r="F1936" t="b">
        <v>0</v>
      </c>
      <c r="H1936" t="s">
        <v>37</v>
      </c>
      <c r="I1936" t="s">
        <v>37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>
        <v>1</v>
      </c>
      <c r="AA1936">
        <v>1</v>
      </c>
      <c r="AB1936">
        <v>0</v>
      </c>
      <c r="AC1936">
        <f>VLOOKUP(A:A,[1]android_repos_all_metrics!B:K,4,FALSE)</f>
        <v>1090</v>
      </c>
      <c r="AD1936">
        <f>VLOOKUP(A:A,[1]android_repos_all_metrics!B:K,5,FALSE)</f>
        <v>81</v>
      </c>
      <c r="AE1936">
        <f>VLOOKUP(A:A,[1]android_repos_all_metrics!B:K,6,FALSE)</f>
        <v>6</v>
      </c>
      <c r="AF1936">
        <f>VLOOKUP(A:A,[1]android_repos_all_metrics!B:K,7,FALSE)</f>
        <v>2511</v>
      </c>
      <c r="AG1936">
        <f>VLOOKUP(A:A,[1]android_repos_all_metrics!B:K,8,FALSE)</f>
        <v>1</v>
      </c>
      <c r="AH1936">
        <f>VLOOKUP(A:A,[1]android_repos_all_metrics!B:K,9,FALSE)</f>
        <v>2</v>
      </c>
      <c r="AI1936">
        <f>VLOOKUP(A:A,[1]android_repos_all_metrics!B:K,10,FALSE)</f>
        <v>13</v>
      </c>
    </row>
    <row r="1937" spans="1:35">
      <c r="A1937" t="s">
        <v>2007</v>
      </c>
      <c r="B1937" t="b">
        <v>1</v>
      </c>
      <c r="C1937" t="b">
        <v>0</v>
      </c>
      <c r="D1937" t="b">
        <v>0</v>
      </c>
      <c r="F1937" t="b">
        <v>0</v>
      </c>
      <c r="H1937" t="s">
        <v>41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>
        <v>1</v>
      </c>
      <c r="AB1937">
        <v>0</v>
      </c>
      <c r="AC1937">
        <f>VLOOKUP(A:A,[1]android_repos_all_metrics!B:K,4,FALSE)</f>
        <v>2334</v>
      </c>
      <c r="AD1937">
        <f>VLOOKUP(A:A,[1]android_repos_all_metrics!B:K,5,FALSE)</f>
        <v>494</v>
      </c>
      <c r="AE1937">
        <f>VLOOKUP(A:A,[1]android_repos_all_metrics!B:K,6,FALSE)</f>
        <v>40</v>
      </c>
      <c r="AF1937">
        <f>VLOOKUP(A:A,[1]android_repos_all_metrics!B:K,7,FALSE)</f>
        <v>12015</v>
      </c>
      <c r="AG1937">
        <f>VLOOKUP(A:A,[1]android_repos_all_metrics!B:K,8,FALSE)</f>
        <v>274</v>
      </c>
      <c r="AH1937">
        <f>VLOOKUP(A:A,[1]android_repos_all_metrics!B:K,9,FALSE)</f>
        <v>473</v>
      </c>
      <c r="AI1937">
        <f>VLOOKUP(A:A,[1]android_repos_all_metrics!B:K,10,FALSE)</f>
        <v>159</v>
      </c>
    </row>
    <row r="1938" spans="1:35">
      <c r="A1938" t="s">
        <v>2008</v>
      </c>
      <c r="B1938" t="b">
        <v>1</v>
      </c>
      <c r="C1938" t="b">
        <v>0</v>
      </c>
      <c r="D1938" t="b">
        <v>0</v>
      </c>
      <c r="F1938" t="b">
        <v>0</v>
      </c>
      <c r="H1938" t="s">
        <v>37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>
        <v>4</v>
      </c>
      <c r="AB1938">
        <v>0</v>
      </c>
      <c r="AC1938">
        <f>VLOOKUP(A:A,[1]android_repos_all_metrics!B:K,4,FALSE)</f>
        <v>856</v>
      </c>
      <c r="AD1938">
        <f>VLOOKUP(A:A,[1]android_repos_all_metrics!B:K,5,FALSE)</f>
        <v>169</v>
      </c>
      <c r="AE1938">
        <f>VLOOKUP(A:A,[1]android_repos_all_metrics!B:K,6,FALSE)</f>
        <v>34</v>
      </c>
      <c r="AF1938">
        <f>VLOOKUP(A:A,[1]android_repos_all_metrics!B:K,7,FALSE)</f>
        <v>8993</v>
      </c>
      <c r="AG1938">
        <f>VLOOKUP(A:A,[1]android_repos_all_metrics!B:K,8,FALSE)</f>
        <v>174</v>
      </c>
      <c r="AH1938">
        <f>VLOOKUP(A:A,[1]android_repos_all_metrics!B:K,9,FALSE)</f>
        <v>4245</v>
      </c>
      <c r="AI1938">
        <f>VLOOKUP(A:A,[1]android_repos_all_metrics!B:K,10,FALSE)</f>
        <v>106</v>
      </c>
    </row>
    <row r="1939" spans="1:35">
      <c r="A1939" t="s">
        <v>2009</v>
      </c>
      <c r="B1939" t="b">
        <v>1</v>
      </c>
      <c r="C1939" t="b">
        <v>0</v>
      </c>
      <c r="D1939" t="b">
        <v>0</v>
      </c>
      <c r="F1939" t="b">
        <v>0</v>
      </c>
      <c r="H1939" t="s">
        <v>37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>
        <v>3</v>
      </c>
      <c r="AB1939">
        <v>0</v>
      </c>
      <c r="AC1939">
        <f>VLOOKUP(A:A,[1]android_repos_all_metrics!B:K,4,FALSE)</f>
        <v>27</v>
      </c>
      <c r="AD1939">
        <f>VLOOKUP(A:A,[1]android_repos_all_metrics!B:K,5,FALSE)</f>
        <v>2</v>
      </c>
      <c r="AE1939">
        <f>VLOOKUP(A:A,[1]android_repos_all_metrics!B:K,6,FALSE)</f>
        <v>1</v>
      </c>
      <c r="AF1939">
        <f>VLOOKUP(A:A,[1]android_repos_all_metrics!B:K,7,FALSE)</f>
        <v>251</v>
      </c>
      <c r="AG1939">
        <f>VLOOKUP(A:A,[1]android_repos_all_metrics!B:K,8,FALSE)</f>
        <v>6</v>
      </c>
      <c r="AH1939">
        <f>VLOOKUP(A:A,[1]android_repos_all_metrics!B:K,9,FALSE)</f>
        <v>236</v>
      </c>
      <c r="AI1939">
        <f>VLOOKUP(A:A,[1]android_repos_all_metrics!B:K,10,FALSE)</f>
        <v>1</v>
      </c>
    </row>
    <row r="1940" spans="1:35">
      <c r="A1940" t="s">
        <v>2010</v>
      </c>
      <c r="B1940" t="b">
        <v>1</v>
      </c>
      <c r="C1940" t="b">
        <v>0</v>
      </c>
      <c r="D1940" t="b">
        <v>0</v>
      </c>
      <c r="F1940" t="b">
        <v>0</v>
      </c>
      <c r="H1940" t="s">
        <v>37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>
        <v>1</v>
      </c>
      <c r="AB1940">
        <v>0</v>
      </c>
      <c r="AC1940">
        <f>VLOOKUP(A:A,[1]android_repos_all_metrics!B:K,4,FALSE)</f>
        <v>106</v>
      </c>
      <c r="AD1940">
        <f>VLOOKUP(A:A,[1]android_repos_all_metrics!B:K,5,FALSE)</f>
        <v>0</v>
      </c>
      <c r="AE1940">
        <f>VLOOKUP(A:A,[1]android_repos_all_metrics!B:K,6,FALSE)</f>
        <v>2</v>
      </c>
      <c r="AF1940">
        <f>VLOOKUP(A:A,[1]android_repos_all_metrics!B:K,7,FALSE)</f>
        <v>325</v>
      </c>
      <c r="AG1940">
        <f>VLOOKUP(A:A,[1]android_repos_all_metrics!B:K,8,FALSE)</f>
        <v>1</v>
      </c>
      <c r="AH1940">
        <f>VLOOKUP(A:A,[1]android_repos_all_metrics!B:K,9,FALSE)</f>
        <v>5</v>
      </c>
      <c r="AI1940">
        <f>VLOOKUP(A:A,[1]android_repos_all_metrics!B:K,10,FALSE)</f>
        <v>0</v>
      </c>
    </row>
    <row r="1941" spans="1:35">
      <c r="A1941" t="s">
        <v>2011</v>
      </c>
      <c r="B1941" t="b">
        <v>0</v>
      </c>
      <c r="C1941" t="b">
        <v>0</v>
      </c>
      <c r="D1941" t="b">
        <v>0</v>
      </c>
      <c r="F1941" t="b">
        <v>0</v>
      </c>
      <c r="H1941" t="s">
        <v>41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>
        <v>1</v>
      </c>
      <c r="AB1941">
        <v>0</v>
      </c>
      <c r="AC1941">
        <f>VLOOKUP(A:A,[1]android_repos_all_metrics!B:K,4,FALSE)</f>
        <v>45</v>
      </c>
      <c r="AD1941">
        <f>VLOOKUP(A:A,[1]android_repos_all_metrics!B:K,5,FALSE)</f>
        <v>1</v>
      </c>
      <c r="AE1941">
        <f>VLOOKUP(A:A,[1]android_repos_all_metrics!B:K,6,FALSE)</f>
        <v>1</v>
      </c>
      <c r="AF1941">
        <f>VLOOKUP(A:A,[1]android_repos_all_metrics!B:K,7,FALSE)</f>
        <v>245</v>
      </c>
      <c r="AG1941">
        <f>VLOOKUP(A:A,[1]android_repos_all_metrics!B:K,8,FALSE)</f>
        <v>5</v>
      </c>
      <c r="AH1941">
        <f>VLOOKUP(A:A,[1]android_repos_all_metrics!B:K,9,FALSE)</f>
        <v>15</v>
      </c>
      <c r="AI1941">
        <f>VLOOKUP(A:A,[1]android_repos_all_metrics!B:K,10,FALSE)</f>
        <v>0</v>
      </c>
    </row>
    <row r="1942" spans="1:35">
      <c r="A1942" t="s">
        <v>2012</v>
      </c>
      <c r="B1942" t="b">
        <v>1</v>
      </c>
      <c r="C1942" t="b">
        <v>0</v>
      </c>
      <c r="D1942" t="b">
        <v>0</v>
      </c>
      <c r="F1942" t="b">
        <v>0</v>
      </c>
      <c r="H1942" t="s">
        <v>37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>
        <v>4</v>
      </c>
      <c r="AB1942">
        <v>0</v>
      </c>
      <c r="AC1942">
        <f>VLOOKUP(A:A,[1]android_repos_all_metrics!B:K,4,FALSE)</f>
        <v>787</v>
      </c>
      <c r="AD1942">
        <f>VLOOKUP(A:A,[1]android_repos_all_metrics!B:K,5,FALSE)</f>
        <v>73</v>
      </c>
      <c r="AE1942">
        <f>VLOOKUP(A:A,[1]android_repos_all_metrics!B:K,6,FALSE)</f>
        <v>10</v>
      </c>
      <c r="AF1942">
        <f>VLOOKUP(A:A,[1]android_repos_all_metrics!B:K,7,FALSE)</f>
        <v>6286</v>
      </c>
      <c r="AG1942">
        <f>VLOOKUP(A:A,[1]android_repos_all_metrics!B:K,8,FALSE)</f>
        <v>3</v>
      </c>
      <c r="AH1942">
        <f>VLOOKUP(A:A,[1]android_repos_all_metrics!B:K,9,FALSE)</f>
        <v>1</v>
      </c>
      <c r="AI1942">
        <f>VLOOKUP(A:A,[1]android_repos_all_metrics!B:K,10,FALSE)</f>
        <v>27</v>
      </c>
    </row>
    <row r="1943" spans="1:35">
      <c r="A1943" t="s">
        <v>2013</v>
      </c>
      <c r="B1943" t="b">
        <v>1</v>
      </c>
      <c r="C1943" t="b">
        <v>1</v>
      </c>
      <c r="D1943" t="b">
        <v>0</v>
      </c>
      <c r="F1943" t="b">
        <v>1</v>
      </c>
      <c r="G1943" t="s">
        <v>39</v>
      </c>
      <c r="H1943" t="s">
        <v>41</v>
      </c>
      <c r="I1943" t="s">
        <v>41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>
        <v>1</v>
      </c>
      <c r="AB1943">
        <v>0</v>
      </c>
      <c r="AC1943">
        <f>VLOOKUP(A:A,[1]android_repos_all_metrics!B:K,4,FALSE)</f>
        <v>1080</v>
      </c>
      <c r="AD1943">
        <f>VLOOKUP(A:A,[1]android_repos_all_metrics!B:K,5,FALSE)</f>
        <v>136</v>
      </c>
      <c r="AE1943">
        <f>VLOOKUP(A:A,[1]android_repos_all_metrics!B:K,6,FALSE)</f>
        <v>7</v>
      </c>
      <c r="AF1943">
        <f>VLOOKUP(A:A,[1]android_repos_all_metrics!B:K,7,FALSE)</f>
        <v>45041</v>
      </c>
      <c r="AG1943">
        <f>VLOOKUP(A:A,[1]android_repos_all_metrics!B:K,8,FALSE)</f>
        <v>29</v>
      </c>
      <c r="AH1943">
        <f>VLOOKUP(A:A,[1]android_repos_all_metrics!B:K,9,FALSE)</f>
        <v>110</v>
      </c>
      <c r="AI1943">
        <f>VLOOKUP(A:A,[1]android_repos_all_metrics!B:K,10,FALSE)</f>
        <v>19</v>
      </c>
    </row>
    <row r="1944" spans="1:35">
      <c r="A1944" t="s">
        <v>2014</v>
      </c>
      <c r="B1944" t="b">
        <v>1</v>
      </c>
      <c r="C1944" t="b">
        <v>0</v>
      </c>
      <c r="D1944" t="b">
        <v>0</v>
      </c>
      <c r="F1944" t="b">
        <v>0</v>
      </c>
      <c r="H1944" t="s">
        <v>37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>
        <v>3</v>
      </c>
      <c r="AB1944">
        <v>0</v>
      </c>
      <c r="AC1944">
        <f>VLOOKUP(A:A,[1]android_repos_all_metrics!B:K,4,FALSE)</f>
        <v>64</v>
      </c>
      <c r="AD1944">
        <f>VLOOKUP(A:A,[1]android_repos_all_metrics!B:K,5,FALSE)</f>
        <v>10</v>
      </c>
      <c r="AE1944">
        <f>VLOOKUP(A:A,[1]android_repos_all_metrics!B:K,6,FALSE)</f>
        <v>2</v>
      </c>
      <c r="AF1944">
        <f>VLOOKUP(A:A,[1]android_repos_all_metrics!B:K,7,FALSE)</f>
        <v>314</v>
      </c>
      <c r="AG1944">
        <f>VLOOKUP(A:A,[1]android_repos_all_metrics!B:K,8,FALSE)</f>
        <v>0</v>
      </c>
      <c r="AH1944">
        <f>VLOOKUP(A:A,[1]android_repos_all_metrics!B:K,9,FALSE)</f>
        <v>2</v>
      </c>
      <c r="AI1944">
        <f>VLOOKUP(A:A,[1]android_repos_all_metrics!B:K,10,FALSE)</f>
        <v>1</v>
      </c>
    </row>
    <row r="1945" spans="1:35">
      <c r="A1945" t="s">
        <v>2015</v>
      </c>
      <c r="B1945" t="b">
        <v>1</v>
      </c>
      <c r="C1945" t="b">
        <v>0</v>
      </c>
      <c r="D1945" t="b">
        <v>0</v>
      </c>
      <c r="F1945" t="b">
        <v>0</v>
      </c>
      <c r="H1945" t="s">
        <v>37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>
        <v>4</v>
      </c>
      <c r="AB1945">
        <v>0</v>
      </c>
      <c r="AC1945">
        <f>VLOOKUP(A:A,[1]android_repos_all_metrics!B:K,4,FALSE)</f>
        <v>387</v>
      </c>
      <c r="AD1945">
        <f>VLOOKUP(A:A,[1]android_repos_all_metrics!B:K,5,FALSE)</f>
        <v>218</v>
      </c>
      <c r="AE1945">
        <f>VLOOKUP(A:A,[1]android_repos_all_metrics!B:K,6,FALSE)</f>
        <v>5</v>
      </c>
      <c r="AF1945">
        <f>VLOOKUP(A:A,[1]android_repos_all_metrics!B:K,7,FALSE)</f>
        <v>1624</v>
      </c>
      <c r="AG1945">
        <f>VLOOKUP(A:A,[1]android_repos_all_metrics!B:K,8,FALSE)</f>
        <v>1</v>
      </c>
      <c r="AH1945">
        <f>VLOOKUP(A:A,[1]android_repos_all_metrics!B:K,9,FALSE)</f>
        <v>12</v>
      </c>
      <c r="AI1945">
        <f>VLOOKUP(A:A,[1]android_repos_all_metrics!B:K,10,FALSE)</f>
        <v>0</v>
      </c>
    </row>
    <row r="1946" spans="1:35">
      <c r="A1946" t="s">
        <v>2016</v>
      </c>
      <c r="B1946" t="b">
        <v>1</v>
      </c>
      <c r="C1946" t="b">
        <v>1</v>
      </c>
      <c r="D1946" t="b">
        <v>1</v>
      </c>
      <c r="E1946" t="s">
        <v>36</v>
      </c>
      <c r="F1946" t="b">
        <v>0</v>
      </c>
      <c r="H1946" t="s">
        <v>37</v>
      </c>
      <c r="I1946" t="s">
        <v>37</v>
      </c>
      <c r="J1946" t="b">
        <v>0</v>
      </c>
      <c r="K1946" t="b">
        <v>0</v>
      </c>
      <c r="L1946" t="b">
        <v>1</v>
      </c>
      <c r="M1946" t="b">
        <v>1</v>
      </c>
      <c r="N1946" t="b">
        <v>1</v>
      </c>
      <c r="O1946" t="b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1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>
        <v>5</v>
      </c>
      <c r="AA1946">
        <v>3</v>
      </c>
      <c r="AB1946">
        <v>0</v>
      </c>
      <c r="AC1946">
        <f>VLOOKUP(A:A,[1]android_repos_all_metrics!B:K,4,FALSE)</f>
        <v>276</v>
      </c>
      <c r="AD1946">
        <f>VLOOKUP(A:A,[1]android_repos_all_metrics!B:K,5,FALSE)</f>
        <v>46</v>
      </c>
      <c r="AE1946">
        <f>VLOOKUP(A:A,[1]android_repos_all_metrics!B:K,6,FALSE)</f>
        <v>7</v>
      </c>
      <c r="AF1946">
        <f>VLOOKUP(A:A,[1]android_repos_all_metrics!B:K,7,FALSE)</f>
        <v>4248</v>
      </c>
      <c r="AG1946">
        <f>VLOOKUP(A:A,[1]android_repos_all_metrics!B:K,8,FALSE)</f>
        <v>55</v>
      </c>
      <c r="AH1946">
        <f>VLOOKUP(A:A,[1]android_repos_all_metrics!B:K,9,FALSE)</f>
        <v>357</v>
      </c>
      <c r="AI1946">
        <f>VLOOKUP(A:A,[1]android_repos_all_metrics!B:K,10,FALSE)</f>
        <v>16</v>
      </c>
    </row>
    <row r="1947" spans="1:35">
      <c r="A1947" t="s">
        <v>2017</v>
      </c>
      <c r="B1947" t="b">
        <v>1</v>
      </c>
      <c r="C1947" t="b">
        <v>0</v>
      </c>
      <c r="D1947" t="b">
        <v>0</v>
      </c>
      <c r="F1947" t="b">
        <v>0</v>
      </c>
      <c r="H1947" t="s">
        <v>41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>
        <v>1</v>
      </c>
      <c r="AB1947">
        <v>0</v>
      </c>
      <c r="AC1947">
        <f>VLOOKUP(A:A,[1]android_repos_all_metrics!B:K,4,FALSE)</f>
        <v>2</v>
      </c>
      <c r="AD1947">
        <f>VLOOKUP(A:A,[1]android_repos_all_metrics!B:K,5,FALSE)</f>
        <v>0</v>
      </c>
      <c r="AE1947">
        <f>VLOOKUP(A:A,[1]android_repos_all_metrics!B:K,6,FALSE)</f>
        <v>1</v>
      </c>
      <c r="AF1947">
        <f>VLOOKUP(A:A,[1]android_repos_all_metrics!B:K,7,FALSE)</f>
        <v>129655</v>
      </c>
      <c r="AG1947">
        <f>VLOOKUP(A:A,[1]android_repos_all_metrics!B:K,8,FALSE)</f>
        <v>0</v>
      </c>
      <c r="AH1947">
        <f>VLOOKUP(A:A,[1]android_repos_all_metrics!B:K,9,FALSE)</f>
        <v>1</v>
      </c>
      <c r="AI1947">
        <f>VLOOKUP(A:A,[1]android_repos_all_metrics!B:K,10,FALSE)</f>
        <v>1</v>
      </c>
    </row>
    <row r="1948" spans="1:35">
      <c r="A1948" t="s">
        <v>2018</v>
      </c>
      <c r="B1948" t="b">
        <v>1</v>
      </c>
      <c r="C1948" t="b">
        <v>0</v>
      </c>
      <c r="D1948" t="b">
        <v>0</v>
      </c>
      <c r="F1948" t="b">
        <v>0</v>
      </c>
      <c r="H1948" t="s">
        <v>37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>
        <v>1</v>
      </c>
      <c r="AB1948">
        <v>0</v>
      </c>
      <c r="AC1948">
        <f>VLOOKUP(A:A,[1]android_repos_all_metrics!B:K,4,FALSE)</f>
        <v>4</v>
      </c>
      <c r="AD1948">
        <f>VLOOKUP(A:A,[1]android_repos_all_metrics!B:K,5,FALSE)</f>
        <v>32</v>
      </c>
      <c r="AE1948">
        <f>VLOOKUP(A:A,[1]android_repos_all_metrics!B:K,6,FALSE)</f>
        <v>1</v>
      </c>
      <c r="AF1948">
        <f>VLOOKUP(A:A,[1]android_repos_all_metrics!B:K,7,FALSE)</f>
        <v>3595</v>
      </c>
      <c r="AG1948">
        <f>VLOOKUP(A:A,[1]android_repos_all_metrics!B:K,8,FALSE)</f>
        <v>0</v>
      </c>
      <c r="AH1948">
        <f>VLOOKUP(A:A,[1]android_repos_all_metrics!B:K,9,FALSE)</f>
        <v>2</v>
      </c>
      <c r="AI1948">
        <f>VLOOKUP(A:A,[1]android_repos_all_metrics!B:K,10,FALSE)</f>
        <v>0</v>
      </c>
    </row>
    <row r="1949" spans="1:35">
      <c r="A1949" t="s">
        <v>2019</v>
      </c>
      <c r="B1949" t="b">
        <v>1</v>
      </c>
      <c r="C1949" t="b">
        <v>0</v>
      </c>
      <c r="D1949" t="b">
        <v>0</v>
      </c>
      <c r="F1949" t="b">
        <v>0</v>
      </c>
      <c r="H1949" t="s">
        <v>37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>
        <v>2</v>
      </c>
      <c r="AB1949">
        <v>0</v>
      </c>
      <c r="AC1949">
        <f>VLOOKUP(A:A,[1]android_repos_all_metrics!B:K,4,FALSE)</f>
        <v>159</v>
      </c>
      <c r="AD1949">
        <f>VLOOKUP(A:A,[1]android_repos_all_metrics!B:K,5,FALSE)</f>
        <v>36</v>
      </c>
      <c r="AE1949">
        <f>VLOOKUP(A:A,[1]android_repos_all_metrics!B:K,6,FALSE)</f>
        <v>16</v>
      </c>
      <c r="AF1949">
        <f>VLOOKUP(A:A,[1]android_repos_all_metrics!B:K,7,FALSE)</f>
        <v>176475</v>
      </c>
      <c r="AG1949">
        <f>VLOOKUP(A:A,[1]android_repos_all_metrics!B:K,8,FALSE)</f>
        <v>13</v>
      </c>
      <c r="AH1949">
        <f>VLOOKUP(A:A,[1]android_repos_all_metrics!B:K,9,FALSE)</f>
        <v>151</v>
      </c>
      <c r="AI1949">
        <f>VLOOKUP(A:A,[1]android_repos_all_metrics!B:K,10,FALSE)</f>
        <v>26</v>
      </c>
    </row>
    <row r="1950" spans="1:35">
      <c r="A1950" t="s">
        <v>2020</v>
      </c>
      <c r="B1950" t="b">
        <v>1</v>
      </c>
      <c r="C1950" t="b">
        <v>0</v>
      </c>
      <c r="D1950" t="b">
        <v>0</v>
      </c>
      <c r="F1950" t="b">
        <v>0</v>
      </c>
      <c r="H1950" t="s">
        <v>37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>
        <v>1</v>
      </c>
      <c r="AB1950">
        <v>0</v>
      </c>
      <c r="AC1950">
        <f>VLOOKUP(A:A,[1]android_repos_all_metrics!B:K,4,FALSE)</f>
        <v>28</v>
      </c>
      <c r="AD1950">
        <f>VLOOKUP(A:A,[1]android_repos_all_metrics!B:K,5,FALSE)</f>
        <v>11</v>
      </c>
      <c r="AE1950">
        <f>VLOOKUP(A:A,[1]android_repos_all_metrics!B:K,6,FALSE)</f>
        <v>2</v>
      </c>
      <c r="AF1950">
        <f>VLOOKUP(A:A,[1]android_repos_all_metrics!B:K,7,FALSE)</f>
        <v>885</v>
      </c>
      <c r="AG1950">
        <f>VLOOKUP(A:A,[1]android_repos_all_metrics!B:K,8,FALSE)</f>
        <v>5</v>
      </c>
      <c r="AH1950">
        <f>VLOOKUP(A:A,[1]android_repos_all_metrics!B:K,9,FALSE)</f>
        <v>95</v>
      </c>
      <c r="AI1950">
        <f>VLOOKUP(A:A,[1]android_repos_all_metrics!B:K,10,FALSE)</f>
        <v>0</v>
      </c>
    </row>
    <row r="1951" spans="1:35">
      <c r="A1951" t="s">
        <v>2021</v>
      </c>
      <c r="B1951" t="b">
        <v>1</v>
      </c>
      <c r="C1951" t="b">
        <v>0</v>
      </c>
      <c r="D1951" t="b">
        <v>0</v>
      </c>
      <c r="F1951" t="b">
        <v>0</v>
      </c>
      <c r="H1951" t="s">
        <v>37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>
        <v>2</v>
      </c>
      <c r="AB1951">
        <v>0</v>
      </c>
      <c r="AC1951">
        <f>VLOOKUP(A:A,[1]android_repos_all_metrics!B:K,4,FALSE)</f>
        <v>356</v>
      </c>
      <c r="AD1951">
        <f>VLOOKUP(A:A,[1]android_repos_all_metrics!B:K,5,FALSE)</f>
        <v>82</v>
      </c>
      <c r="AE1951">
        <f>VLOOKUP(A:A,[1]android_repos_all_metrics!B:K,6,FALSE)</f>
        <v>5</v>
      </c>
      <c r="AF1951">
        <f>VLOOKUP(A:A,[1]android_repos_all_metrics!B:K,7,FALSE)</f>
        <v>4551</v>
      </c>
      <c r="AG1951">
        <f>VLOOKUP(A:A,[1]android_repos_all_metrics!B:K,8,FALSE)</f>
        <v>4</v>
      </c>
      <c r="AH1951">
        <f>VLOOKUP(A:A,[1]android_repos_all_metrics!B:K,9,FALSE)</f>
        <v>22</v>
      </c>
      <c r="AI1951">
        <f>VLOOKUP(A:A,[1]android_repos_all_metrics!B:K,10,FALSE)</f>
        <v>4</v>
      </c>
    </row>
    <row r="1952" spans="1:35">
      <c r="A1952" t="s">
        <v>2022</v>
      </c>
      <c r="B1952" t="b">
        <v>1</v>
      </c>
      <c r="C1952" t="b">
        <v>0</v>
      </c>
      <c r="D1952" t="b">
        <v>0</v>
      </c>
      <c r="F1952" t="b">
        <v>0</v>
      </c>
      <c r="H1952" t="s">
        <v>37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>
        <v>2</v>
      </c>
      <c r="AB1952">
        <v>0</v>
      </c>
      <c r="AC1952">
        <f>VLOOKUP(A:A,[1]android_repos_all_metrics!B:K,4,FALSE)</f>
        <v>29</v>
      </c>
      <c r="AD1952">
        <f>VLOOKUP(A:A,[1]android_repos_all_metrics!B:K,5,FALSE)</f>
        <v>60</v>
      </c>
      <c r="AE1952">
        <f>VLOOKUP(A:A,[1]android_repos_all_metrics!B:K,6,FALSE)</f>
        <v>2</v>
      </c>
      <c r="AF1952">
        <f>VLOOKUP(A:A,[1]android_repos_all_metrics!B:K,7,FALSE)</f>
        <v>740</v>
      </c>
      <c r="AG1952">
        <f>VLOOKUP(A:A,[1]android_repos_all_metrics!B:K,8,FALSE)</f>
        <v>0</v>
      </c>
      <c r="AH1952">
        <f>VLOOKUP(A:A,[1]android_repos_all_metrics!B:K,9,FALSE)</f>
        <v>9</v>
      </c>
      <c r="AI1952">
        <f>VLOOKUP(A:A,[1]android_repos_all_metrics!B:K,10,FALSE)</f>
        <v>10</v>
      </c>
    </row>
    <row r="1953" spans="1:35">
      <c r="A1953" t="s">
        <v>2023</v>
      </c>
      <c r="B1953" t="b">
        <v>1</v>
      </c>
      <c r="C1953" t="b">
        <v>0</v>
      </c>
      <c r="D1953" t="b">
        <v>0</v>
      </c>
      <c r="F1953" t="b">
        <v>0</v>
      </c>
      <c r="H1953" t="s">
        <v>37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>
        <v>1</v>
      </c>
      <c r="AB1953">
        <v>0</v>
      </c>
      <c r="AC1953">
        <f>VLOOKUP(A:A,[1]android_repos_all_metrics!B:K,4,FALSE)</f>
        <v>85</v>
      </c>
      <c r="AD1953">
        <f>VLOOKUP(A:A,[1]android_repos_all_metrics!B:K,5,FALSE)</f>
        <v>38</v>
      </c>
      <c r="AE1953">
        <f>VLOOKUP(A:A,[1]android_repos_all_metrics!B:K,6,FALSE)</f>
        <v>2</v>
      </c>
      <c r="AF1953">
        <f>VLOOKUP(A:A,[1]android_repos_all_metrics!B:K,7,FALSE)</f>
        <v>6939</v>
      </c>
      <c r="AG1953">
        <f>VLOOKUP(A:A,[1]android_repos_all_metrics!B:K,8,FALSE)</f>
        <v>1</v>
      </c>
      <c r="AH1953">
        <f>VLOOKUP(A:A,[1]android_repos_all_metrics!B:K,9,FALSE)</f>
        <v>1</v>
      </c>
      <c r="AI1953">
        <f>VLOOKUP(A:A,[1]android_repos_all_metrics!B:K,10,FALSE)</f>
        <v>7</v>
      </c>
    </row>
    <row r="1954" spans="1:35">
      <c r="A1954" t="s">
        <v>2024</v>
      </c>
      <c r="B1954" t="b">
        <v>1</v>
      </c>
      <c r="C1954" t="b">
        <v>0</v>
      </c>
      <c r="D1954" t="b">
        <v>0</v>
      </c>
      <c r="F1954" t="b">
        <v>0</v>
      </c>
      <c r="H1954" t="s">
        <v>37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>
        <v>4</v>
      </c>
      <c r="AB1954">
        <v>0</v>
      </c>
      <c r="AC1954">
        <f>VLOOKUP(A:A,[1]android_repos_all_metrics!B:K,4,FALSE)</f>
        <v>136</v>
      </c>
      <c r="AD1954">
        <f>VLOOKUP(A:A,[1]android_repos_all_metrics!B:K,5,FALSE)</f>
        <v>11</v>
      </c>
      <c r="AE1954">
        <f>VLOOKUP(A:A,[1]android_repos_all_metrics!B:K,6,FALSE)</f>
        <v>2</v>
      </c>
      <c r="AF1954">
        <f>VLOOKUP(A:A,[1]android_repos_all_metrics!B:K,7,FALSE)</f>
        <v>3699</v>
      </c>
      <c r="AG1954">
        <f>VLOOKUP(A:A,[1]android_repos_all_metrics!B:K,8,FALSE)</f>
        <v>8</v>
      </c>
      <c r="AH1954">
        <f>VLOOKUP(A:A,[1]android_repos_all_metrics!B:K,9,FALSE)</f>
        <v>102</v>
      </c>
      <c r="AI1954">
        <f>VLOOKUP(A:A,[1]android_repos_all_metrics!B:K,10,FALSE)</f>
        <v>1</v>
      </c>
    </row>
    <row r="1955" spans="1:35">
      <c r="A1955" t="s">
        <v>2025</v>
      </c>
      <c r="B1955" t="b">
        <v>0</v>
      </c>
      <c r="C1955" t="b">
        <v>0</v>
      </c>
      <c r="D1955" t="b">
        <v>0</v>
      </c>
      <c r="F1955" t="b">
        <v>0</v>
      </c>
      <c r="H1955" t="s">
        <v>41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>
        <v>1</v>
      </c>
      <c r="AB1955">
        <v>1</v>
      </c>
      <c r="AC1955">
        <f>VLOOKUP(A:A,[1]android_repos_all_metrics!B:K,4,FALSE)</f>
        <v>83</v>
      </c>
      <c r="AD1955">
        <f>VLOOKUP(A:A,[1]android_repos_all_metrics!B:K,5,FALSE)</f>
        <v>8</v>
      </c>
      <c r="AE1955">
        <f>VLOOKUP(A:A,[1]android_repos_all_metrics!B:K,6,FALSE)</f>
        <v>1</v>
      </c>
      <c r="AF1955">
        <f>VLOOKUP(A:A,[1]android_repos_all_metrics!B:K,7,FALSE)</f>
        <v>1909</v>
      </c>
      <c r="AG1955">
        <f>VLOOKUP(A:A,[1]android_repos_all_metrics!B:K,8,FALSE)</f>
        <v>8</v>
      </c>
      <c r="AH1955">
        <f>VLOOKUP(A:A,[1]android_repos_all_metrics!B:K,9,FALSE)</f>
        <v>37</v>
      </c>
      <c r="AI1955">
        <f>VLOOKUP(A:A,[1]android_repos_all_metrics!B:K,10,FALSE)</f>
        <v>3</v>
      </c>
    </row>
    <row r="1956" spans="1:35">
      <c r="A1956" t="s">
        <v>2026</v>
      </c>
      <c r="B1956" t="b">
        <v>1</v>
      </c>
      <c r="C1956" t="b">
        <v>0</v>
      </c>
      <c r="D1956" t="b">
        <v>0</v>
      </c>
      <c r="F1956" t="b">
        <v>0</v>
      </c>
      <c r="H1956" t="s">
        <v>37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>
        <v>2</v>
      </c>
      <c r="AB1956">
        <v>0</v>
      </c>
      <c r="AC1956">
        <f>VLOOKUP(A:A,[1]android_repos_all_metrics!B:K,4,FALSE)</f>
        <v>36</v>
      </c>
      <c r="AD1956">
        <f>VLOOKUP(A:A,[1]android_repos_all_metrics!B:K,5,FALSE)</f>
        <v>2</v>
      </c>
      <c r="AE1956">
        <f>VLOOKUP(A:A,[1]android_repos_all_metrics!B:K,6,FALSE)</f>
        <v>2</v>
      </c>
      <c r="AF1956">
        <f>VLOOKUP(A:A,[1]android_repos_all_metrics!B:K,7,FALSE)</f>
        <v>703</v>
      </c>
      <c r="AG1956">
        <f>VLOOKUP(A:A,[1]android_repos_all_metrics!B:K,8,FALSE)</f>
        <v>7</v>
      </c>
      <c r="AH1956">
        <f>VLOOKUP(A:A,[1]android_repos_all_metrics!B:K,9,FALSE)</f>
        <v>69</v>
      </c>
      <c r="AI1956">
        <f>VLOOKUP(A:A,[1]android_repos_all_metrics!B:K,10,FALSE)</f>
        <v>11</v>
      </c>
    </row>
    <row r="1957" spans="1:35">
      <c r="A1957" t="s">
        <v>2027</v>
      </c>
      <c r="B1957" t="b">
        <v>1</v>
      </c>
      <c r="C1957" t="b">
        <v>0</v>
      </c>
      <c r="D1957" t="b">
        <v>0</v>
      </c>
      <c r="F1957" t="b">
        <v>0</v>
      </c>
      <c r="H1957" t="s">
        <v>37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>
        <v>1</v>
      </c>
      <c r="AB1957">
        <v>0</v>
      </c>
      <c r="AC1957">
        <f>VLOOKUP(A:A,[1]android_repos_all_metrics!B:K,4,FALSE)</f>
        <v>230</v>
      </c>
      <c r="AD1957">
        <f>VLOOKUP(A:A,[1]android_repos_all_metrics!B:K,5,FALSE)</f>
        <v>128</v>
      </c>
      <c r="AE1957">
        <f>VLOOKUP(A:A,[1]android_repos_all_metrics!B:K,6,FALSE)</f>
        <v>9</v>
      </c>
      <c r="AF1957">
        <f>VLOOKUP(A:A,[1]android_repos_all_metrics!B:K,7,FALSE)</f>
        <v>3006</v>
      </c>
      <c r="AG1957">
        <f>VLOOKUP(A:A,[1]android_repos_all_metrics!B:K,8,FALSE)</f>
        <v>5</v>
      </c>
      <c r="AH1957">
        <f>VLOOKUP(A:A,[1]android_repos_all_metrics!B:K,9,FALSE)</f>
        <v>39</v>
      </c>
      <c r="AI1957">
        <f>VLOOKUP(A:A,[1]android_repos_all_metrics!B:K,10,FALSE)</f>
        <v>23</v>
      </c>
    </row>
    <row r="1958" spans="1:35">
      <c r="A1958" t="s">
        <v>2028</v>
      </c>
      <c r="B1958" t="b">
        <v>1</v>
      </c>
      <c r="C1958" t="b">
        <v>0</v>
      </c>
      <c r="D1958" t="b">
        <v>0</v>
      </c>
      <c r="F1958" t="b">
        <v>0</v>
      </c>
      <c r="H1958" t="s">
        <v>37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>
        <v>3</v>
      </c>
      <c r="AB1958">
        <v>0</v>
      </c>
      <c r="AC1958">
        <f>VLOOKUP(A:A,[1]android_repos_all_metrics!B:K,4,FALSE)</f>
        <v>294</v>
      </c>
      <c r="AD1958">
        <f>VLOOKUP(A:A,[1]android_repos_all_metrics!B:K,5,FALSE)</f>
        <v>10</v>
      </c>
      <c r="AE1958">
        <f>VLOOKUP(A:A,[1]android_repos_all_metrics!B:K,6,FALSE)</f>
        <v>2</v>
      </c>
      <c r="AF1958">
        <f>VLOOKUP(A:A,[1]android_repos_all_metrics!B:K,7,FALSE)</f>
        <v>1402</v>
      </c>
      <c r="AG1958">
        <f>VLOOKUP(A:A,[1]android_repos_all_metrics!B:K,8,FALSE)</f>
        <v>1</v>
      </c>
      <c r="AH1958">
        <f>VLOOKUP(A:A,[1]android_repos_all_metrics!B:K,9,FALSE)</f>
        <v>7</v>
      </c>
      <c r="AI1958">
        <f>VLOOKUP(A:A,[1]android_repos_all_metrics!B:K,10,FALSE)</f>
        <v>0</v>
      </c>
    </row>
    <row r="1959" spans="1:35">
      <c r="A1959" t="s">
        <v>2029</v>
      </c>
      <c r="B1959" t="b">
        <v>1</v>
      </c>
      <c r="C1959" t="b">
        <v>0</v>
      </c>
      <c r="D1959" t="b">
        <v>0</v>
      </c>
      <c r="F1959" t="b">
        <v>0</v>
      </c>
      <c r="H1959" t="s">
        <v>244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>
        <v>8</v>
      </c>
      <c r="AB1959">
        <v>0</v>
      </c>
      <c r="AC1959">
        <f>VLOOKUP(A:A,[1]android_repos_all_metrics!B:K,4,FALSE)</f>
        <v>355</v>
      </c>
      <c r="AD1959">
        <f>VLOOKUP(A:A,[1]android_repos_all_metrics!B:K,5,FALSE)</f>
        <v>2</v>
      </c>
      <c r="AE1959">
        <f>VLOOKUP(A:A,[1]android_repos_all_metrics!B:K,6,FALSE)</f>
        <v>1</v>
      </c>
      <c r="AF1959">
        <f>VLOOKUP(A:A,[1]android_repos_all_metrics!B:K,7,FALSE)</f>
        <v>1934</v>
      </c>
      <c r="AG1959">
        <f>VLOOKUP(A:A,[1]android_repos_all_metrics!B:K,8,FALSE)</f>
        <v>36</v>
      </c>
      <c r="AH1959">
        <f>VLOOKUP(A:A,[1]android_repos_all_metrics!B:K,9,FALSE)</f>
        <v>75</v>
      </c>
      <c r="AI1959">
        <f>VLOOKUP(A:A,[1]android_repos_all_metrics!B:K,10,FALSE)</f>
        <v>1</v>
      </c>
    </row>
    <row r="1960" spans="1:35">
      <c r="A1960" t="s">
        <v>2030</v>
      </c>
      <c r="B1960" t="b">
        <v>0</v>
      </c>
      <c r="C1960" t="b">
        <v>0</v>
      </c>
      <c r="D1960" t="b">
        <v>0</v>
      </c>
      <c r="F1960" t="b">
        <v>0</v>
      </c>
      <c r="H1960" t="s">
        <v>407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>
        <v>1</v>
      </c>
      <c r="AB1960">
        <v>0</v>
      </c>
      <c r="AC1960" t="e">
        <f>VLOOKUP(A:A,[1]android_repos_all_metrics!B:K,4,FALSE)</f>
        <v>#N/A</v>
      </c>
      <c r="AD1960" t="e">
        <f>VLOOKUP(A:A,[1]android_repos_all_metrics!B:K,5,FALSE)</f>
        <v>#N/A</v>
      </c>
      <c r="AE1960" t="e">
        <f>VLOOKUP(A:A,[1]android_repos_all_metrics!B:K,6,FALSE)</f>
        <v>#N/A</v>
      </c>
      <c r="AF1960" t="e">
        <f>VLOOKUP(A:A,[1]android_repos_all_metrics!B:K,7,FALSE)</f>
        <v>#N/A</v>
      </c>
      <c r="AG1960" t="e">
        <f>VLOOKUP(A:A,[1]android_repos_all_metrics!B:K,8,FALSE)</f>
        <v>#N/A</v>
      </c>
      <c r="AH1960" t="e">
        <f>VLOOKUP(A:A,[1]android_repos_all_metrics!B:K,9,FALSE)</f>
        <v>#N/A</v>
      </c>
      <c r="AI1960" t="e">
        <f>VLOOKUP(A:A,[1]android_repos_all_metrics!B:K,10,FALSE)</f>
        <v>#N/A</v>
      </c>
    </row>
    <row r="1961" spans="1:35">
      <c r="A1961" t="s">
        <v>2031</v>
      </c>
      <c r="B1961" t="b">
        <v>0</v>
      </c>
      <c r="C1961" t="b">
        <v>0</v>
      </c>
      <c r="D1961" t="b">
        <v>0</v>
      </c>
      <c r="F1961" t="b">
        <v>0</v>
      </c>
      <c r="H1961" t="s">
        <v>41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>
        <v>1</v>
      </c>
      <c r="AB1961">
        <v>0</v>
      </c>
      <c r="AC1961">
        <f>VLOOKUP(A:A,[1]android_repos_all_metrics!B:K,4,FALSE)</f>
        <v>58</v>
      </c>
      <c r="AD1961">
        <f>VLOOKUP(A:A,[1]android_repos_all_metrics!B:K,5,FALSE)</f>
        <v>1</v>
      </c>
      <c r="AE1961">
        <f>VLOOKUP(A:A,[1]android_repos_all_metrics!B:K,6,FALSE)</f>
        <v>3</v>
      </c>
      <c r="AF1961">
        <f>VLOOKUP(A:A,[1]android_repos_all_metrics!B:K,7,FALSE)</f>
        <v>233</v>
      </c>
      <c r="AG1961">
        <f>VLOOKUP(A:A,[1]android_repos_all_metrics!B:K,8,FALSE)</f>
        <v>2</v>
      </c>
      <c r="AH1961">
        <f>VLOOKUP(A:A,[1]android_repos_all_metrics!B:K,9,FALSE)</f>
        <v>5</v>
      </c>
      <c r="AI1961">
        <f>VLOOKUP(A:A,[1]android_repos_all_metrics!B:K,10,FALSE)</f>
        <v>0</v>
      </c>
    </row>
    <row r="1962" spans="1:35">
      <c r="A1962" t="s">
        <v>2032</v>
      </c>
      <c r="B1962" t="b">
        <v>0</v>
      </c>
      <c r="C1962" t="b">
        <v>0</v>
      </c>
      <c r="D1962" t="b">
        <v>0</v>
      </c>
      <c r="F1962" t="b">
        <v>0</v>
      </c>
      <c r="H1962" t="s">
        <v>41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>
        <v>1</v>
      </c>
      <c r="AB1962">
        <v>0</v>
      </c>
      <c r="AC1962">
        <f>VLOOKUP(A:A,[1]android_repos_all_metrics!B:K,4,FALSE)</f>
        <v>13</v>
      </c>
      <c r="AD1962">
        <f>VLOOKUP(A:A,[1]android_repos_all_metrics!B:K,5,FALSE)</f>
        <v>5</v>
      </c>
      <c r="AE1962">
        <f>VLOOKUP(A:A,[1]android_repos_all_metrics!B:K,6,FALSE)</f>
        <v>1</v>
      </c>
      <c r="AF1962">
        <f>VLOOKUP(A:A,[1]android_repos_all_metrics!B:K,7,FALSE)</f>
        <v>6244</v>
      </c>
      <c r="AG1962">
        <f>VLOOKUP(A:A,[1]android_repos_all_metrics!B:K,8,FALSE)</f>
        <v>18</v>
      </c>
      <c r="AH1962">
        <f>VLOOKUP(A:A,[1]android_repos_all_metrics!B:K,9,FALSE)</f>
        <v>21</v>
      </c>
      <c r="AI1962">
        <f>VLOOKUP(A:A,[1]android_repos_all_metrics!B:K,10,FALSE)</f>
        <v>5</v>
      </c>
    </row>
    <row r="1963" spans="1:35">
      <c r="A1963" t="s">
        <v>2033</v>
      </c>
      <c r="B1963" t="b">
        <v>0</v>
      </c>
      <c r="C1963" t="b">
        <v>0</v>
      </c>
      <c r="D1963" t="b">
        <v>0</v>
      </c>
      <c r="F1963" t="b">
        <v>0</v>
      </c>
      <c r="H1963" t="s">
        <v>41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>
        <v>1</v>
      </c>
      <c r="AB1963">
        <v>0</v>
      </c>
      <c r="AC1963">
        <f>VLOOKUP(A:A,[1]android_repos_all_metrics!B:K,4,FALSE)</f>
        <v>318</v>
      </c>
      <c r="AD1963">
        <f>VLOOKUP(A:A,[1]android_repos_all_metrics!B:K,5,FALSE)</f>
        <v>26</v>
      </c>
      <c r="AE1963">
        <f>VLOOKUP(A:A,[1]android_repos_all_metrics!B:K,6,FALSE)</f>
        <v>1</v>
      </c>
      <c r="AF1963">
        <f>VLOOKUP(A:A,[1]android_repos_all_metrics!B:K,7,FALSE)</f>
        <v>3373</v>
      </c>
      <c r="AG1963">
        <f>VLOOKUP(A:A,[1]android_repos_all_metrics!B:K,8,FALSE)</f>
        <v>7</v>
      </c>
      <c r="AH1963">
        <f>VLOOKUP(A:A,[1]android_repos_all_metrics!B:K,9,FALSE)</f>
        <v>17</v>
      </c>
      <c r="AI1963">
        <f>VLOOKUP(A:A,[1]android_repos_all_metrics!B:K,10,FALSE)</f>
        <v>10</v>
      </c>
    </row>
    <row r="1964" spans="1:35">
      <c r="A1964" t="s">
        <v>2034</v>
      </c>
      <c r="B1964" t="b">
        <v>1</v>
      </c>
      <c r="C1964" t="b">
        <v>1</v>
      </c>
      <c r="D1964" t="b">
        <v>0</v>
      </c>
      <c r="F1964" t="b">
        <v>1</v>
      </c>
      <c r="G1964" t="s">
        <v>39</v>
      </c>
      <c r="H1964" t="s">
        <v>41</v>
      </c>
      <c r="I1964" t="s">
        <v>41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>
        <v>1</v>
      </c>
      <c r="AB1964">
        <v>0</v>
      </c>
      <c r="AC1964">
        <f>VLOOKUP(A:A,[1]android_repos_all_metrics!B:K,4,FALSE)</f>
        <v>83</v>
      </c>
      <c r="AD1964">
        <f>VLOOKUP(A:A,[1]android_repos_all_metrics!B:K,5,FALSE)</f>
        <v>1</v>
      </c>
      <c r="AE1964">
        <f>VLOOKUP(A:A,[1]android_repos_all_metrics!B:K,6,FALSE)</f>
        <v>3</v>
      </c>
      <c r="AF1964">
        <f>VLOOKUP(A:A,[1]android_repos_all_metrics!B:K,7,FALSE)</f>
        <v>185638</v>
      </c>
      <c r="AG1964">
        <f>VLOOKUP(A:A,[1]android_repos_all_metrics!B:K,8,FALSE)</f>
        <v>1</v>
      </c>
      <c r="AH1964">
        <f>VLOOKUP(A:A,[1]android_repos_all_metrics!B:K,9,FALSE)</f>
        <v>4</v>
      </c>
      <c r="AI1964">
        <f>VLOOKUP(A:A,[1]android_repos_all_metrics!B:K,10,FALSE)</f>
        <v>0</v>
      </c>
    </row>
    <row r="1965" spans="1:35">
      <c r="A1965" t="s">
        <v>2035</v>
      </c>
      <c r="B1965" t="b">
        <v>1</v>
      </c>
      <c r="C1965" t="b">
        <v>1</v>
      </c>
      <c r="D1965" t="b">
        <v>1</v>
      </c>
      <c r="E1965" t="s">
        <v>36</v>
      </c>
      <c r="F1965" t="b">
        <v>0</v>
      </c>
      <c r="H1965" t="s">
        <v>37</v>
      </c>
      <c r="I1965" t="s">
        <v>37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1</v>
      </c>
      <c r="W1965" t="b">
        <v>0</v>
      </c>
      <c r="X1965" t="b">
        <v>0</v>
      </c>
      <c r="Y1965" t="b">
        <v>0</v>
      </c>
      <c r="Z1965">
        <v>1</v>
      </c>
      <c r="AA1965">
        <v>2</v>
      </c>
      <c r="AB1965">
        <v>0</v>
      </c>
      <c r="AC1965">
        <f>VLOOKUP(A:A,[1]android_repos_all_metrics!B:K,4,FALSE)</f>
        <v>0</v>
      </c>
      <c r="AD1965">
        <f>VLOOKUP(A:A,[1]android_repos_all_metrics!B:K,5,FALSE)</f>
        <v>0</v>
      </c>
      <c r="AE1965">
        <f>VLOOKUP(A:A,[1]android_repos_all_metrics!B:K,6,FALSE)</f>
        <v>0</v>
      </c>
      <c r="AF1965">
        <f>VLOOKUP(A:A,[1]android_repos_all_metrics!B:K,7,FALSE)</f>
        <v>9061</v>
      </c>
      <c r="AG1965">
        <f>VLOOKUP(A:A,[1]android_repos_all_metrics!B:K,8,FALSE)</f>
        <v>0</v>
      </c>
      <c r="AH1965">
        <f>VLOOKUP(A:A,[1]android_repos_all_metrics!B:K,9,FALSE)</f>
        <v>19</v>
      </c>
      <c r="AI1965">
        <f>VLOOKUP(A:A,[1]android_repos_all_metrics!B:K,10,FALSE)</f>
        <v>8</v>
      </c>
    </row>
    <row r="1966" spans="1:35">
      <c r="A1966" t="s">
        <v>2036</v>
      </c>
      <c r="B1966" t="b">
        <v>1</v>
      </c>
      <c r="C1966" t="b">
        <v>0</v>
      </c>
      <c r="D1966" t="b">
        <v>0</v>
      </c>
      <c r="F1966" t="b">
        <v>0</v>
      </c>
      <c r="H1966" t="s">
        <v>136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>
        <v>2</v>
      </c>
      <c r="AB1966">
        <v>0</v>
      </c>
      <c r="AC1966">
        <f>VLOOKUP(A:A,[1]android_repos_all_metrics!B:K,4,FALSE)</f>
        <v>3682</v>
      </c>
      <c r="AD1966">
        <f>VLOOKUP(A:A,[1]android_repos_all_metrics!B:K,5,FALSE)</f>
        <v>364</v>
      </c>
      <c r="AE1966">
        <f>VLOOKUP(A:A,[1]android_repos_all_metrics!B:K,6,FALSE)</f>
        <v>42</v>
      </c>
      <c r="AF1966">
        <f>VLOOKUP(A:A,[1]android_repos_all_metrics!B:K,7,FALSE)</f>
        <v>53587</v>
      </c>
      <c r="AG1966">
        <f>VLOOKUP(A:A,[1]android_repos_all_metrics!B:K,8,FALSE)</f>
        <v>11630</v>
      </c>
      <c r="AH1966">
        <f>VLOOKUP(A:A,[1]android_repos_all_metrics!B:K,9,FALSE)</f>
        <v>33475</v>
      </c>
      <c r="AI1966">
        <f>VLOOKUP(A:A,[1]android_repos_all_metrics!B:K,10,FALSE)</f>
        <v>32</v>
      </c>
    </row>
    <row r="1967" spans="1:35">
      <c r="A1967" t="s">
        <v>2037</v>
      </c>
      <c r="B1967" t="b">
        <v>1</v>
      </c>
      <c r="C1967" t="b">
        <v>0</v>
      </c>
      <c r="D1967" t="b">
        <v>0</v>
      </c>
      <c r="F1967" t="b">
        <v>0</v>
      </c>
      <c r="H1967" t="s">
        <v>86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>
        <v>2</v>
      </c>
      <c r="AB1967">
        <v>0</v>
      </c>
      <c r="AC1967">
        <f>VLOOKUP(A:A,[1]android_repos_all_metrics!B:K,4,FALSE)</f>
        <v>2700</v>
      </c>
      <c r="AD1967">
        <f>VLOOKUP(A:A,[1]android_repos_all_metrics!B:K,5,FALSE)</f>
        <v>54</v>
      </c>
      <c r="AE1967">
        <f>VLOOKUP(A:A,[1]android_repos_all_metrics!B:K,6,FALSE)</f>
        <v>35</v>
      </c>
      <c r="AF1967">
        <f>VLOOKUP(A:A,[1]android_repos_all_metrics!B:K,7,FALSE)</f>
        <v>94093</v>
      </c>
      <c r="AG1967">
        <f>VLOOKUP(A:A,[1]android_repos_all_metrics!B:K,8,FALSE)</f>
        <v>357</v>
      </c>
      <c r="AH1967">
        <f>VLOOKUP(A:A,[1]android_repos_all_metrics!B:K,9,FALSE)</f>
        <v>2785</v>
      </c>
      <c r="AI1967">
        <f>VLOOKUP(A:A,[1]android_repos_all_metrics!B:K,10,FALSE)</f>
        <v>71</v>
      </c>
    </row>
    <row r="1968" spans="1:35">
      <c r="A1968" t="s">
        <v>2038</v>
      </c>
      <c r="B1968" t="b">
        <v>1</v>
      </c>
      <c r="C1968" t="b">
        <v>0</v>
      </c>
      <c r="D1968" t="b">
        <v>0</v>
      </c>
      <c r="F1968" t="b">
        <v>0</v>
      </c>
      <c r="H1968" t="s">
        <v>37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>
        <v>1</v>
      </c>
      <c r="AB1968">
        <v>0</v>
      </c>
      <c r="AC1968">
        <f>VLOOKUP(A:A,[1]android_repos_all_metrics!B:K,4,FALSE)</f>
        <v>242</v>
      </c>
      <c r="AD1968">
        <f>VLOOKUP(A:A,[1]android_repos_all_metrics!B:K,5,FALSE)</f>
        <v>31</v>
      </c>
      <c r="AE1968">
        <f>VLOOKUP(A:A,[1]android_repos_all_metrics!B:K,6,FALSE)</f>
        <v>1</v>
      </c>
      <c r="AF1968">
        <f>VLOOKUP(A:A,[1]android_repos_all_metrics!B:K,7,FALSE)</f>
        <v>347</v>
      </c>
      <c r="AG1968">
        <f>VLOOKUP(A:A,[1]android_repos_all_metrics!B:K,8,FALSE)</f>
        <v>0</v>
      </c>
      <c r="AH1968">
        <f>VLOOKUP(A:A,[1]android_repos_all_metrics!B:K,9,FALSE)</f>
        <v>4</v>
      </c>
      <c r="AI1968">
        <f>VLOOKUP(A:A,[1]android_repos_all_metrics!B:K,10,FALSE)</f>
        <v>0</v>
      </c>
    </row>
    <row r="1969" spans="1:35">
      <c r="A1969" t="s">
        <v>2039</v>
      </c>
      <c r="B1969" t="b">
        <v>1</v>
      </c>
      <c r="C1969" t="b">
        <v>0</v>
      </c>
      <c r="D1969" t="b">
        <v>0</v>
      </c>
      <c r="F1969" t="b">
        <v>0</v>
      </c>
      <c r="H1969" t="s">
        <v>37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>
        <v>4</v>
      </c>
      <c r="AB1969">
        <v>0</v>
      </c>
      <c r="AC1969">
        <f>VLOOKUP(A:A,[1]android_repos_all_metrics!B:K,4,FALSE)</f>
        <v>93</v>
      </c>
      <c r="AD1969">
        <f>VLOOKUP(A:A,[1]android_repos_all_metrics!B:K,5,FALSE)</f>
        <v>55</v>
      </c>
      <c r="AE1969">
        <f>VLOOKUP(A:A,[1]android_repos_all_metrics!B:K,6,FALSE)</f>
        <v>17</v>
      </c>
      <c r="AF1969">
        <f>VLOOKUP(A:A,[1]android_repos_all_metrics!B:K,7,FALSE)</f>
        <v>489</v>
      </c>
      <c r="AG1969">
        <f>VLOOKUP(A:A,[1]android_repos_all_metrics!B:K,8,FALSE)</f>
        <v>54</v>
      </c>
      <c r="AH1969">
        <f>VLOOKUP(A:A,[1]android_repos_all_metrics!B:K,9,FALSE)</f>
        <v>154</v>
      </c>
      <c r="AI1969">
        <f>VLOOKUP(A:A,[1]android_repos_all_metrics!B:K,10,FALSE)</f>
        <v>13</v>
      </c>
    </row>
    <row r="1970" spans="1:35">
      <c r="A1970" t="s">
        <v>2040</v>
      </c>
      <c r="B1970" t="b">
        <v>1</v>
      </c>
      <c r="C1970" t="b">
        <v>0</v>
      </c>
      <c r="D1970" t="b">
        <v>0</v>
      </c>
      <c r="F1970" t="b">
        <v>0</v>
      </c>
      <c r="H1970" t="s">
        <v>37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>
        <v>2</v>
      </c>
      <c r="AB1970">
        <v>0</v>
      </c>
      <c r="AC1970">
        <f>VLOOKUP(A:A,[1]android_repos_all_metrics!B:K,4,FALSE)</f>
        <v>51</v>
      </c>
      <c r="AD1970">
        <f>VLOOKUP(A:A,[1]android_repos_all_metrics!B:K,5,FALSE)</f>
        <v>3</v>
      </c>
      <c r="AE1970">
        <f>VLOOKUP(A:A,[1]android_repos_all_metrics!B:K,6,FALSE)</f>
        <v>1</v>
      </c>
      <c r="AF1970">
        <f>VLOOKUP(A:A,[1]android_repos_all_metrics!B:K,7,FALSE)</f>
        <v>322568</v>
      </c>
      <c r="AG1970">
        <f>VLOOKUP(A:A,[1]android_repos_all_metrics!B:K,8,FALSE)</f>
        <v>4</v>
      </c>
      <c r="AH1970">
        <f>VLOOKUP(A:A,[1]android_repos_all_metrics!B:K,9,FALSE)</f>
        <v>17</v>
      </c>
      <c r="AI1970">
        <f>VLOOKUP(A:A,[1]android_repos_all_metrics!B:K,10,FALSE)</f>
        <v>0</v>
      </c>
    </row>
    <row r="1971" spans="1:35">
      <c r="A1971" t="s">
        <v>2041</v>
      </c>
      <c r="B1971" t="b">
        <v>1</v>
      </c>
      <c r="C1971" t="b">
        <v>0</v>
      </c>
      <c r="D1971" t="b">
        <v>0</v>
      </c>
      <c r="F1971" t="b">
        <v>0</v>
      </c>
      <c r="H1971" t="s">
        <v>43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>
        <v>1</v>
      </c>
      <c r="AB1971">
        <v>0</v>
      </c>
      <c r="AC1971">
        <f>VLOOKUP(A:A,[1]android_repos_all_metrics!B:K,4,FALSE)</f>
        <v>135</v>
      </c>
      <c r="AD1971">
        <f>VLOOKUP(A:A,[1]android_repos_all_metrics!B:K,5,FALSE)</f>
        <v>12</v>
      </c>
      <c r="AE1971">
        <f>VLOOKUP(A:A,[1]android_repos_all_metrics!B:K,6,FALSE)</f>
        <v>8</v>
      </c>
      <c r="AF1971">
        <f>VLOOKUP(A:A,[1]android_repos_all_metrics!B:K,7,FALSE)</f>
        <v>14176</v>
      </c>
      <c r="AG1971">
        <f>VLOOKUP(A:A,[1]android_repos_all_metrics!B:K,8,FALSE)</f>
        <v>405</v>
      </c>
      <c r="AH1971">
        <f>VLOOKUP(A:A,[1]android_repos_all_metrics!B:K,9,FALSE)</f>
        <v>3050</v>
      </c>
      <c r="AI1971">
        <f>VLOOKUP(A:A,[1]android_repos_all_metrics!B:K,10,FALSE)</f>
        <v>47</v>
      </c>
    </row>
    <row r="1972" spans="1:35">
      <c r="A1972" t="s">
        <v>2042</v>
      </c>
      <c r="B1972" t="b">
        <v>1</v>
      </c>
      <c r="C1972" t="b">
        <v>0</v>
      </c>
      <c r="D1972" t="b">
        <v>0</v>
      </c>
      <c r="F1972" t="b">
        <v>0</v>
      </c>
      <c r="H1972" t="s">
        <v>37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>
        <v>1</v>
      </c>
      <c r="AB1972">
        <v>0</v>
      </c>
      <c r="AC1972">
        <f>VLOOKUP(A:A,[1]android_repos_all_metrics!B:K,4,FALSE)</f>
        <v>36</v>
      </c>
      <c r="AD1972">
        <f>VLOOKUP(A:A,[1]android_repos_all_metrics!B:K,5,FALSE)</f>
        <v>8</v>
      </c>
      <c r="AE1972">
        <f>VLOOKUP(A:A,[1]android_repos_all_metrics!B:K,6,FALSE)</f>
        <v>2</v>
      </c>
      <c r="AF1972">
        <f>VLOOKUP(A:A,[1]android_repos_all_metrics!B:K,7,FALSE)</f>
        <v>2257</v>
      </c>
      <c r="AG1972">
        <f>VLOOKUP(A:A,[1]android_repos_all_metrics!B:K,8,FALSE)</f>
        <v>7</v>
      </c>
      <c r="AH1972">
        <f>VLOOKUP(A:A,[1]android_repos_all_metrics!B:K,9,FALSE)</f>
        <v>22</v>
      </c>
      <c r="AI1972">
        <f>VLOOKUP(A:A,[1]android_repos_all_metrics!B:K,10,FALSE)</f>
        <v>10</v>
      </c>
    </row>
    <row r="1973" spans="1:35">
      <c r="A1973" t="s">
        <v>2043</v>
      </c>
      <c r="B1973" t="b">
        <v>0</v>
      </c>
      <c r="C1973" t="b">
        <v>0</v>
      </c>
      <c r="D1973" t="b">
        <v>0</v>
      </c>
      <c r="F1973" t="b">
        <v>0</v>
      </c>
      <c r="H1973" t="s">
        <v>41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>
        <v>1</v>
      </c>
      <c r="AB1973">
        <v>0</v>
      </c>
      <c r="AC1973">
        <f>VLOOKUP(A:A,[1]android_repos_all_metrics!B:K,4,FALSE)</f>
        <v>6</v>
      </c>
      <c r="AD1973">
        <f>VLOOKUP(A:A,[1]android_repos_all_metrics!B:K,5,FALSE)</f>
        <v>0</v>
      </c>
      <c r="AE1973">
        <f>VLOOKUP(A:A,[1]android_repos_all_metrics!B:K,6,FALSE)</f>
        <v>1</v>
      </c>
      <c r="AF1973">
        <f>VLOOKUP(A:A,[1]android_repos_all_metrics!B:K,7,FALSE)</f>
        <v>88</v>
      </c>
      <c r="AG1973">
        <f>VLOOKUP(A:A,[1]android_repos_all_metrics!B:K,8,FALSE)</f>
        <v>4</v>
      </c>
      <c r="AH1973">
        <f>VLOOKUP(A:A,[1]android_repos_all_metrics!B:K,9,FALSE)</f>
        <v>8</v>
      </c>
      <c r="AI1973">
        <f>VLOOKUP(A:A,[1]android_repos_all_metrics!B:K,10,FALSE)</f>
        <v>3</v>
      </c>
    </row>
    <row r="1974" spans="1:35">
      <c r="A1974" t="s">
        <v>2044</v>
      </c>
      <c r="B1974" t="b">
        <v>1</v>
      </c>
      <c r="C1974" t="b">
        <v>1</v>
      </c>
      <c r="D1974" t="b">
        <v>0</v>
      </c>
      <c r="F1974" t="b">
        <v>1</v>
      </c>
      <c r="G1974" t="s">
        <v>39</v>
      </c>
      <c r="H1974" t="s">
        <v>41</v>
      </c>
      <c r="I1974" t="s">
        <v>41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>
        <v>1</v>
      </c>
      <c r="AB1974">
        <v>0</v>
      </c>
      <c r="AC1974">
        <f>VLOOKUP(A:A,[1]android_repos_all_metrics!B:K,4,FALSE)</f>
        <v>50</v>
      </c>
      <c r="AD1974">
        <f>VLOOKUP(A:A,[1]android_repos_all_metrics!B:K,5,FALSE)</f>
        <v>47</v>
      </c>
      <c r="AE1974">
        <f>VLOOKUP(A:A,[1]android_repos_all_metrics!B:K,6,FALSE)</f>
        <v>6</v>
      </c>
      <c r="AF1974">
        <f>VLOOKUP(A:A,[1]android_repos_all_metrics!B:K,7,FALSE)</f>
        <v>2111</v>
      </c>
      <c r="AG1974">
        <f>VLOOKUP(A:A,[1]android_repos_all_metrics!B:K,8,FALSE)</f>
        <v>28</v>
      </c>
      <c r="AH1974">
        <f>VLOOKUP(A:A,[1]android_repos_all_metrics!B:K,9,FALSE)</f>
        <v>138</v>
      </c>
      <c r="AI1974">
        <f>VLOOKUP(A:A,[1]android_repos_all_metrics!B:K,10,FALSE)</f>
        <v>17</v>
      </c>
    </row>
    <row r="1975" spans="1:35">
      <c r="A1975" t="s">
        <v>2045</v>
      </c>
      <c r="B1975" t="b">
        <v>1</v>
      </c>
      <c r="C1975" t="b">
        <v>1</v>
      </c>
      <c r="D1975" t="b">
        <v>0</v>
      </c>
      <c r="F1975" t="b">
        <v>1</v>
      </c>
      <c r="G1975" t="s">
        <v>39</v>
      </c>
      <c r="H1975" t="s">
        <v>126</v>
      </c>
      <c r="I1975" t="s">
        <v>41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>
        <v>3</v>
      </c>
      <c r="AB1975">
        <v>0</v>
      </c>
      <c r="AC1975">
        <f>VLOOKUP(A:A,[1]android_repos_all_metrics!B:K,4,FALSE)</f>
        <v>136</v>
      </c>
      <c r="AD1975">
        <f>VLOOKUP(A:A,[1]android_repos_all_metrics!B:K,5,FALSE)</f>
        <v>2</v>
      </c>
      <c r="AE1975">
        <f>VLOOKUP(A:A,[1]android_repos_all_metrics!B:K,6,FALSE)</f>
        <v>2</v>
      </c>
      <c r="AF1975">
        <f>VLOOKUP(A:A,[1]android_repos_all_metrics!B:K,7,FALSE)</f>
        <v>9039</v>
      </c>
      <c r="AG1975">
        <f>VLOOKUP(A:A,[1]android_repos_all_metrics!B:K,8,FALSE)</f>
        <v>3</v>
      </c>
      <c r="AH1975">
        <f>VLOOKUP(A:A,[1]android_repos_all_metrics!B:K,9,FALSE)</f>
        <v>11</v>
      </c>
      <c r="AI1975">
        <f>VLOOKUP(A:A,[1]android_repos_all_metrics!B:K,10,FALSE)</f>
        <v>0</v>
      </c>
    </row>
    <row r="1976" spans="1:35">
      <c r="A1976" t="s">
        <v>2046</v>
      </c>
      <c r="B1976" t="b">
        <v>1</v>
      </c>
      <c r="C1976" t="b">
        <v>0</v>
      </c>
      <c r="D1976" t="b">
        <v>0</v>
      </c>
      <c r="F1976" t="b">
        <v>0</v>
      </c>
      <c r="H1976" t="s">
        <v>41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>
        <v>1</v>
      </c>
      <c r="AB1976">
        <v>0</v>
      </c>
      <c r="AC1976">
        <f>VLOOKUP(A:A,[1]android_repos_all_metrics!B:K,4,FALSE)</f>
        <v>77</v>
      </c>
      <c r="AD1976">
        <f>VLOOKUP(A:A,[1]android_repos_all_metrics!B:K,5,FALSE)</f>
        <v>2</v>
      </c>
      <c r="AE1976">
        <f>VLOOKUP(A:A,[1]android_repos_all_metrics!B:K,6,FALSE)</f>
        <v>1</v>
      </c>
      <c r="AF1976">
        <f>VLOOKUP(A:A,[1]android_repos_all_metrics!B:K,7,FALSE)</f>
        <v>256</v>
      </c>
      <c r="AG1976">
        <f>VLOOKUP(A:A,[1]android_repos_all_metrics!B:K,8,FALSE)</f>
        <v>25</v>
      </c>
      <c r="AH1976">
        <f>VLOOKUP(A:A,[1]android_repos_all_metrics!B:K,9,FALSE)</f>
        <v>103</v>
      </c>
      <c r="AI1976">
        <f>VLOOKUP(A:A,[1]android_repos_all_metrics!B:K,10,FALSE)</f>
        <v>3</v>
      </c>
    </row>
    <row r="1977" spans="1:35">
      <c r="A1977" t="s">
        <v>2047</v>
      </c>
      <c r="B1977" t="b">
        <v>1</v>
      </c>
      <c r="C1977" t="b">
        <v>0</v>
      </c>
      <c r="D1977" t="b">
        <v>0</v>
      </c>
      <c r="F1977" t="b">
        <v>0</v>
      </c>
      <c r="H1977" t="s">
        <v>37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>
        <v>24</v>
      </c>
      <c r="AB1977">
        <v>0</v>
      </c>
      <c r="AC1977">
        <f>VLOOKUP(A:A,[1]android_repos_all_metrics!B:K,4,FALSE)</f>
        <v>120</v>
      </c>
      <c r="AD1977">
        <f>VLOOKUP(A:A,[1]android_repos_all_metrics!B:K,5,FALSE)</f>
        <v>119</v>
      </c>
      <c r="AE1977">
        <f>VLOOKUP(A:A,[1]android_repos_all_metrics!B:K,6,FALSE)</f>
        <v>120</v>
      </c>
      <c r="AF1977">
        <f>VLOOKUP(A:A,[1]android_repos_all_metrics!B:K,7,FALSE)</f>
        <v>857</v>
      </c>
      <c r="AG1977">
        <f>VLOOKUP(A:A,[1]android_repos_all_metrics!B:K,8,FALSE)</f>
        <v>15</v>
      </c>
      <c r="AH1977">
        <f>VLOOKUP(A:A,[1]android_repos_all_metrics!B:K,9,FALSE)</f>
        <v>61</v>
      </c>
      <c r="AI1977">
        <f>VLOOKUP(A:A,[1]android_repos_all_metrics!B:K,10,FALSE)</f>
        <v>5</v>
      </c>
    </row>
    <row r="1978" spans="1:35">
      <c r="A1978" t="s">
        <v>2048</v>
      </c>
      <c r="B1978" t="b">
        <v>0</v>
      </c>
      <c r="C1978" t="b">
        <v>0</v>
      </c>
      <c r="D1978" t="b">
        <v>0</v>
      </c>
      <c r="F1978" t="b">
        <v>0</v>
      </c>
      <c r="H1978" t="s">
        <v>41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>
        <v>1</v>
      </c>
      <c r="AB1978">
        <v>0</v>
      </c>
      <c r="AC1978">
        <f>VLOOKUP(A:A,[1]android_repos_all_metrics!B:K,4,FALSE)</f>
        <v>1</v>
      </c>
      <c r="AD1978">
        <f>VLOOKUP(A:A,[1]android_repos_all_metrics!B:K,5,FALSE)</f>
        <v>2</v>
      </c>
      <c r="AE1978">
        <f>VLOOKUP(A:A,[1]android_repos_all_metrics!B:K,6,FALSE)</f>
        <v>1</v>
      </c>
      <c r="AF1978">
        <f>VLOOKUP(A:A,[1]android_repos_all_metrics!B:K,7,FALSE)</f>
        <v>4691</v>
      </c>
      <c r="AG1978">
        <f>VLOOKUP(A:A,[1]android_repos_all_metrics!B:K,8,FALSE)</f>
        <v>31</v>
      </c>
      <c r="AH1978">
        <f>VLOOKUP(A:A,[1]android_repos_all_metrics!B:K,9,FALSE)</f>
        <v>211</v>
      </c>
      <c r="AI1978">
        <f>VLOOKUP(A:A,[1]android_repos_all_metrics!B:K,10,FALSE)</f>
        <v>0</v>
      </c>
    </row>
    <row r="1979" spans="1:35">
      <c r="A1979" t="s">
        <v>2049</v>
      </c>
      <c r="B1979" t="b">
        <v>1</v>
      </c>
      <c r="C1979" t="b">
        <v>0</v>
      </c>
      <c r="D1979" t="b">
        <v>0</v>
      </c>
      <c r="F1979" t="b">
        <v>0</v>
      </c>
      <c r="H1979" t="s">
        <v>126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>
        <v>3</v>
      </c>
      <c r="AB1979">
        <v>0</v>
      </c>
      <c r="AC1979">
        <f>VLOOKUP(A:A,[1]android_repos_all_metrics!B:K,4,FALSE)</f>
        <v>285</v>
      </c>
      <c r="AD1979">
        <f>VLOOKUP(A:A,[1]android_repos_all_metrics!B:K,5,FALSE)</f>
        <v>27</v>
      </c>
      <c r="AE1979">
        <f>VLOOKUP(A:A,[1]android_repos_all_metrics!B:K,6,FALSE)</f>
        <v>9</v>
      </c>
      <c r="AF1979">
        <f>VLOOKUP(A:A,[1]android_repos_all_metrics!B:K,7,FALSE)</f>
        <v>71362</v>
      </c>
      <c r="AG1979">
        <f>VLOOKUP(A:A,[1]android_repos_all_metrics!B:K,8,FALSE)</f>
        <v>17</v>
      </c>
      <c r="AH1979">
        <f>VLOOKUP(A:A,[1]android_repos_all_metrics!B:K,9,FALSE)</f>
        <v>21</v>
      </c>
      <c r="AI1979">
        <f>VLOOKUP(A:A,[1]android_repos_all_metrics!B:K,10,FALSE)</f>
        <v>25</v>
      </c>
    </row>
    <row r="1980" spans="1:35">
      <c r="A1980" t="s">
        <v>2050</v>
      </c>
      <c r="B1980" t="b">
        <v>1</v>
      </c>
      <c r="C1980" t="b">
        <v>0</v>
      </c>
      <c r="D1980" t="b">
        <v>0</v>
      </c>
      <c r="F1980" t="b">
        <v>0</v>
      </c>
      <c r="H1980" t="s">
        <v>37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>
        <v>1</v>
      </c>
      <c r="AB1980">
        <v>0</v>
      </c>
      <c r="AC1980">
        <f>VLOOKUP(A:A,[1]android_repos_all_metrics!B:K,4,FALSE)</f>
        <v>86</v>
      </c>
      <c r="AD1980">
        <f>VLOOKUP(A:A,[1]android_repos_all_metrics!B:K,5,FALSE)</f>
        <v>1</v>
      </c>
      <c r="AE1980">
        <f>VLOOKUP(A:A,[1]android_repos_all_metrics!B:K,6,FALSE)</f>
        <v>2</v>
      </c>
      <c r="AF1980">
        <f>VLOOKUP(A:A,[1]android_repos_all_metrics!B:K,7,FALSE)</f>
        <v>758</v>
      </c>
      <c r="AG1980">
        <f>VLOOKUP(A:A,[1]android_repos_all_metrics!B:K,8,FALSE)</f>
        <v>0</v>
      </c>
      <c r="AH1980">
        <f>VLOOKUP(A:A,[1]android_repos_all_metrics!B:K,9,FALSE)</f>
        <v>12</v>
      </c>
      <c r="AI1980">
        <f>VLOOKUP(A:A,[1]android_repos_all_metrics!B:K,10,FALSE)</f>
        <v>5</v>
      </c>
    </row>
    <row r="1981" spans="1:35">
      <c r="A1981" t="s">
        <v>2051</v>
      </c>
      <c r="B1981" t="b">
        <v>1</v>
      </c>
      <c r="C1981" t="b">
        <v>0</v>
      </c>
      <c r="D1981" t="b">
        <v>0</v>
      </c>
      <c r="F1981" t="b">
        <v>0</v>
      </c>
      <c r="H1981" t="s">
        <v>41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>
        <v>1</v>
      </c>
      <c r="AB1981">
        <v>0</v>
      </c>
      <c r="AC1981">
        <f>VLOOKUP(A:A,[1]android_repos_all_metrics!B:K,4,FALSE)</f>
        <v>655</v>
      </c>
      <c r="AD1981">
        <f>VLOOKUP(A:A,[1]android_repos_all_metrics!B:K,5,FALSE)</f>
        <v>198</v>
      </c>
      <c r="AE1981">
        <f>VLOOKUP(A:A,[1]android_repos_all_metrics!B:K,6,FALSE)</f>
        <v>4</v>
      </c>
      <c r="AF1981">
        <f>VLOOKUP(A:A,[1]android_repos_all_metrics!B:K,7,FALSE)</f>
        <v>4971</v>
      </c>
      <c r="AG1981">
        <f>VLOOKUP(A:A,[1]android_repos_all_metrics!B:K,8,FALSE)</f>
        <v>99</v>
      </c>
      <c r="AH1981">
        <f>VLOOKUP(A:A,[1]android_repos_all_metrics!B:K,9,FALSE)</f>
        <v>144</v>
      </c>
      <c r="AI1981">
        <f>VLOOKUP(A:A,[1]android_repos_all_metrics!B:K,10,FALSE)</f>
        <v>6</v>
      </c>
    </row>
    <row r="1982" spans="1:35">
      <c r="A1982" t="s">
        <v>2052</v>
      </c>
      <c r="B1982" t="b">
        <v>1</v>
      </c>
      <c r="C1982" t="b">
        <v>0</v>
      </c>
      <c r="D1982" t="b">
        <v>0</v>
      </c>
      <c r="F1982" t="b">
        <v>0</v>
      </c>
      <c r="H1982" t="s">
        <v>37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>
        <v>1</v>
      </c>
      <c r="AB1982">
        <v>0</v>
      </c>
      <c r="AC1982">
        <f>VLOOKUP(A:A,[1]android_repos_all_metrics!B:K,4,FALSE)</f>
        <v>162</v>
      </c>
      <c r="AD1982">
        <f>VLOOKUP(A:A,[1]android_repos_all_metrics!B:K,5,FALSE)</f>
        <v>8</v>
      </c>
      <c r="AE1982">
        <f>VLOOKUP(A:A,[1]android_repos_all_metrics!B:K,6,FALSE)</f>
        <v>3</v>
      </c>
      <c r="AF1982">
        <f>VLOOKUP(A:A,[1]android_repos_all_metrics!B:K,7,FALSE)</f>
        <v>16937</v>
      </c>
      <c r="AG1982">
        <f>VLOOKUP(A:A,[1]android_repos_all_metrics!B:K,8,FALSE)</f>
        <v>4</v>
      </c>
      <c r="AH1982">
        <f>VLOOKUP(A:A,[1]android_repos_all_metrics!B:K,9,FALSE)</f>
        <v>7</v>
      </c>
      <c r="AI1982">
        <f>VLOOKUP(A:A,[1]android_repos_all_metrics!B:K,10,FALSE)</f>
        <v>0</v>
      </c>
    </row>
    <row r="1983" spans="1:35">
      <c r="A1983" t="s">
        <v>2053</v>
      </c>
      <c r="B1983" t="b">
        <v>1</v>
      </c>
      <c r="C1983" t="b">
        <v>1</v>
      </c>
      <c r="D1983" t="b">
        <v>0</v>
      </c>
      <c r="F1983" t="b">
        <v>1</v>
      </c>
      <c r="G1983" t="s">
        <v>39</v>
      </c>
      <c r="H1983" t="s">
        <v>86</v>
      </c>
      <c r="I1983" t="s">
        <v>41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>
        <v>4</v>
      </c>
      <c r="AB1983">
        <v>0</v>
      </c>
      <c r="AC1983">
        <f>VLOOKUP(A:A,[1]android_repos_all_metrics!B:K,4,FALSE)</f>
        <v>201</v>
      </c>
      <c r="AD1983">
        <f>VLOOKUP(A:A,[1]android_repos_all_metrics!B:K,5,FALSE)</f>
        <v>0</v>
      </c>
      <c r="AE1983">
        <f>VLOOKUP(A:A,[1]android_repos_all_metrics!B:K,6,FALSE)</f>
        <v>1</v>
      </c>
      <c r="AF1983">
        <f>VLOOKUP(A:A,[1]android_repos_all_metrics!B:K,7,FALSE)</f>
        <v>4698</v>
      </c>
      <c r="AG1983">
        <f>VLOOKUP(A:A,[1]android_repos_all_metrics!B:K,8,FALSE)</f>
        <v>2</v>
      </c>
      <c r="AH1983">
        <f>VLOOKUP(A:A,[1]android_repos_all_metrics!B:K,9,FALSE)</f>
        <v>26</v>
      </c>
      <c r="AI1983">
        <f>VLOOKUP(A:A,[1]android_repos_all_metrics!B:K,10,FALSE)</f>
        <v>2</v>
      </c>
    </row>
    <row r="1984" spans="1:35">
      <c r="A1984" t="s">
        <v>2054</v>
      </c>
      <c r="B1984" t="b">
        <v>1</v>
      </c>
      <c r="C1984" t="b">
        <v>0</v>
      </c>
      <c r="D1984" t="b">
        <v>0</v>
      </c>
      <c r="F1984" t="b">
        <v>0</v>
      </c>
      <c r="H1984" t="s">
        <v>37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>
        <v>2</v>
      </c>
      <c r="AB1984">
        <v>0</v>
      </c>
      <c r="AC1984">
        <f>VLOOKUP(A:A,[1]android_repos_all_metrics!B:K,4,FALSE)</f>
        <v>134</v>
      </c>
      <c r="AD1984">
        <f>VLOOKUP(A:A,[1]android_repos_all_metrics!B:K,5,FALSE)</f>
        <v>1</v>
      </c>
      <c r="AE1984">
        <f>VLOOKUP(A:A,[1]android_repos_all_metrics!B:K,6,FALSE)</f>
        <v>2</v>
      </c>
      <c r="AF1984">
        <f>VLOOKUP(A:A,[1]android_repos_all_metrics!B:K,7,FALSE)</f>
        <v>2633</v>
      </c>
      <c r="AG1984">
        <f>VLOOKUP(A:A,[1]android_repos_all_metrics!B:K,8,FALSE)</f>
        <v>1</v>
      </c>
      <c r="AH1984">
        <f>VLOOKUP(A:A,[1]android_repos_all_metrics!B:K,9,FALSE)</f>
        <v>13</v>
      </c>
      <c r="AI1984">
        <f>VLOOKUP(A:A,[1]android_repos_all_metrics!B:K,10,FALSE)</f>
        <v>0</v>
      </c>
    </row>
    <row r="1985" spans="1:35">
      <c r="A1985" t="s">
        <v>2055</v>
      </c>
      <c r="B1985" t="b">
        <v>1</v>
      </c>
      <c r="C1985" t="b">
        <v>1</v>
      </c>
      <c r="D1985" t="b">
        <v>0</v>
      </c>
      <c r="F1985" t="b">
        <v>1</v>
      </c>
      <c r="G1985" t="s">
        <v>39</v>
      </c>
      <c r="H1985" t="s">
        <v>325</v>
      </c>
      <c r="I1985" t="s">
        <v>41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>
        <v>2</v>
      </c>
      <c r="AB1985">
        <v>0</v>
      </c>
      <c r="AC1985">
        <f>VLOOKUP(A:A,[1]android_repos_all_metrics!B:K,4,FALSE)</f>
        <v>120</v>
      </c>
      <c r="AD1985">
        <f>VLOOKUP(A:A,[1]android_repos_all_metrics!B:K,5,FALSE)</f>
        <v>57</v>
      </c>
      <c r="AE1985">
        <f>VLOOKUP(A:A,[1]android_repos_all_metrics!B:K,6,FALSE)</f>
        <v>8</v>
      </c>
      <c r="AF1985">
        <f>VLOOKUP(A:A,[1]android_repos_all_metrics!B:K,7,FALSE)</f>
        <v>5275</v>
      </c>
      <c r="AG1985">
        <f>VLOOKUP(A:A,[1]android_repos_all_metrics!B:K,8,FALSE)</f>
        <v>58</v>
      </c>
      <c r="AH1985">
        <f>VLOOKUP(A:A,[1]android_repos_all_metrics!B:K,9,FALSE)</f>
        <v>97</v>
      </c>
      <c r="AI1985">
        <f>VLOOKUP(A:A,[1]android_repos_all_metrics!B:K,10,FALSE)</f>
        <v>126</v>
      </c>
    </row>
    <row r="1986" spans="1:35">
      <c r="A1986" t="s">
        <v>2056</v>
      </c>
      <c r="B1986" t="b">
        <v>1</v>
      </c>
      <c r="C1986" t="b">
        <v>0</v>
      </c>
      <c r="D1986" t="b">
        <v>0</v>
      </c>
      <c r="F1986" t="b">
        <v>0</v>
      </c>
      <c r="H1986" t="s">
        <v>37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>
        <v>1</v>
      </c>
      <c r="AB1986">
        <v>0</v>
      </c>
      <c r="AC1986">
        <f>VLOOKUP(A:A,[1]android_repos_all_metrics!B:K,4,FALSE)</f>
        <v>228</v>
      </c>
      <c r="AD1986">
        <f>VLOOKUP(A:A,[1]android_repos_all_metrics!B:K,5,FALSE)</f>
        <v>13</v>
      </c>
      <c r="AE1986">
        <f>VLOOKUP(A:A,[1]android_repos_all_metrics!B:K,6,FALSE)</f>
        <v>8</v>
      </c>
      <c r="AF1986">
        <f>VLOOKUP(A:A,[1]android_repos_all_metrics!B:K,7,FALSE)</f>
        <v>660</v>
      </c>
      <c r="AG1986">
        <f>VLOOKUP(A:A,[1]android_repos_all_metrics!B:K,8,FALSE)</f>
        <v>21</v>
      </c>
      <c r="AH1986">
        <f>VLOOKUP(A:A,[1]android_repos_all_metrics!B:K,9,FALSE)</f>
        <v>132</v>
      </c>
      <c r="AI1986">
        <f>VLOOKUP(A:A,[1]android_repos_all_metrics!B:K,10,FALSE)</f>
        <v>13</v>
      </c>
    </row>
    <row r="1987" spans="1:35">
      <c r="A1987" t="s">
        <v>2057</v>
      </c>
      <c r="B1987" t="b">
        <v>1</v>
      </c>
      <c r="C1987" t="b">
        <v>1</v>
      </c>
      <c r="D1987" t="b">
        <v>0</v>
      </c>
      <c r="F1987" t="b">
        <v>1</v>
      </c>
      <c r="G1987" t="s">
        <v>39</v>
      </c>
      <c r="H1987" t="s">
        <v>41</v>
      </c>
      <c r="I1987" t="s">
        <v>41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>
        <v>1</v>
      </c>
      <c r="AB1987">
        <v>0</v>
      </c>
      <c r="AC1987">
        <f>VLOOKUP(A:A,[1]android_repos_all_metrics!B:K,4,FALSE)</f>
        <v>518</v>
      </c>
      <c r="AD1987">
        <f>VLOOKUP(A:A,[1]android_repos_all_metrics!B:K,5,FALSE)</f>
        <v>13</v>
      </c>
      <c r="AE1987">
        <f>VLOOKUP(A:A,[1]android_repos_all_metrics!B:K,6,FALSE)</f>
        <v>5</v>
      </c>
      <c r="AF1987">
        <f>VLOOKUP(A:A,[1]android_repos_all_metrics!B:K,7,FALSE)</f>
        <v>40241</v>
      </c>
      <c r="AG1987">
        <f>VLOOKUP(A:A,[1]android_repos_all_metrics!B:K,8,FALSE)</f>
        <v>239</v>
      </c>
      <c r="AH1987">
        <f>VLOOKUP(A:A,[1]android_repos_all_metrics!B:K,9,FALSE)</f>
        <v>734</v>
      </c>
      <c r="AI1987">
        <f>VLOOKUP(A:A,[1]android_repos_all_metrics!B:K,10,FALSE)</f>
        <v>55</v>
      </c>
    </row>
    <row r="1988" spans="1:35">
      <c r="A1988" t="s">
        <v>2058</v>
      </c>
      <c r="B1988" t="b">
        <v>1</v>
      </c>
      <c r="C1988" t="b">
        <v>0</v>
      </c>
      <c r="D1988" t="b">
        <v>0</v>
      </c>
      <c r="F1988" t="b">
        <v>0</v>
      </c>
      <c r="H1988" t="s">
        <v>37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>
        <v>1</v>
      </c>
      <c r="AB1988">
        <v>0</v>
      </c>
      <c r="AC1988">
        <f>VLOOKUP(A:A,[1]android_repos_all_metrics!B:K,4,FALSE)</f>
        <v>60</v>
      </c>
      <c r="AD1988">
        <f>VLOOKUP(A:A,[1]android_repos_all_metrics!B:K,5,FALSE)</f>
        <v>0</v>
      </c>
      <c r="AE1988">
        <f>VLOOKUP(A:A,[1]android_repos_all_metrics!B:K,6,FALSE)</f>
        <v>1</v>
      </c>
      <c r="AF1988">
        <f>VLOOKUP(A:A,[1]android_repos_all_metrics!B:K,7,FALSE)</f>
        <v>667</v>
      </c>
      <c r="AG1988">
        <f>VLOOKUP(A:A,[1]android_repos_all_metrics!B:K,8,FALSE)</f>
        <v>1</v>
      </c>
      <c r="AH1988">
        <f>VLOOKUP(A:A,[1]android_repos_all_metrics!B:K,9,FALSE)</f>
        <v>11</v>
      </c>
      <c r="AI1988">
        <f>VLOOKUP(A:A,[1]android_repos_all_metrics!B:K,10,FALSE)</f>
        <v>0</v>
      </c>
    </row>
    <row r="1989" spans="1:35">
      <c r="A1989" t="s">
        <v>2059</v>
      </c>
      <c r="B1989" t="b">
        <v>1</v>
      </c>
      <c r="C1989" t="b">
        <v>0</v>
      </c>
      <c r="D1989" t="b">
        <v>0</v>
      </c>
      <c r="F1989" t="b">
        <v>0</v>
      </c>
      <c r="H1989" t="s">
        <v>37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>
        <v>2</v>
      </c>
      <c r="AB1989">
        <v>0</v>
      </c>
      <c r="AC1989">
        <f>VLOOKUP(A:A,[1]android_repos_all_metrics!B:K,4,FALSE)</f>
        <v>184</v>
      </c>
      <c r="AD1989">
        <f>VLOOKUP(A:A,[1]android_repos_all_metrics!B:K,5,FALSE)</f>
        <v>5</v>
      </c>
      <c r="AE1989">
        <f>VLOOKUP(A:A,[1]android_repos_all_metrics!B:K,6,FALSE)</f>
        <v>5</v>
      </c>
      <c r="AF1989">
        <f>VLOOKUP(A:A,[1]android_repos_all_metrics!B:K,7,FALSE)</f>
        <v>1592</v>
      </c>
      <c r="AG1989">
        <f>VLOOKUP(A:A,[1]android_repos_all_metrics!B:K,8,FALSE)</f>
        <v>25</v>
      </c>
      <c r="AH1989">
        <f>VLOOKUP(A:A,[1]android_repos_all_metrics!B:K,9,FALSE)</f>
        <v>79</v>
      </c>
      <c r="AI1989">
        <f>VLOOKUP(A:A,[1]android_repos_all_metrics!B:K,10,FALSE)</f>
        <v>0</v>
      </c>
    </row>
    <row r="1990" spans="1:35">
      <c r="A1990" t="s">
        <v>2060</v>
      </c>
      <c r="B1990" t="b">
        <v>0</v>
      </c>
      <c r="C1990" t="b">
        <v>0</v>
      </c>
      <c r="D1990" t="b">
        <v>0</v>
      </c>
      <c r="F1990" t="b">
        <v>0</v>
      </c>
      <c r="H1990" t="s">
        <v>37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>
        <v>1</v>
      </c>
      <c r="AB1990">
        <v>0</v>
      </c>
      <c r="AC1990">
        <f>VLOOKUP(A:A,[1]android_repos_all_metrics!B:K,4,FALSE)</f>
        <v>25</v>
      </c>
      <c r="AD1990">
        <f>VLOOKUP(A:A,[1]android_repos_all_metrics!B:K,5,FALSE)</f>
        <v>1</v>
      </c>
      <c r="AE1990">
        <f>VLOOKUP(A:A,[1]android_repos_all_metrics!B:K,6,FALSE)</f>
        <v>1</v>
      </c>
      <c r="AF1990">
        <f>VLOOKUP(A:A,[1]android_repos_all_metrics!B:K,7,FALSE)</f>
        <v>145</v>
      </c>
      <c r="AG1990">
        <f>VLOOKUP(A:A,[1]android_repos_all_metrics!B:K,8,FALSE)</f>
        <v>2</v>
      </c>
      <c r="AH1990">
        <f>VLOOKUP(A:A,[1]android_repos_all_metrics!B:K,9,FALSE)</f>
        <v>5</v>
      </c>
      <c r="AI1990">
        <f>VLOOKUP(A:A,[1]android_repos_all_metrics!B:K,10,FALSE)</f>
        <v>0</v>
      </c>
    </row>
    <row r="1991" spans="1:35">
      <c r="A1991" t="s">
        <v>2061</v>
      </c>
      <c r="B1991" t="b">
        <v>1</v>
      </c>
      <c r="C1991" t="b">
        <v>0</v>
      </c>
      <c r="D1991" t="b">
        <v>0</v>
      </c>
      <c r="F1991" t="b">
        <v>0</v>
      </c>
      <c r="H1991" t="s">
        <v>37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>
        <v>1</v>
      </c>
      <c r="AB1991">
        <v>0</v>
      </c>
      <c r="AC1991">
        <f>VLOOKUP(A:A,[1]android_repos_all_metrics!B:K,4,FALSE)</f>
        <v>126</v>
      </c>
      <c r="AD1991">
        <f>VLOOKUP(A:A,[1]android_repos_all_metrics!B:K,5,FALSE)</f>
        <v>0</v>
      </c>
      <c r="AE1991">
        <f>VLOOKUP(A:A,[1]android_repos_all_metrics!B:K,6,FALSE)</f>
        <v>2</v>
      </c>
      <c r="AF1991">
        <f>VLOOKUP(A:A,[1]android_repos_all_metrics!B:K,7,FALSE)</f>
        <v>277</v>
      </c>
      <c r="AG1991">
        <f>VLOOKUP(A:A,[1]android_repos_all_metrics!B:K,8,FALSE)</f>
        <v>1</v>
      </c>
      <c r="AH1991">
        <f>VLOOKUP(A:A,[1]android_repos_all_metrics!B:K,9,FALSE)</f>
        <v>1</v>
      </c>
      <c r="AI1991">
        <f>VLOOKUP(A:A,[1]android_repos_all_metrics!B:K,10,FALSE)</f>
        <v>0</v>
      </c>
    </row>
    <row r="1992" spans="1:35">
      <c r="A1992" t="s">
        <v>2062</v>
      </c>
      <c r="B1992" t="b">
        <v>1</v>
      </c>
      <c r="C1992" t="b">
        <v>1</v>
      </c>
      <c r="D1992" t="b">
        <v>0</v>
      </c>
      <c r="F1992" t="b">
        <v>1</v>
      </c>
      <c r="G1992" t="s">
        <v>129</v>
      </c>
      <c r="H1992" t="s">
        <v>110</v>
      </c>
      <c r="I1992" t="s">
        <v>76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>
        <v>3</v>
      </c>
      <c r="AB1992">
        <v>0</v>
      </c>
      <c r="AC1992">
        <f>VLOOKUP(A:A,[1]android_repos_all_metrics!B:K,4,FALSE)</f>
        <v>708</v>
      </c>
      <c r="AD1992">
        <f>VLOOKUP(A:A,[1]android_repos_all_metrics!B:K,5,FALSE)</f>
        <v>158</v>
      </c>
      <c r="AE1992">
        <f>VLOOKUP(A:A,[1]android_repos_all_metrics!B:K,6,FALSE)</f>
        <v>10</v>
      </c>
      <c r="AF1992">
        <f>VLOOKUP(A:A,[1]android_repos_all_metrics!B:K,7,FALSE)</f>
        <v>13178</v>
      </c>
      <c r="AG1992">
        <f>VLOOKUP(A:A,[1]android_repos_all_metrics!B:K,8,FALSE)</f>
        <v>21</v>
      </c>
      <c r="AH1992">
        <f>VLOOKUP(A:A,[1]android_repos_all_metrics!B:K,9,FALSE)</f>
        <v>188</v>
      </c>
      <c r="AI1992">
        <f>VLOOKUP(A:A,[1]android_repos_all_metrics!B:K,10,FALSE)</f>
        <v>13</v>
      </c>
    </row>
    <row r="1993" spans="1:35">
      <c r="A1993" t="s">
        <v>2063</v>
      </c>
      <c r="B1993" t="b">
        <v>1</v>
      </c>
      <c r="C1993" t="b">
        <v>0</v>
      </c>
      <c r="D1993" t="b">
        <v>0</v>
      </c>
      <c r="F1993" t="b">
        <v>0</v>
      </c>
      <c r="H1993" t="s">
        <v>43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>
        <v>1</v>
      </c>
      <c r="AB1993">
        <v>0</v>
      </c>
      <c r="AC1993">
        <f>VLOOKUP(A:A,[1]android_repos_all_metrics!B:K,4,FALSE)</f>
        <v>2</v>
      </c>
      <c r="AD1993">
        <f>VLOOKUP(A:A,[1]android_repos_all_metrics!B:K,5,FALSE)</f>
        <v>0</v>
      </c>
      <c r="AE1993">
        <f>VLOOKUP(A:A,[1]android_repos_all_metrics!B:K,6,FALSE)</f>
        <v>1</v>
      </c>
      <c r="AF1993">
        <f>VLOOKUP(A:A,[1]android_repos_all_metrics!B:K,7,FALSE)</f>
        <v>206</v>
      </c>
      <c r="AG1993">
        <f>VLOOKUP(A:A,[1]android_repos_all_metrics!B:K,8,FALSE)</f>
        <v>10</v>
      </c>
      <c r="AH1993">
        <f>VLOOKUP(A:A,[1]android_repos_all_metrics!B:K,9,FALSE)</f>
        <v>12</v>
      </c>
      <c r="AI1993">
        <f>VLOOKUP(A:A,[1]android_repos_all_metrics!B:K,10,FALSE)</f>
        <v>1</v>
      </c>
    </row>
    <row r="1994" spans="1:35">
      <c r="A1994" t="s">
        <v>2064</v>
      </c>
      <c r="B1994" t="b">
        <v>1</v>
      </c>
      <c r="C1994" t="b">
        <v>0</v>
      </c>
      <c r="D1994" t="b">
        <v>0</v>
      </c>
      <c r="F1994" t="b">
        <v>0</v>
      </c>
      <c r="H1994" t="s">
        <v>37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>
        <v>1</v>
      </c>
      <c r="AB1994">
        <v>0</v>
      </c>
      <c r="AC1994">
        <f>VLOOKUP(A:A,[1]android_repos_all_metrics!B:K,4,FALSE)</f>
        <v>77</v>
      </c>
      <c r="AD1994">
        <f>VLOOKUP(A:A,[1]android_repos_all_metrics!B:K,5,FALSE)</f>
        <v>17</v>
      </c>
      <c r="AE1994">
        <f>VLOOKUP(A:A,[1]android_repos_all_metrics!B:K,6,FALSE)</f>
        <v>2</v>
      </c>
      <c r="AF1994">
        <f>VLOOKUP(A:A,[1]android_repos_all_metrics!B:K,7,FALSE)</f>
        <v>5495</v>
      </c>
      <c r="AG1994">
        <f>VLOOKUP(A:A,[1]android_repos_all_metrics!B:K,8,FALSE)</f>
        <v>0</v>
      </c>
      <c r="AH1994">
        <f>VLOOKUP(A:A,[1]android_repos_all_metrics!B:K,9,FALSE)</f>
        <v>2</v>
      </c>
      <c r="AI1994">
        <f>VLOOKUP(A:A,[1]android_repos_all_metrics!B:K,10,FALSE)</f>
        <v>4</v>
      </c>
    </row>
    <row r="1995" spans="1:35">
      <c r="A1995" t="s">
        <v>2065</v>
      </c>
      <c r="B1995" t="b">
        <v>1</v>
      </c>
      <c r="C1995" t="b">
        <v>0</v>
      </c>
      <c r="D1995" t="b">
        <v>0</v>
      </c>
      <c r="F1995" t="b">
        <v>0</v>
      </c>
      <c r="H1995" t="s">
        <v>37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>
        <v>1</v>
      </c>
      <c r="AB1995">
        <v>0</v>
      </c>
      <c r="AC1995">
        <f>VLOOKUP(A:A,[1]android_repos_all_metrics!B:K,4,FALSE)</f>
        <v>428</v>
      </c>
      <c r="AD1995">
        <f>VLOOKUP(A:A,[1]android_repos_all_metrics!B:K,5,FALSE)</f>
        <v>91</v>
      </c>
      <c r="AE1995">
        <f>VLOOKUP(A:A,[1]android_repos_all_metrics!B:K,6,FALSE)</f>
        <v>3</v>
      </c>
      <c r="AF1995">
        <f>VLOOKUP(A:A,[1]android_repos_all_metrics!B:K,7,FALSE)</f>
        <v>39196</v>
      </c>
      <c r="AG1995">
        <f>VLOOKUP(A:A,[1]android_repos_all_metrics!B:K,8,FALSE)</f>
        <v>1</v>
      </c>
      <c r="AH1995">
        <f>VLOOKUP(A:A,[1]android_repos_all_metrics!B:K,9,FALSE)</f>
        <v>6</v>
      </c>
      <c r="AI1995">
        <f>VLOOKUP(A:A,[1]android_repos_all_metrics!B:K,10,FALSE)</f>
        <v>12</v>
      </c>
    </row>
    <row r="1996" spans="1:35">
      <c r="A1996" t="s">
        <v>2066</v>
      </c>
      <c r="B1996" t="b">
        <v>0</v>
      </c>
      <c r="C1996" t="b">
        <v>0</v>
      </c>
      <c r="D1996" t="b">
        <v>0</v>
      </c>
      <c r="F1996" t="b">
        <v>0</v>
      </c>
      <c r="H1996" t="s">
        <v>37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>
        <v>1</v>
      </c>
      <c r="AB1996">
        <v>0</v>
      </c>
      <c r="AC1996">
        <f>VLOOKUP(A:A,[1]android_repos_all_metrics!B:K,4,FALSE)</f>
        <v>3464</v>
      </c>
      <c r="AD1996">
        <f>VLOOKUP(A:A,[1]android_repos_all_metrics!B:K,5,FALSE)</f>
        <v>633</v>
      </c>
      <c r="AE1996">
        <f>VLOOKUP(A:A,[1]android_repos_all_metrics!B:K,6,FALSE)</f>
        <v>11</v>
      </c>
      <c r="AF1996">
        <f>VLOOKUP(A:A,[1]android_repos_all_metrics!B:K,7,FALSE)</f>
        <v>416835</v>
      </c>
      <c r="AG1996">
        <f>VLOOKUP(A:A,[1]android_repos_all_metrics!B:K,8,FALSE)</f>
        <v>15</v>
      </c>
      <c r="AH1996">
        <f>VLOOKUP(A:A,[1]android_repos_all_metrics!B:K,9,FALSE)</f>
        <v>78</v>
      </c>
      <c r="AI1996">
        <f>VLOOKUP(A:A,[1]android_repos_all_metrics!B:K,10,FALSE)</f>
        <v>48</v>
      </c>
    </row>
    <row r="1997" spans="1:35">
      <c r="A1997" t="s">
        <v>2067</v>
      </c>
      <c r="B1997" t="b">
        <v>1</v>
      </c>
      <c r="C1997" t="b">
        <v>0</v>
      </c>
      <c r="D1997" t="b">
        <v>0</v>
      </c>
      <c r="F1997" t="b">
        <v>0</v>
      </c>
      <c r="H1997" t="s">
        <v>37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>
        <v>2</v>
      </c>
      <c r="AB1997">
        <v>0</v>
      </c>
      <c r="AC1997">
        <f>VLOOKUP(A:A,[1]android_repos_all_metrics!B:K,4,FALSE)</f>
        <v>91</v>
      </c>
      <c r="AD1997">
        <f>VLOOKUP(A:A,[1]android_repos_all_metrics!B:K,5,FALSE)</f>
        <v>19</v>
      </c>
      <c r="AE1997">
        <f>VLOOKUP(A:A,[1]android_repos_all_metrics!B:K,6,FALSE)</f>
        <v>6</v>
      </c>
      <c r="AF1997">
        <f>VLOOKUP(A:A,[1]android_repos_all_metrics!B:K,7,FALSE)</f>
        <v>3774</v>
      </c>
      <c r="AG1997">
        <f>VLOOKUP(A:A,[1]android_repos_all_metrics!B:K,8,FALSE)</f>
        <v>0</v>
      </c>
      <c r="AH1997">
        <f>VLOOKUP(A:A,[1]android_repos_all_metrics!B:K,9,FALSE)</f>
        <v>3</v>
      </c>
      <c r="AI1997">
        <f>VLOOKUP(A:A,[1]android_repos_all_metrics!B:K,10,FALSE)</f>
        <v>0</v>
      </c>
    </row>
    <row r="1998" spans="1:35">
      <c r="A1998" t="s">
        <v>2068</v>
      </c>
      <c r="B1998" t="b">
        <v>0</v>
      </c>
      <c r="C1998" t="b">
        <v>0</v>
      </c>
      <c r="D1998" t="b">
        <v>0</v>
      </c>
      <c r="F1998" t="b">
        <v>0</v>
      </c>
      <c r="H1998" t="s">
        <v>41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>
        <v>1</v>
      </c>
      <c r="AB1998">
        <v>0</v>
      </c>
      <c r="AC1998">
        <f>VLOOKUP(A:A,[1]android_repos_all_metrics!B:K,4,FALSE)</f>
        <v>478</v>
      </c>
      <c r="AD1998">
        <f>VLOOKUP(A:A,[1]android_repos_all_metrics!B:K,5,FALSE)</f>
        <v>112</v>
      </c>
      <c r="AE1998">
        <f>VLOOKUP(A:A,[1]android_repos_all_metrics!B:K,6,FALSE)</f>
        <v>3</v>
      </c>
      <c r="AF1998">
        <f>VLOOKUP(A:A,[1]android_repos_all_metrics!B:K,7,FALSE)</f>
        <v>5452</v>
      </c>
      <c r="AG1998">
        <f>VLOOKUP(A:A,[1]android_repos_all_metrics!B:K,8,FALSE)</f>
        <v>15</v>
      </c>
      <c r="AH1998">
        <f>VLOOKUP(A:A,[1]android_repos_all_metrics!B:K,9,FALSE)</f>
        <v>21</v>
      </c>
      <c r="AI1998">
        <f>VLOOKUP(A:A,[1]android_repos_all_metrics!B:K,10,FALSE)</f>
        <v>16</v>
      </c>
    </row>
    <row r="1999" spans="1:35">
      <c r="A1999" t="s">
        <v>2069</v>
      </c>
      <c r="B1999" t="b">
        <v>1</v>
      </c>
      <c r="C1999" t="b">
        <v>0</v>
      </c>
      <c r="D1999" t="b">
        <v>0</v>
      </c>
      <c r="F1999" t="b">
        <v>0</v>
      </c>
      <c r="H1999" t="s">
        <v>41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>
        <v>1</v>
      </c>
      <c r="AB1999">
        <v>0</v>
      </c>
      <c r="AC1999">
        <f>VLOOKUP(A:A,[1]android_repos_all_metrics!B:K,4,FALSE)</f>
        <v>155</v>
      </c>
      <c r="AD1999">
        <f>VLOOKUP(A:A,[1]android_repos_all_metrics!B:K,5,FALSE)</f>
        <v>62</v>
      </c>
      <c r="AE1999">
        <f>VLOOKUP(A:A,[1]android_repos_all_metrics!B:K,6,FALSE)</f>
        <v>5</v>
      </c>
      <c r="AF1999">
        <f>VLOOKUP(A:A,[1]android_repos_all_metrics!B:K,7,FALSE)</f>
        <v>2307</v>
      </c>
      <c r="AG1999">
        <f>VLOOKUP(A:A,[1]android_repos_all_metrics!B:K,8,FALSE)</f>
        <v>1</v>
      </c>
      <c r="AH1999">
        <f>VLOOKUP(A:A,[1]android_repos_all_metrics!B:K,9,FALSE)</f>
        <v>1</v>
      </c>
      <c r="AI1999">
        <f>VLOOKUP(A:A,[1]android_repos_all_metrics!B:K,10,FALSE)</f>
        <v>0</v>
      </c>
    </row>
    <row r="2000" spans="1:35">
      <c r="A2000" t="s">
        <v>2070</v>
      </c>
      <c r="B2000" t="b">
        <v>0</v>
      </c>
      <c r="C2000" t="b">
        <v>0</v>
      </c>
      <c r="D2000" t="b">
        <v>0</v>
      </c>
      <c r="F2000" t="b">
        <v>0</v>
      </c>
      <c r="H2000" t="s">
        <v>86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>
        <v>2</v>
      </c>
      <c r="AB2000">
        <v>0</v>
      </c>
      <c r="AC2000">
        <f>VLOOKUP(A:A,[1]android_repos_all_metrics!B:K,4,FALSE)</f>
        <v>35</v>
      </c>
      <c r="AD2000">
        <f>VLOOKUP(A:A,[1]android_repos_all_metrics!B:K,5,FALSE)</f>
        <v>0</v>
      </c>
      <c r="AE2000">
        <f>VLOOKUP(A:A,[1]android_repos_all_metrics!B:K,6,FALSE)</f>
        <v>1</v>
      </c>
      <c r="AF2000">
        <f>VLOOKUP(A:A,[1]android_repos_all_metrics!B:K,7,FALSE)</f>
        <v>1573</v>
      </c>
      <c r="AG2000">
        <f>VLOOKUP(A:A,[1]android_repos_all_metrics!B:K,8,FALSE)</f>
        <v>1</v>
      </c>
      <c r="AH2000">
        <f>VLOOKUP(A:A,[1]android_repos_all_metrics!B:K,9,FALSE)</f>
        <v>5</v>
      </c>
      <c r="AI2000">
        <f>VLOOKUP(A:A,[1]android_repos_all_metrics!B:K,10,FALSE)</f>
        <v>3</v>
      </c>
    </row>
    <row r="2001" spans="1:35">
      <c r="A2001" t="s">
        <v>2071</v>
      </c>
      <c r="B2001" t="b">
        <v>0</v>
      </c>
      <c r="C2001" t="b">
        <v>0</v>
      </c>
      <c r="D2001" t="b">
        <v>0</v>
      </c>
      <c r="F2001" t="b">
        <v>0</v>
      </c>
      <c r="H2001" t="s">
        <v>41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>
        <v>1</v>
      </c>
      <c r="AB2001">
        <v>0</v>
      </c>
      <c r="AC2001">
        <f>VLOOKUP(A:A,[1]android_repos_all_metrics!B:K,4,FALSE)</f>
        <v>498</v>
      </c>
      <c r="AD2001">
        <f>VLOOKUP(A:A,[1]android_repos_all_metrics!B:K,5,FALSE)</f>
        <v>10</v>
      </c>
      <c r="AE2001">
        <f>VLOOKUP(A:A,[1]android_repos_all_metrics!B:K,6,FALSE)</f>
        <v>6</v>
      </c>
      <c r="AF2001">
        <f>VLOOKUP(A:A,[1]android_repos_all_metrics!B:K,7,FALSE)</f>
        <v>22648</v>
      </c>
      <c r="AG2001">
        <f>VLOOKUP(A:A,[1]android_repos_all_metrics!B:K,8,FALSE)</f>
        <v>17</v>
      </c>
      <c r="AH2001">
        <f>VLOOKUP(A:A,[1]android_repos_all_metrics!B:K,9,FALSE)</f>
        <v>46</v>
      </c>
      <c r="AI2001">
        <f>VLOOKUP(A:A,[1]android_repos_all_metrics!B:K,10,FALSE)</f>
        <v>4</v>
      </c>
    </row>
    <row r="2002" spans="1:35">
      <c r="A2002" t="s">
        <v>2072</v>
      </c>
      <c r="B2002" t="b">
        <v>1</v>
      </c>
      <c r="C2002" t="b">
        <v>0</v>
      </c>
      <c r="D2002" t="b">
        <v>0</v>
      </c>
      <c r="F2002" t="b">
        <v>0</v>
      </c>
      <c r="H2002" t="s">
        <v>37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>
        <v>1</v>
      </c>
      <c r="AB2002">
        <v>0</v>
      </c>
      <c r="AC2002">
        <f>VLOOKUP(A:A,[1]android_repos_all_metrics!B:K,4,FALSE)</f>
        <v>40</v>
      </c>
      <c r="AD2002">
        <f>VLOOKUP(A:A,[1]android_repos_all_metrics!B:K,5,FALSE)</f>
        <v>0</v>
      </c>
      <c r="AE2002">
        <f>VLOOKUP(A:A,[1]android_repos_all_metrics!B:K,6,FALSE)</f>
        <v>1</v>
      </c>
      <c r="AF2002">
        <f>VLOOKUP(A:A,[1]android_repos_all_metrics!B:K,7,FALSE)</f>
        <v>2666</v>
      </c>
      <c r="AG2002">
        <f>VLOOKUP(A:A,[1]android_repos_all_metrics!B:K,8,FALSE)</f>
        <v>0</v>
      </c>
      <c r="AH2002">
        <f>VLOOKUP(A:A,[1]android_repos_all_metrics!B:K,9,FALSE)</f>
        <v>1</v>
      </c>
      <c r="AI2002">
        <f>VLOOKUP(A:A,[1]android_repos_all_metrics!B:K,10,FALSE)</f>
        <v>0</v>
      </c>
    </row>
    <row r="2003" spans="1:35">
      <c r="A2003" t="s">
        <v>2073</v>
      </c>
      <c r="B2003" t="b">
        <v>1</v>
      </c>
      <c r="C2003" t="b">
        <v>0</v>
      </c>
      <c r="D2003" t="b">
        <v>0</v>
      </c>
      <c r="F2003" t="b">
        <v>0</v>
      </c>
      <c r="H2003" t="s">
        <v>37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>
        <v>2</v>
      </c>
      <c r="AB2003">
        <v>0</v>
      </c>
      <c r="AC2003">
        <f>VLOOKUP(A:A,[1]android_repos_all_metrics!B:K,4,FALSE)</f>
        <v>363</v>
      </c>
      <c r="AD2003">
        <f>VLOOKUP(A:A,[1]android_repos_all_metrics!B:K,5,FALSE)</f>
        <v>47</v>
      </c>
      <c r="AE2003">
        <f>VLOOKUP(A:A,[1]android_repos_all_metrics!B:K,6,FALSE)</f>
        <v>9</v>
      </c>
      <c r="AF2003">
        <f>VLOOKUP(A:A,[1]android_repos_all_metrics!B:K,7,FALSE)</f>
        <v>30687</v>
      </c>
      <c r="AG2003">
        <f>VLOOKUP(A:A,[1]android_repos_all_metrics!B:K,8,FALSE)</f>
        <v>28</v>
      </c>
      <c r="AH2003">
        <f>VLOOKUP(A:A,[1]android_repos_all_metrics!B:K,9,FALSE)</f>
        <v>247</v>
      </c>
      <c r="AI2003">
        <f>VLOOKUP(A:A,[1]android_repos_all_metrics!B:K,10,FALSE)</f>
        <v>20</v>
      </c>
    </row>
    <row r="2004" spans="1:35">
      <c r="A2004" t="s">
        <v>2074</v>
      </c>
      <c r="B2004" t="b">
        <v>1</v>
      </c>
      <c r="C2004" t="b">
        <v>0</v>
      </c>
      <c r="D2004" t="b">
        <v>0</v>
      </c>
      <c r="F2004" t="b">
        <v>0</v>
      </c>
      <c r="H2004" t="s">
        <v>37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>
        <v>1</v>
      </c>
      <c r="AB2004">
        <v>0</v>
      </c>
      <c r="AC2004">
        <f>VLOOKUP(A:A,[1]android_repos_all_metrics!B:K,4,FALSE)</f>
        <v>11</v>
      </c>
      <c r="AD2004">
        <f>VLOOKUP(A:A,[1]android_repos_all_metrics!B:K,5,FALSE)</f>
        <v>3</v>
      </c>
      <c r="AE2004">
        <f>VLOOKUP(A:A,[1]android_repos_all_metrics!B:K,6,FALSE)</f>
        <v>2</v>
      </c>
      <c r="AF2004">
        <f>VLOOKUP(A:A,[1]android_repos_all_metrics!B:K,7,FALSE)</f>
        <v>182</v>
      </c>
      <c r="AG2004">
        <f>VLOOKUP(A:A,[1]android_repos_all_metrics!B:K,8,FALSE)</f>
        <v>11</v>
      </c>
      <c r="AH2004">
        <f>VLOOKUP(A:A,[1]android_repos_all_metrics!B:K,9,FALSE)</f>
        <v>11</v>
      </c>
      <c r="AI2004">
        <f>VLOOKUP(A:A,[1]android_repos_all_metrics!B:K,10,FALSE)</f>
        <v>0</v>
      </c>
    </row>
    <row r="2005" spans="1:35">
      <c r="A2005" t="s">
        <v>2075</v>
      </c>
      <c r="B2005" t="b">
        <v>1</v>
      </c>
      <c r="C2005" t="b">
        <v>0</v>
      </c>
      <c r="D2005" t="b">
        <v>0</v>
      </c>
      <c r="F2005" t="b">
        <v>0</v>
      </c>
      <c r="H2005" t="s">
        <v>37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>
        <v>1</v>
      </c>
      <c r="AB2005">
        <v>0</v>
      </c>
      <c r="AC2005">
        <f>VLOOKUP(A:A,[1]android_repos_all_metrics!B:K,4,FALSE)</f>
        <v>62</v>
      </c>
      <c r="AD2005">
        <f>VLOOKUP(A:A,[1]android_repos_all_metrics!B:K,5,FALSE)</f>
        <v>1</v>
      </c>
      <c r="AE2005">
        <f>VLOOKUP(A:A,[1]android_repos_all_metrics!B:K,6,FALSE)</f>
        <v>2</v>
      </c>
      <c r="AF2005">
        <f>VLOOKUP(A:A,[1]android_repos_all_metrics!B:K,7,FALSE)</f>
        <v>1502</v>
      </c>
      <c r="AG2005">
        <f>VLOOKUP(A:A,[1]android_repos_all_metrics!B:K,8,FALSE)</f>
        <v>15</v>
      </c>
      <c r="AH2005">
        <f>VLOOKUP(A:A,[1]android_repos_all_metrics!B:K,9,FALSE)</f>
        <v>24</v>
      </c>
      <c r="AI2005">
        <f>VLOOKUP(A:A,[1]android_repos_all_metrics!B:K,10,FALSE)</f>
        <v>1</v>
      </c>
    </row>
    <row r="2006" spans="1:35">
      <c r="A2006" t="s">
        <v>2076</v>
      </c>
      <c r="B2006" t="b">
        <v>1</v>
      </c>
      <c r="C2006" t="b">
        <v>0</v>
      </c>
      <c r="D2006" t="b">
        <v>0</v>
      </c>
      <c r="F2006" t="b">
        <v>0</v>
      </c>
      <c r="H2006" t="s">
        <v>37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>
        <v>2</v>
      </c>
      <c r="AB2006">
        <v>0</v>
      </c>
      <c r="AC2006">
        <f>VLOOKUP(A:A,[1]android_repos_all_metrics!B:K,4,FALSE)</f>
        <v>46</v>
      </c>
      <c r="AD2006">
        <f>VLOOKUP(A:A,[1]android_repos_all_metrics!B:K,5,FALSE)</f>
        <v>3</v>
      </c>
      <c r="AE2006">
        <f>VLOOKUP(A:A,[1]android_repos_all_metrics!B:K,6,FALSE)</f>
        <v>2</v>
      </c>
      <c r="AF2006">
        <f>VLOOKUP(A:A,[1]android_repos_all_metrics!B:K,7,FALSE)</f>
        <v>2355</v>
      </c>
      <c r="AG2006">
        <f>VLOOKUP(A:A,[1]android_repos_all_metrics!B:K,8,FALSE)</f>
        <v>5</v>
      </c>
      <c r="AH2006">
        <f>VLOOKUP(A:A,[1]android_repos_all_metrics!B:K,9,FALSE)</f>
        <v>14</v>
      </c>
      <c r="AI2006">
        <f>VLOOKUP(A:A,[1]android_repos_all_metrics!B:K,10,FALSE)</f>
        <v>0</v>
      </c>
    </row>
    <row r="2007" spans="1:35">
      <c r="A2007" t="s">
        <v>2077</v>
      </c>
      <c r="B2007" t="b">
        <v>1</v>
      </c>
      <c r="C2007" t="b">
        <v>0</v>
      </c>
      <c r="D2007" t="b">
        <v>0</v>
      </c>
      <c r="F2007" t="b">
        <v>0</v>
      </c>
      <c r="H2007" t="s">
        <v>37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>
        <v>1</v>
      </c>
      <c r="AB2007">
        <v>0</v>
      </c>
      <c r="AC2007">
        <f>VLOOKUP(A:A,[1]android_repos_all_metrics!B:K,4,FALSE)</f>
        <v>231</v>
      </c>
      <c r="AD2007">
        <f>VLOOKUP(A:A,[1]android_repos_all_metrics!B:K,5,FALSE)</f>
        <v>0</v>
      </c>
      <c r="AE2007">
        <f>VLOOKUP(A:A,[1]android_repos_all_metrics!B:K,6,FALSE)</f>
        <v>1</v>
      </c>
      <c r="AF2007">
        <f>VLOOKUP(A:A,[1]android_repos_all_metrics!B:K,7,FALSE)</f>
        <v>24009</v>
      </c>
      <c r="AG2007">
        <f>VLOOKUP(A:A,[1]android_repos_all_metrics!B:K,8,FALSE)</f>
        <v>2</v>
      </c>
      <c r="AH2007">
        <f>VLOOKUP(A:A,[1]android_repos_all_metrics!B:K,9,FALSE)</f>
        <v>6</v>
      </c>
      <c r="AI2007">
        <f>VLOOKUP(A:A,[1]android_repos_all_metrics!B:K,10,FALSE)</f>
        <v>1</v>
      </c>
    </row>
    <row r="2008" spans="1:35">
      <c r="A2008" t="s">
        <v>2078</v>
      </c>
      <c r="B2008" t="b">
        <v>1</v>
      </c>
      <c r="C2008" t="b">
        <v>0</v>
      </c>
      <c r="D2008" t="b">
        <v>0</v>
      </c>
      <c r="F2008" t="b">
        <v>0</v>
      </c>
      <c r="H2008" t="s">
        <v>37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>
        <v>1</v>
      </c>
      <c r="AB2008">
        <v>0</v>
      </c>
      <c r="AC2008">
        <f>VLOOKUP(A:A,[1]android_repos_all_metrics!B:K,4,FALSE)</f>
        <v>23</v>
      </c>
      <c r="AD2008">
        <f>VLOOKUP(A:A,[1]android_repos_all_metrics!B:K,5,FALSE)</f>
        <v>0</v>
      </c>
      <c r="AE2008">
        <f>VLOOKUP(A:A,[1]android_repos_all_metrics!B:K,6,FALSE)</f>
        <v>1</v>
      </c>
      <c r="AF2008">
        <f>VLOOKUP(A:A,[1]android_repos_all_metrics!B:K,7,FALSE)</f>
        <v>245315</v>
      </c>
      <c r="AG2008">
        <f>VLOOKUP(A:A,[1]android_repos_all_metrics!B:K,8,FALSE)</f>
        <v>0</v>
      </c>
      <c r="AH2008">
        <f>VLOOKUP(A:A,[1]android_repos_all_metrics!B:K,9,FALSE)</f>
        <v>3</v>
      </c>
      <c r="AI2008">
        <f>VLOOKUP(A:A,[1]android_repos_all_metrics!B:K,10,FALSE)</f>
        <v>0</v>
      </c>
    </row>
    <row r="2009" spans="1:35">
      <c r="A2009" t="s">
        <v>2079</v>
      </c>
      <c r="B2009" t="b">
        <v>0</v>
      </c>
      <c r="C2009" t="b">
        <v>0</v>
      </c>
      <c r="D2009" t="b">
        <v>0</v>
      </c>
      <c r="F2009" t="b">
        <v>0</v>
      </c>
      <c r="H2009" t="s">
        <v>41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>
        <v>1</v>
      </c>
      <c r="AB2009">
        <v>0</v>
      </c>
      <c r="AC2009">
        <f>VLOOKUP(A:A,[1]android_repos_all_metrics!B:K,4,FALSE)</f>
        <v>284</v>
      </c>
      <c r="AD2009">
        <f>VLOOKUP(A:A,[1]android_repos_all_metrics!B:K,5,FALSE)</f>
        <v>0</v>
      </c>
      <c r="AE2009">
        <f>VLOOKUP(A:A,[1]android_repos_all_metrics!B:K,6,FALSE)</f>
        <v>1</v>
      </c>
      <c r="AF2009">
        <f>VLOOKUP(A:A,[1]android_repos_all_metrics!B:K,7,FALSE)</f>
        <v>5417</v>
      </c>
      <c r="AG2009">
        <f>VLOOKUP(A:A,[1]android_repos_all_metrics!B:K,8,FALSE)</f>
        <v>4</v>
      </c>
      <c r="AH2009">
        <f>VLOOKUP(A:A,[1]android_repos_all_metrics!B:K,9,FALSE)</f>
        <v>9</v>
      </c>
      <c r="AI2009">
        <f>VLOOKUP(A:A,[1]android_repos_all_metrics!B:K,10,FALSE)</f>
        <v>2</v>
      </c>
    </row>
    <row r="2010" spans="1:35">
      <c r="A2010" t="s">
        <v>2080</v>
      </c>
      <c r="B2010" t="b">
        <v>1</v>
      </c>
      <c r="C2010" t="b">
        <v>0</v>
      </c>
      <c r="D2010" t="b">
        <v>0</v>
      </c>
      <c r="F2010" t="b">
        <v>0</v>
      </c>
      <c r="H2010" t="s">
        <v>37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>
        <v>2</v>
      </c>
      <c r="AB2010">
        <v>0</v>
      </c>
      <c r="AC2010">
        <f>VLOOKUP(A:A,[1]android_repos_all_metrics!B:K,4,FALSE)</f>
        <v>65</v>
      </c>
      <c r="AD2010">
        <f>VLOOKUP(A:A,[1]android_repos_all_metrics!B:K,5,FALSE)</f>
        <v>3</v>
      </c>
      <c r="AE2010">
        <f>VLOOKUP(A:A,[1]android_repos_all_metrics!B:K,6,FALSE)</f>
        <v>1</v>
      </c>
      <c r="AF2010">
        <f>VLOOKUP(A:A,[1]android_repos_all_metrics!B:K,7,FALSE)</f>
        <v>566</v>
      </c>
      <c r="AG2010">
        <f>VLOOKUP(A:A,[1]android_repos_all_metrics!B:K,8,FALSE)</f>
        <v>52</v>
      </c>
      <c r="AH2010">
        <f>VLOOKUP(A:A,[1]android_repos_all_metrics!B:K,9,FALSE)</f>
        <v>1126</v>
      </c>
      <c r="AI2010">
        <f>VLOOKUP(A:A,[1]android_repos_all_metrics!B:K,10,FALSE)</f>
        <v>0</v>
      </c>
    </row>
    <row r="2011" spans="1:35">
      <c r="A2011" t="s">
        <v>2081</v>
      </c>
      <c r="B2011" t="b">
        <v>1</v>
      </c>
      <c r="C2011" t="b">
        <v>0</v>
      </c>
      <c r="D2011" t="b">
        <v>0</v>
      </c>
      <c r="F2011" t="b">
        <v>0</v>
      </c>
      <c r="H2011" t="s">
        <v>37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>
        <v>1</v>
      </c>
      <c r="AB2011">
        <v>0</v>
      </c>
      <c r="AC2011">
        <f>VLOOKUP(A:A,[1]android_repos_all_metrics!B:K,4,FALSE)</f>
        <v>54</v>
      </c>
      <c r="AD2011">
        <f>VLOOKUP(A:A,[1]android_repos_all_metrics!B:K,5,FALSE)</f>
        <v>3</v>
      </c>
      <c r="AE2011">
        <f>VLOOKUP(A:A,[1]android_repos_all_metrics!B:K,6,FALSE)</f>
        <v>1</v>
      </c>
      <c r="AF2011">
        <f>VLOOKUP(A:A,[1]android_repos_all_metrics!B:K,7,FALSE)</f>
        <v>5552</v>
      </c>
      <c r="AG2011">
        <f>VLOOKUP(A:A,[1]android_repos_all_metrics!B:K,8,FALSE)</f>
        <v>5</v>
      </c>
      <c r="AH2011">
        <f>VLOOKUP(A:A,[1]android_repos_all_metrics!B:K,9,FALSE)</f>
        <v>25</v>
      </c>
      <c r="AI2011">
        <f>VLOOKUP(A:A,[1]android_repos_all_metrics!B:K,10,FALSE)</f>
        <v>1</v>
      </c>
    </row>
    <row r="2012" spans="1:35">
      <c r="A2012" t="s">
        <v>2082</v>
      </c>
      <c r="B2012" t="b">
        <v>1</v>
      </c>
      <c r="C2012" t="b">
        <v>0</v>
      </c>
      <c r="D2012" t="b">
        <v>0</v>
      </c>
      <c r="F2012" t="b">
        <v>0</v>
      </c>
      <c r="H2012" t="s">
        <v>110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>
        <v>2</v>
      </c>
      <c r="AB2012">
        <v>0</v>
      </c>
      <c r="AC2012">
        <f>VLOOKUP(A:A,[1]android_repos_all_metrics!B:K,4,FALSE)</f>
        <v>269</v>
      </c>
      <c r="AD2012">
        <f>VLOOKUP(A:A,[1]android_repos_all_metrics!B:K,5,FALSE)</f>
        <v>31</v>
      </c>
      <c r="AE2012">
        <f>VLOOKUP(A:A,[1]android_repos_all_metrics!B:K,6,FALSE)</f>
        <v>4</v>
      </c>
      <c r="AF2012">
        <f>VLOOKUP(A:A,[1]android_repos_all_metrics!B:K,7,FALSE)</f>
        <v>1987</v>
      </c>
      <c r="AG2012">
        <f>VLOOKUP(A:A,[1]android_repos_all_metrics!B:K,8,FALSE)</f>
        <v>15</v>
      </c>
      <c r="AH2012">
        <f>VLOOKUP(A:A,[1]android_repos_all_metrics!B:K,9,FALSE)</f>
        <v>100</v>
      </c>
      <c r="AI2012">
        <f>VLOOKUP(A:A,[1]android_repos_all_metrics!B:K,10,FALSE)</f>
        <v>19</v>
      </c>
    </row>
    <row r="2013" spans="1:35">
      <c r="A2013" t="s">
        <v>2083</v>
      </c>
      <c r="B2013" t="b">
        <v>0</v>
      </c>
      <c r="C2013" t="b">
        <v>0</v>
      </c>
      <c r="D2013" t="b">
        <v>0</v>
      </c>
      <c r="F2013" t="b">
        <v>0</v>
      </c>
      <c r="H2013" t="s">
        <v>41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>
        <v>1</v>
      </c>
      <c r="AB2013">
        <v>0</v>
      </c>
      <c r="AC2013" t="e">
        <f>VLOOKUP(A:A,[1]android_repos_all_metrics!B:K,4,FALSE)</f>
        <v>#N/A</v>
      </c>
      <c r="AD2013" t="e">
        <f>VLOOKUP(A:A,[1]android_repos_all_metrics!B:K,5,FALSE)</f>
        <v>#N/A</v>
      </c>
      <c r="AE2013" t="e">
        <f>VLOOKUP(A:A,[1]android_repos_all_metrics!B:K,6,FALSE)</f>
        <v>#N/A</v>
      </c>
      <c r="AF2013" t="e">
        <f>VLOOKUP(A:A,[1]android_repos_all_metrics!B:K,7,FALSE)</f>
        <v>#N/A</v>
      </c>
      <c r="AG2013" t="e">
        <f>VLOOKUP(A:A,[1]android_repos_all_metrics!B:K,8,FALSE)</f>
        <v>#N/A</v>
      </c>
      <c r="AH2013" t="e">
        <f>VLOOKUP(A:A,[1]android_repos_all_metrics!B:K,9,FALSE)</f>
        <v>#N/A</v>
      </c>
      <c r="AI2013" t="e">
        <f>VLOOKUP(A:A,[1]android_repos_all_metrics!B:K,10,FALSE)</f>
        <v>#N/A</v>
      </c>
    </row>
    <row r="2014" spans="1:35">
      <c r="A2014" t="s">
        <v>2084</v>
      </c>
      <c r="B2014" t="b">
        <v>1</v>
      </c>
      <c r="C2014" t="b">
        <v>0</v>
      </c>
      <c r="D2014" t="b">
        <v>0</v>
      </c>
      <c r="F2014" t="b">
        <v>0</v>
      </c>
      <c r="H2014" t="s">
        <v>308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>
        <v>2</v>
      </c>
      <c r="AB2014">
        <v>0</v>
      </c>
      <c r="AC2014">
        <f>VLOOKUP(A:A,[1]android_repos_all_metrics!B:K,4,FALSE)</f>
        <v>3741</v>
      </c>
      <c r="AD2014">
        <f>VLOOKUP(A:A,[1]android_repos_all_metrics!B:K,5,FALSE)</f>
        <v>218</v>
      </c>
      <c r="AE2014">
        <f>VLOOKUP(A:A,[1]android_repos_all_metrics!B:K,6,FALSE)</f>
        <v>17</v>
      </c>
      <c r="AF2014">
        <f>VLOOKUP(A:A,[1]android_repos_all_metrics!B:K,7,FALSE)</f>
        <v>57127</v>
      </c>
      <c r="AG2014">
        <f>VLOOKUP(A:A,[1]android_repos_all_metrics!B:K,8,FALSE)</f>
        <v>119</v>
      </c>
      <c r="AH2014">
        <f>VLOOKUP(A:A,[1]android_repos_all_metrics!B:K,9,FALSE)</f>
        <v>522</v>
      </c>
      <c r="AI2014">
        <f>VLOOKUP(A:A,[1]android_repos_all_metrics!B:K,10,FALSE)</f>
        <v>336</v>
      </c>
    </row>
    <row r="2015" spans="1:35">
      <c r="A2015" t="s">
        <v>2085</v>
      </c>
      <c r="B2015" t="b">
        <v>0</v>
      </c>
      <c r="C2015" t="b">
        <v>0</v>
      </c>
      <c r="D2015" t="b">
        <v>0</v>
      </c>
      <c r="F2015" t="b">
        <v>0</v>
      </c>
      <c r="H2015" t="s">
        <v>41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>
        <v>1</v>
      </c>
      <c r="AB2015">
        <v>0</v>
      </c>
      <c r="AC2015">
        <f>VLOOKUP(A:A,[1]android_repos_all_metrics!B:K,4,FALSE)</f>
        <v>14</v>
      </c>
      <c r="AD2015">
        <f>VLOOKUP(A:A,[1]android_repos_all_metrics!B:K,5,FALSE)</f>
        <v>3</v>
      </c>
      <c r="AE2015">
        <f>VLOOKUP(A:A,[1]android_repos_all_metrics!B:K,6,FALSE)</f>
        <v>2</v>
      </c>
      <c r="AF2015">
        <f>VLOOKUP(A:A,[1]android_repos_all_metrics!B:K,7,FALSE)</f>
        <v>11841</v>
      </c>
      <c r="AG2015">
        <f>VLOOKUP(A:A,[1]android_repos_all_metrics!B:K,8,FALSE)</f>
        <v>0</v>
      </c>
      <c r="AH2015">
        <f>VLOOKUP(A:A,[1]android_repos_all_metrics!B:K,9,FALSE)</f>
        <v>1</v>
      </c>
      <c r="AI2015">
        <f>VLOOKUP(A:A,[1]android_repos_all_metrics!B:K,10,FALSE)</f>
        <v>4</v>
      </c>
    </row>
    <row r="2016" spans="1:35">
      <c r="A2016" t="s">
        <v>2086</v>
      </c>
      <c r="B2016" t="b">
        <v>1</v>
      </c>
      <c r="C2016" t="b">
        <v>0</v>
      </c>
      <c r="D2016" t="b">
        <v>0</v>
      </c>
      <c r="F2016" t="b">
        <v>0</v>
      </c>
      <c r="H2016" t="s">
        <v>37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>
        <v>3</v>
      </c>
      <c r="AB2016">
        <v>0</v>
      </c>
      <c r="AC2016">
        <f>VLOOKUP(A:A,[1]android_repos_all_metrics!B:K,4,FALSE)</f>
        <v>2630</v>
      </c>
      <c r="AD2016">
        <f>VLOOKUP(A:A,[1]android_repos_all_metrics!B:K,5,FALSE)</f>
        <v>2013</v>
      </c>
      <c r="AE2016">
        <f>VLOOKUP(A:A,[1]android_repos_all_metrics!B:K,6,FALSE)</f>
        <v>40</v>
      </c>
      <c r="AF2016">
        <f>VLOOKUP(A:A,[1]android_repos_all_metrics!B:K,7,FALSE)</f>
        <v>156299</v>
      </c>
      <c r="AG2016">
        <f>VLOOKUP(A:A,[1]android_repos_all_metrics!B:K,8,FALSE)</f>
        <v>155</v>
      </c>
      <c r="AH2016">
        <f>VLOOKUP(A:A,[1]android_repos_all_metrics!B:K,9,FALSE)</f>
        <v>3456</v>
      </c>
      <c r="AI2016">
        <f>VLOOKUP(A:A,[1]android_repos_all_metrics!B:K,10,FALSE)</f>
        <v>296</v>
      </c>
    </row>
    <row r="2017" spans="1:35">
      <c r="A2017" t="s">
        <v>2087</v>
      </c>
      <c r="B2017" t="b">
        <v>1</v>
      </c>
      <c r="C2017" t="b">
        <v>0</v>
      </c>
      <c r="D2017" t="b">
        <v>0</v>
      </c>
      <c r="F2017" t="b">
        <v>0</v>
      </c>
      <c r="H2017" t="s">
        <v>37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>
        <v>1</v>
      </c>
      <c r="AB2017">
        <v>0</v>
      </c>
      <c r="AC2017">
        <f>VLOOKUP(A:A,[1]android_repos_all_metrics!B:K,4,FALSE)</f>
        <v>753</v>
      </c>
      <c r="AD2017">
        <f>VLOOKUP(A:A,[1]android_repos_all_metrics!B:K,5,FALSE)</f>
        <v>70</v>
      </c>
      <c r="AE2017">
        <f>VLOOKUP(A:A,[1]android_repos_all_metrics!B:K,6,FALSE)</f>
        <v>21</v>
      </c>
      <c r="AF2017">
        <f>VLOOKUP(A:A,[1]android_repos_all_metrics!B:K,7,FALSE)</f>
        <v>98567</v>
      </c>
      <c r="AG2017">
        <f>VLOOKUP(A:A,[1]android_repos_all_metrics!B:K,8,FALSE)</f>
        <v>11</v>
      </c>
      <c r="AH2017">
        <f>VLOOKUP(A:A,[1]android_repos_all_metrics!B:K,9,FALSE)</f>
        <v>110</v>
      </c>
      <c r="AI2017">
        <f>VLOOKUP(A:A,[1]android_repos_all_metrics!B:K,10,FALSE)</f>
        <v>13</v>
      </c>
    </row>
    <row r="2018" spans="1:35">
      <c r="A2018" t="s">
        <v>2088</v>
      </c>
      <c r="B2018" t="b">
        <v>1</v>
      </c>
      <c r="C2018" t="b">
        <v>0</v>
      </c>
      <c r="D2018" t="b">
        <v>0</v>
      </c>
      <c r="F2018" t="b">
        <v>0</v>
      </c>
      <c r="H2018" t="s">
        <v>37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>
        <v>1</v>
      </c>
      <c r="AB2018">
        <v>0</v>
      </c>
      <c r="AC2018">
        <f>VLOOKUP(A:A,[1]android_repos_all_metrics!B:K,4,FALSE)</f>
        <v>828</v>
      </c>
      <c r="AD2018">
        <f>VLOOKUP(A:A,[1]android_repos_all_metrics!B:K,5,FALSE)</f>
        <v>86</v>
      </c>
      <c r="AE2018">
        <f>VLOOKUP(A:A,[1]android_repos_all_metrics!B:K,6,FALSE)</f>
        <v>3</v>
      </c>
      <c r="AF2018">
        <f>VLOOKUP(A:A,[1]android_repos_all_metrics!B:K,7,FALSE)</f>
        <v>5971</v>
      </c>
      <c r="AG2018">
        <f>VLOOKUP(A:A,[1]android_repos_all_metrics!B:K,8,FALSE)</f>
        <v>0</v>
      </c>
      <c r="AH2018">
        <f>VLOOKUP(A:A,[1]android_repos_all_metrics!B:K,9,FALSE)</f>
        <v>31</v>
      </c>
      <c r="AI2018">
        <f>VLOOKUP(A:A,[1]android_repos_all_metrics!B:K,10,FALSE)</f>
        <v>2</v>
      </c>
    </row>
    <row r="2019" spans="1:35">
      <c r="A2019" t="s">
        <v>2089</v>
      </c>
      <c r="B2019" t="b">
        <v>1</v>
      </c>
      <c r="C2019" t="b">
        <v>0</v>
      </c>
      <c r="D2019" t="b">
        <v>0</v>
      </c>
      <c r="F2019" t="b">
        <v>0</v>
      </c>
      <c r="H2019" t="s">
        <v>37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>
        <v>1</v>
      </c>
      <c r="AB2019">
        <v>0</v>
      </c>
      <c r="AC2019">
        <f>VLOOKUP(A:A,[1]android_repos_all_metrics!B:K,4,FALSE)</f>
        <v>32</v>
      </c>
      <c r="AD2019">
        <f>VLOOKUP(A:A,[1]android_repos_all_metrics!B:K,5,FALSE)</f>
        <v>11</v>
      </c>
      <c r="AE2019">
        <f>VLOOKUP(A:A,[1]android_repos_all_metrics!B:K,6,FALSE)</f>
        <v>3</v>
      </c>
      <c r="AF2019">
        <f>VLOOKUP(A:A,[1]android_repos_all_metrics!B:K,7,FALSE)</f>
        <v>3563</v>
      </c>
      <c r="AG2019">
        <f>VLOOKUP(A:A,[1]android_repos_all_metrics!B:K,8,FALSE)</f>
        <v>3</v>
      </c>
      <c r="AH2019">
        <f>VLOOKUP(A:A,[1]android_repos_all_metrics!B:K,9,FALSE)</f>
        <v>2</v>
      </c>
      <c r="AI2019">
        <f>VLOOKUP(A:A,[1]android_repos_all_metrics!B:K,10,FALSE)</f>
        <v>0</v>
      </c>
    </row>
    <row r="2020" spans="1:35">
      <c r="A2020" t="s">
        <v>2090</v>
      </c>
      <c r="B2020" t="b">
        <v>1</v>
      </c>
      <c r="C2020" t="b">
        <v>0</v>
      </c>
      <c r="D2020" t="b">
        <v>0</v>
      </c>
      <c r="F2020" t="b">
        <v>0</v>
      </c>
      <c r="H2020" t="s">
        <v>37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>
        <v>1</v>
      </c>
      <c r="AB2020">
        <v>0</v>
      </c>
      <c r="AC2020" t="e">
        <f>VLOOKUP(A:A,[1]android_repos_all_metrics!B:K,4,FALSE)</f>
        <v>#N/A</v>
      </c>
      <c r="AD2020" t="e">
        <f>VLOOKUP(A:A,[1]android_repos_all_metrics!B:K,5,FALSE)</f>
        <v>#N/A</v>
      </c>
      <c r="AE2020" t="e">
        <f>VLOOKUP(A:A,[1]android_repos_all_metrics!B:K,6,FALSE)</f>
        <v>#N/A</v>
      </c>
      <c r="AF2020" t="e">
        <f>VLOOKUP(A:A,[1]android_repos_all_metrics!B:K,7,FALSE)</f>
        <v>#N/A</v>
      </c>
      <c r="AG2020" t="e">
        <f>VLOOKUP(A:A,[1]android_repos_all_metrics!B:K,8,FALSE)</f>
        <v>#N/A</v>
      </c>
      <c r="AH2020" t="e">
        <f>VLOOKUP(A:A,[1]android_repos_all_metrics!B:K,9,FALSE)</f>
        <v>#N/A</v>
      </c>
      <c r="AI2020" t="e">
        <f>VLOOKUP(A:A,[1]android_repos_all_metrics!B:K,10,FALSE)</f>
        <v>#N/A</v>
      </c>
    </row>
    <row r="2021" spans="1:35">
      <c r="A2021" t="s">
        <v>2091</v>
      </c>
      <c r="B2021" t="b">
        <v>1</v>
      </c>
      <c r="C2021" t="b">
        <v>0</v>
      </c>
      <c r="D2021" t="b">
        <v>0</v>
      </c>
      <c r="F2021" t="b">
        <v>0</v>
      </c>
      <c r="H2021" t="s">
        <v>86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>
        <v>2</v>
      </c>
      <c r="AB2021">
        <v>0</v>
      </c>
      <c r="AC2021">
        <f>VLOOKUP(A:A,[1]android_repos_all_metrics!B:K,4,FALSE)</f>
        <v>4104</v>
      </c>
      <c r="AD2021">
        <f>VLOOKUP(A:A,[1]android_repos_all_metrics!B:K,5,FALSE)</f>
        <v>539</v>
      </c>
      <c r="AE2021">
        <f>VLOOKUP(A:A,[1]android_repos_all_metrics!B:K,6,FALSE)</f>
        <v>173</v>
      </c>
      <c r="AF2021">
        <f>VLOOKUP(A:A,[1]android_repos_all_metrics!B:K,7,FALSE)</f>
        <v>26914</v>
      </c>
      <c r="AG2021">
        <f>VLOOKUP(A:A,[1]android_repos_all_metrics!B:K,8,FALSE)</f>
        <v>312</v>
      </c>
      <c r="AH2021">
        <f>VLOOKUP(A:A,[1]android_repos_all_metrics!B:K,9,FALSE)</f>
        <v>1973</v>
      </c>
      <c r="AI2021">
        <f>VLOOKUP(A:A,[1]android_repos_all_metrics!B:K,10,FALSE)</f>
        <v>209</v>
      </c>
    </row>
    <row r="2022" spans="1:35">
      <c r="A2022" t="s">
        <v>2092</v>
      </c>
      <c r="B2022" t="b">
        <v>1</v>
      </c>
      <c r="C2022" t="b">
        <v>0</v>
      </c>
      <c r="D2022" t="b">
        <v>0</v>
      </c>
      <c r="F2022" t="b">
        <v>0</v>
      </c>
      <c r="H2022" t="s">
        <v>86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>
        <v>2</v>
      </c>
      <c r="AB2022">
        <v>0</v>
      </c>
      <c r="AC2022">
        <f>VLOOKUP(A:A,[1]android_repos_all_metrics!B:K,4,FALSE)</f>
        <v>4079</v>
      </c>
      <c r="AD2022">
        <f>VLOOKUP(A:A,[1]android_repos_all_metrics!B:K,5,FALSE)</f>
        <v>17</v>
      </c>
      <c r="AE2022">
        <f>VLOOKUP(A:A,[1]android_repos_all_metrics!B:K,6,FALSE)</f>
        <v>172</v>
      </c>
      <c r="AF2022">
        <f>VLOOKUP(A:A,[1]android_repos_all_metrics!B:K,7,FALSE)</f>
        <v>17534</v>
      </c>
      <c r="AG2022">
        <f>VLOOKUP(A:A,[1]android_repos_all_metrics!B:K,8,FALSE)</f>
        <v>5</v>
      </c>
      <c r="AH2022">
        <f>VLOOKUP(A:A,[1]android_repos_all_metrics!B:K,9,FALSE)</f>
        <v>16</v>
      </c>
      <c r="AI2022">
        <f>VLOOKUP(A:A,[1]android_repos_all_metrics!B:K,10,FALSE)</f>
        <v>2</v>
      </c>
    </row>
    <row r="2023" spans="1:35">
      <c r="A2023" t="s">
        <v>2093</v>
      </c>
      <c r="B2023" t="b">
        <v>1</v>
      </c>
      <c r="C2023" t="b">
        <v>0</v>
      </c>
      <c r="D2023" t="b">
        <v>0</v>
      </c>
      <c r="F2023" t="b">
        <v>0</v>
      </c>
      <c r="H2023" t="s">
        <v>37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>
        <v>1</v>
      </c>
      <c r="AB2023">
        <v>0</v>
      </c>
      <c r="AC2023">
        <f>VLOOKUP(A:A,[1]android_repos_all_metrics!B:K,4,FALSE)</f>
        <v>30</v>
      </c>
      <c r="AD2023">
        <f>VLOOKUP(A:A,[1]android_repos_all_metrics!B:K,5,FALSE)</f>
        <v>4</v>
      </c>
      <c r="AE2023">
        <f>VLOOKUP(A:A,[1]android_repos_all_metrics!B:K,6,FALSE)</f>
        <v>1</v>
      </c>
      <c r="AF2023">
        <f>VLOOKUP(A:A,[1]android_repos_all_metrics!B:K,7,FALSE)</f>
        <v>171</v>
      </c>
      <c r="AG2023">
        <f>VLOOKUP(A:A,[1]android_repos_all_metrics!B:K,8,FALSE)</f>
        <v>0</v>
      </c>
      <c r="AH2023">
        <f>VLOOKUP(A:A,[1]android_repos_all_metrics!B:K,9,FALSE)</f>
        <v>1</v>
      </c>
      <c r="AI2023">
        <f>VLOOKUP(A:A,[1]android_repos_all_metrics!B:K,10,FALSE)</f>
        <v>1</v>
      </c>
    </row>
    <row r="2024" spans="1:35">
      <c r="A2024" t="s">
        <v>2094</v>
      </c>
      <c r="B2024" t="b">
        <v>1</v>
      </c>
      <c r="C2024" t="b">
        <v>1</v>
      </c>
      <c r="D2024" t="b">
        <v>0</v>
      </c>
      <c r="F2024" t="b">
        <v>1</v>
      </c>
      <c r="G2024" t="s">
        <v>39</v>
      </c>
      <c r="H2024" t="s">
        <v>41</v>
      </c>
      <c r="I2024" t="s">
        <v>41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>
        <v>1</v>
      </c>
      <c r="AB2024">
        <v>0</v>
      </c>
      <c r="AC2024">
        <f>VLOOKUP(A:A,[1]android_repos_all_metrics!B:K,4,FALSE)</f>
        <v>285</v>
      </c>
      <c r="AD2024">
        <f>VLOOKUP(A:A,[1]android_repos_all_metrics!B:K,5,FALSE)</f>
        <v>74</v>
      </c>
      <c r="AE2024">
        <f>VLOOKUP(A:A,[1]android_repos_all_metrics!B:K,6,FALSE)</f>
        <v>6</v>
      </c>
      <c r="AF2024">
        <f>VLOOKUP(A:A,[1]android_repos_all_metrics!B:K,7,FALSE)</f>
        <v>49938</v>
      </c>
      <c r="AG2024">
        <f>VLOOKUP(A:A,[1]android_repos_all_metrics!B:K,8,FALSE)</f>
        <v>22</v>
      </c>
      <c r="AH2024">
        <f>VLOOKUP(A:A,[1]android_repos_all_metrics!B:K,9,FALSE)</f>
        <v>50</v>
      </c>
      <c r="AI2024">
        <f>VLOOKUP(A:A,[1]android_repos_all_metrics!B:K,10,FALSE)</f>
        <v>7</v>
      </c>
    </row>
    <row r="2025" spans="1:35">
      <c r="A2025" t="s">
        <v>2095</v>
      </c>
      <c r="B2025" t="b">
        <v>0</v>
      </c>
      <c r="C2025" t="b">
        <v>0</v>
      </c>
      <c r="D2025" t="b">
        <v>0</v>
      </c>
      <c r="F2025" t="b">
        <v>0</v>
      </c>
      <c r="H2025" t="s">
        <v>41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>
        <v>1</v>
      </c>
      <c r="AB2025">
        <v>0</v>
      </c>
      <c r="AC2025">
        <f>VLOOKUP(A:A,[1]android_repos_all_metrics!B:K,4,FALSE)</f>
        <v>327</v>
      </c>
      <c r="AD2025">
        <f>VLOOKUP(A:A,[1]android_repos_all_metrics!B:K,5,FALSE)</f>
        <v>4</v>
      </c>
      <c r="AE2025">
        <f>VLOOKUP(A:A,[1]android_repos_all_metrics!B:K,6,FALSE)</f>
        <v>3</v>
      </c>
      <c r="AF2025">
        <f>VLOOKUP(A:A,[1]android_repos_all_metrics!B:K,7,FALSE)</f>
        <v>38402</v>
      </c>
      <c r="AG2025">
        <f>VLOOKUP(A:A,[1]android_repos_all_metrics!B:K,8,FALSE)</f>
        <v>194</v>
      </c>
      <c r="AH2025">
        <f>VLOOKUP(A:A,[1]android_repos_all_metrics!B:K,9,FALSE)</f>
        <v>518</v>
      </c>
      <c r="AI2025">
        <f>VLOOKUP(A:A,[1]android_repos_all_metrics!B:K,10,FALSE)</f>
        <v>6</v>
      </c>
    </row>
    <row r="2026" spans="1:35">
      <c r="A2026" t="s">
        <v>2096</v>
      </c>
      <c r="B2026" t="b">
        <v>0</v>
      </c>
      <c r="C2026" t="b">
        <v>0</v>
      </c>
      <c r="D2026" t="b">
        <v>0</v>
      </c>
      <c r="F2026" t="b">
        <v>0</v>
      </c>
      <c r="H2026" t="s">
        <v>41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>
        <v>1</v>
      </c>
      <c r="AB2026">
        <v>0</v>
      </c>
      <c r="AC2026">
        <f>VLOOKUP(A:A,[1]android_repos_all_metrics!B:K,4,FALSE)</f>
        <v>24</v>
      </c>
      <c r="AD2026">
        <f>VLOOKUP(A:A,[1]android_repos_all_metrics!B:K,5,FALSE)</f>
        <v>0</v>
      </c>
      <c r="AE2026">
        <f>VLOOKUP(A:A,[1]android_repos_all_metrics!B:K,6,FALSE)</f>
        <v>1</v>
      </c>
      <c r="AF2026">
        <f>VLOOKUP(A:A,[1]android_repos_all_metrics!B:K,7,FALSE)</f>
        <v>2436</v>
      </c>
      <c r="AG2026">
        <f>VLOOKUP(A:A,[1]android_repos_all_metrics!B:K,8,FALSE)</f>
        <v>2</v>
      </c>
      <c r="AH2026">
        <f>VLOOKUP(A:A,[1]android_repos_all_metrics!B:K,9,FALSE)</f>
        <v>4</v>
      </c>
      <c r="AI2026">
        <f>VLOOKUP(A:A,[1]android_repos_all_metrics!B:K,10,FALSE)</f>
        <v>0</v>
      </c>
    </row>
    <row r="2027" spans="1:35">
      <c r="A2027" t="s">
        <v>2097</v>
      </c>
      <c r="B2027" t="b">
        <v>1</v>
      </c>
      <c r="C2027" t="b">
        <v>0</v>
      </c>
      <c r="D2027" t="b">
        <v>0</v>
      </c>
      <c r="F2027" t="b">
        <v>0</v>
      </c>
      <c r="H2027" t="s">
        <v>37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>
        <v>2</v>
      </c>
      <c r="AB2027">
        <v>0</v>
      </c>
      <c r="AC2027">
        <f>VLOOKUP(A:A,[1]android_repos_all_metrics!B:K,4,FALSE)</f>
        <v>222</v>
      </c>
      <c r="AD2027">
        <f>VLOOKUP(A:A,[1]android_repos_all_metrics!B:K,5,FALSE)</f>
        <v>0</v>
      </c>
      <c r="AE2027">
        <f>VLOOKUP(A:A,[1]android_repos_all_metrics!B:K,6,FALSE)</f>
        <v>1</v>
      </c>
      <c r="AF2027">
        <f>VLOOKUP(A:A,[1]android_repos_all_metrics!B:K,7,FALSE)</f>
        <v>20039</v>
      </c>
      <c r="AG2027">
        <f>VLOOKUP(A:A,[1]android_repos_all_metrics!B:K,8,FALSE)</f>
        <v>4</v>
      </c>
      <c r="AH2027">
        <f>VLOOKUP(A:A,[1]android_repos_all_metrics!B:K,9,FALSE)</f>
        <v>3</v>
      </c>
      <c r="AI2027">
        <f>VLOOKUP(A:A,[1]android_repos_all_metrics!B:K,10,FALSE)</f>
        <v>0</v>
      </c>
    </row>
    <row r="2028" spans="1:35">
      <c r="A2028" t="s">
        <v>2098</v>
      </c>
      <c r="B2028" t="b">
        <v>1</v>
      </c>
      <c r="C2028" t="b">
        <v>0</v>
      </c>
      <c r="D2028" t="b">
        <v>0</v>
      </c>
      <c r="F2028" t="b">
        <v>0</v>
      </c>
      <c r="H2028" t="s">
        <v>43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>
        <v>1</v>
      </c>
      <c r="AB2028">
        <v>0</v>
      </c>
      <c r="AC2028">
        <f>VLOOKUP(A:A,[1]android_repos_all_metrics!B:K,4,FALSE)</f>
        <v>543</v>
      </c>
      <c r="AD2028">
        <f>VLOOKUP(A:A,[1]android_repos_all_metrics!B:K,5,FALSE)</f>
        <v>71</v>
      </c>
      <c r="AE2028">
        <f>VLOOKUP(A:A,[1]android_repos_all_metrics!B:K,6,FALSE)</f>
        <v>12</v>
      </c>
      <c r="AF2028">
        <f>VLOOKUP(A:A,[1]android_repos_all_metrics!B:K,7,FALSE)</f>
        <v>23037</v>
      </c>
      <c r="AG2028">
        <f>VLOOKUP(A:A,[1]android_repos_all_metrics!B:K,8,FALSE)</f>
        <v>91</v>
      </c>
      <c r="AH2028">
        <f>VLOOKUP(A:A,[1]android_repos_all_metrics!B:K,9,FALSE)</f>
        <v>294</v>
      </c>
      <c r="AI2028">
        <f>VLOOKUP(A:A,[1]android_repos_all_metrics!B:K,10,FALSE)</f>
        <v>37</v>
      </c>
    </row>
    <row r="2029" spans="1:35">
      <c r="A2029" t="s">
        <v>2099</v>
      </c>
      <c r="B2029" t="b">
        <v>0</v>
      </c>
      <c r="C2029" t="b">
        <v>0</v>
      </c>
      <c r="D2029" t="b">
        <v>0</v>
      </c>
      <c r="F2029" t="b">
        <v>0</v>
      </c>
      <c r="H2029" t="s">
        <v>41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>
        <v>1</v>
      </c>
      <c r="AB2029">
        <v>0</v>
      </c>
      <c r="AC2029">
        <f>VLOOKUP(A:A,[1]android_repos_all_metrics!B:K,4,FALSE)</f>
        <v>50</v>
      </c>
      <c r="AD2029">
        <f>VLOOKUP(A:A,[1]android_repos_all_metrics!B:K,5,FALSE)</f>
        <v>0</v>
      </c>
      <c r="AE2029">
        <f>VLOOKUP(A:A,[1]android_repos_all_metrics!B:K,6,FALSE)</f>
        <v>1</v>
      </c>
      <c r="AF2029">
        <f>VLOOKUP(A:A,[1]android_repos_all_metrics!B:K,7,FALSE)</f>
        <v>190</v>
      </c>
      <c r="AG2029">
        <f>VLOOKUP(A:A,[1]android_repos_all_metrics!B:K,8,FALSE)</f>
        <v>0</v>
      </c>
      <c r="AH2029">
        <f>VLOOKUP(A:A,[1]android_repos_all_metrics!B:K,9,FALSE)</f>
        <v>6</v>
      </c>
      <c r="AI2029">
        <f>VLOOKUP(A:A,[1]android_repos_all_metrics!B:K,10,FALSE)</f>
        <v>0</v>
      </c>
    </row>
    <row r="2030" spans="1:35">
      <c r="A2030" t="s">
        <v>2100</v>
      </c>
      <c r="B2030" t="b">
        <v>1</v>
      </c>
      <c r="C2030" t="b">
        <v>0</v>
      </c>
      <c r="D2030" t="b">
        <v>0</v>
      </c>
      <c r="F2030" t="b">
        <v>0</v>
      </c>
      <c r="H2030" t="s">
        <v>37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>
        <v>6</v>
      </c>
      <c r="AB2030">
        <v>0</v>
      </c>
      <c r="AC2030">
        <f>VLOOKUP(A:A,[1]android_repos_all_metrics!B:K,4,FALSE)</f>
        <v>959</v>
      </c>
      <c r="AD2030">
        <f>VLOOKUP(A:A,[1]android_repos_all_metrics!B:K,5,FALSE)</f>
        <v>291</v>
      </c>
      <c r="AE2030">
        <f>VLOOKUP(A:A,[1]android_repos_all_metrics!B:K,6,FALSE)</f>
        <v>7</v>
      </c>
      <c r="AF2030">
        <f>VLOOKUP(A:A,[1]android_repos_all_metrics!B:K,7,FALSE)</f>
        <v>2421</v>
      </c>
      <c r="AG2030">
        <f>VLOOKUP(A:A,[1]android_repos_all_metrics!B:K,8,FALSE)</f>
        <v>4</v>
      </c>
      <c r="AH2030">
        <f>VLOOKUP(A:A,[1]android_repos_all_metrics!B:K,9,FALSE)</f>
        <v>121</v>
      </c>
      <c r="AI2030">
        <f>VLOOKUP(A:A,[1]android_repos_all_metrics!B:K,10,FALSE)</f>
        <v>29</v>
      </c>
    </row>
    <row r="2031" spans="1:35">
      <c r="A2031" t="s">
        <v>2101</v>
      </c>
      <c r="B2031" t="b">
        <v>1</v>
      </c>
      <c r="C2031" t="b">
        <v>0</v>
      </c>
      <c r="D2031" t="b">
        <v>0</v>
      </c>
      <c r="F2031" t="b">
        <v>0</v>
      </c>
      <c r="H2031" t="s">
        <v>37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>
        <v>4</v>
      </c>
      <c r="AB2031">
        <v>0</v>
      </c>
      <c r="AC2031">
        <f>VLOOKUP(A:A,[1]android_repos_all_metrics!B:K,4,FALSE)</f>
        <v>720</v>
      </c>
      <c r="AD2031">
        <f>VLOOKUP(A:A,[1]android_repos_all_metrics!B:K,5,FALSE)</f>
        <v>28</v>
      </c>
      <c r="AE2031">
        <f>VLOOKUP(A:A,[1]android_repos_all_metrics!B:K,6,FALSE)</f>
        <v>10</v>
      </c>
      <c r="AF2031">
        <f>VLOOKUP(A:A,[1]android_repos_all_metrics!B:K,7,FALSE)</f>
        <v>69054</v>
      </c>
      <c r="AG2031">
        <f>VLOOKUP(A:A,[1]android_repos_all_metrics!B:K,8,FALSE)</f>
        <v>152</v>
      </c>
      <c r="AH2031">
        <f>VLOOKUP(A:A,[1]android_repos_all_metrics!B:K,9,FALSE)</f>
        <v>693</v>
      </c>
      <c r="AI2031">
        <f>VLOOKUP(A:A,[1]android_repos_all_metrics!B:K,10,FALSE)</f>
        <v>47</v>
      </c>
    </row>
    <row r="2032" spans="1:35">
      <c r="A2032" t="s">
        <v>2102</v>
      </c>
      <c r="B2032" t="b">
        <v>1</v>
      </c>
      <c r="C2032" t="b">
        <v>0</v>
      </c>
      <c r="D2032" t="b">
        <v>0</v>
      </c>
      <c r="F2032" t="b">
        <v>0</v>
      </c>
      <c r="H2032" t="s">
        <v>37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>
        <v>1</v>
      </c>
      <c r="AB2032">
        <v>0</v>
      </c>
      <c r="AC2032">
        <f>VLOOKUP(A:A,[1]android_repos_all_metrics!B:K,4,FALSE)</f>
        <v>1042</v>
      </c>
      <c r="AD2032">
        <f>VLOOKUP(A:A,[1]android_repos_all_metrics!B:K,5,FALSE)</f>
        <v>41</v>
      </c>
      <c r="AE2032">
        <f>VLOOKUP(A:A,[1]android_repos_all_metrics!B:K,6,FALSE)</f>
        <v>10</v>
      </c>
      <c r="AF2032">
        <f>VLOOKUP(A:A,[1]android_repos_all_metrics!B:K,7,FALSE)</f>
        <v>120447</v>
      </c>
      <c r="AG2032">
        <f>VLOOKUP(A:A,[1]android_repos_all_metrics!B:K,8,FALSE)</f>
        <v>39</v>
      </c>
      <c r="AH2032">
        <f>VLOOKUP(A:A,[1]android_repos_all_metrics!B:K,9,FALSE)</f>
        <v>250</v>
      </c>
      <c r="AI2032">
        <f>VLOOKUP(A:A,[1]android_repos_all_metrics!B:K,10,FALSE)</f>
        <v>30</v>
      </c>
    </row>
    <row r="2033" spans="1:35">
      <c r="A2033" t="s">
        <v>2103</v>
      </c>
      <c r="B2033" t="b">
        <v>1</v>
      </c>
      <c r="C2033" t="b">
        <v>0</v>
      </c>
      <c r="D2033" t="b">
        <v>0</v>
      </c>
      <c r="F2033" t="b">
        <v>0</v>
      </c>
      <c r="H2033" t="s">
        <v>37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>
        <v>3</v>
      </c>
      <c r="AB2033">
        <v>0</v>
      </c>
      <c r="AC2033">
        <f>VLOOKUP(A:A,[1]android_repos_all_metrics!B:K,4,FALSE)</f>
        <v>359</v>
      </c>
      <c r="AD2033">
        <f>VLOOKUP(A:A,[1]android_repos_all_metrics!B:K,5,FALSE)</f>
        <v>21</v>
      </c>
      <c r="AE2033">
        <f>VLOOKUP(A:A,[1]android_repos_all_metrics!B:K,6,FALSE)</f>
        <v>11</v>
      </c>
      <c r="AF2033">
        <f>VLOOKUP(A:A,[1]android_repos_all_metrics!B:K,7,FALSE)</f>
        <v>3339</v>
      </c>
      <c r="AG2033">
        <f>VLOOKUP(A:A,[1]android_repos_all_metrics!B:K,8,FALSE)</f>
        <v>23</v>
      </c>
      <c r="AH2033">
        <f>VLOOKUP(A:A,[1]android_repos_all_metrics!B:K,9,FALSE)</f>
        <v>282</v>
      </c>
      <c r="AI2033">
        <f>VLOOKUP(A:A,[1]android_repos_all_metrics!B:K,10,FALSE)</f>
        <v>16</v>
      </c>
    </row>
    <row r="2034" spans="1:35">
      <c r="A2034" t="s">
        <v>2104</v>
      </c>
      <c r="B2034" t="b">
        <v>1</v>
      </c>
      <c r="C2034" t="b">
        <v>0</v>
      </c>
      <c r="D2034" t="b">
        <v>0</v>
      </c>
      <c r="F2034" t="b">
        <v>0</v>
      </c>
      <c r="H2034" t="s">
        <v>37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>
        <v>1</v>
      </c>
      <c r="AB2034">
        <v>0</v>
      </c>
      <c r="AC2034">
        <f>VLOOKUP(A:A,[1]android_repos_all_metrics!B:K,4,FALSE)</f>
        <v>46</v>
      </c>
      <c r="AD2034">
        <f>VLOOKUP(A:A,[1]android_repos_all_metrics!B:K,5,FALSE)</f>
        <v>5</v>
      </c>
      <c r="AE2034">
        <f>VLOOKUP(A:A,[1]android_repos_all_metrics!B:K,6,FALSE)</f>
        <v>2</v>
      </c>
      <c r="AF2034">
        <f>VLOOKUP(A:A,[1]android_repos_all_metrics!B:K,7,FALSE)</f>
        <v>213</v>
      </c>
      <c r="AG2034">
        <f>VLOOKUP(A:A,[1]android_repos_all_metrics!B:K,8,FALSE)</f>
        <v>1</v>
      </c>
      <c r="AH2034">
        <f>VLOOKUP(A:A,[1]android_repos_all_metrics!B:K,9,FALSE)</f>
        <v>4</v>
      </c>
      <c r="AI2034">
        <f>VLOOKUP(A:A,[1]android_repos_all_metrics!B:K,10,FALSE)</f>
        <v>0</v>
      </c>
    </row>
    <row r="2035" spans="1:35">
      <c r="A2035" t="s">
        <v>2105</v>
      </c>
      <c r="B2035" t="b">
        <v>0</v>
      </c>
      <c r="C2035" t="b">
        <v>0</v>
      </c>
      <c r="D2035" t="b">
        <v>0</v>
      </c>
      <c r="F2035" t="b">
        <v>0</v>
      </c>
      <c r="H2035" t="s">
        <v>41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>
        <v>1</v>
      </c>
      <c r="AB2035">
        <v>0</v>
      </c>
      <c r="AC2035">
        <f>VLOOKUP(A:A,[1]android_repos_all_metrics!B:K,4,FALSE)</f>
        <v>81</v>
      </c>
      <c r="AD2035">
        <f>VLOOKUP(A:A,[1]android_repos_all_metrics!B:K,5,FALSE)</f>
        <v>0</v>
      </c>
      <c r="AE2035">
        <f>VLOOKUP(A:A,[1]android_repos_all_metrics!B:K,6,FALSE)</f>
        <v>1</v>
      </c>
      <c r="AF2035">
        <f>VLOOKUP(A:A,[1]android_repos_all_metrics!B:K,7,FALSE)</f>
        <v>7166</v>
      </c>
      <c r="AG2035">
        <f>VLOOKUP(A:A,[1]android_repos_all_metrics!B:K,8,FALSE)</f>
        <v>25</v>
      </c>
      <c r="AH2035">
        <f>VLOOKUP(A:A,[1]android_repos_all_metrics!B:K,9,FALSE)</f>
        <v>170</v>
      </c>
      <c r="AI2035">
        <f>VLOOKUP(A:A,[1]android_repos_all_metrics!B:K,10,FALSE)</f>
        <v>10</v>
      </c>
    </row>
    <row r="2036" spans="1:35">
      <c r="A2036" t="s">
        <v>2106</v>
      </c>
      <c r="B2036" t="b">
        <v>1</v>
      </c>
      <c r="C2036" t="b">
        <v>0</v>
      </c>
      <c r="D2036" t="b">
        <v>0</v>
      </c>
      <c r="F2036" t="b">
        <v>0</v>
      </c>
      <c r="H2036" t="s">
        <v>41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>
        <v>1</v>
      </c>
      <c r="AB2036">
        <v>0</v>
      </c>
      <c r="AC2036">
        <f>VLOOKUP(A:A,[1]android_repos_all_metrics!B:K,4,FALSE)</f>
        <v>41</v>
      </c>
      <c r="AD2036">
        <f>VLOOKUP(A:A,[1]android_repos_all_metrics!B:K,5,FALSE)</f>
        <v>4</v>
      </c>
      <c r="AE2036">
        <f>VLOOKUP(A:A,[1]android_repos_all_metrics!B:K,6,FALSE)</f>
        <v>3</v>
      </c>
      <c r="AF2036">
        <f>VLOOKUP(A:A,[1]android_repos_all_metrics!B:K,7,FALSE)</f>
        <v>1934</v>
      </c>
      <c r="AG2036">
        <f>VLOOKUP(A:A,[1]android_repos_all_metrics!B:K,8,FALSE)</f>
        <v>7</v>
      </c>
      <c r="AH2036">
        <f>VLOOKUP(A:A,[1]android_repos_all_metrics!B:K,9,FALSE)</f>
        <v>13</v>
      </c>
      <c r="AI2036">
        <f>VLOOKUP(A:A,[1]android_repos_all_metrics!B:K,10,FALSE)</f>
        <v>2</v>
      </c>
    </row>
    <row r="2037" spans="1:35">
      <c r="A2037" t="s">
        <v>2107</v>
      </c>
      <c r="B2037" t="b">
        <v>1</v>
      </c>
      <c r="C2037" t="b">
        <v>1</v>
      </c>
      <c r="D2037" t="b">
        <v>1</v>
      </c>
      <c r="E2037" t="s">
        <v>36</v>
      </c>
      <c r="F2037" t="b">
        <v>0</v>
      </c>
      <c r="H2037" t="s">
        <v>37</v>
      </c>
      <c r="I2037" t="s">
        <v>37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>
        <v>1</v>
      </c>
      <c r="AA2037">
        <v>1</v>
      </c>
      <c r="AB2037">
        <v>0</v>
      </c>
      <c r="AC2037">
        <f>VLOOKUP(A:A,[1]android_repos_all_metrics!B:K,4,FALSE)</f>
        <v>31</v>
      </c>
      <c r="AD2037">
        <f>VLOOKUP(A:A,[1]android_repos_all_metrics!B:K,5,FALSE)</f>
        <v>9</v>
      </c>
      <c r="AE2037">
        <f>VLOOKUP(A:A,[1]android_repos_all_metrics!B:K,6,FALSE)</f>
        <v>2</v>
      </c>
      <c r="AF2037">
        <f>VLOOKUP(A:A,[1]android_repos_all_metrics!B:K,7,FALSE)</f>
        <v>268</v>
      </c>
      <c r="AG2037">
        <f>VLOOKUP(A:A,[1]android_repos_all_metrics!B:K,8,FALSE)</f>
        <v>0</v>
      </c>
      <c r="AH2037">
        <f>VLOOKUP(A:A,[1]android_repos_all_metrics!B:K,9,FALSE)</f>
        <v>2</v>
      </c>
      <c r="AI2037">
        <f>VLOOKUP(A:A,[1]android_repos_all_metrics!B:K,10,FALSE)</f>
        <v>6</v>
      </c>
    </row>
    <row r="2038" spans="1:35">
      <c r="A2038" t="s">
        <v>2108</v>
      </c>
      <c r="B2038" t="b">
        <v>1</v>
      </c>
      <c r="C2038" t="b">
        <v>0</v>
      </c>
      <c r="D2038" t="b">
        <v>0</v>
      </c>
      <c r="F2038" t="b">
        <v>0</v>
      </c>
      <c r="H2038" t="s">
        <v>37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>
        <v>18</v>
      </c>
      <c r="AB2038">
        <v>0</v>
      </c>
      <c r="AC2038">
        <f>VLOOKUP(A:A,[1]android_repos_all_metrics!B:K,4,FALSE)</f>
        <v>3346</v>
      </c>
      <c r="AD2038">
        <f>VLOOKUP(A:A,[1]android_repos_all_metrics!B:K,5,FALSE)</f>
        <v>2157</v>
      </c>
      <c r="AE2038">
        <f>VLOOKUP(A:A,[1]android_repos_all_metrics!B:K,6,FALSE)</f>
        <v>97</v>
      </c>
      <c r="AF2038">
        <f>VLOOKUP(A:A,[1]android_repos_all_metrics!B:K,7,FALSE)</f>
        <v>40795</v>
      </c>
      <c r="AG2038">
        <f>VLOOKUP(A:A,[1]android_repos_all_metrics!B:K,8,FALSE)</f>
        <v>145</v>
      </c>
      <c r="AH2038">
        <f>VLOOKUP(A:A,[1]android_repos_all_metrics!B:K,9,FALSE)</f>
        <v>337</v>
      </c>
      <c r="AI2038">
        <f>VLOOKUP(A:A,[1]android_repos_all_metrics!B:K,10,FALSE)</f>
        <v>312</v>
      </c>
    </row>
    <row r="2039" spans="1:35">
      <c r="A2039" t="s">
        <v>2109</v>
      </c>
      <c r="B2039" t="b">
        <v>0</v>
      </c>
      <c r="C2039" t="b">
        <v>0</v>
      </c>
      <c r="D2039" t="b">
        <v>0</v>
      </c>
      <c r="F2039" t="b">
        <v>0</v>
      </c>
      <c r="H2039" t="s">
        <v>41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>
        <v>1</v>
      </c>
      <c r="AB2039">
        <v>0</v>
      </c>
      <c r="AC2039">
        <f>VLOOKUP(A:A,[1]android_repos_all_metrics!B:K,4,FALSE)</f>
        <v>1781</v>
      </c>
      <c r="AD2039">
        <f>VLOOKUP(A:A,[1]android_repos_all_metrics!B:K,5,FALSE)</f>
        <v>133</v>
      </c>
      <c r="AE2039">
        <f>VLOOKUP(A:A,[1]android_repos_all_metrics!B:K,6,FALSE)</f>
        <v>47</v>
      </c>
      <c r="AF2039">
        <f>VLOOKUP(A:A,[1]android_repos_all_metrics!B:K,7,FALSE)</f>
        <v>16447</v>
      </c>
      <c r="AG2039">
        <f>VLOOKUP(A:A,[1]android_repos_all_metrics!B:K,8,FALSE)</f>
        <v>505</v>
      </c>
      <c r="AH2039">
        <f>VLOOKUP(A:A,[1]android_repos_all_metrics!B:K,9,FALSE)</f>
        <v>1730</v>
      </c>
      <c r="AI2039">
        <f>VLOOKUP(A:A,[1]android_repos_all_metrics!B:K,10,FALSE)</f>
        <v>172</v>
      </c>
    </row>
    <row r="2040" spans="1:35">
      <c r="A2040" t="s">
        <v>2110</v>
      </c>
      <c r="B2040" t="b">
        <v>1</v>
      </c>
      <c r="C2040" t="b">
        <v>0</v>
      </c>
      <c r="D2040" t="b">
        <v>0</v>
      </c>
      <c r="F2040" t="b">
        <v>0</v>
      </c>
      <c r="H2040" t="s">
        <v>43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>
        <v>1</v>
      </c>
      <c r="AB2040">
        <v>0</v>
      </c>
      <c r="AC2040">
        <f>VLOOKUP(A:A,[1]android_repos_all_metrics!B:K,4,FALSE)</f>
        <v>4</v>
      </c>
      <c r="AD2040">
        <f>VLOOKUP(A:A,[1]android_repos_all_metrics!B:K,5,FALSE)</f>
        <v>0</v>
      </c>
      <c r="AE2040">
        <f>VLOOKUP(A:A,[1]android_repos_all_metrics!B:K,6,FALSE)</f>
        <v>1</v>
      </c>
      <c r="AF2040">
        <f>VLOOKUP(A:A,[1]android_repos_all_metrics!B:K,7,FALSE)</f>
        <v>753</v>
      </c>
      <c r="AG2040">
        <f>VLOOKUP(A:A,[1]android_repos_all_metrics!B:K,8,FALSE)</f>
        <v>0</v>
      </c>
      <c r="AH2040">
        <f>VLOOKUP(A:A,[1]android_repos_all_metrics!B:K,9,FALSE)</f>
        <v>3</v>
      </c>
      <c r="AI2040">
        <f>VLOOKUP(A:A,[1]android_repos_all_metrics!B:K,10,FALSE)</f>
        <v>2</v>
      </c>
    </row>
    <row r="2041" spans="1:35">
      <c r="A2041" t="s">
        <v>2111</v>
      </c>
      <c r="B2041" t="b">
        <v>1</v>
      </c>
      <c r="C2041" t="b">
        <v>0</v>
      </c>
      <c r="D2041" t="b">
        <v>0</v>
      </c>
      <c r="F2041" t="b">
        <v>0</v>
      </c>
      <c r="H2041" t="s">
        <v>37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>
        <v>1</v>
      </c>
      <c r="AB2041">
        <v>0</v>
      </c>
      <c r="AC2041">
        <f>VLOOKUP(A:A,[1]android_repos_all_metrics!B:K,4,FALSE)</f>
        <v>48</v>
      </c>
      <c r="AD2041">
        <f>VLOOKUP(A:A,[1]android_repos_all_metrics!B:K,5,FALSE)</f>
        <v>3</v>
      </c>
      <c r="AE2041">
        <f>VLOOKUP(A:A,[1]android_repos_all_metrics!B:K,6,FALSE)</f>
        <v>2</v>
      </c>
      <c r="AF2041">
        <f>VLOOKUP(A:A,[1]android_repos_all_metrics!B:K,7,FALSE)</f>
        <v>556</v>
      </c>
      <c r="AG2041">
        <f>VLOOKUP(A:A,[1]android_repos_all_metrics!B:K,8,FALSE)</f>
        <v>2</v>
      </c>
      <c r="AH2041">
        <f>VLOOKUP(A:A,[1]android_repos_all_metrics!B:K,9,FALSE)</f>
        <v>10</v>
      </c>
      <c r="AI2041">
        <f>VLOOKUP(A:A,[1]android_repos_all_metrics!B:K,10,FALSE)</f>
        <v>0</v>
      </c>
    </row>
    <row r="2042" spans="1:35">
      <c r="A2042" t="s">
        <v>2112</v>
      </c>
      <c r="B2042" t="b">
        <v>1</v>
      </c>
      <c r="C2042" t="b">
        <v>0</v>
      </c>
      <c r="D2042" t="b">
        <v>0</v>
      </c>
      <c r="F2042" t="b">
        <v>0</v>
      </c>
      <c r="H2042" t="s">
        <v>37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>
        <v>2</v>
      </c>
      <c r="AB2042">
        <v>0</v>
      </c>
      <c r="AC2042">
        <f>VLOOKUP(A:A,[1]android_repos_all_metrics!B:K,4,FALSE)</f>
        <v>565</v>
      </c>
      <c r="AD2042">
        <f>VLOOKUP(A:A,[1]android_repos_all_metrics!B:K,5,FALSE)</f>
        <v>33</v>
      </c>
      <c r="AE2042">
        <f>VLOOKUP(A:A,[1]android_repos_all_metrics!B:K,6,FALSE)</f>
        <v>21</v>
      </c>
      <c r="AF2042">
        <f>VLOOKUP(A:A,[1]android_repos_all_metrics!B:K,7,FALSE)</f>
        <v>356939</v>
      </c>
      <c r="AG2042">
        <f>VLOOKUP(A:A,[1]android_repos_all_metrics!B:K,8,FALSE)</f>
        <v>1214</v>
      </c>
      <c r="AH2042">
        <f>VLOOKUP(A:A,[1]android_repos_all_metrics!B:K,9,FALSE)</f>
        <v>8139</v>
      </c>
      <c r="AI2042">
        <f>VLOOKUP(A:A,[1]android_repos_all_metrics!B:K,10,FALSE)</f>
        <v>7</v>
      </c>
    </row>
    <row r="2043" spans="1:35">
      <c r="A2043" t="s">
        <v>2113</v>
      </c>
      <c r="B2043" t="b">
        <v>1</v>
      </c>
      <c r="C2043" t="b">
        <v>0</v>
      </c>
      <c r="D2043" t="b">
        <v>0</v>
      </c>
      <c r="F2043" t="b">
        <v>0</v>
      </c>
      <c r="H2043" t="s">
        <v>37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>
        <v>2</v>
      </c>
      <c r="AB2043">
        <v>0</v>
      </c>
      <c r="AC2043">
        <f>VLOOKUP(A:A,[1]android_repos_all_metrics!B:K,4,FALSE)</f>
        <v>119</v>
      </c>
      <c r="AD2043">
        <f>VLOOKUP(A:A,[1]android_repos_all_metrics!B:K,5,FALSE)</f>
        <v>0</v>
      </c>
      <c r="AE2043">
        <f>VLOOKUP(A:A,[1]android_repos_all_metrics!B:K,6,FALSE)</f>
        <v>1</v>
      </c>
      <c r="AF2043">
        <f>VLOOKUP(A:A,[1]android_repos_all_metrics!B:K,7,FALSE)</f>
        <v>3978</v>
      </c>
      <c r="AG2043">
        <f>VLOOKUP(A:A,[1]android_repos_all_metrics!B:K,8,FALSE)</f>
        <v>0</v>
      </c>
      <c r="AH2043">
        <f>VLOOKUP(A:A,[1]android_repos_all_metrics!B:K,9,FALSE)</f>
        <v>1</v>
      </c>
      <c r="AI2043">
        <f>VLOOKUP(A:A,[1]android_repos_all_metrics!B:K,10,FALSE)</f>
        <v>1</v>
      </c>
    </row>
    <row r="2044" spans="1:35">
      <c r="A2044" t="s">
        <v>2114</v>
      </c>
      <c r="B2044" t="b">
        <v>0</v>
      </c>
      <c r="C2044" t="b">
        <v>0</v>
      </c>
      <c r="D2044" t="b">
        <v>0</v>
      </c>
      <c r="F2044" t="b">
        <v>0</v>
      </c>
      <c r="H2044" t="s">
        <v>37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>
        <v>1</v>
      </c>
      <c r="AB2044">
        <v>0</v>
      </c>
      <c r="AC2044">
        <f>VLOOKUP(A:A,[1]android_repos_all_metrics!B:K,4,FALSE)</f>
        <v>361</v>
      </c>
      <c r="AD2044">
        <f>VLOOKUP(A:A,[1]android_repos_all_metrics!B:K,5,FALSE)</f>
        <v>8</v>
      </c>
      <c r="AE2044">
        <f>VLOOKUP(A:A,[1]android_repos_all_metrics!B:K,6,FALSE)</f>
        <v>14</v>
      </c>
      <c r="AF2044">
        <f>VLOOKUP(A:A,[1]android_repos_all_metrics!B:K,7,FALSE)</f>
        <v>52266</v>
      </c>
      <c r="AG2044">
        <f>VLOOKUP(A:A,[1]android_repos_all_metrics!B:K,8,FALSE)</f>
        <v>19</v>
      </c>
      <c r="AH2044">
        <f>VLOOKUP(A:A,[1]android_repos_all_metrics!B:K,9,FALSE)</f>
        <v>97</v>
      </c>
      <c r="AI2044">
        <f>VLOOKUP(A:A,[1]android_repos_all_metrics!B:K,10,FALSE)</f>
        <v>19</v>
      </c>
    </row>
    <row r="2045" spans="1:35">
      <c r="A2045" t="s">
        <v>2115</v>
      </c>
      <c r="B2045" t="b">
        <v>1</v>
      </c>
      <c r="C2045" t="b">
        <v>0</v>
      </c>
      <c r="D2045" t="b">
        <v>0</v>
      </c>
      <c r="F2045" t="b">
        <v>0</v>
      </c>
      <c r="H2045" t="s">
        <v>37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>
        <v>2</v>
      </c>
      <c r="AB2045">
        <v>0</v>
      </c>
      <c r="AC2045">
        <f>VLOOKUP(A:A,[1]android_repos_all_metrics!B:K,4,FALSE)</f>
        <v>464</v>
      </c>
      <c r="AD2045">
        <f>VLOOKUP(A:A,[1]android_repos_all_metrics!B:K,5,FALSE)</f>
        <v>208</v>
      </c>
      <c r="AE2045">
        <f>VLOOKUP(A:A,[1]android_repos_all_metrics!B:K,6,FALSE)</f>
        <v>15</v>
      </c>
      <c r="AF2045">
        <f>VLOOKUP(A:A,[1]android_repos_all_metrics!B:K,7,FALSE)</f>
        <v>151480</v>
      </c>
      <c r="AG2045">
        <f>VLOOKUP(A:A,[1]android_repos_all_metrics!B:K,8,FALSE)</f>
        <v>48</v>
      </c>
      <c r="AH2045">
        <f>VLOOKUP(A:A,[1]android_repos_all_metrics!B:K,9,FALSE)</f>
        <v>554</v>
      </c>
      <c r="AI2045">
        <f>VLOOKUP(A:A,[1]android_repos_all_metrics!B:K,10,FALSE)</f>
        <v>28</v>
      </c>
    </row>
    <row r="2046" spans="1:35">
      <c r="A2046" t="s">
        <v>2116</v>
      </c>
      <c r="B2046" t="b">
        <v>1</v>
      </c>
      <c r="C2046" t="b">
        <v>0</v>
      </c>
      <c r="D2046" t="b">
        <v>0</v>
      </c>
      <c r="F2046" t="b">
        <v>0</v>
      </c>
      <c r="H2046" t="s">
        <v>37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>
        <v>1</v>
      </c>
      <c r="AB2046">
        <v>0</v>
      </c>
      <c r="AC2046">
        <f>VLOOKUP(A:A,[1]android_repos_all_metrics!B:K,4,FALSE)</f>
        <v>161</v>
      </c>
      <c r="AD2046">
        <f>VLOOKUP(A:A,[1]android_repos_all_metrics!B:K,5,FALSE)</f>
        <v>11</v>
      </c>
      <c r="AE2046">
        <f>VLOOKUP(A:A,[1]android_repos_all_metrics!B:K,6,FALSE)</f>
        <v>1</v>
      </c>
      <c r="AF2046">
        <f>VLOOKUP(A:A,[1]android_repos_all_metrics!B:K,7,FALSE)</f>
        <v>4274</v>
      </c>
      <c r="AG2046">
        <f>VLOOKUP(A:A,[1]android_repos_all_metrics!B:K,8,FALSE)</f>
        <v>0</v>
      </c>
      <c r="AH2046">
        <f>VLOOKUP(A:A,[1]android_repos_all_metrics!B:K,9,FALSE)</f>
        <v>9</v>
      </c>
      <c r="AI2046">
        <f>VLOOKUP(A:A,[1]android_repos_all_metrics!B:K,10,FALSE)</f>
        <v>0</v>
      </c>
    </row>
    <row r="2047" spans="1:35">
      <c r="A2047" t="s">
        <v>2117</v>
      </c>
      <c r="B2047" t="b">
        <v>1</v>
      </c>
      <c r="C2047" t="b">
        <v>0</v>
      </c>
      <c r="D2047" t="b">
        <v>0</v>
      </c>
      <c r="F2047" t="b">
        <v>0</v>
      </c>
      <c r="H2047" t="s">
        <v>37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>
        <v>1</v>
      </c>
      <c r="AB2047">
        <v>0</v>
      </c>
      <c r="AC2047">
        <f>VLOOKUP(A:A,[1]android_repos_all_metrics!B:K,4,FALSE)</f>
        <v>40</v>
      </c>
      <c r="AD2047">
        <f>VLOOKUP(A:A,[1]android_repos_all_metrics!B:K,5,FALSE)</f>
        <v>9</v>
      </c>
      <c r="AE2047">
        <f>VLOOKUP(A:A,[1]android_repos_all_metrics!B:K,6,FALSE)</f>
        <v>4</v>
      </c>
      <c r="AF2047">
        <f>VLOOKUP(A:A,[1]android_repos_all_metrics!B:K,7,FALSE)</f>
        <v>703</v>
      </c>
      <c r="AG2047">
        <f>VLOOKUP(A:A,[1]android_repos_all_metrics!B:K,8,FALSE)</f>
        <v>25</v>
      </c>
      <c r="AH2047">
        <f>VLOOKUP(A:A,[1]android_repos_all_metrics!B:K,9,FALSE)</f>
        <v>121</v>
      </c>
      <c r="AI2047">
        <f>VLOOKUP(A:A,[1]android_repos_all_metrics!B:K,10,FALSE)</f>
        <v>2</v>
      </c>
    </row>
    <row r="2048" spans="1:35">
      <c r="A2048" t="s">
        <v>2118</v>
      </c>
      <c r="B2048" t="b">
        <v>1</v>
      </c>
      <c r="C2048" t="b">
        <v>0</v>
      </c>
      <c r="D2048" t="b">
        <v>0</v>
      </c>
      <c r="F2048" t="b">
        <v>0</v>
      </c>
      <c r="H2048" t="s">
        <v>37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>
        <v>1</v>
      </c>
      <c r="AB2048">
        <v>0</v>
      </c>
      <c r="AC2048">
        <f>VLOOKUP(A:A,[1]android_repos_all_metrics!B:K,4,FALSE)</f>
        <v>7279</v>
      </c>
      <c r="AD2048">
        <f>VLOOKUP(A:A,[1]android_repos_all_metrics!B:K,5,FALSE)</f>
        <v>8</v>
      </c>
      <c r="AE2048">
        <f>VLOOKUP(A:A,[1]android_repos_all_metrics!B:K,6,FALSE)</f>
        <v>145</v>
      </c>
      <c r="AF2048">
        <f>VLOOKUP(A:A,[1]android_repos_all_metrics!B:K,7,FALSE)</f>
        <v>35352</v>
      </c>
      <c r="AG2048">
        <f>VLOOKUP(A:A,[1]android_repos_all_metrics!B:K,8,FALSE)</f>
        <v>13</v>
      </c>
      <c r="AH2048">
        <f>VLOOKUP(A:A,[1]android_repos_all_metrics!B:K,9,FALSE)</f>
        <v>76</v>
      </c>
      <c r="AI2048">
        <f>VLOOKUP(A:A,[1]android_repos_all_metrics!B:K,10,FALSE)</f>
        <v>35</v>
      </c>
    </row>
    <row r="2049" spans="1:35">
      <c r="A2049" t="s">
        <v>2119</v>
      </c>
      <c r="B2049" t="b">
        <v>1</v>
      </c>
      <c r="C2049" t="b">
        <v>1</v>
      </c>
      <c r="D2049" t="b">
        <v>0</v>
      </c>
      <c r="F2049" t="b">
        <v>1</v>
      </c>
      <c r="G2049" t="s">
        <v>129</v>
      </c>
      <c r="H2049" t="s">
        <v>76</v>
      </c>
      <c r="I2049" t="s">
        <v>76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>
        <v>1</v>
      </c>
      <c r="AB2049">
        <v>0</v>
      </c>
      <c r="AC2049">
        <f>VLOOKUP(A:A,[1]android_repos_all_metrics!B:K,4,FALSE)</f>
        <v>25</v>
      </c>
      <c r="AD2049">
        <f>VLOOKUP(A:A,[1]android_repos_all_metrics!B:K,5,FALSE)</f>
        <v>1</v>
      </c>
      <c r="AE2049">
        <f>VLOOKUP(A:A,[1]android_repos_all_metrics!B:K,6,FALSE)</f>
        <v>2</v>
      </c>
      <c r="AF2049">
        <f>VLOOKUP(A:A,[1]android_repos_all_metrics!B:K,7,FALSE)</f>
        <v>4359</v>
      </c>
      <c r="AG2049">
        <f>VLOOKUP(A:A,[1]android_repos_all_metrics!B:K,8,FALSE)</f>
        <v>1</v>
      </c>
      <c r="AH2049">
        <f>VLOOKUP(A:A,[1]android_repos_all_metrics!B:K,9,FALSE)</f>
        <v>3</v>
      </c>
      <c r="AI2049">
        <f>VLOOKUP(A:A,[1]android_repos_all_metrics!B:K,10,FALSE)</f>
        <v>1</v>
      </c>
    </row>
    <row r="2050" spans="1:35">
      <c r="A2050" t="s">
        <v>2120</v>
      </c>
      <c r="B2050" t="b">
        <v>1</v>
      </c>
      <c r="C2050" t="b">
        <v>0</v>
      </c>
      <c r="D2050" t="b">
        <v>0</v>
      </c>
      <c r="F2050" t="b">
        <v>0</v>
      </c>
      <c r="H2050" t="s">
        <v>41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>
        <v>1</v>
      </c>
      <c r="AB2050">
        <v>0</v>
      </c>
      <c r="AC2050">
        <f>VLOOKUP(A:A,[1]android_repos_all_metrics!B:K,4,FALSE)</f>
        <v>13</v>
      </c>
      <c r="AD2050">
        <f>VLOOKUP(A:A,[1]android_repos_all_metrics!B:K,5,FALSE)</f>
        <v>0</v>
      </c>
      <c r="AE2050">
        <f>VLOOKUP(A:A,[1]android_repos_all_metrics!B:K,6,FALSE)</f>
        <v>1</v>
      </c>
      <c r="AF2050">
        <f>VLOOKUP(A:A,[1]android_repos_all_metrics!B:K,7,FALSE)</f>
        <v>1769</v>
      </c>
      <c r="AG2050">
        <f>VLOOKUP(A:A,[1]android_repos_all_metrics!B:K,8,FALSE)</f>
        <v>6</v>
      </c>
      <c r="AH2050">
        <f>VLOOKUP(A:A,[1]android_repos_all_metrics!B:K,9,FALSE)</f>
        <v>12</v>
      </c>
      <c r="AI2050">
        <f>VLOOKUP(A:A,[1]android_repos_all_metrics!B:K,10,FALSE)</f>
        <v>0</v>
      </c>
    </row>
    <row r="2051" spans="1:35">
      <c r="A2051" t="s">
        <v>2121</v>
      </c>
      <c r="B2051" t="b">
        <v>1</v>
      </c>
      <c r="C2051" t="b">
        <v>0</v>
      </c>
      <c r="D2051" t="b">
        <v>0</v>
      </c>
      <c r="F2051" t="b">
        <v>0</v>
      </c>
      <c r="H2051" t="s">
        <v>37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>
        <v>1</v>
      </c>
      <c r="AB2051">
        <v>0</v>
      </c>
      <c r="AC2051">
        <f>VLOOKUP(A:A,[1]android_repos_all_metrics!B:K,4,FALSE)</f>
        <v>358</v>
      </c>
      <c r="AD2051">
        <f>VLOOKUP(A:A,[1]android_repos_all_metrics!B:K,5,FALSE)</f>
        <v>5</v>
      </c>
      <c r="AE2051">
        <f>VLOOKUP(A:A,[1]android_repos_all_metrics!B:K,6,FALSE)</f>
        <v>7</v>
      </c>
      <c r="AF2051">
        <f>VLOOKUP(A:A,[1]android_repos_all_metrics!B:K,7,FALSE)</f>
        <v>21553</v>
      </c>
      <c r="AG2051">
        <f>VLOOKUP(A:A,[1]android_repos_all_metrics!B:K,8,FALSE)</f>
        <v>8</v>
      </c>
      <c r="AH2051">
        <f>VLOOKUP(A:A,[1]android_repos_all_metrics!B:K,9,FALSE)</f>
        <v>53</v>
      </c>
      <c r="AI2051">
        <f>VLOOKUP(A:A,[1]android_repos_all_metrics!B:K,10,FALSE)</f>
        <v>10</v>
      </c>
    </row>
    <row r="2052" spans="1:35">
      <c r="A2052" t="s">
        <v>2122</v>
      </c>
      <c r="B2052" t="b">
        <v>1</v>
      </c>
      <c r="C2052" t="b">
        <v>0</v>
      </c>
      <c r="D2052" t="b">
        <v>0</v>
      </c>
      <c r="F2052" t="b">
        <v>0</v>
      </c>
      <c r="H2052" t="s">
        <v>37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>
        <v>1</v>
      </c>
      <c r="AB2052">
        <v>0</v>
      </c>
      <c r="AC2052">
        <f>VLOOKUP(A:A,[1]android_repos_all_metrics!B:K,4,FALSE)</f>
        <v>47</v>
      </c>
      <c r="AD2052">
        <f>VLOOKUP(A:A,[1]android_repos_all_metrics!B:K,5,FALSE)</f>
        <v>15</v>
      </c>
      <c r="AE2052">
        <f>VLOOKUP(A:A,[1]android_repos_all_metrics!B:K,6,FALSE)</f>
        <v>4</v>
      </c>
      <c r="AF2052">
        <f>VLOOKUP(A:A,[1]android_repos_all_metrics!B:K,7,FALSE)</f>
        <v>16437</v>
      </c>
      <c r="AG2052">
        <f>VLOOKUP(A:A,[1]android_repos_all_metrics!B:K,8,FALSE)</f>
        <v>6</v>
      </c>
      <c r="AH2052">
        <f>VLOOKUP(A:A,[1]android_repos_all_metrics!B:K,9,FALSE)</f>
        <v>14</v>
      </c>
      <c r="AI2052">
        <f>VLOOKUP(A:A,[1]android_repos_all_metrics!B:K,10,FALSE)</f>
        <v>7</v>
      </c>
    </row>
    <row r="2053" spans="1:35">
      <c r="A2053" t="s">
        <v>2123</v>
      </c>
      <c r="B2053" t="b">
        <v>1</v>
      </c>
      <c r="C2053" t="b">
        <v>0</v>
      </c>
      <c r="D2053" t="b">
        <v>0</v>
      </c>
      <c r="F2053" t="b">
        <v>0</v>
      </c>
      <c r="H2053" t="s">
        <v>37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>
        <v>1</v>
      </c>
      <c r="AB2053">
        <v>0</v>
      </c>
      <c r="AC2053">
        <f>VLOOKUP(A:A,[1]android_repos_all_metrics!B:K,4,FALSE)</f>
        <v>164</v>
      </c>
      <c r="AD2053">
        <f>VLOOKUP(A:A,[1]android_repos_all_metrics!B:K,5,FALSE)</f>
        <v>20</v>
      </c>
      <c r="AE2053">
        <f>VLOOKUP(A:A,[1]android_repos_all_metrics!B:K,6,FALSE)</f>
        <v>3</v>
      </c>
      <c r="AF2053">
        <f>VLOOKUP(A:A,[1]android_repos_all_metrics!B:K,7,FALSE)</f>
        <v>2955</v>
      </c>
      <c r="AG2053">
        <f>VLOOKUP(A:A,[1]android_repos_all_metrics!B:K,8,FALSE)</f>
        <v>0</v>
      </c>
      <c r="AH2053">
        <f>VLOOKUP(A:A,[1]android_repos_all_metrics!B:K,9,FALSE)</f>
        <v>1</v>
      </c>
      <c r="AI2053">
        <f>VLOOKUP(A:A,[1]android_repos_all_metrics!B:K,10,FALSE)</f>
        <v>0</v>
      </c>
    </row>
    <row r="2054" spans="1:35">
      <c r="A2054" t="s">
        <v>2124</v>
      </c>
      <c r="B2054" t="b">
        <v>1</v>
      </c>
      <c r="C2054" t="b">
        <v>0</v>
      </c>
      <c r="D2054" t="b">
        <v>0</v>
      </c>
      <c r="F2054" t="b">
        <v>0</v>
      </c>
      <c r="H2054" t="s">
        <v>37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>
        <v>1</v>
      </c>
      <c r="AB2054">
        <v>0</v>
      </c>
      <c r="AC2054">
        <f>VLOOKUP(A:A,[1]android_repos_all_metrics!B:K,4,FALSE)</f>
        <v>288</v>
      </c>
      <c r="AD2054">
        <f>VLOOKUP(A:A,[1]android_repos_all_metrics!B:K,5,FALSE)</f>
        <v>53</v>
      </c>
      <c r="AE2054">
        <f>VLOOKUP(A:A,[1]android_repos_all_metrics!B:K,6,FALSE)</f>
        <v>9</v>
      </c>
      <c r="AF2054">
        <f>VLOOKUP(A:A,[1]android_repos_all_metrics!B:K,7,FALSE)</f>
        <v>4899</v>
      </c>
      <c r="AG2054">
        <f>VLOOKUP(A:A,[1]android_repos_all_metrics!B:K,8,FALSE)</f>
        <v>3</v>
      </c>
      <c r="AH2054">
        <f>VLOOKUP(A:A,[1]android_repos_all_metrics!B:K,9,FALSE)</f>
        <v>39</v>
      </c>
      <c r="AI2054">
        <f>VLOOKUP(A:A,[1]android_repos_all_metrics!B:K,10,FALSE)</f>
        <v>10</v>
      </c>
    </row>
    <row r="2055" spans="1:35">
      <c r="A2055" t="s">
        <v>2125</v>
      </c>
      <c r="B2055" t="b">
        <v>1</v>
      </c>
      <c r="C2055" t="b">
        <v>0</v>
      </c>
      <c r="D2055" t="b">
        <v>0</v>
      </c>
      <c r="F2055" t="b">
        <v>0</v>
      </c>
      <c r="H2055" t="s">
        <v>37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>
        <v>1</v>
      </c>
      <c r="AB2055">
        <v>0</v>
      </c>
      <c r="AC2055">
        <f>VLOOKUP(A:A,[1]android_repos_all_metrics!B:K,4,FALSE)</f>
        <v>59</v>
      </c>
      <c r="AD2055">
        <f>VLOOKUP(A:A,[1]android_repos_all_metrics!B:K,5,FALSE)</f>
        <v>28</v>
      </c>
      <c r="AE2055">
        <f>VLOOKUP(A:A,[1]android_repos_all_metrics!B:K,6,FALSE)</f>
        <v>4</v>
      </c>
      <c r="AF2055">
        <f>VLOOKUP(A:A,[1]android_repos_all_metrics!B:K,7,FALSE)</f>
        <v>471</v>
      </c>
      <c r="AG2055">
        <f>VLOOKUP(A:A,[1]android_repos_all_metrics!B:K,8,FALSE)</f>
        <v>12</v>
      </c>
      <c r="AH2055">
        <f>VLOOKUP(A:A,[1]android_repos_all_metrics!B:K,9,FALSE)</f>
        <v>81</v>
      </c>
      <c r="AI2055">
        <f>VLOOKUP(A:A,[1]android_repos_all_metrics!B:K,10,FALSE)</f>
        <v>10</v>
      </c>
    </row>
    <row r="2056" spans="1:35">
      <c r="A2056" t="s">
        <v>2126</v>
      </c>
      <c r="B2056" t="b">
        <v>1</v>
      </c>
      <c r="C2056" t="b">
        <v>0</v>
      </c>
      <c r="D2056" t="b">
        <v>0</v>
      </c>
      <c r="F2056" t="b">
        <v>0</v>
      </c>
      <c r="H2056" t="s">
        <v>37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>
        <v>1</v>
      </c>
      <c r="AB2056">
        <v>0</v>
      </c>
      <c r="AC2056">
        <f>VLOOKUP(A:A,[1]android_repos_all_metrics!B:K,4,FALSE)</f>
        <v>95</v>
      </c>
      <c r="AD2056">
        <f>VLOOKUP(A:A,[1]android_repos_all_metrics!B:K,5,FALSE)</f>
        <v>31</v>
      </c>
      <c r="AE2056">
        <f>VLOOKUP(A:A,[1]android_repos_all_metrics!B:K,6,FALSE)</f>
        <v>3</v>
      </c>
      <c r="AF2056">
        <f>VLOOKUP(A:A,[1]android_repos_all_metrics!B:K,7,FALSE)</f>
        <v>4793</v>
      </c>
      <c r="AG2056">
        <f>VLOOKUP(A:A,[1]android_repos_all_metrics!B:K,8,FALSE)</f>
        <v>1</v>
      </c>
      <c r="AH2056">
        <f>VLOOKUP(A:A,[1]android_repos_all_metrics!B:K,9,FALSE)</f>
        <v>10</v>
      </c>
      <c r="AI2056">
        <f>VLOOKUP(A:A,[1]android_repos_all_metrics!B:K,10,FALSE)</f>
        <v>11</v>
      </c>
    </row>
    <row r="2057" spans="1:35">
      <c r="A2057" t="s">
        <v>2127</v>
      </c>
      <c r="B2057" t="b">
        <v>1</v>
      </c>
      <c r="C2057" t="b">
        <v>0</v>
      </c>
      <c r="D2057" t="b">
        <v>0</v>
      </c>
      <c r="F2057" t="b">
        <v>0</v>
      </c>
      <c r="H2057" t="s">
        <v>37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>
        <v>2</v>
      </c>
      <c r="AB2057">
        <v>0</v>
      </c>
      <c r="AC2057">
        <f>VLOOKUP(A:A,[1]android_repos_all_metrics!B:K,4,FALSE)</f>
        <v>47</v>
      </c>
      <c r="AD2057">
        <f>VLOOKUP(A:A,[1]android_repos_all_metrics!B:K,5,FALSE)</f>
        <v>1</v>
      </c>
      <c r="AE2057">
        <f>VLOOKUP(A:A,[1]android_repos_all_metrics!B:K,6,FALSE)</f>
        <v>1</v>
      </c>
      <c r="AF2057">
        <f>VLOOKUP(A:A,[1]android_repos_all_metrics!B:K,7,FALSE)</f>
        <v>43289</v>
      </c>
      <c r="AG2057">
        <f>VLOOKUP(A:A,[1]android_repos_all_metrics!B:K,8,FALSE)</f>
        <v>5</v>
      </c>
      <c r="AH2057">
        <f>VLOOKUP(A:A,[1]android_repos_all_metrics!B:K,9,FALSE)</f>
        <v>22</v>
      </c>
      <c r="AI2057">
        <f>VLOOKUP(A:A,[1]android_repos_all_metrics!B:K,10,FALSE)</f>
        <v>0</v>
      </c>
    </row>
    <row r="2058" spans="1:35">
      <c r="A2058" t="s">
        <v>2128</v>
      </c>
      <c r="B2058" t="b">
        <v>1</v>
      </c>
      <c r="C2058" t="b">
        <v>0</v>
      </c>
      <c r="D2058" t="b">
        <v>0</v>
      </c>
      <c r="F2058" t="b">
        <v>0</v>
      </c>
      <c r="H2058" t="s">
        <v>37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>
        <v>3</v>
      </c>
      <c r="AB2058">
        <v>0</v>
      </c>
      <c r="AC2058">
        <f>VLOOKUP(A:A,[1]android_repos_all_metrics!B:K,4,FALSE)</f>
        <v>532</v>
      </c>
      <c r="AD2058">
        <f>VLOOKUP(A:A,[1]android_repos_all_metrics!B:K,5,FALSE)</f>
        <v>18</v>
      </c>
      <c r="AE2058">
        <f>VLOOKUP(A:A,[1]android_repos_all_metrics!B:K,6,FALSE)</f>
        <v>5</v>
      </c>
      <c r="AF2058">
        <f>VLOOKUP(A:A,[1]android_repos_all_metrics!B:K,7,FALSE)</f>
        <v>4299</v>
      </c>
      <c r="AG2058">
        <f>VLOOKUP(A:A,[1]android_repos_all_metrics!B:K,8,FALSE)</f>
        <v>10</v>
      </c>
      <c r="AH2058">
        <f>VLOOKUP(A:A,[1]android_repos_all_metrics!B:K,9,FALSE)</f>
        <v>90</v>
      </c>
      <c r="AI2058">
        <f>VLOOKUP(A:A,[1]android_repos_all_metrics!B:K,10,FALSE)</f>
        <v>5</v>
      </c>
    </row>
    <row r="2059" spans="1:35">
      <c r="A2059" t="s">
        <v>2129</v>
      </c>
      <c r="B2059" t="b">
        <v>1</v>
      </c>
      <c r="C2059" t="b">
        <v>0</v>
      </c>
      <c r="D2059" t="b">
        <v>0</v>
      </c>
      <c r="F2059" t="b">
        <v>0</v>
      </c>
      <c r="H2059" t="s">
        <v>37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>
        <v>1</v>
      </c>
      <c r="AB2059">
        <v>0</v>
      </c>
      <c r="AC2059">
        <f>VLOOKUP(A:A,[1]android_repos_all_metrics!B:K,4,FALSE)</f>
        <v>42</v>
      </c>
      <c r="AD2059">
        <f>VLOOKUP(A:A,[1]android_repos_all_metrics!B:K,5,FALSE)</f>
        <v>0</v>
      </c>
      <c r="AE2059">
        <f>VLOOKUP(A:A,[1]android_repos_all_metrics!B:K,6,FALSE)</f>
        <v>1</v>
      </c>
      <c r="AF2059">
        <f>VLOOKUP(A:A,[1]android_repos_all_metrics!B:K,7,FALSE)</f>
        <v>8531</v>
      </c>
      <c r="AG2059">
        <f>VLOOKUP(A:A,[1]android_repos_all_metrics!B:K,8,FALSE)</f>
        <v>4</v>
      </c>
      <c r="AH2059">
        <f>VLOOKUP(A:A,[1]android_repos_all_metrics!B:K,9,FALSE)</f>
        <v>9</v>
      </c>
      <c r="AI2059">
        <f>VLOOKUP(A:A,[1]android_repos_all_metrics!B:K,10,FALSE)</f>
        <v>0</v>
      </c>
    </row>
    <row r="2060" spans="1:35">
      <c r="A2060" t="s">
        <v>2130</v>
      </c>
      <c r="B2060" t="b">
        <v>1</v>
      </c>
      <c r="C2060" t="b">
        <v>0</v>
      </c>
      <c r="D2060" t="b">
        <v>0</v>
      </c>
      <c r="F2060" t="b">
        <v>0</v>
      </c>
      <c r="H2060" t="s">
        <v>37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>
        <v>2</v>
      </c>
      <c r="AB2060">
        <v>0</v>
      </c>
      <c r="AC2060">
        <f>VLOOKUP(A:A,[1]android_repos_all_metrics!B:K,4,FALSE)</f>
        <v>422</v>
      </c>
      <c r="AD2060">
        <f>VLOOKUP(A:A,[1]android_repos_all_metrics!B:K,5,FALSE)</f>
        <v>67</v>
      </c>
      <c r="AE2060">
        <f>VLOOKUP(A:A,[1]android_repos_all_metrics!B:K,6,FALSE)</f>
        <v>5</v>
      </c>
      <c r="AF2060">
        <f>VLOOKUP(A:A,[1]android_repos_all_metrics!B:K,7,FALSE)</f>
        <v>45485</v>
      </c>
      <c r="AG2060">
        <f>VLOOKUP(A:A,[1]android_repos_all_metrics!B:K,8,FALSE)</f>
        <v>0</v>
      </c>
      <c r="AH2060">
        <f>VLOOKUP(A:A,[1]android_repos_all_metrics!B:K,9,FALSE)</f>
        <v>9</v>
      </c>
      <c r="AI2060">
        <f>VLOOKUP(A:A,[1]android_repos_all_metrics!B:K,10,FALSE)</f>
        <v>0</v>
      </c>
    </row>
    <row r="2061" spans="1:35">
      <c r="A2061" t="s">
        <v>2131</v>
      </c>
      <c r="B2061" t="b">
        <v>1</v>
      </c>
      <c r="C2061" t="b">
        <v>0</v>
      </c>
      <c r="D2061" t="b">
        <v>0</v>
      </c>
      <c r="F2061" t="b">
        <v>0</v>
      </c>
      <c r="H2061" t="s">
        <v>37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>
        <v>2</v>
      </c>
      <c r="AB2061">
        <v>0</v>
      </c>
      <c r="AC2061">
        <f>VLOOKUP(A:A,[1]android_repos_all_metrics!B:K,4,FALSE)</f>
        <v>1158</v>
      </c>
      <c r="AD2061">
        <f>VLOOKUP(A:A,[1]android_repos_all_metrics!B:K,5,FALSE)</f>
        <v>572</v>
      </c>
      <c r="AE2061">
        <f>VLOOKUP(A:A,[1]android_repos_all_metrics!B:K,6,FALSE)</f>
        <v>4</v>
      </c>
      <c r="AF2061">
        <f>VLOOKUP(A:A,[1]android_repos_all_metrics!B:K,7,FALSE)</f>
        <v>2290</v>
      </c>
      <c r="AG2061">
        <f>VLOOKUP(A:A,[1]android_repos_all_metrics!B:K,8,FALSE)</f>
        <v>2</v>
      </c>
      <c r="AH2061">
        <f>VLOOKUP(A:A,[1]android_repos_all_metrics!B:K,9,FALSE)</f>
        <v>11</v>
      </c>
      <c r="AI2061">
        <f>VLOOKUP(A:A,[1]android_repos_all_metrics!B:K,10,FALSE)</f>
        <v>15</v>
      </c>
    </row>
    <row r="2062" spans="1:35">
      <c r="A2062" t="s">
        <v>2132</v>
      </c>
      <c r="B2062" t="b">
        <v>1</v>
      </c>
      <c r="C2062" t="b">
        <v>0</v>
      </c>
      <c r="D2062" t="b">
        <v>0</v>
      </c>
      <c r="F2062" t="b">
        <v>0</v>
      </c>
      <c r="H2062" t="s">
        <v>37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>
        <v>1</v>
      </c>
      <c r="AB2062">
        <v>0</v>
      </c>
      <c r="AC2062">
        <f>VLOOKUP(A:A,[1]android_repos_all_metrics!B:K,4,FALSE)</f>
        <v>791</v>
      </c>
      <c r="AD2062">
        <f>VLOOKUP(A:A,[1]android_repos_all_metrics!B:K,5,FALSE)</f>
        <v>1</v>
      </c>
      <c r="AE2062">
        <f>VLOOKUP(A:A,[1]android_repos_all_metrics!B:K,6,FALSE)</f>
        <v>1</v>
      </c>
      <c r="AF2062">
        <f>VLOOKUP(A:A,[1]android_repos_all_metrics!B:K,7,FALSE)</f>
        <v>3400</v>
      </c>
      <c r="AG2062">
        <f>VLOOKUP(A:A,[1]android_repos_all_metrics!B:K,8,FALSE)</f>
        <v>0</v>
      </c>
      <c r="AH2062">
        <f>VLOOKUP(A:A,[1]android_repos_all_metrics!B:K,9,FALSE)</f>
        <v>3</v>
      </c>
      <c r="AI2062">
        <f>VLOOKUP(A:A,[1]android_repos_all_metrics!B:K,10,FALSE)</f>
        <v>0</v>
      </c>
    </row>
    <row r="2063" spans="1:35">
      <c r="A2063" t="s">
        <v>2133</v>
      </c>
      <c r="B2063" t="b">
        <v>1</v>
      </c>
      <c r="C2063" t="b">
        <v>0</v>
      </c>
      <c r="D2063" t="b">
        <v>0</v>
      </c>
      <c r="F2063" t="b">
        <v>0</v>
      </c>
      <c r="H2063" t="s">
        <v>37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>
        <v>4</v>
      </c>
      <c r="AB2063">
        <v>0</v>
      </c>
      <c r="AC2063">
        <f>VLOOKUP(A:A,[1]android_repos_all_metrics!B:K,4,FALSE)</f>
        <v>143</v>
      </c>
      <c r="AD2063">
        <f>VLOOKUP(A:A,[1]android_repos_all_metrics!B:K,5,FALSE)</f>
        <v>118</v>
      </c>
      <c r="AE2063">
        <f>VLOOKUP(A:A,[1]android_repos_all_metrics!B:K,6,FALSE)</f>
        <v>7</v>
      </c>
      <c r="AF2063">
        <f>VLOOKUP(A:A,[1]android_repos_all_metrics!B:K,7,FALSE)</f>
        <v>86797</v>
      </c>
      <c r="AG2063">
        <f>VLOOKUP(A:A,[1]android_repos_all_metrics!B:K,8,FALSE)</f>
        <v>0</v>
      </c>
      <c r="AH2063">
        <f>VLOOKUP(A:A,[1]android_repos_all_metrics!B:K,9,FALSE)</f>
        <v>3</v>
      </c>
      <c r="AI2063">
        <f>VLOOKUP(A:A,[1]android_repos_all_metrics!B:K,10,FALSE)</f>
        <v>42</v>
      </c>
    </row>
    <row r="2064" spans="1:35">
      <c r="A2064" t="s">
        <v>2134</v>
      </c>
      <c r="B2064" t="b">
        <v>1</v>
      </c>
      <c r="C2064" t="b">
        <v>0</v>
      </c>
      <c r="D2064" t="b">
        <v>0</v>
      </c>
      <c r="F2064" t="b">
        <v>0</v>
      </c>
      <c r="H2064" t="s">
        <v>37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>
        <v>1</v>
      </c>
      <c r="AB2064">
        <v>0</v>
      </c>
      <c r="AC2064">
        <f>VLOOKUP(A:A,[1]android_repos_all_metrics!B:K,4,FALSE)</f>
        <v>63</v>
      </c>
      <c r="AD2064">
        <f>VLOOKUP(A:A,[1]android_repos_all_metrics!B:K,5,FALSE)</f>
        <v>0</v>
      </c>
      <c r="AE2064">
        <f>VLOOKUP(A:A,[1]android_repos_all_metrics!B:K,6,FALSE)</f>
        <v>1</v>
      </c>
      <c r="AF2064">
        <f>VLOOKUP(A:A,[1]android_repos_all_metrics!B:K,7,FALSE)</f>
        <v>231</v>
      </c>
      <c r="AG2064">
        <f>VLOOKUP(A:A,[1]android_repos_all_metrics!B:K,8,FALSE)</f>
        <v>0</v>
      </c>
      <c r="AH2064">
        <f>VLOOKUP(A:A,[1]android_repos_all_metrics!B:K,9,FALSE)</f>
        <v>7</v>
      </c>
      <c r="AI2064">
        <f>VLOOKUP(A:A,[1]android_repos_all_metrics!B:K,10,FALSE)</f>
        <v>15</v>
      </c>
    </row>
    <row r="2065" spans="1:35">
      <c r="A2065" t="s">
        <v>2135</v>
      </c>
      <c r="B2065" t="b">
        <v>1</v>
      </c>
      <c r="C2065" t="b">
        <v>0</v>
      </c>
      <c r="D2065" t="b">
        <v>0</v>
      </c>
      <c r="F2065" t="b">
        <v>0</v>
      </c>
      <c r="H2065" t="s">
        <v>86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>
        <v>2</v>
      </c>
      <c r="AB2065">
        <v>0</v>
      </c>
      <c r="AC2065">
        <f>VLOOKUP(A:A,[1]android_repos_all_metrics!B:K,4,FALSE)</f>
        <v>419</v>
      </c>
      <c r="AD2065">
        <f>VLOOKUP(A:A,[1]android_repos_all_metrics!B:K,5,FALSE)</f>
        <v>76</v>
      </c>
      <c r="AE2065">
        <f>VLOOKUP(A:A,[1]android_repos_all_metrics!B:K,6,FALSE)</f>
        <v>4</v>
      </c>
      <c r="AF2065">
        <f>VLOOKUP(A:A,[1]android_repos_all_metrics!B:K,7,FALSE)</f>
        <v>31739</v>
      </c>
      <c r="AG2065">
        <f>VLOOKUP(A:A,[1]android_repos_all_metrics!B:K,8,FALSE)</f>
        <v>4</v>
      </c>
      <c r="AH2065">
        <f>VLOOKUP(A:A,[1]android_repos_all_metrics!B:K,9,FALSE)</f>
        <v>2</v>
      </c>
      <c r="AI2065">
        <f>VLOOKUP(A:A,[1]android_repos_all_metrics!B:K,10,FALSE)</f>
        <v>12</v>
      </c>
    </row>
    <row r="2066" spans="1:35">
      <c r="A2066" t="s">
        <v>2136</v>
      </c>
      <c r="B2066" t="b">
        <v>1</v>
      </c>
      <c r="C2066" t="b">
        <v>0</v>
      </c>
      <c r="D2066" t="b">
        <v>0</v>
      </c>
      <c r="F2066" t="b">
        <v>0</v>
      </c>
      <c r="H2066" t="s">
        <v>37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>
        <v>2</v>
      </c>
      <c r="AB2066">
        <v>0</v>
      </c>
      <c r="AC2066">
        <f>VLOOKUP(A:A,[1]android_repos_all_metrics!B:K,4,FALSE)</f>
        <v>448</v>
      </c>
      <c r="AD2066">
        <f>VLOOKUP(A:A,[1]android_repos_all_metrics!B:K,5,FALSE)</f>
        <v>28</v>
      </c>
      <c r="AE2066">
        <f>VLOOKUP(A:A,[1]android_repos_all_metrics!B:K,6,FALSE)</f>
        <v>7</v>
      </c>
      <c r="AF2066">
        <f>VLOOKUP(A:A,[1]android_repos_all_metrics!B:K,7,FALSE)</f>
        <v>233133</v>
      </c>
      <c r="AG2066">
        <f>VLOOKUP(A:A,[1]android_repos_all_metrics!B:K,8,FALSE)</f>
        <v>4</v>
      </c>
      <c r="AH2066">
        <f>VLOOKUP(A:A,[1]android_repos_all_metrics!B:K,9,FALSE)</f>
        <v>2</v>
      </c>
      <c r="AI2066">
        <f>VLOOKUP(A:A,[1]android_repos_all_metrics!B:K,10,FALSE)</f>
        <v>0</v>
      </c>
    </row>
    <row r="2067" spans="1:35">
      <c r="A2067" t="s">
        <v>2137</v>
      </c>
      <c r="B2067" t="b">
        <v>1</v>
      </c>
      <c r="C2067" t="b">
        <v>0</v>
      </c>
      <c r="D2067" t="b">
        <v>0</v>
      </c>
      <c r="F2067" t="b">
        <v>0</v>
      </c>
      <c r="H2067" t="s">
        <v>37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>
        <v>1</v>
      </c>
      <c r="AB2067">
        <v>0</v>
      </c>
      <c r="AC2067">
        <f>VLOOKUP(A:A,[1]android_repos_all_metrics!B:K,4,FALSE)</f>
        <v>304</v>
      </c>
      <c r="AD2067">
        <f>VLOOKUP(A:A,[1]android_repos_all_metrics!B:K,5,FALSE)</f>
        <v>43</v>
      </c>
      <c r="AE2067">
        <f>VLOOKUP(A:A,[1]android_repos_all_metrics!B:K,6,FALSE)</f>
        <v>5</v>
      </c>
      <c r="AF2067">
        <f>VLOOKUP(A:A,[1]android_repos_all_metrics!B:K,7,FALSE)</f>
        <v>11491</v>
      </c>
      <c r="AG2067">
        <f>VLOOKUP(A:A,[1]android_repos_all_metrics!B:K,8,FALSE)</f>
        <v>1</v>
      </c>
      <c r="AH2067">
        <f>VLOOKUP(A:A,[1]android_repos_all_metrics!B:K,9,FALSE)</f>
        <v>5</v>
      </c>
      <c r="AI2067">
        <f>VLOOKUP(A:A,[1]android_repos_all_metrics!B:K,10,FALSE)</f>
        <v>6</v>
      </c>
    </row>
    <row r="2068" spans="1:35">
      <c r="A2068" t="s">
        <v>2138</v>
      </c>
      <c r="B2068" t="b">
        <v>1</v>
      </c>
      <c r="C2068" t="b">
        <v>0</v>
      </c>
      <c r="D2068" t="b">
        <v>0</v>
      </c>
      <c r="F2068" t="b">
        <v>0</v>
      </c>
      <c r="H2068" t="s">
        <v>41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>
        <v>1</v>
      </c>
      <c r="AB2068">
        <v>0</v>
      </c>
      <c r="AC2068">
        <f>VLOOKUP(A:A,[1]android_repos_all_metrics!B:K,4,FALSE)</f>
        <v>93</v>
      </c>
      <c r="AD2068">
        <f>VLOOKUP(A:A,[1]android_repos_all_metrics!B:K,5,FALSE)</f>
        <v>0</v>
      </c>
      <c r="AE2068">
        <f>VLOOKUP(A:A,[1]android_repos_all_metrics!B:K,6,FALSE)</f>
        <v>1</v>
      </c>
      <c r="AF2068">
        <f>VLOOKUP(A:A,[1]android_repos_all_metrics!B:K,7,FALSE)</f>
        <v>311</v>
      </c>
      <c r="AG2068">
        <f>VLOOKUP(A:A,[1]android_repos_all_metrics!B:K,8,FALSE)</f>
        <v>8</v>
      </c>
      <c r="AH2068">
        <f>VLOOKUP(A:A,[1]android_repos_all_metrics!B:K,9,FALSE)</f>
        <v>22</v>
      </c>
      <c r="AI2068">
        <f>VLOOKUP(A:A,[1]android_repos_all_metrics!B:K,10,FALSE)</f>
        <v>12</v>
      </c>
    </row>
    <row r="2069" spans="1:35">
      <c r="A2069" t="s">
        <v>2139</v>
      </c>
      <c r="B2069" t="b">
        <v>1</v>
      </c>
      <c r="C2069" t="b">
        <v>0</v>
      </c>
      <c r="D2069" t="b">
        <v>0</v>
      </c>
      <c r="F2069" t="b">
        <v>0</v>
      </c>
      <c r="H2069" t="s">
        <v>37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>
        <v>1</v>
      </c>
      <c r="AB2069">
        <v>0</v>
      </c>
      <c r="AC2069">
        <f>VLOOKUP(A:A,[1]android_repos_all_metrics!B:K,4,FALSE)</f>
        <v>225</v>
      </c>
      <c r="AD2069">
        <f>VLOOKUP(A:A,[1]android_repos_all_metrics!B:K,5,FALSE)</f>
        <v>27</v>
      </c>
      <c r="AE2069">
        <f>VLOOKUP(A:A,[1]android_repos_all_metrics!B:K,6,FALSE)</f>
        <v>2</v>
      </c>
      <c r="AF2069">
        <f>VLOOKUP(A:A,[1]android_repos_all_metrics!B:K,7,FALSE)</f>
        <v>11109</v>
      </c>
      <c r="AG2069">
        <f>VLOOKUP(A:A,[1]android_repos_all_metrics!B:K,8,FALSE)</f>
        <v>14</v>
      </c>
      <c r="AH2069">
        <f>VLOOKUP(A:A,[1]android_repos_all_metrics!B:K,9,FALSE)</f>
        <v>52</v>
      </c>
      <c r="AI2069">
        <f>VLOOKUP(A:A,[1]android_repos_all_metrics!B:K,10,FALSE)</f>
        <v>0</v>
      </c>
    </row>
    <row r="2070" spans="1:35">
      <c r="A2070" t="s">
        <v>2140</v>
      </c>
      <c r="B2070" t="b">
        <v>1</v>
      </c>
      <c r="C2070" t="b">
        <v>0</v>
      </c>
      <c r="D2070" t="b">
        <v>0</v>
      </c>
      <c r="F2070" t="b">
        <v>0</v>
      </c>
      <c r="H2070" t="s">
        <v>86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>
        <v>2</v>
      </c>
      <c r="AB2070">
        <v>0</v>
      </c>
      <c r="AC2070">
        <f>VLOOKUP(A:A,[1]android_repos_all_metrics!B:K,4,FALSE)</f>
        <v>145</v>
      </c>
      <c r="AD2070">
        <f>VLOOKUP(A:A,[1]android_repos_all_metrics!B:K,5,FALSE)</f>
        <v>70</v>
      </c>
      <c r="AE2070">
        <f>VLOOKUP(A:A,[1]android_repos_all_metrics!B:K,6,FALSE)</f>
        <v>5</v>
      </c>
      <c r="AF2070">
        <f>VLOOKUP(A:A,[1]android_repos_all_metrics!B:K,7,FALSE)</f>
        <v>759</v>
      </c>
      <c r="AG2070">
        <f>VLOOKUP(A:A,[1]android_repos_all_metrics!B:K,8,FALSE)</f>
        <v>1</v>
      </c>
      <c r="AH2070">
        <f>VLOOKUP(A:A,[1]android_repos_all_metrics!B:K,9,FALSE)</f>
        <v>12</v>
      </c>
      <c r="AI2070">
        <f>VLOOKUP(A:A,[1]android_repos_all_metrics!B:K,10,FALSE)</f>
        <v>2</v>
      </c>
    </row>
    <row r="2071" spans="1:35">
      <c r="A2071" t="s">
        <v>2141</v>
      </c>
      <c r="B2071" t="b">
        <v>0</v>
      </c>
      <c r="C2071" t="b">
        <v>0</v>
      </c>
      <c r="D2071" t="b">
        <v>0</v>
      </c>
      <c r="F2071" t="b">
        <v>0</v>
      </c>
      <c r="H2071" t="s">
        <v>41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>
        <v>1</v>
      </c>
      <c r="AB2071">
        <v>0</v>
      </c>
      <c r="AC2071">
        <f>VLOOKUP(A:A,[1]android_repos_all_metrics!B:K,4,FALSE)</f>
        <v>58</v>
      </c>
      <c r="AD2071">
        <f>VLOOKUP(A:A,[1]android_repos_all_metrics!B:K,5,FALSE)</f>
        <v>25</v>
      </c>
      <c r="AE2071">
        <f>VLOOKUP(A:A,[1]android_repos_all_metrics!B:K,6,FALSE)</f>
        <v>6</v>
      </c>
      <c r="AF2071">
        <f>VLOOKUP(A:A,[1]android_repos_all_metrics!B:K,7,FALSE)</f>
        <v>814</v>
      </c>
      <c r="AG2071">
        <f>VLOOKUP(A:A,[1]android_repos_all_metrics!B:K,8,FALSE)</f>
        <v>5</v>
      </c>
      <c r="AH2071">
        <f>VLOOKUP(A:A,[1]android_repos_all_metrics!B:K,9,FALSE)</f>
        <v>5</v>
      </c>
      <c r="AI2071">
        <f>VLOOKUP(A:A,[1]android_repos_all_metrics!B:K,10,FALSE)</f>
        <v>1</v>
      </c>
    </row>
    <row r="2072" spans="1:35">
      <c r="A2072" t="s">
        <v>2142</v>
      </c>
      <c r="B2072" t="b">
        <v>1</v>
      </c>
      <c r="C2072" t="b">
        <v>0</v>
      </c>
      <c r="D2072" t="b">
        <v>0</v>
      </c>
      <c r="F2072" t="b">
        <v>0</v>
      </c>
      <c r="H2072" t="s">
        <v>37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>
        <v>1</v>
      </c>
      <c r="AB2072">
        <v>0</v>
      </c>
      <c r="AC2072">
        <f>VLOOKUP(A:A,[1]android_repos_all_metrics!B:K,4,FALSE)</f>
        <v>157</v>
      </c>
      <c r="AD2072">
        <f>VLOOKUP(A:A,[1]android_repos_all_metrics!B:K,5,FALSE)</f>
        <v>5</v>
      </c>
      <c r="AE2072">
        <f>VLOOKUP(A:A,[1]android_repos_all_metrics!B:K,6,FALSE)</f>
        <v>3</v>
      </c>
      <c r="AF2072">
        <f>VLOOKUP(A:A,[1]android_repos_all_metrics!B:K,7,FALSE)</f>
        <v>13866</v>
      </c>
      <c r="AG2072">
        <f>VLOOKUP(A:A,[1]android_repos_all_metrics!B:K,8,FALSE)</f>
        <v>2</v>
      </c>
      <c r="AH2072">
        <f>VLOOKUP(A:A,[1]android_repos_all_metrics!B:K,9,FALSE)</f>
        <v>7</v>
      </c>
      <c r="AI2072">
        <f>VLOOKUP(A:A,[1]android_repos_all_metrics!B:K,10,FALSE)</f>
        <v>4</v>
      </c>
    </row>
    <row r="2073" spans="1:35">
      <c r="A2073" t="s">
        <v>2143</v>
      </c>
      <c r="B2073" t="b">
        <v>1</v>
      </c>
      <c r="C2073" t="b">
        <v>0</v>
      </c>
      <c r="D2073" t="b">
        <v>0</v>
      </c>
      <c r="F2073" t="b">
        <v>0</v>
      </c>
      <c r="H2073" t="s">
        <v>41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>
        <v>1</v>
      </c>
      <c r="AB2073">
        <v>0</v>
      </c>
      <c r="AC2073">
        <f>VLOOKUP(A:A,[1]android_repos_all_metrics!B:K,4,FALSE)</f>
        <v>80</v>
      </c>
      <c r="AD2073">
        <f>VLOOKUP(A:A,[1]android_repos_all_metrics!B:K,5,FALSE)</f>
        <v>34</v>
      </c>
      <c r="AE2073">
        <f>VLOOKUP(A:A,[1]android_repos_all_metrics!B:K,6,FALSE)</f>
        <v>3</v>
      </c>
      <c r="AF2073">
        <f>VLOOKUP(A:A,[1]android_repos_all_metrics!B:K,7,FALSE)</f>
        <v>4082</v>
      </c>
      <c r="AG2073">
        <f>VLOOKUP(A:A,[1]android_repos_all_metrics!B:K,8,FALSE)</f>
        <v>0</v>
      </c>
      <c r="AH2073">
        <f>VLOOKUP(A:A,[1]android_repos_all_metrics!B:K,9,FALSE)</f>
        <v>7</v>
      </c>
      <c r="AI2073">
        <f>VLOOKUP(A:A,[1]android_repos_all_metrics!B:K,10,FALSE)</f>
        <v>0</v>
      </c>
    </row>
    <row r="2074" spans="1:35">
      <c r="A2074" t="s">
        <v>2144</v>
      </c>
      <c r="B2074" t="b">
        <v>1</v>
      </c>
      <c r="C2074" t="b">
        <v>0</v>
      </c>
      <c r="D2074" t="b">
        <v>0</v>
      </c>
      <c r="F2074" t="b">
        <v>0</v>
      </c>
      <c r="H2074" t="s">
        <v>37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>
        <v>3</v>
      </c>
      <c r="AB2074">
        <v>0</v>
      </c>
      <c r="AC2074">
        <f>VLOOKUP(A:A,[1]android_repos_all_metrics!B:K,4,FALSE)</f>
        <v>233</v>
      </c>
      <c r="AD2074">
        <f>VLOOKUP(A:A,[1]android_repos_all_metrics!B:K,5,FALSE)</f>
        <v>84</v>
      </c>
      <c r="AE2074">
        <f>VLOOKUP(A:A,[1]android_repos_all_metrics!B:K,6,FALSE)</f>
        <v>1</v>
      </c>
      <c r="AF2074">
        <f>VLOOKUP(A:A,[1]android_repos_all_metrics!B:K,7,FALSE)</f>
        <v>21069</v>
      </c>
      <c r="AG2074">
        <f>VLOOKUP(A:A,[1]android_repos_all_metrics!B:K,8,FALSE)</f>
        <v>0</v>
      </c>
      <c r="AH2074">
        <f>VLOOKUP(A:A,[1]android_repos_all_metrics!B:K,9,FALSE)</f>
        <v>6</v>
      </c>
      <c r="AI2074">
        <f>VLOOKUP(A:A,[1]android_repos_all_metrics!B:K,10,FALSE)</f>
        <v>16</v>
      </c>
    </row>
    <row r="2075" spans="1:35">
      <c r="A2075" t="s">
        <v>2145</v>
      </c>
      <c r="B2075" t="b">
        <v>1</v>
      </c>
      <c r="C2075" t="b">
        <v>0</v>
      </c>
      <c r="D2075" t="b">
        <v>0</v>
      </c>
      <c r="F2075" t="b">
        <v>0</v>
      </c>
      <c r="H2075" t="s">
        <v>37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>
        <v>3</v>
      </c>
      <c r="AB2075">
        <v>0</v>
      </c>
      <c r="AC2075">
        <f>VLOOKUP(A:A,[1]android_repos_all_metrics!B:K,4,FALSE)</f>
        <v>1822</v>
      </c>
      <c r="AD2075">
        <f>VLOOKUP(A:A,[1]android_repos_all_metrics!B:K,5,FALSE)</f>
        <v>163</v>
      </c>
      <c r="AE2075">
        <f>VLOOKUP(A:A,[1]android_repos_all_metrics!B:K,6,FALSE)</f>
        <v>3</v>
      </c>
      <c r="AF2075">
        <f>VLOOKUP(A:A,[1]android_repos_all_metrics!B:K,7,FALSE)</f>
        <v>224545</v>
      </c>
      <c r="AG2075">
        <f>VLOOKUP(A:A,[1]android_repos_all_metrics!B:K,8,FALSE)</f>
        <v>17</v>
      </c>
      <c r="AH2075">
        <f>VLOOKUP(A:A,[1]android_repos_all_metrics!B:K,9,FALSE)</f>
        <v>92</v>
      </c>
      <c r="AI2075">
        <f>VLOOKUP(A:A,[1]android_repos_all_metrics!B:K,10,FALSE)</f>
        <v>1</v>
      </c>
    </row>
    <row r="2076" spans="1:35">
      <c r="A2076" t="s">
        <v>2146</v>
      </c>
      <c r="B2076" t="b">
        <v>1</v>
      </c>
      <c r="C2076" t="b">
        <v>0</v>
      </c>
      <c r="D2076" t="b">
        <v>0</v>
      </c>
      <c r="F2076" t="b">
        <v>0</v>
      </c>
      <c r="H2076" t="s">
        <v>37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>
        <v>2</v>
      </c>
      <c r="AB2076">
        <v>0</v>
      </c>
      <c r="AC2076">
        <f>VLOOKUP(A:A,[1]android_repos_all_metrics!B:K,4,FALSE)</f>
        <v>225</v>
      </c>
      <c r="AD2076">
        <f>VLOOKUP(A:A,[1]android_repos_all_metrics!B:K,5,FALSE)</f>
        <v>26</v>
      </c>
      <c r="AE2076">
        <f>VLOOKUP(A:A,[1]android_repos_all_metrics!B:K,6,FALSE)</f>
        <v>1</v>
      </c>
      <c r="AF2076">
        <f>VLOOKUP(A:A,[1]android_repos_all_metrics!B:K,7,FALSE)</f>
        <v>504</v>
      </c>
      <c r="AG2076">
        <f>VLOOKUP(A:A,[1]android_repos_all_metrics!B:K,8,FALSE)</f>
        <v>0</v>
      </c>
      <c r="AH2076">
        <f>VLOOKUP(A:A,[1]android_repos_all_metrics!B:K,9,FALSE)</f>
        <v>1</v>
      </c>
      <c r="AI2076">
        <f>VLOOKUP(A:A,[1]android_repos_all_metrics!B:K,10,FALSE)</f>
        <v>4</v>
      </c>
    </row>
    <row r="2077" spans="1:35">
      <c r="A2077" t="s">
        <v>2147</v>
      </c>
      <c r="B2077" t="b">
        <v>1</v>
      </c>
      <c r="C2077" t="b">
        <v>0</v>
      </c>
      <c r="D2077" t="b">
        <v>0</v>
      </c>
      <c r="F2077" t="b">
        <v>0</v>
      </c>
      <c r="H2077" t="s">
        <v>41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>
        <v>1</v>
      </c>
      <c r="AB2077">
        <v>0</v>
      </c>
      <c r="AC2077">
        <f>VLOOKUP(A:A,[1]android_repos_all_metrics!B:K,4,FALSE)</f>
        <v>45</v>
      </c>
      <c r="AD2077">
        <f>VLOOKUP(A:A,[1]android_repos_all_metrics!B:K,5,FALSE)</f>
        <v>0</v>
      </c>
      <c r="AE2077">
        <f>VLOOKUP(A:A,[1]android_repos_all_metrics!B:K,6,FALSE)</f>
        <v>1</v>
      </c>
      <c r="AF2077">
        <f>VLOOKUP(A:A,[1]android_repos_all_metrics!B:K,7,FALSE)</f>
        <v>29993</v>
      </c>
      <c r="AG2077">
        <f>VLOOKUP(A:A,[1]android_repos_all_metrics!B:K,8,FALSE)</f>
        <v>0</v>
      </c>
      <c r="AH2077">
        <f>VLOOKUP(A:A,[1]android_repos_all_metrics!B:K,9,FALSE)</f>
        <v>1</v>
      </c>
      <c r="AI2077">
        <f>VLOOKUP(A:A,[1]android_repos_all_metrics!B:K,10,FALSE)</f>
        <v>0</v>
      </c>
    </row>
    <row r="2078" spans="1:35">
      <c r="A2078" t="s">
        <v>2148</v>
      </c>
      <c r="B2078" t="b">
        <v>1</v>
      </c>
      <c r="C2078" t="b">
        <v>0</v>
      </c>
      <c r="D2078" t="b">
        <v>0</v>
      </c>
      <c r="F2078" t="b">
        <v>0</v>
      </c>
      <c r="H2078" t="s">
        <v>41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>
        <v>1</v>
      </c>
      <c r="AB2078">
        <v>0</v>
      </c>
      <c r="AC2078">
        <f>VLOOKUP(A:A,[1]android_repos_all_metrics!B:K,4,FALSE)</f>
        <v>865</v>
      </c>
      <c r="AD2078">
        <f>VLOOKUP(A:A,[1]android_repos_all_metrics!B:K,5,FALSE)</f>
        <v>361</v>
      </c>
      <c r="AE2078">
        <f>VLOOKUP(A:A,[1]android_repos_all_metrics!B:K,6,FALSE)</f>
        <v>4</v>
      </c>
      <c r="AF2078">
        <f>VLOOKUP(A:A,[1]android_repos_all_metrics!B:K,7,FALSE)</f>
        <v>5304</v>
      </c>
      <c r="AG2078">
        <f>VLOOKUP(A:A,[1]android_repos_all_metrics!B:K,8,FALSE)</f>
        <v>2</v>
      </c>
      <c r="AH2078">
        <f>VLOOKUP(A:A,[1]android_repos_all_metrics!B:K,9,FALSE)</f>
        <v>4</v>
      </c>
      <c r="AI2078">
        <f>VLOOKUP(A:A,[1]android_repos_all_metrics!B:K,10,FALSE)</f>
        <v>47</v>
      </c>
    </row>
    <row r="2079" spans="1:35">
      <c r="A2079" t="s">
        <v>2149</v>
      </c>
      <c r="B2079" t="b">
        <v>1</v>
      </c>
      <c r="C2079" t="b">
        <v>0</v>
      </c>
      <c r="D2079" t="b">
        <v>0</v>
      </c>
      <c r="F2079" t="b">
        <v>0</v>
      </c>
      <c r="H2079" t="s">
        <v>37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>
        <v>2</v>
      </c>
      <c r="AB2079">
        <v>0</v>
      </c>
      <c r="AC2079">
        <f>VLOOKUP(A:A,[1]android_repos_all_metrics!B:K,4,FALSE)</f>
        <v>356</v>
      </c>
      <c r="AD2079">
        <f>VLOOKUP(A:A,[1]android_repos_all_metrics!B:K,5,FALSE)</f>
        <v>5</v>
      </c>
      <c r="AE2079">
        <f>VLOOKUP(A:A,[1]android_repos_all_metrics!B:K,6,FALSE)</f>
        <v>4</v>
      </c>
      <c r="AF2079">
        <f>VLOOKUP(A:A,[1]android_repos_all_metrics!B:K,7,FALSE)</f>
        <v>10492</v>
      </c>
      <c r="AG2079">
        <f>VLOOKUP(A:A,[1]android_repos_all_metrics!B:K,8,FALSE)</f>
        <v>9</v>
      </c>
      <c r="AH2079">
        <f>VLOOKUP(A:A,[1]android_repos_all_metrics!B:K,9,FALSE)</f>
        <v>45</v>
      </c>
      <c r="AI2079">
        <f>VLOOKUP(A:A,[1]android_repos_all_metrics!B:K,10,FALSE)</f>
        <v>1</v>
      </c>
    </row>
    <row r="2080" spans="1:35">
      <c r="A2080" t="s">
        <v>2150</v>
      </c>
      <c r="B2080" t="b">
        <v>0</v>
      </c>
      <c r="C2080" t="b">
        <v>0</v>
      </c>
      <c r="D2080" t="b">
        <v>0</v>
      </c>
      <c r="F2080" t="b">
        <v>0</v>
      </c>
      <c r="H2080" t="s">
        <v>41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>
        <v>1</v>
      </c>
      <c r="AB2080">
        <v>0</v>
      </c>
      <c r="AC2080">
        <f>VLOOKUP(A:A,[1]android_repos_all_metrics!B:K,4,FALSE)</f>
        <v>40</v>
      </c>
      <c r="AD2080">
        <f>VLOOKUP(A:A,[1]android_repos_all_metrics!B:K,5,FALSE)</f>
        <v>0</v>
      </c>
      <c r="AE2080">
        <f>VLOOKUP(A:A,[1]android_repos_all_metrics!B:K,6,FALSE)</f>
        <v>1</v>
      </c>
      <c r="AF2080">
        <f>VLOOKUP(A:A,[1]android_repos_all_metrics!B:K,7,FALSE)</f>
        <v>2887</v>
      </c>
      <c r="AG2080">
        <f>VLOOKUP(A:A,[1]android_repos_all_metrics!B:K,8,FALSE)</f>
        <v>6</v>
      </c>
      <c r="AH2080">
        <f>VLOOKUP(A:A,[1]android_repos_all_metrics!B:K,9,FALSE)</f>
        <v>3</v>
      </c>
      <c r="AI2080">
        <f>VLOOKUP(A:A,[1]android_repos_all_metrics!B:K,10,FALSE)</f>
        <v>0</v>
      </c>
    </row>
    <row r="2081" spans="1:35">
      <c r="A2081" t="s">
        <v>2151</v>
      </c>
      <c r="B2081" t="b">
        <v>1</v>
      </c>
      <c r="C2081" t="b">
        <v>0</v>
      </c>
      <c r="D2081" t="b">
        <v>0</v>
      </c>
      <c r="F2081" t="b">
        <v>0</v>
      </c>
      <c r="H2081" t="s">
        <v>37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>
        <v>2</v>
      </c>
      <c r="AB2081">
        <v>0</v>
      </c>
      <c r="AC2081">
        <f>VLOOKUP(A:A,[1]android_repos_all_metrics!B:K,4,FALSE)</f>
        <v>35</v>
      </c>
      <c r="AD2081">
        <f>VLOOKUP(A:A,[1]android_repos_all_metrics!B:K,5,FALSE)</f>
        <v>1</v>
      </c>
      <c r="AE2081">
        <f>VLOOKUP(A:A,[1]android_repos_all_metrics!B:K,6,FALSE)</f>
        <v>2</v>
      </c>
      <c r="AF2081">
        <f>VLOOKUP(A:A,[1]android_repos_all_metrics!B:K,7,FALSE)</f>
        <v>2875</v>
      </c>
      <c r="AG2081">
        <f>VLOOKUP(A:A,[1]android_repos_all_metrics!B:K,8,FALSE)</f>
        <v>3</v>
      </c>
      <c r="AH2081">
        <f>VLOOKUP(A:A,[1]android_repos_all_metrics!B:K,9,FALSE)</f>
        <v>65</v>
      </c>
      <c r="AI2081">
        <f>VLOOKUP(A:A,[1]android_repos_all_metrics!B:K,10,FALSE)</f>
        <v>2</v>
      </c>
    </row>
    <row r="2082" spans="1:35">
      <c r="A2082" t="s">
        <v>2152</v>
      </c>
      <c r="B2082" t="b">
        <v>1</v>
      </c>
      <c r="C2082" t="b">
        <v>0</v>
      </c>
      <c r="D2082" t="b">
        <v>0</v>
      </c>
      <c r="F2082" t="b">
        <v>0</v>
      </c>
      <c r="H2082" t="s">
        <v>37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>
        <v>5</v>
      </c>
      <c r="AB2082">
        <v>0</v>
      </c>
      <c r="AC2082">
        <f>VLOOKUP(A:A,[1]android_repos_all_metrics!B:K,4,FALSE)</f>
        <v>83</v>
      </c>
      <c r="AD2082">
        <f>VLOOKUP(A:A,[1]android_repos_all_metrics!B:K,5,FALSE)</f>
        <v>48</v>
      </c>
      <c r="AE2082">
        <f>VLOOKUP(A:A,[1]android_repos_all_metrics!B:K,6,FALSE)</f>
        <v>1</v>
      </c>
      <c r="AF2082">
        <f>VLOOKUP(A:A,[1]android_repos_all_metrics!B:K,7,FALSE)</f>
        <v>16958</v>
      </c>
      <c r="AG2082">
        <f>VLOOKUP(A:A,[1]android_repos_all_metrics!B:K,8,FALSE)</f>
        <v>0</v>
      </c>
      <c r="AH2082">
        <f>VLOOKUP(A:A,[1]android_repos_all_metrics!B:K,9,FALSE)</f>
        <v>3</v>
      </c>
      <c r="AI2082">
        <f>VLOOKUP(A:A,[1]android_repos_all_metrics!B:K,10,FALSE)</f>
        <v>3</v>
      </c>
    </row>
    <row r="2083" spans="1:35">
      <c r="A2083" t="s">
        <v>2153</v>
      </c>
      <c r="B2083" t="b">
        <v>1</v>
      </c>
      <c r="C2083" t="b">
        <v>0</v>
      </c>
      <c r="D2083" t="b">
        <v>0</v>
      </c>
      <c r="F2083" t="b">
        <v>0</v>
      </c>
      <c r="H2083" t="s">
        <v>37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>
        <v>1</v>
      </c>
      <c r="AB2083">
        <v>0</v>
      </c>
      <c r="AC2083">
        <f>VLOOKUP(A:A,[1]android_repos_all_metrics!B:K,4,FALSE)</f>
        <v>142</v>
      </c>
      <c r="AD2083">
        <f>VLOOKUP(A:A,[1]android_repos_all_metrics!B:K,5,FALSE)</f>
        <v>10</v>
      </c>
      <c r="AE2083">
        <f>VLOOKUP(A:A,[1]android_repos_all_metrics!B:K,6,FALSE)</f>
        <v>1</v>
      </c>
      <c r="AF2083">
        <f>VLOOKUP(A:A,[1]android_repos_all_metrics!B:K,7,FALSE)</f>
        <v>5224</v>
      </c>
      <c r="AG2083">
        <f>VLOOKUP(A:A,[1]android_repos_all_metrics!B:K,8,FALSE)</f>
        <v>0</v>
      </c>
      <c r="AH2083">
        <f>VLOOKUP(A:A,[1]android_repos_all_metrics!B:K,9,FALSE)</f>
        <v>4</v>
      </c>
      <c r="AI2083">
        <f>VLOOKUP(A:A,[1]android_repos_all_metrics!B:K,10,FALSE)</f>
        <v>0</v>
      </c>
    </row>
    <row r="2084" spans="1:35">
      <c r="A2084" t="s">
        <v>2154</v>
      </c>
      <c r="B2084" t="b">
        <v>1</v>
      </c>
      <c r="C2084" t="b">
        <v>0</v>
      </c>
      <c r="D2084" t="b">
        <v>0</v>
      </c>
      <c r="F2084" t="b">
        <v>0</v>
      </c>
      <c r="H2084" t="s">
        <v>110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>
        <v>2</v>
      </c>
      <c r="AB2084">
        <v>0</v>
      </c>
      <c r="AC2084">
        <f>VLOOKUP(A:A,[1]android_repos_all_metrics!B:K,4,FALSE)</f>
        <v>396</v>
      </c>
      <c r="AD2084">
        <f>VLOOKUP(A:A,[1]android_repos_all_metrics!B:K,5,FALSE)</f>
        <v>2</v>
      </c>
      <c r="AE2084">
        <f>VLOOKUP(A:A,[1]android_repos_all_metrics!B:K,6,FALSE)</f>
        <v>2</v>
      </c>
      <c r="AF2084">
        <f>VLOOKUP(A:A,[1]android_repos_all_metrics!B:K,7,FALSE)</f>
        <v>2350</v>
      </c>
      <c r="AG2084">
        <f>VLOOKUP(A:A,[1]android_repos_all_metrics!B:K,8,FALSE)</f>
        <v>2</v>
      </c>
      <c r="AH2084">
        <f>VLOOKUP(A:A,[1]android_repos_all_metrics!B:K,9,FALSE)</f>
        <v>4</v>
      </c>
      <c r="AI2084">
        <f>VLOOKUP(A:A,[1]android_repos_all_metrics!B:K,10,FALSE)</f>
        <v>4</v>
      </c>
    </row>
    <row r="2085" spans="1:35">
      <c r="A2085" t="s">
        <v>2155</v>
      </c>
      <c r="B2085" t="b">
        <v>1</v>
      </c>
      <c r="C2085" t="b">
        <v>0</v>
      </c>
      <c r="D2085" t="b">
        <v>0</v>
      </c>
      <c r="F2085" t="b">
        <v>0</v>
      </c>
      <c r="H2085" t="s">
        <v>37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>
        <v>1</v>
      </c>
      <c r="AB2085">
        <v>0</v>
      </c>
      <c r="AC2085">
        <f>VLOOKUP(A:A,[1]android_repos_all_metrics!B:K,4,FALSE)</f>
        <v>39</v>
      </c>
      <c r="AD2085">
        <f>VLOOKUP(A:A,[1]android_repos_all_metrics!B:K,5,FALSE)</f>
        <v>6</v>
      </c>
      <c r="AE2085">
        <f>VLOOKUP(A:A,[1]android_repos_all_metrics!B:K,6,FALSE)</f>
        <v>4</v>
      </c>
      <c r="AF2085">
        <f>VLOOKUP(A:A,[1]android_repos_all_metrics!B:K,7,FALSE)</f>
        <v>310</v>
      </c>
      <c r="AG2085">
        <f>VLOOKUP(A:A,[1]android_repos_all_metrics!B:K,8,FALSE)</f>
        <v>1</v>
      </c>
      <c r="AH2085">
        <f>VLOOKUP(A:A,[1]android_repos_all_metrics!B:K,9,FALSE)</f>
        <v>15</v>
      </c>
      <c r="AI2085">
        <f>VLOOKUP(A:A,[1]android_repos_all_metrics!B:K,10,FALSE)</f>
        <v>0</v>
      </c>
    </row>
    <row r="2086" spans="1:35">
      <c r="A2086" t="s">
        <v>2156</v>
      </c>
      <c r="B2086" t="b">
        <v>1</v>
      </c>
      <c r="C2086" t="b">
        <v>0</v>
      </c>
      <c r="D2086" t="b">
        <v>0</v>
      </c>
      <c r="F2086" t="b">
        <v>0</v>
      </c>
      <c r="H2086" t="s">
        <v>37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>
        <v>1</v>
      </c>
      <c r="AB2086">
        <v>0</v>
      </c>
      <c r="AC2086">
        <f>VLOOKUP(A:A,[1]android_repos_all_metrics!B:K,4,FALSE)</f>
        <v>115</v>
      </c>
      <c r="AD2086">
        <f>VLOOKUP(A:A,[1]android_repos_all_metrics!B:K,5,FALSE)</f>
        <v>22</v>
      </c>
      <c r="AE2086">
        <f>VLOOKUP(A:A,[1]android_repos_all_metrics!B:K,6,FALSE)</f>
        <v>1</v>
      </c>
      <c r="AF2086">
        <f>VLOOKUP(A:A,[1]android_repos_all_metrics!B:K,7,FALSE)</f>
        <v>3774</v>
      </c>
      <c r="AG2086">
        <f>VLOOKUP(A:A,[1]android_repos_all_metrics!B:K,8,FALSE)</f>
        <v>1</v>
      </c>
      <c r="AH2086">
        <f>VLOOKUP(A:A,[1]android_repos_all_metrics!B:K,9,FALSE)</f>
        <v>1</v>
      </c>
      <c r="AI2086">
        <f>VLOOKUP(A:A,[1]android_repos_all_metrics!B:K,10,FALSE)</f>
        <v>1</v>
      </c>
    </row>
    <row r="2087" spans="1:35">
      <c r="A2087" t="s">
        <v>2157</v>
      </c>
      <c r="B2087" t="b">
        <v>1</v>
      </c>
      <c r="C2087" t="b">
        <v>0</v>
      </c>
      <c r="D2087" t="b">
        <v>0</v>
      </c>
      <c r="F2087" t="b">
        <v>0</v>
      </c>
      <c r="H2087" t="s">
        <v>37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>
        <v>2</v>
      </c>
      <c r="AB2087">
        <v>0</v>
      </c>
      <c r="AC2087">
        <f>VLOOKUP(A:A,[1]android_repos_all_metrics!B:K,4,FALSE)</f>
        <v>313</v>
      </c>
      <c r="AD2087">
        <f>VLOOKUP(A:A,[1]android_repos_all_metrics!B:K,5,FALSE)</f>
        <v>12</v>
      </c>
      <c r="AE2087">
        <f>VLOOKUP(A:A,[1]android_repos_all_metrics!B:K,6,FALSE)</f>
        <v>4</v>
      </c>
      <c r="AF2087">
        <f>VLOOKUP(A:A,[1]android_repos_all_metrics!B:K,7,FALSE)</f>
        <v>11853</v>
      </c>
      <c r="AG2087">
        <f>VLOOKUP(A:A,[1]android_repos_all_metrics!B:K,8,FALSE)</f>
        <v>2</v>
      </c>
      <c r="AH2087">
        <f>VLOOKUP(A:A,[1]android_repos_all_metrics!B:K,9,FALSE)</f>
        <v>9</v>
      </c>
      <c r="AI2087">
        <f>VLOOKUP(A:A,[1]android_repos_all_metrics!B:K,10,FALSE)</f>
        <v>17</v>
      </c>
    </row>
    <row r="2088" spans="1:35">
      <c r="A2088" t="s">
        <v>2158</v>
      </c>
      <c r="B2088" t="b">
        <v>0</v>
      </c>
      <c r="C2088" t="b">
        <v>0</v>
      </c>
      <c r="D2088" t="b">
        <v>0</v>
      </c>
      <c r="F2088" t="b">
        <v>0</v>
      </c>
      <c r="H2088" t="s">
        <v>41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>
        <v>1</v>
      </c>
      <c r="AB2088">
        <v>0</v>
      </c>
      <c r="AC2088">
        <f>VLOOKUP(A:A,[1]android_repos_all_metrics!B:K,4,FALSE)</f>
        <v>29</v>
      </c>
      <c r="AD2088">
        <f>VLOOKUP(A:A,[1]android_repos_all_metrics!B:K,5,FALSE)</f>
        <v>0</v>
      </c>
      <c r="AE2088">
        <f>VLOOKUP(A:A,[1]android_repos_all_metrics!B:K,6,FALSE)</f>
        <v>1</v>
      </c>
      <c r="AF2088">
        <f>VLOOKUP(A:A,[1]android_repos_all_metrics!B:K,7,FALSE)</f>
        <v>4931</v>
      </c>
      <c r="AG2088">
        <f>VLOOKUP(A:A,[1]android_repos_all_metrics!B:K,8,FALSE)</f>
        <v>3</v>
      </c>
      <c r="AH2088">
        <f>VLOOKUP(A:A,[1]android_repos_all_metrics!B:K,9,FALSE)</f>
        <v>17</v>
      </c>
      <c r="AI2088">
        <f>VLOOKUP(A:A,[1]android_repos_all_metrics!B:K,10,FALSE)</f>
        <v>1</v>
      </c>
    </row>
    <row r="2089" spans="1:35">
      <c r="A2089" t="s">
        <v>2159</v>
      </c>
      <c r="B2089" t="b">
        <v>1</v>
      </c>
      <c r="C2089" t="b">
        <v>0</v>
      </c>
      <c r="D2089" t="b">
        <v>0</v>
      </c>
      <c r="F2089" t="b">
        <v>0</v>
      </c>
      <c r="H2089" t="s">
        <v>37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>
        <v>2</v>
      </c>
      <c r="AB2089">
        <v>0</v>
      </c>
      <c r="AC2089">
        <f>VLOOKUP(A:A,[1]android_repos_all_metrics!B:K,4,FALSE)</f>
        <v>129</v>
      </c>
      <c r="AD2089">
        <f>VLOOKUP(A:A,[1]android_repos_all_metrics!B:K,5,FALSE)</f>
        <v>0</v>
      </c>
      <c r="AE2089">
        <f>VLOOKUP(A:A,[1]android_repos_all_metrics!B:K,6,FALSE)</f>
        <v>3</v>
      </c>
      <c r="AF2089">
        <f>VLOOKUP(A:A,[1]android_repos_all_metrics!B:K,7,FALSE)</f>
        <v>408</v>
      </c>
      <c r="AG2089">
        <f>VLOOKUP(A:A,[1]android_repos_all_metrics!B:K,8,FALSE)</f>
        <v>0</v>
      </c>
      <c r="AH2089">
        <f>VLOOKUP(A:A,[1]android_repos_all_metrics!B:K,9,FALSE)</f>
        <v>4</v>
      </c>
      <c r="AI2089">
        <f>VLOOKUP(A:A,[1]android_repos_all_metrics!B:K,10,FALSE)</f>
        <v>5</v>
      </c>
    </row>
    <row r="2090" spans="1:35">
      <c r="A2090" t="s">
        <v>2160</v>
      </c>
      <c r="B2090" t="b">
        <v>1</v>
      </c>
      <c r="C2090" t="b">
        <v>0</v>
      </c>
      <c r="D2090" t="b">
        <v>0</v>
      </c>
      <c r="F2090" t="b">
        <v>0</v>
      </c>
      <c r="H2090" t="s">
        <v>37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>
        <v>1</v>
      </c>
      <c r="AB2090">
        <v>0</v>
      </c>
      <c r="AC2090">
        <f>VLOOKUP(A:A,[1]android_repos_all_metrics!B:K,4,FALSE)</f>
        <v>27</v>
      </c>
      <c r="AD2090">
        <f>VLOOKUP(A:A,[1]android_repos_all_metrics!B:K,5,FALSE)</f>
        <v>1</v>
      </c>
      <c r="AE2090">
        <f>VLOOKUP(A:A,[1]android_repos_all_metrics!B:K,6,FALSE)</f>
        <v>1</v>
      </c>
      <c r="AF2090">
        <f>VLOOKUP(A:A,[1]android_repos_all_metrics!B:K,7,FALSE)</f>
        <v>1497</v>
      </c>
      <c r="AG2090">
        <f>VLOOKUP(A:A,[1]android_repos_all_metrics!B:K,8,FALSE)</f>
        <v>2</v>
      </c>
      <c r="AH2090">
        <f>VLOOKUP(A:A,[1]android_repos_all_metrics!B:K,9,FALSE)</f>
        <v>3</v>
      </c>
      <c r="AI2090">
        <f>VLOOKUP(A:A,[1]android_repos_all_metrics!B:K,10,FALSE)</f>
        <v>1</v>
      </c>
    </row>
    <row r="2091" spans="1:35">
      <c r="A2091" t="s">
        <v>2161</v>
      </c>
      <c r="B2091" t="b">
        <v>1</v>
      </c>
      <c r="C2091" t="b">
        <v>0</v>
      </c>
      <c r="D2091" t="b">
        <v>0</v>
      </c>
      <c r="F2091" t="b">
        <v>0</v>
      </c>
      <c r="H2091" t="s">
        <v>308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>
        <v>4</v>
      </c>
      <c r="AB2091">
        <v>0</v>
      </c>
      <c r="AC2091">
        <f>VLOOKUP(A:A,[1]android_repos_all_metrics!B:K,4,FALSE)</f>
        <v>63</v>
      </c>
      <c r="AD2091">
        <f>VLOOKUP(A:A,[1]android_repos_all_metrics!B:K,5,FALSE)</f>
        <v>3</v>
      </c>
      <c r="AE2091">
        <f>VLOOKUP(A:A,[1]android_repos_all_metrics!B:K,6,FALSE)</f>
        <v>3</v>
      </c>
      <c r="AF2091">
        <f>VLOOKUP(A:A,[1]android_repos_all_metrics!B:K,7,FALSE)</f>
        <v>161</v>
      </c>
      <c r="AG2091">
        <f>VLOOKUP(A:A,[1]android_repos_all_metrics!B:K,8,FALSE)</f>
        <v>5</v>
      </c>
      <c r="AH2091">
        <f>VLOOKUP(A:A,[1]android_repos_all_metrics!B:K,9,FALSE)</f>
        <v>49</v>
      </c>
      <c r="AI2091">
        <f>VLOOKUP(A:A,[1]android_repos_all_metrics!B:K,10,FALSE)</f>
        <v>2</v>
      </c>
    </row>
    <row r="2092" spans="1:35">
      <c r="A2092" t="s">
        <v>2162</v>
      </c>
      <c r="B2092" t="b">
        <v>1</v>
      </c>
      <c r="C2092" t="b">
        <v>0</v>
      </c>
      <c r="D2092" t="b">
        <v>0</v>
      </c>
      <c r="F2092" t="b">
        <v>0</v>
      </c>
      <c r="H2092" t="s">
        <v>37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>
        <v>2</v>
      </c>
      <c r="AB2092">
        <v>0</v>
      </c>
      <c r="AC2092">
        <f>VLOOKUP(A:A,[1]android_repos_all_metrics!B:K,4,FALSE)</f>
        <v>68</v>
      </c>
      <c r="AD2092">
        <f>VLOOKUP(A:A,[1]android_repos_all_metrics!B:K,5,FALSE)</f>
        <v>7</v>
      </c>
      <c r="AE2092">
        <f>VLOOKUP(A:A,[1]android_repos_all_metrics!B:K,6,FALSE)</f>
        <v>1</v>
      </c>
      <c r="AF2092">
        <f>VLOOKUP(A:A,[1]android_repos_all_metrics!B:K,7,FALSE)</f>
        <v>748</v>
      </c>
      <c r="AG2092">
        <f>VLOOKUP(A:A,[1]android_repos_all_metrics!B:K,8,FALSE)</f>
        <v>1</v>
      </c>
      <c r="AH2092">
        <f>VLOOKUP(A:A,[1]android_repos_all_metrics!B:K,9,FALSE)</f>
        <v>10</v>
      </c>
      <c r="AI2092">
        <f>VLOOKUP(A:A,[1]android_repos_all_metrics!B:K,10,FALSE)</f>
        <v>0</v>
      </c>
    </row>
    <row r="2093" spans="1:35">
      <c r="A2093" t="s">
        <v>2163</v>
      </c>
      <c r="B2093" t="b">
        <v>1</v>
      </c>
      <c r="C2093" t="b">
        <v>0</v>
      </c>
      <c r="D2093" t="b">
        <v>0</v>
      </c>
      <c r="F2093" t="b">
        <v>0</v>
      </c>
      <c r="H2093" t="s">
        <v>37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>
        <v>2</v>
      </c>
      <c r="AB2093">
        <v>0</v>
      </c>
      <c r="AC2093">
        <f>VLOOKUP(A:A,[1]android_repos_all_metrics!B:K,4,FALSE)</f>
        <v>31</v>
      </c>
      <c r="AD2093">
        <f>VLOOKUP(A:A,[1]android_repos_all_metrics!B:K,5,FALSE)</f>
        <v>5</v>
      </c>
      <c r="AE2093">
        <f>VLOOKUP(A:A,[1]android_repos_all_metrics!B:K,6,FALSE)</f>
        <v>2</v>
      </c>
      <c r="AF2093">
        <f>VLOOKUP(A:A,[1]android_repos_all_metrics!B:K,7,FALSE)</f>
        <v>132</v>
      </c>
      <c r="AG2093">
        <f>VLOOKUP(A:A,[1]android_repos_all_metrics!B:K,8,FALSE)</f>
        <v>6</v>
      </c>
      <c r="AH2093">
        <f>VLOOKUP(A:A,[1]android_repos_all_metrics!B:K,9,FALSE)</f>
        <v>50</v>
      </c>
      <c r="AI2093">
        <f>VLOOKUP(A:A,[1]android_repos_all_metrics!B:K,10,FALSE)</f>
        <v>0</v>
      </c>
    </row>
    <row r="2094" spans="1:35">
      <c r="A2094" t="s">
        <v>2164</v>
      </c>
      <c r="B2094" t="b">
        <v>1</v>
      </c>
      <c r="C2094" t="b">
        <v>0</v>
      </c>
      <c r="D2094" t="b">
        <v>0</v>
      </c>
      <c r="F2094" t="b">
        <v>0</v>
      </c>
      <c r="H2094" t="s">
        <v>37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>
        <v>1</v>
      </c>
      <c r="AB2094">
        <v>0</v>
      </c>
      <c r="AC2094">
        <f>VLOOKUP(A:A,[1]android_repos_all_metrics!B:K,4,FALSE)</f>
        <v>1129</v>
      </c>
      <c r="AD2094">
        <f>VLOOKUP(A:A,[1]android_repos_all_metrics!B:K,5,FALSE)</f>
        <v>42</v>
      </c>
      <c r="AE2094">
        <f>VLOOKUP(A:A,[1]android_repos_all_metrics!B:K,6,FALSE)</f>
        <v>14</v>
      </c>
      <c r="AF2094">
        <f>VLOOKUP(A:A,[1]android_repos_all_metrics!B:K,7,FALSE)</f>
        <v>132975</v>
      </c>
      <c r="AG2094">
        <f>VLOOKUP(A:A,[1]android_repos_all_metrics!B:K,8,FALSE)</f>
        <v>71</v>
      </c>
      <c r="AH2094">
        <f>VLOOKUP(A:A,[1]android_repos_all_metrics!B:K,9,FALSE)</f>
        <v>625</v>
      </c>
      <c r="AI2094">
        <f>VLOOKUP(A:A,[1]android_repos_all_metrics!B:K,10,FALSE)</f>
        <v>46</v>
      </c>
    </row>
    <row r="2095" spans="1:35">
      <c r="A2095" t="s">
        <v>2165</v>
      </c>
      <c r="B2095" t="b">
        <v>1</v>
      </c>
      <c r="C2095" t="b">
        <v>0</v>
      </c>
      <c r="D2095" t="b">
        <v>0</v>
      </c>
      <c r="F2095" t="b">
        <v>0</v>
      </c>
      <c r="H2095" t="s">
        <v>37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>
        <v>2</v>
      </c>
      <c r="AB2095">
        <v>0</v>
      </c>
      <c r="AC2095">
        <f>VLOOKUP(A:A,[1]android_repos_all_metrics!B:K,4,FALSE)</f>
        <v>664</v>
      </c>
      <c r="AD2095">
        <f>VLOOKUP(A:A,[1]android_repos_all_metrics!B:K,5,FALSE)</f>
        <v>43</v>
      </c>
      <c r="AE2095">
        <f>VLOOKUP(A:A,[1]android_repos_all_metrics!B:K,6,FALSE)</f>
        <v>18</v>
      </c>
      <c r="AF2095">
        <f>VLOOKUP(A:A,[1]android_repos_all_metrics!B:K,7,FALSE)</f>
        <v>2840042</v>
      </c>
      <c r="AG2095">
        <f>VLOOKUP(A:A,[1]android_repos_all_metrics!B:K,8,FALSE)</f>
        <v>311</v>
      </c>
      <c r="AH2095">
        <f>VLOOKUP(A:A,[1]android_repos_all_metrics!B:K,9,FALSE)</f>
        <v>2210</v>
      </c>
      <c r="AI2095">
        <f>VLOOKUP(A:A,[1]android_repos_all_metrics!B:K,10,FALSE)</f>
        <v>5</v>
      </c>
    </row>
    <row r="2096" spans="1:35">
      <c r="A2096" t="s">
        <v>2166</v>
      </c>
      <c r="B2096" t="b">
        <v>1</v>
      </c>
      <c r="C2096" t="b">
        <v>1</v>
      </c>
      <c r="D2096" t="b">
        <v>0</v>
      </c>
      <c r="F2096" t="b">
        <v>1</v>
      </c>
      <c r="G2096" t="s">
        <v>39</v>
      </c>
      <c r="H2096" t="s">
        <v>41</v>
      </c>
      <c r="I2096" t="s">
        <v>41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>
        <v>1</v>
      </c>
      <c r="AB2096">
        <v>0</v>
      </c>
      <c r="AC2096">
        <f>VLOOKUP(A:A,[1]android_repos_all_metrics!B:K,4,FALSE)</f>
        <v>59</v>
      </c>
      <c r="AD2096">
        <f>VLOOKUP(A:A,[1]android_repos_all_metrics!B:K,5,FALSE)</f>
        <v>0</v>
      </c>
      <c r="AE2096">
        <f>VLOOKUP(A:A,[1]android_repos_all_metrics!B:K,6,FALSE)</f>
        <v>1</v>
      </c>
      <c r="AF2096">
        <f>VLOOKUP(A:A,[1]android_repos_all_metrics!B:K,7,FALSE)</f>
        <v>1885</v>
      </c>
      <c r="AG2096">
        <f>VLOOKUP(A:A,[1]android_repos_all_metrics!B:K,8,FALSE)</f>
        <v>6</v>
      </c>
      <c r="AH2096">
        <f>VLOOKUP(A:A,[1]android_repos_all_metrics!B:K,9,FALSE)</f>
        <v>49</v>
      </c>
      <c r="AI2096">
        <f>VLOOKUP(A:A,[1]android_repos_all_metrics!B:K,10,FALSE)</f>
        <v>2</v>
      </c>
    </row>
    <row r="2097" spans="1:35">
      <c r="A2097" t="s">
        <v>2167</v>
      </c>
      <c r="B2097" t="b">
        <v>1</v>
      </c>
      <c r="C2097" t="b">
        <v>0</v>
      </c>
      <c r="D2097" t="b">
        <v>0</v>
      </c>
      <c r="F2097" t="b">
        <v>0</v>
      </c>
      <c r="H2097" t="s">
        <v>37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>
        <v>1</v>
      </c>
      <c r="AB2097">
        <v>0</v>
      </c>
      <c r="AC2097">
        <f>VLOOKUP(A:A,[1]android_repos_all_metrics!B:K,4,FALSE)</f>
        <v>34</v>
      </c>
      <c r="AD2097">
        <f>VLOOKUP(A:A,[1]android_repos_all_metrics!B:K,5,FALSE)</f>
        <v>25</v>
      </c>
      <c r="AE2097">
        <f>VLOOKUP(A:A,[1]android_repos_all_metrics!B:K,6,FALSE)</f>
        <v>7</v>
      </c>
      <c r="AF2097">
        <f>VLOOKUP(A:A,[1]android_repos_all_metrics!B:K,7,FALSE)</f>
        <v>2436</v>
      </c>
      <c r="AG2097">
        <f>VLOOKUP(A:A,[1]android_repos_all_metrics!B:K,8,FALSE)</f>
        <v>6</v>
      </c>
      <c r="AH2097">
        <f>VLOOKUP(A:A,[1]android_repos_all_metrics!B:K,9,FALSE)</f>
        <v>25</v>
      </c>
      <c r="AI2097">
        <f>VLOOKUP(A:A,[1]android_repos_all_metrics!B:K,10,FALSE)</f>
        <v>5</v>
      </c>
    </row>
    <row r="2098" spans="1:35">
      <c r="A2098" t="s">
        <v>2168</v>
      </c>
      <c r="B2098" t="b">
        <v>0</v>
      </c>
      <c r="C2098" t="b">
        <v>0</v>
      </c>
      <c r="D2098" t="b">
        <v>0</v>
      </c>
      <c r="F2098" t="b">
        <v>0</v>
      </c>
      <c r="H2098" t="s">
        <v>41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>
        <v>1</v>
      </c>
      <c r="AB2098">
        <v>0</v>
      </c>
      <c r="AC2098">
        <f>VLOOKUP(A:A,[1]android_repos_all_metrics!B:K,4,FALSE)</f>
        <v>123</v>
      </c>
      <c r="AD2098">
        <f>VLOOKUP(A:A,[1]android_repos_all_metrics!B:K,5,FALSE)</f>
        <v>3</v>
      </c>
      <c r="AE2098">
        <f>VLOOKUP(A:A,[1]android_repos_all_metrics!B:K,6,FALSE)</f>
        <v>1</v>
      </c>
      <c r="AF2098">
        <f>VLOOKUP(A:A,[1]android_repos_all_metrics!B:K,7,FALSE)</f>
        <v>464</v>
      </c>
      <c r="AG2098">
        <f>VLOOKUP(A:A,[1]android_repos_all_metrics!B:K,8,FALSE)</f>
        <v>45</v>
      </c>
      <c r="AH2098">
        <f>VLOOKUP(A:A,[1]android_repos_all_metrics!B:K,9,FALSE)</f>
        <v>105</v>
      </c>
      <c r="AI2098">
        <f>VLOOKUP(A:A,[1]android_repos_all_metrics!B:K,10,FALSE)</f>
        <v>7</v>
      </c>
    </row>
    <row r="2099" spans="1:35">
      <c r="A2099" t="s">
        <v>2169</v>
      </c>
      <c r="B2099" t="b">
        <v>1</v>
      </c>
      <c r="C2099" t="b">
        <v>0</v>
      </c>
      <c r="D2099" t="b">
        <v>0</v>
      </c>
      <c r="F2099" t="b">
        <v>0</v>
      </c>
      <c r="H2099" t="s">
        <v>41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>
        <v>1</v>
      </c>
      <c r="AB2099">
        <v>0</v>
      </c>
      <c r="AC2099">
        <f>VLOOKUP(A:A,[1]android_repos_all_metrics!B:K,4,FALSE)</f>
        <v>17</v>
      </c>
      <c r="AD2099">
        <f>VLOOKUP(A:A,[1]android_repos_all_metrics!B:K,5,FALSE)</f>
        <v>0</v>
      </c>
      <c r="AE2099">
        <f>VLOOKUP(A:A,[1]android_repos_all_metrics!B:K,6,FALSE)</f>
        <v>1</v>
      </c>
      <c r="AF2099">
        <f>VLOOKUP(A:A,[1]android_repos_all_metrics!B:K,7,FALSE)</f>
        <v>4994</v>
      </c>
      <c r="AG2099">
        <f>VLOOKUP(A:A,[1]android_repos_all_metrics!B:K,8,FALSE)</f>
        <v>0</v>
      </c>
      <c r="AH2099">
        <f>VLOOKUP(A:A,[1]android_repos_all_metrics!B:K,9,FALSE)</f>
        <v>3</v>
      </c>
      <c r="AI2099">
        <f>VLOOKUP(A:A,[1]android_repos_all_metrics!B:K,10,FALSE)</f>
        <v>0</v>
      </c>
    </row>
    <row r="2100" spans="1:35">
      <c r="A2100" t="s">
        <v>2170</v>
      </c>
      <c r="B2100" t="b">
        <v>1</v>
      </c>
      <c r="C2100" t="b">
        <v>0</v>
      </c>
      <c r="D2100" t="b">
        <v>0</v>
      </c>
      <c r="F2100" t="b">
        <v>0</v>
      </c>
      <c r="H2100" t="s">
        <v>37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>
        <v>1</v>
      </c>
      <c r="AB2100">
        <v>0</v>
      </c>
      <c r="AC2100">
        <f>VLOOKUP(A:A,[1]android_repos_all_metrics!B:K,4,FALSE)</f>
        <v>8</v>
      </c>
      <c r="AD2100">
        <f>VLOOKUP(A:A,[1]android_repos_all_metrics!B:K,5,FALSE)</f>
        <v>1</v>
      </c>
      <c r="AE2100">
        <f>VLOOKUP(A:A,[1]android_repos_all_metrics!B:K,6,FALSE)</f>
        <v>1</v>
      </c>
      <c r="AF2100">
        <f>VLOOKUP(A:A,[1]android_repos_all_metrics!B:K,7,FALSE)</f>
        <v>21231</v>
      </c>
      <c r="AG2100">
        <f>VLOOKUP(A:A,[1]android_repos_all_metrics!B:K,8,FALSE)</f>
        <v>4</v>
      </c>
      <c r="AH2100">
        <f>VLOOKUP(A:A,[1]android_repos_all_metrics!B:K,9,FALSE)</f>
        <v>15</v>
      </c>
      <c r="AI2100">
        <f>VLOOKUP(A:A,[1]android_repos_all_metrics!B:K,10,FALSE)</f>
        <v>1</v>
      </c>
    </row>
    <row r="2101" spans="1:35">
      <c r="A2101" t="s">
        <v>2171</v>
      </c>
      <c r="B2101" t="b">
        <v>1</v>
      </c>
      <c r="C2101" t="b">
        <v>0</v>
      </c>
      <c r="D2101" t="b">
        <v>0</v>
      </c>
      <c r="F2101" t="b">
        <v>0</v>
      </c>
      <c r="H2101" t="s">
        <v>37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>
        <v>1</v>
      </c>
      <c r="AB2101">
        <v>0</v>
      </c>
      <c r="AC2101">
        <f>VLOOKUP(A:A,[1]android_repos_all_metrics!B:K,4,FALSE)</f>
        <v>98</v>
      </c>
      <c r="AD2101">
        <f>VLOOKUP(A:A,[1]android_repos_all_metrics!B:K,5,FALSE)</f>
        <v>45</v>
      </c>
      <c r="AE2101">
        <f>VLOOKUP(A:A,[1]android_repos_all_metrics!B:K,6,FALSE)</f>
        <v>8</v>
      </c>
      <c r="AF2101">
        <f>VLOOKUP(A:A,[1]android_repos_all_metrics!B:K,7,FALSE)</f>
        <v>1242</v>
      </c>
      <c r="AG2101">
        <f>VLOOKUP(A:A,[1]android_repos_all_metrics!B:K,8,FALSE)</f>
        <v>0</v>
      </c>
      <c r="AH2101">
        <f>VLOOKUP(A:A,[1]android_repos_all_metrics!B:K,9,FALSE)</f>
        <v>1</v>
      </c>
      <c r="AI2101">
        <f>VLOOKUP(A:A,[1]android_repos_all_metrics!B:K,10,FALSE)</f>
        <v>0</v>
      </c>
    </row>
    <row r="2102" spans="1:35">
      <c r="A2102" t="s">
        <v>2172</v>
      </c>
      <c r="B2102" t="b">
        <v>1</v>
      </c>
      <c r="C2102" t="b">
        <v>1</v>
      </c>
      <c r="D2102" t="b">
        <v>1</v>
      </c>
      <c r="E2102" t="s">
        <v>36</v>
      </c>
      <c r="F2102" t="b">
        <v>0</v>
      </c>
      <c r="H2102" t="s">
        <v>37</v>
      </c>
      <c r="I2102" t="s">
        <v>37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>
        <v>2</v>
      </c>
      <c r="AB2102">
        <v>0</v>
      </c>
      <c r="AC2102">
        <f>VLOOKUP(A:A,[1]android_repos_all_metrics!B:K,4,FALSE)</f>
        <v>933</v>
      </c>
      <c r="AD2102">
        <f>VLOOKUP(A:A,[1]android_repos_all_metrics!B:K,5,FALSE)</f>
        <v>60</v>
      </c>
      <c r="AE2102">
        <f>VLOOKUP(A:A,[1]android_repos_all_metrics!B:K,6,FALSE)</f>
        <v>7</v>
      </c>
      <c r="AF2102">
        <f>VLOOKUP(A:A,[1]android_repos_all_metrics!B:K,7,FALSE)</f>
        <v>3337</v>
      </c>
      <c r="AG2102">
        <f>VLOOKUP(A:A,[1]android_repos_all_metrics!B:K,8,FALSE)</f>
        <v>20</v>
      </c>
      <c r="AH2102">
        <f>VLOOKUP(A:A,[1]android_repos_all_metrics!B:K,9,FALSE)</f>
        <v>273</v>
      </c>
      <c r="AI2102">
        <f>VLOOKUP(A:A,[1]android_repos_all_metrics!B:K,10,FALSE)</f>
        <v>6</v>
      </c>
    </row>
    <row r="2103" spans="1:35">
      <c r="A2103" t="s">
        <v>2173</v>
      </c>
      <c r="B2103" t="b">
        <v>1</v>
      </c>
      <c r="C2103" t="b">
        <v>0</v>
      </c>
      <c r="D2103" t="b">
        <v>0</v>
      </c>
      <c r="F2103" t="b">
        <v>0</v>
      </c>
      <c r="H2103" t="s">
        <v>37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>
        <v>1</v>
      </c>
      <c r="AB2103">
        <v>0</v>
      </c>
      <c r="AC2103">
        <f>VLOOKUP(A:A,[1]android_repos_all_metrics!B:K,4,FALSE)</f>
        <v>3593</v>
      </c>
      <c r="AD2103">
        <f>VLOOKUP(A:A,[1]android_repos_all_metrics!B:K,5,FALSE)</f>
        <v>400</v>
      </c>
      <c r="AE2103">
        <f>VLOOKUP(A:A,[1]android_repos_all_metrics!B:K,6,FALSE)</f>
        <v>14</v>
      </c>
      <c r="AF2103">
        <f>VLOOKUP(A:A,[1]android_repos_all_metrics!B:K,7,FALSE)</f>
        <v>58278</v>
      </c>
      <c r="AG2103">
        <f>VLOOKUP(A:A,[1]android_repos_all_metrics!B:K,8,FALSE)</f>
        <v>13</v>
      </c>
      <c r="AH2103">
        <f>VLOOKUP(A:A,[1]android_repos_all_metrics!B:K,9,FALSE)</f>
        <v>47</v>
      </c>
      <c r="AI2103">
        <f>VLOOKUP(A:A,[1]android_repos_all_metrics!B:K,10,FALSE)</f>
        <v>58</v>
      </c>
    </row>
    <row r="2104" spans="1:35">
      <c r="A2104" t="s">
        <v>2174</v>
      </c>
      <c r="B2104" t="b">
        <v>0</v>
      </c>
      <c r="C2104" t="b">
        <v>0</v>
      </c>
      <c r="D2104" t="b">
        <v>0</v>
      </c>
      <c r="F2104" t="b">
        <v>0</v>
      </c>
      <c r="H2104" t="s">
        <v>43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>
        <v>1</v>
      </c>
      <c r="AB2104">
        <v>0</v>
      </c>
      <c r="AC2104">
        <f>VLOOKUP(A:A,[1]android_repos_all_metrics!B:K,4,FALSE)</f>
        <v>134</v>
      </c>
      <c r="AD2104">
        <f>VLOOKUP(A:A,[1]android_repos_all_metrics!B:K,5,FALSE)</f>
        <v>23</v>
      </c>
      <c r="AE2104">
        <f>VLOOKUP(A:A,[1]android_repos_all_metrics!B:K,6,FALSE)</f>
        <v>8</v>
      </c>
      <c r="AF2104">
        <f>VLOOKUP(A:A,[1]android_repos_all_metrics!B:K,7,FALSE)</f>
        <v>8816</v>
      </c>
      <c r="AG2104">
        <f>VLOOKUP(A:A,[1]android_repos_all_metrics!B:K,8,FALSE)</f>
        <v>33</v>
      </c>
      <c r="AH2104">
        <f>VLOOKUP(A:A,[1]android_repos_all_metrics!B:K,9,FALSE)</f>
        <v>82</v>
      </c>
      <c r="AI2104">
        <f>VLOOKUP(A:A,[1]android_repos_all_metrics!B:K,10,FALSE)</f>
        <v>10</v>
      </c>
    </row>
    <row r="2105" spans="1:35">
      <c r="A2105" t="s">
        <v>2175</v>
      </c>
      <c r="B2105" t="b">
        <v>1</v>
      </c>
      <c r="C2105" t="b">
        <v>1</v>
      </c>
      <c r="D2105" t="b">
        <v>1</v>
      </c>
      <c r="E2105" t="s">
        <v>36</v>
      </c>
      <c r="F2105" t="b">
        <v>0</v>
      </c>
      <c r="H2105" t="s">
        <v>86</v>
      </c>
      <c r="I2105" t="s">
        <v>37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>
        <v>1</v>
      </c>
      <c r="AA2105">
        <v>3</v>
      </c>
      <c r="AB2105">
        <v>0</v>
      </c>
      <c r="AC2105">
        <f>VLOOKUP(A:A,[1]android_repos_all_metrics!B:K,4,FALSE)</f>
        <v>603</v>
      </c>
      <c r="AD2105">
        <f>VLOOKUP(A:A,[1]android_repos_all_metrics!B:K,5,FALSE)</f>
        <v>269</v>
      </c>
      <c r="AE2105">
        <f>VLOOKUP(A:A,[1]android_repos_all_metrics!B:K,6,FALSE)</f>
        <v>33</v>
      </c>
      <c r="AF2105">
        <f>VLOOKUP(A:A,[1]android_repos_all_metrics!B:K,7,FALSE)</f>
        <v>15548</v>
      </c>
      <c r="AG2105">
        <f>VLOOKUP(A:A,[1]android_repos_all_metrics!B:K,8,FALSE)</f>
        <v>222</v>
      </c>
      <c r="AH2105">
        <f>VLOOKUP(A:A,[1]android_repos_all_metrics!B:K,9,FALSE)</f>
        <v>749</v>
      </c>
      <c r="AI2105">
        <f>VLOOKUP(A:A,[1]android_repos_all_metrics!B:K,10,FALSE)</f>
        <v>135</v>
      </c>
    </row>
    <row r="2106" spans="1:35">
      <c r="A2106" t="s">
        <v>2176</v>
      </c>
      <c r="B2106" t="b">
        <v>0</v>
      </c>
      <c r="C2106" t="b">
        <v>0</v>
      </c>
      <c r="D2106" t="b">
        <v>0</v>
      </c>
      <c r="F2106" t="b">
        <v>0</v>
      </c>
      <c r="H2106" t="s">
        <v>41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>
        <v>1</v>
      </c>
      <c r="AB2106">
        <v>0</v>
      </c>
      <c r="AC2106">
        <f>VLOOKUP(A:A,[1]android_repos_all_metrics!B:K,4,FALSE)</f>
        <v>382</v>
      </c>
      <c r="AD2106">
        <f>VLOOKUP(A:A,[1]android_repos_all_metrics!B:K,5,FALSE)</f>
        <v>9</v>
      </c>
      <c r="AE2106">
        <f>VLOOKUP(A:A,[1]android_repos_all_metrics!B:K,6,FALSE)</f>
        <v>31</v>
      </c>
      <c r="AF2106">
        <f>VLOOKUP(A:A,[1]android_repos_all_metrics!B:K,7,FALSE)</f>
        <v>5861</v>
      </c>
      <c r="AG2106">
        <f>VLOOKUP(A:A,[1]android_repos_all_metrics!B:K,8,FALSE)</f>
        <v>6</v>
      </c>
      <c r="AH2106">
        <f>VLOOKUP(A:A,[1]android_repos_all_metrics!B:K,9,FALSE)</f>
        <v>14</v>
      </c>
      <c r="AI2106">
        <f>VLOOKUP(A:A,[1]android_repos_all_metrics!B:K,10,FALSE)</f>
        <v>6</v>
      </c>
    </row>
    <row r="2107" spans="1:35">
      <c r="A2107" t="s">
        <v>2177</v>
      </c>
      <c r="B2107" t="b">
        <v>1</v>
      </c>
      <c r="C2107" t="b">
        <v>0</v>
      </c>
      <c r="D2107" t="b">
        <v>0</v>
      </c>
      <c r="F2107" t="b">
        <v>0</v>
      </c>
      <c r="H2107" t="s">
        <v>41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>
        <v>1</v>
      </c>
      <c r="AB2107">
        <v>0</v>
      </c>
      <c r="AC2107">
        <f>VLOOKUP(A:A,[1]android_repos_all_metrics!B:K,4,FALSE)</f>
        <v>290</v>
      </c>
      <c r="AD2107">
        <f>VLOOKUP(A:A,[1]android_repos_all_metrics!B:K,5,FALSE)</f>
        <v>68</v>
      </c>
      <c r="AE2107">
        <f>VLOOKUP(A:A,[1]android_repos_all_metrics!B:K,6,FALSE)</f>
        <v>6</v>
      </c>
      <c r="AF2107">
        <f>VLOOKUP(A:A,[1]android_repos_all_metrics!B:K,7,FALSE)</f>
        <v>2914</v>
      </c>
      <c r="AG2107">
        <f>VLOOKUP(A:A,[1]android_repos_all_metrics!B:K,8,FALSE)</f>
        <v>0</v>
      </c>
      <c r="AH2107">
        <f>VLOOKUP(A:A,[1]android_repos_all_metrics!B:K,9,FALSE)</f>
        <v>1</v>
      </c>
      <c r="AI2107">
        <f>VLOOKUP(A:A,[1]android_repos_all_metrics!B:K,10,FALSE)</f>
        <v>19</v>
      </c>
    </row>
    <row r="2108" spans="1:35">
      <c r="A2108" t="s">
        <v>2178</v>
      </c>
      <c r="B2108" t="b">
        <v>1</v>
      </c>
      <c r="C2108" t="b">
        <v>0</v>
      </c>
      <c r="D2108" t="b">
        <v>0</v>
      </c>
      <c r="F2108" t="b">
        <v>0</v>
      </c>
      <c r="H2108" t="s">
        <v>37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>
        <v>1</v>
      </c>
      <c r="AB2108">
        <v>0</v>
      </c>
      <c r="AC2108">
        <f>VLOOKUP(A:A,[1]android_repos_all_metrics!B:K,4,FALSE)</f>
        <v>129</v>
      </c>
      <c r="AD2108">
        <f>VLOOKUP(A:A,[1]android_repos_all_metrics!B:K,5,FALSE)</f>
        <v>21</v>
      </c>
      <c r="AE2108">
        <f>VLOOKUP(A:A,[1]android_repos_all_metrics!B:K,6,FALSE)</f>
        <v>5</v>
      </c>
      <c r="AF2108">
        <f>VLOOKUP(A:A,[1]android_repos_all_metrics!B:K,7,FALSE)</f>
        <v>3228</v>
      </c>
      <c r="AG2108">
        <f>VLOOKUP(A:A,[1]android_repos_all_metrics!B:K,8,FALSE)</f>
        <v>2</v>
      </c>
      <c r="AH2108">
        <f>VLOOKUP(A:A,[1]android_repos_all_metrics!B:K,9,FALSE)</f>
        <v>1</v>
      </c>
      <c r="AI2108">
        <f>VLOOKUP(A:A,[1]android_repos_all_metrics!B:K,10,FALSE)</f>
        <v>6</v>
      </c>
    </row>
    <row r="2109" spans="1:35">
      <c r="A2109" t="s">
        <v>2179</v>
      </c>
      <c r="B2109" t="b">
        <v>1</v>
      </c>
      <c r="C2109" t="b">
        <v>0</v>
      </c>
      <c r="D2109" t="b">
        <v>0</v>
      </c>
      <c r="F2109" t="b">
        <v>0</v>
      </c>
      <c r="H2109" t="s">
        <v>37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>
        <v>1</v>
      </c>
      <c r="AB2109">
        <v>0</v>
      </c>
      <c r="AC2109">
        <f>VLOOKUP(A:A,[1]android_repos_all_metrics!B:K,4,FALSE)</f>
        <v>62</v>
      </c>
      <c r="AD2109">
        <f>VLOOKUP(A:A,[1]android_repos_all_metrics!B:K,5,FALSE)</f>
        <v>4</v>
      </c>
      <c r="AE2109">
        <f>VLOOKUP(A:A,[1]android_repos_all_metrics!B:K,6,FALSE)</f>
        <v>2</v>
      </c>
      <c r="AF2109">
        <f>VLOOKUP(A:A,[1]android_repos_all_metrics!B:K,7,FALSE)</f>
        <v>7263</v>
      </c>
      <c r="AG2109">
        <f>VLOOKUP(A:A,[1]android_repos_all_metrics!B:K,8,FALSE)</f>
        <v>0</v>
      </c>
      <c r="AH2109">
        <f>VLOOKUP(A:A,[1]android_repos_all_metrics!B:K,9,FALSE)</f>
        <v>11</v>
      </c>
      <c r="AI2109">
        <f>VLOOKUP(A:A,[1]android_repos_all_metrics!B:K,10,FALSE)</f>
        <v>0</v>
      </c>
    </row>
    <row r="2110" spans="1:35">
      <c r="A2110" t="s">
        <v>2180</v>
      </c>
      <c r="B2110" t="b">
        <v>1</v>
      </c>
      <c r="C2110" t="b">
        <v>0</v>
      </c>
      <c r="D2110" t="b">
        <v>0</v>
      </c>
      <c r="F2110" t="b">
        <v>0</v>
      </c>
      <c r="H2110" t="s">
        <v>37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>
        <v>2</v>
      </c>
      <c r="AB2110">
        <v>0</v>
      </c>
      <c r="AC2110">
        <f>VLOOKUP(A:A,[1]android_repos_all_metrics!B:K,4,FALSE)</f>
        <v>240</v>
      </c>
      <c r="AD2110">
        <f>VLOOKUP(A:A,[1]android_repos_all_metrics!B:K,5,FALSE)</f>
        <v>12</v>
      </c>
      <c r="AE2110">
        <f>VLOOKUP(A:A,[1]android_repos_all_metrics!B:K,6,FALSE)</f>
        <v>3</v>
      </c>
      <c r="AF2110">
        <f>VLOOKUP(A:A,[1]android_repos_all_metrics!B:K,7,FALSE)</f>
        <v>144810</v>
      </c>
      <c r="AG2110">
        <f>VLOOKUP(A:A,[1]android_repos_all_metrics!B:K,8,FALSE)</f>
        <v>6</v>
      </c>
      <c r="AH2110">
        <f>VLOOKUP(A:A,[1]android_repos_all_metrics!B:K,9,FALSE)</f>
        <v>24</v>
      </c>
      <c r="AI2110">
        <f>VLOOKUP(A:A,[1]android_repos_all_metrics!B:K,10,FALSE)</f>
        <v>2</v>
      </c>
    </row>
    <row r="2111" spans="1:35">
      <c r="A2111" t="s">
        <v>2181</v>
      </c>
      <c r="B2111" t="b">
        <v>0</v>
      </c>
      <c r="C2111" t="b">
        <v>0</v>
      </c>
      <c r="D2111" t="b">
        <v>0</v>
      </c>
      <c r="F2111" t="b">
        <v>0</v>
      </c>
      <c r="H2111" t="s">
        <v>41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>
        <v>1</v>
      </c>
      <c r="AB2111">
        <v>0</v>
      </c>
      <c r="AC2111">
        <f>VLOOKUP(A:A,[1]android_repos_all_metrics!B:K,4,FALSE)</f>
        <v>625</v>
      </c>
      <c r="AD2111">
        <f>VLOOKUP(A:A,[1]android_repos_all_metrics!B:K,5,FALSE)</f>
        <v>11</v>
      </c>
      <c r="AE2111">
        <f>VLOOKUP(A:A,[1]android_repos_all_metrics!B:K,6,FALSE)</f>
        <v>3</v>
      </c>
      <c r="AF2111">
        <f>VLOOKUP(A:A,[1]android_repos_all_metrics!B:K,7,FALSE)</f>
        <v>2645</v>
      </c>
      <c r="AG2111">
        <f>VLOOKUP(A:A,[1]android_repos_all_metrics!B:K,8,FALSE)</f>
        <v>29</v>
      </c>
      <c r="AH2111">
        <f>VLOOKUP(A:A,[1]android_repos_all_metrics!B:K,9,FALSE)</f>
        <v>120</v>
      </c>
      <c r="AI2111">
        <f>VLOOKUP(A:A,[1]android_repos_all_metrics!B:K,10,FALSE)</f>
        <v>29</v>
      </c>
    </row>
    <row r="2112" spans="1:35">
      <c r="A2112" t="s">
        <v>2182</v>
      </c>
      <c r="B2112" t="b">
        <v>1</v>
      </c>
      <c r="C2112" t="b">
        <v>0</v>
      </c>
      <c r="D2112" t="b">
        <v>0</v>
      </c>
      <c r="F2112" t="b">
        <v>0</v>
      </c>
      <c r="H2112" t="s">
        <v>37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>
        <v>1</v>
      </c>
      <c r="AB2112">
        <v>0</v>
      </c>
      <c r="AC2112">
        <f>VLOOKUP(A:A,[1]android_repos_all_metrics!B:K,4,FALSE)</f>
        <v>48</v>
      </c>
      <c r="AD2112">
        <f>VLOOKUP(A:A,[1]android_repos_all_metrics!B:K,5,FALSE)</f>
        <v>0</v>
      </c>
      <c r="AE2112">
        <f>VLOOKUP(A:A,[1]android_repos_all_metrics!B:K,6,FALSE)</f>
        <v>2</v>
      </c>
      <c r="AF2112">
        <f>VLOOKUP(A:A,[1]android_repos_all_metrics!B:K,7,FALSE)</f>
        <v>1069</v>
      </c>
      <c r="AG2112">
        <f>VLOOKUP(A:A,[1]android_repos_all_metrics!B:K,8,FALSE)</f>
        <v>18</v>
      </c>
      <c r="AH2112">
        <f>VLOOKUP(A:A,[1]android_repos_all_metrics!B:K,9,FALSE)</f>
        <v>189</v>
      </c>
      <c r="AI2112">
        <f>VLOOKUP(A:A,[1]android_repos_all_metrics!B:K,10,FALSE)</f>
        <v>0</v>
      </c>
    </row>
    <row r="2113" spans="1:35">
      <c r="A2113" t="s">
        <v>2183</v>
      </c>
      <c r="B2113" t="b">
        <v>1</v>
      </c>
      <c r="C2113" t="b">
        <v>1</v>
      </c>
      <c r="D2113" t="b">
        <v>1</v>
      </c>
      <c r="E2113" t="s">
        <v>557</v>
      </c>
      <c r="F2113" t="b">
        <v>0</v>
      </c>
      <c r="H2113" t="s">
        <v>37</v>
      </c>
      <c r="I2113" t="s">
        <v>37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>
        <v>4</v>
      </c>
      <c r="AB2113">
        <v>0</v>
      </c>
      <c r="AC2113">
        <f>VLOOKUP(A:A,[1]android_repos_all_metrics!B:K,4,FALSE)</f>
        <v>3476</v>
      </c>
      <c r="AD2113">
        <f>VLOOKUP(A:A,[1]android_repos_all_metrics!B:K,5,FALSE)</f>
        <v>607</v>
      </c>
      <c r="AE2113">
        <f>VLOOKUP(A:A,[1]android_repos_all_metrics!B:K,6,FALSE)</f>
        <v>16</v>
      </c>
      <c r="AF2113">
        <f>VLOOKUP(A:A,[1]android_repos_all_metrics!B:K,7,FALSE)</f>
        <v>22610</v>
      </c>
      <c r="AG2113">
        <f>VLOOKUP(A:A,[1]android_repos_all_metrics!B:K,8,FALSE)</f>
        <v>46</v>
      </c>
      <c r="AH2113">
        <f>VLOOKUP(A:A,[1]android_repos_all_metrics!B:K,9,FALSE)</f>
        <v>50</v>
      </c>
      <c r="AI2113">
        <f>VLOOKUP(A:A,[1]android_repos_all_metrics!B:K,10,FALSE)</f>
        <v>105</v>
      </c>
    </row>
    <row r="2114" spans="1:35">
      <c r="A2114" t="s">
        <v>2184</v>
      </c>
      <c r="B2114" t="b">
        <v>1</v>
      </c>
      <c r="C2114" t="b">
        <v>0</v>
      </c>
      <c r="D2114" t="b">
        <v>0</v>
      </c>
      <c r="F2114" t="b">
        <v>0</v>
      </c>
      <c r="H2114" t="s">
        <v>37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>
        <v>1</v>
      </c>
      <c r="AB2114">
        <v>0</v>
      </c>
      <c r="AC2114">
        <f>VLOOKUP(A:A,[1]android_repos_all_metrics!B:K,4,FALSE)</f>
        <v>51</v>
      </c>
      <c r="AD2114">
        <f>VLOOKUP(A:A,[1]android_repos_all_metrics!B:K,5,FALSE)</f>
        <v>12</v>
      </c>
      <c r="AE2114">
        <f>VLOOKUP(A:A,[1]android_repos_all_metrics!B:K,6,FALSE)</f>
        <v>2</v>
      </c>
      <c r="AF2114">
        <f>VLOOKUP(A:A,[1]android_repos_all_metrics!B:K,7,FALSE)</f>
        <v>1695</v>
      </c>
      <c r="AG2114">
        <f>VLOOKUP(A:A,[1]android_repos_all_metrics!B:K,8,FALSE)</f>
        <v>5</v>
      </c>
      <c r="AH2114">
        <f>VLOOKUP(A:A,[1]android_repos_all_metrics!B:K,9,FALSE)</f>
        <v>3</v>
      </c>
      <c r="AI2114">
        <f>VLOOKUP(A:A,[1]android_repos_all_metrics!B:K,10,FALSE)</f>
        <v>5</v>
      </c>
    </row>
    <row r="2115" spans="1:35">
      <c r="A2115" t="s">
        <v>2185</v>
      </c>
      <c r="B2115" t="b">
        <v>1</v>
      </c>
      <c r="C2115" t="b">
        <v>0</v>
      </c>
      <c r="D2115" t="b">
        <v>0</v>
      </c>
      <c r="F2115" t="b">
        <v>0</v>
      </c>
      <c r="H2115" t="s">
        <v>37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>
        <v>1</v>
      </c>
      <c r="AB2115">
        <v>0</v>
      </c>
      <c r="AC2115">
        <f>VLOOKUP(A:A,[1]android_repos_all_metrics!B:K,4,FALSE)</f>
        <v>45</v>
      </c>
      <c r="AD2115">
        <f>VLOOKUP(A:A,[1]android_repos_all_metrics!B:K,5,FALSE)</f>
        <v>6</v>
      </c>
      <c r="AE2115">
        <f>VLOOKUP(A:A,[1]android_repos_all_metrics!B:K,6,FALSE)</f>
        <v>2</v>
      </c>
      <c r="AF2115">
        <f>VLOOKUP(A:A,[1]android_repos_all_metrics!B:K,7,FALSE)</f>
        <v>1551</v>
      </c>
      <c r="AG2115">
        <f>VLOOKUP(A:A,[1]android_repos_all_metrics!B:K,8,FALSE)</f>
        <v>0</v>
      </c>
      <c r="AH2115">
        <f>VLOOKUP(A:A,[1]android_repos_all_metrics!B:K,9,FALSE)</f>
        <v>1</v>
      </c>
      <c r="AI2115">
        <f>VLOOKUP(A:A,[1]android_repos_all_metrics!B:K,10,FALSE)</f>
        <v>0</v>
      </c>
    </row>
    <row r="2116" spans="1:35">
      <c r="A2116" t="s">
        <v>2186</v>
      </c>
      <c r="B2116" t="b">
        <v>0</v>
      </c>
      <c r="C2116" t="b">
        <v>0</v>
      </c>
      <c r="D2116" t="b">
        <v>0</v>
      </c>
      <c r="F2116" t="b">
        <v>0</v>
      </c>
      <c r="H2116" t="s">
        <v>41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>
        <v>1</v>
      </c>
      <c r="AB2116">
        <v>0</v>
      </c>
      <c r="AC2116">
        <f>VLOOKUP(A:A,[1]android_repos_all_metrics!B:K,4,FALSE)</f>
        <v>2238</v>
      </c>
      <c r="AD2116">
        <f>VLOOKUP(A:A,[1]android_repos_all_metrics!B:K,5,FALSE)</f>
        <v>19</v>
      </c>
      <c r="AE2116">
        <f>VLOOKUP(A:A,[1]android_repos_all_metrics!B:K,6,FALSE)</f>
        <v>18</v>
      </c>
      <c r="AF2116">
        <f>VLOOKUP(A:A,[1]android_repos_all_metrics!B:K,7,FALSE)</f>
        <v>117507</v>
      </c>
      <c r="AG2116">
        <f>VLOOKUP(A:A,[1]android_repos_all_metrics!B:K,8,FALSE)</f>
        <v>2</v>
      </c>
      <c r="AH2116">
        <f>VLOOKUP(A:A,[1]android_repos_all_metrics!B:K,9,FALSE)</f>
        <v>2</v>
      </c>
      <c r="AI2116">
        <f>VLOOKUP(A:A,[1]android_repos_all_metrics!B:K,10,FALSE)</f>
        <v>15</v>
      </c>
    </row>
    <row r="2117" spans="1:35">
      <c r="A2117" t="s">
        <v>2187</v>
      </c>
      <c r="B2117" t="b">
        <v>1</v>
      </c>
      <c r="C2117" t="b">
        <v>0</v>
      </c>
      <c r="D2117" t="b">
        <v>0</v>
      </c>
      <c r="F2117" t="b">
        <v>0</v>
      </c>
      <c r="H2117" t="s">
        <v>43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>
        <v>1</v>
      </c>
      <c r="AB2117">
        <v>0</v>
      </c>
      <c r="AC2117">
        <f>VLOOKUP(A:A,[1]android_repos_all_metrics!B:K,4,FALSE)</f>
        <v>193</v>
      </c>
      <c r="AD2117">
        <f>VLOOKUP(A:A,[1]android_repos_all_metrics!B:K,5,FALSE)</f>
        <v>124</v>
      </c>
      <c r="AE2117">
        <f>VLOOKUP(A:A,[1]android_repos_all_metrics!B:K,6,FALSE)</f>
        <v>4</v>
      </c>
      <c r="AF2117">
        <f>VLOOKUP(A:A,[1]android_repos_all_metrics!B:K,7,FALSE)</f>
        <v>731</v>
      </c>
      <c r="AG2117">
        <f>VLOOKUP(A:A,[1]android_repos_all_metrics!B:K,8,FALSE)</f>
        <v>85</v>
      </c>
      <c r="AH2117">
        <f>VLOOKUP(A:A,[1]android_repos_all_metrics!B:K,9,FALSE)</f>
        <v>669</v>
      </c>
      <c r="AI2117">
        <f>VLOOKUP(A:A,[1]android_repos_all_metrics!B:K,10,FALSE)</f>
        <v>12</v>
      </c>
    </row>
    <row r="2118" spans="1:35">
      <c r="A2118" t="s">
        <v>2188</v>
      </c>
      <c r="B2118" t="b">
        <v>1</v>
      </c>
      <c r="C2118" t="b">
        <v>0</v>
      </c>
      <c r="D2118" t="b">
        <v>0</v>
      </c>
      <c r="F2118" t="b">
        <v>0</v>
      </c>
      <c r="H2118" t="s">
        <v>37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>
        <v>4</v>
      </c>
      <c r="AB2118">
        <v>0</v>
      </c>
      <c r="AC2118">
        <f>VLOOKUP(A:A,[1]android_repos_all_metrics!B:K,4,FALSE)</f>
        <v>23021</v>
      </c>
      <c r="AD2118">
        <f>VLOOKUP(A:A,[1]android_repos_all_metrics!B:K,5,FALSE)</f>
        <v>987</v>
      </c>
      <c r="AE2118">
        <f>VLOOKUP(A:A,[1]android_repos_all_metrics!B:K,6,FALSE)</f>
        <v>186</v>
      </c>
      <c r="AF2118">
        <f>VLOOKUP(A:A,[1]android_repos_all_metrics!B:K,7,FALSE)</f>
        <v>370175</v>
      </c>
      <c r="AG2118">
        <f>VLOOKUP(A:A,[1]android_repos_all_metrics!B:K,8,FALSE)</f>
        <v>1021</v>
      </c>
      <c r="AH2118">
        <f>VLOOKUP(A:A,[1]android_repos_all_metrics!B:K,9,FALSE)</f>
        <v>4030</v>
      </c>
      <c r="AI2118">
        <f>VLOOKUP(A:A,[1]android_repos_all_metrics!B:K,10,FALSE)</f>
        <v>360</v>
      </c>
    </row>
    <row r="2119" spans="1:35">
      <c r="A2119" t="s">
        <v>2189</v>
      </c>
      <c r="B2119" t="b">
        <v>1</v>
      </c>
      <c r="C2119" t="b">
        <v>0</v>
      </c>
      <c r="D2119" t="b">
        <v>0</v>
      </c>
      <c r="F2119" t="b">
        <v>0</v>
      </c>
      <c r="H2119" t="s">
        <v>37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>
        <v>1</v>
      </c>
      <c r="AB2119">
        <v>0</v>
      </c>
      <c r="AC2119">
        <f>VLOOKUP(A:A,[1]android_repos_all_metrics!B:K,4,FALSE)</f>
        <v>34</v>
      </c>
      <c r="AD2119">
        <f>VLOOKUP(A:A,[1]android_repos_all_metrics!B:K,5,FALSE)</f>
        <v>1</v>
      </c>
      <c r="AE2119">
        <f>VLOOKUP(A:A,[1]android_repos_all_metrics!B:K,6,FALSE)</f>
        <v>1</v>
      </c>
      <c r="AF2119">
        <f>VLOOKUP(A:A,[1]android_repos_all_metrics!B:K,7,FALSE)</f>
        <v>12934</v>
      </c>
      <c r="AG2119">
        <f>VLOOKUP(A:A,[1]android_repos_all_metrics!B:K,8,FALSE)</f>
        <v>3</v>
      </c>
      <c r="AH2119">
        <f>VLOOKUP(A:A,[1]android_repos_all_metrics!B:K,9,FALSE)</f>
        <v>24</v>
      </c>
      <c r="AI2119">
        <f>VLOOKUP(A:A,[1]android_repos_all_metrics!B:K,10,FALSE)</f>
        <v>0</v>
      </c>
    </row>
    <row r="2120" spans="1:35">
      <c r="A2120" t="s">
        <v>2190</v>
      </c>
      <c r="B2120" t="b">
        <v>0</v>
      </c>
      <c r="C2120" t="b">
        <v>0</v>
      </c>
      <c r="D2120" t="b">
        <v>0</v>
      </c>
      <c r="F2120" t="b">
        <v>0</v>
      </c>
      <c r="H2120" t="s">
        <v>41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>
        <v>1</v>
      </c>
      <c r="AB2120">
        <v>0</v>
      </c>
      <c r="AC2120">
        <f>VLOOKUP(A:A,[1]android_repos_all_metrics!B:K,4,FALSE)</f>
        <v>62</v>
      </c>
      <c r="AD2120">
        <f>VLOOKUP(A:A,[1]android_repos_all_metrics!B:K,5,FALSE)</f>
        <v>1</v>
      </c>
      <c r="AE2120">
        <f>VLOOKUP(A:A,[1]android_repos_all_metrics!B:K,6,FALSE)</f>
        <v>1</v>
      </c>
      <c r="AF2120">
        <f>VLOOKUP(A:A,[1]android_repos_all_metrics!B:K,7,FALSE)</f>
        <v>3233</v>
      </c>
      <c r="AG2120">
        <f>VLOOKUP(A:A,[1]android_repos_all_metrics!B:K,8,FALSE)</f>
        <v>1</v>
      </c>
      <c r="AH2120">
        <f>VLOOKUP(A:A,[1]android_repos_all_metrics!B:K,9,FALSE)</f>
        <v>3</v>
      </c>
      <c r="AI2120">
        <f>VLOOKUP(A:A,[1]android_repos_all_metrics!B:K,10,FALSE)</f>
        <v>0</v>
      </c>
    </row>
    <row r="2121" spans="1:35">
      <c r="A2121" t="s">
        <v>2191</v>
      </c>
      <c r="B2121" t="b">
        <v>1</v>
      </c>
      <c r="C2121" t="b">
        <v>0</v>
      </c>
      <c r="D2121" t="b">
        <v>0</v>
      </c>
      <c r="F2121" t="b">
        <v>0</v>
      </c>
      <c r="H2121" t="s">
        <v>37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>
        <v>2</v>
      </c>
      <c r="AB2121">
        <v>0</v>
      </c>
      <c r="AC2121">
        <f>VLOOKUP(A:A,[1]android_repos_all_metrics!B:K,4,FALSE)</f>
        <v>299</v>
      </c>
      <c r="AD2121">
        <f>VLOOKUP(A:A,[1]android_repos_all_metrics!B:K,5,FALSE)</f>
        <v>5</v>
      </c>
      <c r="AE2121">
        <f>VLOOKUP(A:A,[1]android_repos_all_metrics!B:K,6,FALSE)</f>
        <v>6</v>
      </c>
      <c r="AF2121">
        <f>VLOOKUP(A:A,[1]android_repos_all_metrics!B:K,7,FALSE)</f>
        <v>3487</v>
      </c>
      <c r="AG2121">
        <f>VLOOKUP(A:A,[1]android_repos_all_metrics!B:K,8,FALSE)</f>
        <v>11</v>
      </c>
      <c r="AH2121">
        <f>VLOOKUP(A:A,[1]android_repos_all_metrics!B:K,9,FALSE)</f>
        <v>7</v>
      </c>
      <c r="AI2121">
        <f>VLOOKUP(A:A,[1]android_repos_all_metrics!B:K,10,FALSE)</f>
        <v>0</v>
      </c>
    </row>
    <row r="2122" spans="1:35">
      <c r="A2122" t="s">
        <v>2192</v>
      </c>
      <c r="B2122" t="b">
        <v>1</v>
      </c>
      <c r="C2122" t="b">
        <v>0</v>
      </c>
      <c r="D2122" t="b">
        <v>0</v>
      </c>
      <c r="F2122" t="b">
        <v>0</v>
      </c>
      <c r="H2122" t="s">
        <v>37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>
        <v>1</v>
      </c>
      <c r="AB2122">
        <v>0</v>
      </c>
      <c r="AC2122">
        <f>VLOOKUP(A:A,[1]android_repos_all_metrics!B:K,4,FALSE)</f>
        <v>162</v>
      </c>
      <c r="AD2122">
        <f>VLOOKUP(A:A,[1]android_repos_all_metrics!B:K,5,FALSE)</f>
        <v>195</v>
      </c>
      <c r="AE2122">
        <f>VLOOKUP(A:A,[1]android_repos_all_metrics!B:K,6,FALSE)</f>
        <v>9</v>
      </c>
      <c r="AF2122">
        <f>VLOOKUP(A:A,[1]android_repos_all_metrics!B:K,7,FALSE)</f>
        <v>13953</v>
      </c>
      <c r="AG2122">
        <f>VLOOKUP(A:A,[1]android_repos_all_metrics!B:K,8,FALSE)</f>
        <v>2</v>
      </c>
      <c r="AH2122">
        <f>VLOOKUP(A:A,[1]android_repos_all_metrics!B:K,9,FALSE)</f>
        <v>1</v>
      </c>
      <c r="AI2122">
        <f>VLOOKUP(A:A,[1]android_repos_all_metrics!B:K,10,FALSE)</f>
        <v>16</v>
      </c>
    </row>
    <row r="2123" spans="1:35">
      <c r="A2123" t="s">
        <v>2193</v>
      </c>
      <c r="B2123" t="b">
        <v>1</v>
      </c>
      <c r="C2123" t="b">
        <v>0</v>
      </c>
      <c r="D2123" t="b">
        <v>0</v>
      </c>
      <c r="F2123" t="b">
        <v>0</v>
      </c>
      <c r="H2123" t="s">
        <v>37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>
        <v>1</v>
      </c>
      <c r="AB2123">
        <v>0</v>
      </c>
      <c r="AC2123">
        <f>VLOOKUP(A:A,[1]android_repos_all_metrics!B:K,4,FALSE)</f>
        <v>286</v>
      </c>
      <c r="AD2123">
        <f>VLOOKUP(A:A,[1]android_repos_all_metrics!B:K,5,FALSE)</f>
        <v>185</v>
      </c>
      <c r="AE2123">
        <f>VLOOKUP(A:A,[1]android_repos_all_metrics!B:K,6,FALSE)</f>
        <v>12</v>
      </c>
      <c r="AF2123">
        <f>VLOOKUP(A:A,[1]android_repos_all_metrics!B:K,7,FALSE)</f>
        <v>14104</v>
      </c>
      <c r="AG2123">
        <f>VLOOKUP(A:A,[1]android_repos_all_metrics!B:K,8,FALSE)</f>
        <v>2</v>
      </c>
      <c r="AH2123">
        <f>VLOOKUP(A:A,[1]android_repos_all_metrics!B:K,9,FALSE)</f>
        <v>1</v>
      </c>
      <c r="AI2123">
        <f>VLOOKUP(A:A,[1]android_repos_all_metrics!B:K,10,FALSE)</f>
        <v>13</v>
      </c>
    </row>
    <row r="2124" spans="1:35">
      <c r="A2124" t="s">
        <v>2194</v>
      </c>
      <c r="B2124" t="b">
        <v>1</v>
      </c>
      <c r="C2124" t="b">
        <v>0</v>
      </c>
      <c r="D2124" t="b">
        <v>0</v>
      </c>
      <c r="F2124" t="b">
        <v>0</v>
      </c>
      <c r="H2124" t="s">
        <v>37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>
        <v>1</v>
      </c>
      <c r="AB2124">
        <v>0</v>
      </c>
      <c r="AC2124">
        <f>VLOOKUP(A:A,[1]android_repos_all_metrics!B:K,4,FALSE)</f>
        <v>25</v>
      </c>
      <c r="AD2124">
        <f>VLOOKUP(A:A,[1]android_repos_all_metrics!B:K,5,FALSE)</f>
        <v>2</v>
      </c>
      <c r="AE2124">
        <f>VLOOKUP(A:A,[1]android_repos_all_metrics!B:K,6,FALSE)</f>
        <v>2</v>
      </c>
      <c r="AF2124">
        <f>VLOOKUP(A:A,[1]android_repos_all_metrics!B:K,7,FALSE)</f>
        <v>11679</v>
      </c>
      <c r="AG2124">
        <f>VLOOKUP(A:A,[1]android_repos_all_metrics!B:K,8,FALSE)</f>
        <v>18</v>
      </c>
      <c r="AH2124">
        <f>VLOOKUP(A:A,[1]android_repos_all_metrics!B:K,9,FALSE)</f>
        <v>301</v>
      </c>
      <c r="AI2124">
        <f>VLOOKUP(A:A,[1]android_repos_all_metrics!B:K,10,FALSE)</f>
        <v>0</v>
      </c>
    </row>
    <row r="2125" spans="1:35">
      <c r="A2125" t="s">
        <v>2195</v>
      </c>
      <c r="B2125" t="b">
        <v>0</v>
      </c>
      <c r="C2125" t="b">
        <v>0</v>
      </c>
      <c r="D2125" t="b">
        <v>0</v>
      </c>
      <c r="F2125" t="b">
        <v>0</v>
      </c>
      <c r="H2125" t="s">
        <v>41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>
        <v>1</v>
      </c>
      <c r="AB2125">
        <v>0</v>
      </c>
      <c r="AC2125">
        <f>VLOOKUP(A:A,[1]android_repos_all_metrics!B:K,4,FALSE)</f>
        <v>83</v>
      </c>
      <c r="AD2125">
        <f>VLOOKUP(A:A,[1]android_repos_all_metrics!B:K,5,FALSE)</f>
        <v>1</v>
      </c>
      <c r="AE2125">
        <f>VLOOKUP(A:A,[1]android_repos_all_metrics!B:K,6,FALSE)</f>
        <v>3</v>
      </c>
      <c r="AF2125">
        <f>VLOOKUP(A:A,[1]android_repos_all_metrics!B:K,7,FALSE)</f>
        <v>973</v>
      </c>
      <c r="AG2125">
        <f>VLOOKUP(A:A,[1]android_repos_all_metrics!B:K,8,FALSE)</f>
        <v>4</v>
      </c>
      <c r="AH2125">
        <f>VLOOKUP(A:A,[1]android_repos_all_metrics!B:K,9,FALSE)</f>
        <v>46</v>
      </c>
      <c r="AI2125">
        <f>VLOOKUP(A:A,[1]android_repos_all_metrics!B:K,10,FALSE)</f>
        <v>0</v>
      </c>
    </row>
    <row r="2126" spans="1:35">
      <c r="A2126" t="s">
        <v>2196</v>
      </c>
      <c r="B2126" t="b">
        <v>1</v>
      </c>
      <c r="C2126" t="b">
        <v>0</v>
      </c>
      <c r="D2126" t="b">
        <v>0</v>
      </c>
      <c r="F2126" t="b">
        <v>0</v>
      </c>
      <c r="H2126" t="s">
        <v>37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>
        <v>1</v>
      </c>
      <c r="AB2126">
        <v>0</v>
      </c>
      <c r="AC2126">
        <f>VLOOKUP(A:A,[1]android_repos_all_metrics!B:K,4,FALSE)</f>
        <v>48</v>
      </c>
      <c r="AD2126">
        <f>VLOOKUP(A:A,[1]android_repos_all_metrics!B:K,5,FALSE)</f>
        <v>0</v>
      </c>
      <c r="AE2126">
        <f>VLOOKUP(A:A,[1]android_repos_all_metrics!B:K,6,FALSE)</f>
        <v>1</v>
      </c>
      <c r="AF2126">
        <f>VLOOKUP(A:A,[1]android_repos_all_metrics!B:K,7,FALSE)</f>
        <v>252</v>
      </c>
      <c r="AG2126">
        <f>VLOOKUP(A:A,[1]android_repos_all_metrics!B:K,8,FALSE)</f>
        <v>1</v>
      </c>
      <c r="AH2126">
        <f>VLOOKUP(A:A,[1]android_repos_all_metrics!B:K,9,FALSE)</f>
        <v>2</v>
      </c>
      <c r="AI2126">
        <f>VLOOKUP(A:A,[1]android_repos_all_metrics!B:K,10,FALSE)</f>
        <v>0</v>
      </c>
    </row>
    <row r="2127" spans="1:35">
      <c r="A2127" t="s">
        <v>2197</v>
      </c>
      <c r="B2127" t="b">
        <v>1</v>
      </c>
      <c r="C2127" t="b">
        <v>0</v>
      </c>
      <c r="D2127" t="b">
        <v>0</v>
      </c>
      <c r="F2127" t="b">
        <v>0</v>
      </c>
      <c r="H2127" t="s">
        <v>37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>
        <v>1</v>
      </c>
      <c r="AB2127">
        <v>0</v>
      </c>
      <c r="AC2127">
        <f>VLOOKUP(A:A,[1]android_repos_all_metrics!B:K,4,FALSE)</f>
        <v>1755</v>
      </c>
      <c r="AD2127">
        <f>VLOOKUP(A:A,[1]android_repos_all_metrics!B:K,5,FALSE)</f>
        <v>2</v>
      </c>
      <c r="AE2127">
        <f>VLOOKUP(A:A,[1]android_repos_all_metrics!B:K,6,FALSE)</f>
        <v>1</v>
      </c>
      <c r="AF2127">
        <f>VLOOKUP(A:A,[1]android_repos_all_metrics!B:K,7,FALSE)</f>
        <v>4402</v>
      </c>
      <c r="AG2127">
        <f>VLOOKUP(A:A,[1]android_repos_all_metrics!B:K,8,FALSE)</f>
        <v>3</v>
      </c>
      <c r="AH2127">
        <f>VLOOKUP(A:A,[1]android_repos_all_metrics!B:K,9,FALSE)</f>
        <v>51</v>
      </c>
      <c r="AI2127">
        <f>VLOOKUP(A:A,[1]android_repos_all_metrics!B:K,10,FALSE)</f>
        <v>1</v>
      </c>
    </row>
    <row r="2128" spans="1:35">
      <c r="A2128" t="s">
        <v>2198</v>
      </c>
      <c r="B2128" t="b">
        <v>1</v>
      </c>
      <c r="C2128" t="b">
        <v>0</v>
      </c>
      <c r="D2128" t="b">
        <v>0</v>
      </c>
      <c r="F2128" t="b">
        <v>0</v>
      </c>
      <c r="H2128" t="s">
        <v>37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>
        <v>1</v>
      </c>
      <c r="AB2128">
        <v>0</v>
      </c>
      <c r="AC2128" t="e">
        <f>VLOOKUP(A:A,[1]android_repos_all_metrics!B:K,4,FALSE)</f>
        <v>#N/A</v>
      </c>
      <c r="AD2128" t="e">
        <f>VLOOKUP(A:A,[1]android_repos_all_metrics!B:K,5,FALSE)</f>
        <v>#N/A</v>
      </c>
      <c r="AE2128" t="e">
        <f>VLOOKUP(A:A,[1]android_repos_all_metrics!B:K,6,FALSE)</f>
        <v>#N/A</v>
      </c>
      <c r="AF2128" t="e">
        <f>VLOOKUP(A:A,[1]android_repos_all_metrics!B:K,7,FALSE)</f>
        <v>#N/A</v>
      </c>
      <c r="AG2128" t="e">
        <f>VLOOKUP(A:A,[1]android_repos_all_metrics!B:K,8,FALSE)</f>
        <v>#N/A</v>
      </c>
      <c r="AH2128" t="e">
        <f>VLOOKUP(A:A,[1]android_repos_all_metrics!B:K,9,FALSE)</f>
        <v>#N/A</v>
      </c>
      <c r="AI2128" t="e">
        <f>VLOOKUP(A:A,[1]android_repos_all_metrics!B:K,10,FALSE)</f>
        <v>#N/A</v>
      </c>
    </row>
    <row r="2129" spans="1:35">
      <c r="A2129" t="s">
        <v>2199</v>
      </c>
      <c r="B2129" t="b">
        <v>1</v>
      </c>
      <c r="C2129" t="b">
        <v>0</v>
      </c>
      <c r="D2129" t="b">
        <v>0</v>
      </c>
      <c r="F2129" t="b">
        <v>0</v>
      </c>
      <c r="H2129" t="s">
        <v>37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>
        <v>1</v>
      </c>
      <c r="AB2129">
        <v>0</v>
      </c>
      <c r="AC2129">
        <f>VLOOKUP(A:A,[1]android_repos_all_metrics!B:K,4,FALSE)</f>
        <v>455</v>
      </c>
      <c r="AD2129">
        <f>VLOOKUP(A:A,[1]android_repos_all_metrics!B:K,5,FALSE)</f>
        <v>96</v>
      </c>
      <c r="AE2129">
        <f>VLOOKUP(A:A,[1]android_repos_all_metrics!B:K,6,FALSE)</f>
        <v>1</v>
      </c>
      <c r="AF2129">
        <f>VLOOKUP(A:A,[1]android_repos_all_metrics!B:K,7,FALSE)</f>
        <v>6512</v>
      </c>
      <c r="AG2129">
        <f>VLOOKUP(A:A,[1]android_repos_all_metrics!B:K,8,FALSE)</f>
        <v>0</v>
      </c>
      <c r="AH2129">
        <f>VLOOKUP(A:A,[1]android_repos_all_metrics!B:K,9,FALSE)</f>
        <v>2</v>
      </c>
      <c r="AI2129">
        <f>VLOOKUP(A:A,[1]android_repos_all_metrics!B:K,10,FALSE)</f>
        <v>7</v>
      </c>
    </row>
    <row r="2130" spans="1:35">
      <c r="A2130" t="s">
        <v>2200</v>
      </c>
      <c r="B2130" t="b">
        <v>1</v>
      </c>
      <c r="C2130" t="b">
        <v>0</v>
      </c>
      <c r="D2130" t="b">
        <v>0</v>
      </c>
      <c r="F2130" t="b">
        <v>0</v>
      </c>
      <c r="H2130" t="s">
        <v>37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>
        <v>2</v>
      </c>
      <c r="AB2130">
        <v>0</v>
      </c>
      <c r="AC2130">
        <f>VLOOKUP(A:A,[1]android_repos_all_metrics!B:K,4,FALSE)</f>
        <v>310</v>
      </c>
      <c r="AD2130">
        <f>VLOOKUP(A:A,[1]android_repos_all_metrics!B:K,5,FALSE)</f>
        <v>20</v>
      </c>
      <c r="AE2130">
        <f>VLOOKUP(A:A,[1]android_repos_all_metrics!B:K,6,FALSE)</f>
        <v>9</v>
      </c>
      <c r="AF2130">
        <f>VLOOKUP(A:A,[1]android_repos_all_metrics!B:K,7,FALSE)</f>
        <v>25015</v>
      </c>
      <c r="AG2130">
        <f>VLOOKUP(A:A,[1]android_repos_all_metrics!B:K,8,FALSE)</f>
        <v>16</v>
      </c>
      <c r="AH2130">
        <f>VLOOKUP(A:A,[1]android_repos_all_metrics!B:K,9,FALSE)</f>
        <v>18</v>
      </c>
      <c r="AI2130">
        <f>VLOOKUP(A:A,[1]android_repos_all_metrics!B:K,10,FALSE)</f>
        <v>12</v>
      </c>
    </row>
    <row r="2131" spans="1:35">
      <c r="A2131" t="s">
        <v>2201</v>
      </c>
      <c r="B2131" t="b">
        <v>1</v>
      </c>
      <c r="C2131" t="b">
        <v>0</v>
      </c>
      <c r="D2131" t="b">
        <v>0</v>
      </c>
      <c r="F2131" t="b">
        <v>0</v>
      </c>
      <c r="H2131" t="s">
        <v>37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>
        <v>4</v>
      </c>
      <c r="AB2131">
        <v>0</v>
      </c>
      <c r="AC2131">
        <f>VLOOKUP(A:A,[1]android_repos_all_metrics!B:K,4,FALSE)</f>
        <v>195</v>
      </c>
      <c r="AD2131">
        <f>VLOOKUP(A:A,[1]android_repos_all_metrics!B:K,5,FALSE)</f>
        <v>41</v>
      </c>
      <c r="AE2131">
        <f>VLOOKUP(A:A,[1]android_repos_all_metrics!B:K,6,FALSE)</f>
        <v>5</v>
      </c>
      <c r="AF2131">
        <f>VLOOKUP(A:A,[1]android_repos_all_metrics!B:K,7,FALSE)</f>
        <v>8300</v>
      </c>
      <c r="AG2131">
        <f>VLOOKUP(A:A,[1]android_repos_all_metrics!B:K,8,FALSE)</f>
        <v>2</v>
      </c>
      <c r="AH2131">
        <f>VLOOKUP(A:A,[1]android_repos_all_metrics!B:K,9,FALSE)</f>
        <v>4</v>
      </c>
      <c r="AI2131">
        <f>VLOOKUP(A:A,[1]android_repos_all_metrics!B:K,10,FALSE)</f>
        <v>8</v>
      </c>
    </row>
    <row r="2132" spans="1:35">
      <c r="A2132" t="s">
        <v>2202</v>
      </c>
      <c r="B2132" t="b">
        <v>1</v>
      </c>
      <c r="C2132" t="b">
        <v>0</v>
      </c>
      <c r="D2132" t="b">
        <v>0</v>
      </c>
      <c r="F2132" t="b">
        <v>0</v>
      </c>
      <c r="H2132" t="s">
        <v>37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>
        <v>1</v>
      </c>
      <c r="AB2132">
        <v>0</v>
      </c>
      <c r="AC2132">
        <f>VLOOKUP(A:A,[1]android_repos_all_metrics!B:K,4,FALSE)</f>
        <v>815</v>
      </c>
      <c r="AD2132">
        <f>VLOOKUP(A:A,[1]android_repos_all_metrics!B:K,5,FALSE)</f>
        <v>14</v>
      </c>
      <c r="AE2132">
        <f>VLOOKUP(A:A,[1]android_repos_all_metrics!B:K,6,FALSE)</f>
        <v>24</v>
      </c>
      <c r="AF2132">
        <f>VLOOKUP(A:A,[1]android_repos_all_metrics!B:K,7,FALSE)</f>
        <v>38647</v>
      </c>
      <c r="AG2132">
        <f>VLOOKUP(A:A,[1]android_repos_all_metrics!B:K,8,FALSE)</f>
        <v>8</v>
      </c>
      <c r="AH2132">
        <f>VLOOKUP(A:A,[1]android_repos_all_metrics!B:K,9,FALSE)</f>
        <v>43</v>
      </c>
      <c r="AI2132">
        <f>VLOOKUP(A:A,[1]android_repos_all_metrics!B:K,10,FALSE)</f>
        <v>1</v>
      </c>
    </row>
    <row r="2133" spans="1:35">
      <c r="A2133" t="s">
        <v>2203</v>
      </c>
      <c r="B2133" t="b">
        <v>1</v>
      </c>
      <c r="C2133" t="b">
        <v>0</v>
      </c>
      <c r="D2133" t="b">
        <v>0</v>
      </c>
      <c r="F2133" t="b">
        <v>0</v>
      </c>
      <c r="H2133" t="s">
        <v>37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>
        <v>3</v>
      </c>
      <c r="AB2133">
        <v>0</v>
      </c>
      <c r="AC2133">
        <f>VLOOKUP(A:A,[1]android_repos_all_metrics!B:K,4,FALSE)</f>
        <v>0</v>
      </c>
      <c r="AD2133">
        <f>VLOOKUP(A:A,[1]android_repos_all_metrics!B:K,5,FALSE)</f>
        <v>0</v>
      </c>
      <c r="AE2133">
        <f>VLOOKUP(A:A,[1]android_repos_all_metrics!B:K,6,FALSE)</f>
        <v>0</v>
      </c>
      <c r="AF2133">
        <f>VLOOKUP(A:A,[1]android_repos_all_metrics!B:K,7,FALSE)</f>
        <v>569</v>
      </c>
      <c r="AG2133">
        <f>VLOOKUP(A:A,[1]android_repos_all_metrics!B:K,8,FALSE)</f>
        <v>1</v>
      </c>
      <c r="AH2133">
        <f>VLOOKUP(A:A,[1]android_repos_all_metrics!B:K,9,FALSE)</f>
        <v>6</v>
      </c>
      <c r="AI2133">
        <f>VLOOKUP(A:A,[1]android_repos_all_metrics!B:K,10,FALSE)</f>
        <v>8</v>
      </c>
    </row>
    <row r="2134" spans="1:35">
      <c r="A2134" t="s">
        <v>2204</v>
      </c>
      <c r="B2134" t="b">
        <v>1</v>
      </c>
      <c r="C2134" t="b">
        <v>0</v>
      </c>
      <c r="D2134" t="b">
        <v>0</v>
      </c>
      <c r="F2134" t="b">
        <v>0</v>
      </c>
      <c r="H2134" t="s">
        <v>37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>
        <v>1</v>
      </c>
      <c r="AB2134">
        <v>0</v>
      </c>
      <c r="AC2134">
        <f>VLOOKUP(A:A,[1]android_repos_all_metrics!B:K,4,FALSE)</f>
        <v>108</v>
      </c>
      <c r="AD2134">
        <f>VLOOKUP(A:A,[1]android_repos_all_metrics!B:K,5,FALSE)</f>
        <v>17</v>
      </c>
      <c r="AE2134">
        <f>VLOOKUP(A:A,[1]android_repos_all_metrics!B:K,6,FALSE)</f>
        <v>2</v>
      </c>
      <c r="AF2134">
        <f>VLOOKUP(A:A,[1]android_repos_all_metrics!B:K,7,FALSE)</f>
        <v>1152</v>
      </c>
      <c r="AG2134">
        <f>VLOOKUP(A:A,[1]android_repos_all_metrics!B:K,8,FALSE)</f>
        <v>7</v>
      </c>
      <c r="AH2134">
        <f>VLOOKUP(A:A,[1]android_repos_all_metrics!B:K,9,FALSE)</f>
        <v>28</v>
      </c>
      <c r="AI2134">
        <f>VLOOKUP(A:A,[1]android_repos_all_metrics!B:K,10,FALSE)</f>
        <v>0</v>
      </c>
    </row>
    <row r="2135" spans="1:35">
      <c r="A2135" t="s">
        <v>2205</v>
      </c>
      <c r="B2135" t="b">
        <v>1</v>
      </c>
      <c r="C2135" t="b">
        <v>0</v>
      </c>
      <c r="D2135" t="b">
        <v>0</v>
      </c>
      <c r="F2135" t="b">
        <v>0</v>
      </c>
      <c r="H2135" t="s">
        <v>41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>
        <v>1</v>
      </c>
      <c r="AB2135">
        <v>0</v>
      </c>
      <c r="AC2135">
        <f>VLOOKUP(A:A,[1]android_repos_all_metrics!B:K,4,FALSE)</f>
        <v>103</v>
      </c>
      <c r="AD2135">
        <f>VLOOKUP(A:A,[1]android_repos_all_metrics!B:K,5,FALSE)</f>
        <v>1</v>
      </c>
      <c r="AE2135">
        <f>VLOOKUP(A:A,[1]android_repos_all_metrics!B:K,6,FALSE)</f>
        <v>3</v>
      </c>
      <c r="AF2135">
        <f>VLOOKUP(A:A,[1]android_repos_all_metrics!B:K,7,FALSE)</f>
        <v>18730</v>
      </c>
      <c r="AG2135">
        <f>VLOOKUP(A:A,[1]android_repos_all_metrics!B:K,8,FALSE)</f>
        <v>6</v>
      </c>
      <c r="AH2135">
        <f>VLOOKUP(A:A,[1]android_repos_all_metrics!B:K,9,FALSE)</f>
        <v>10</v>
      </c>
      <c r="AI2135">
        <f>VLOOKUP(A:A,[1]android_repos_all_metrics!B:K,10,FALSE)</f>
        <v>1</v>
      </c>
    </row>
    <row r="2136" spans="1:35">
      <c r="A2136" t="s">
        <v>2206</v>
      </c>
      <c r="B2136" t="b">
        <v>1</v>
      </c>
      <c r="C2136" t="b">
        <v>0</v>
      </c>
      <c r="D2136" t="b">
        <v>0</v>
      </c>
      <c r="F2136" t="b">
        <v>0</v>
      </c>
      <c r="H2136" t="s">
        <v>37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>
        <v>2</v>
      </c>
      <c r="AB2136">
        <v>0</v>
      </c>
      <c r="AC2136">
        <f>VLOOKUP(A:A,[1]android_repos_all_metrics!B:K,4,FALSE)</f>
        <v>398</v>
      </c>
      <c r="AD2136">
        <f>VLOOKUP(A:A,[1]android_repos_all_metrics!B:K,5,FALSE)</f>
        <v>64</v>
      </c>
      <c r="AE2136">
        <f>VLOOKUP(A:A,[1]android_repos_all_metrics!B:K,6,FALSE)</f>
        <v>26</v>
      </c>
      <c r="AF2136">
        <f>VLOOKUP(A:A,[1]android_repos_all_metrics!B:K,7,FALSE)</f>
        <v>13186</v>
      </c>
      <c r="AG2136">
        <f>VLOOKUP(A:A,[1]android_repos_all_metrics!B:K,8,FALSE)</f>
        <v>20</v>
      </c>
      <c r="AH2136">
        <f>VLOOKUP(A:A,[1]android_repos_all_metrics!B:K,9,FALSE)</f>
        <v>519</v>
      </c>
      <c r="AI2136">
        <f>VLOOKUP(A:A,[1]android_repos_all_metrics!B:K,10,FALSE)</f>
        <v>41</v>
      </c>
    </row>
    <row r="2137" spans="1:35">
      <c r="A2137" t="s">
        <v>2207</v>
      </c>
      <c r="B2137" t="b">
        <v>1</v>
      </c>
      <c r="C2137" t="b">
        <v>0</v>
      </c>
      <c r="D2137" t="b">
        <v>0</v>
      </c>
      <c r="F2137" t="b">
        <v>0</v>
      </c>
      <c r="H2137" t="s">
        <v>43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>
        <v>1</v>
      </c>
      <c r="AB2137">
        <v>0</v>
      </c>
      <c r="AC2137">
        <f>VLOOKUP(A:A,[1]android_repos_all_metrics!B:K,4,FALSE)</f>
        <v>17</v>
      </c>
      <c r="AD2137">
        <f>VLOOKUP(A:A,[1]android_repos_all_metrics!B:K,5,FALSE)</f>
        <v>0</v>
      </c>
      <c r="AE2137">
        <f>VLOOKUP(A:A,[1]android_repos_all_metrics!B:K,6,FALSE)</f>
        <v>1</v>
      </c>
      <c r="AF2137">
        <f>VLOOKUP(A:A,[1]android_repos_all_metrics!B:K,7,FALSE)</f>
        <v>243</v>
      </c>
      <c r="AG2137">
        <f>VLOOKUP(A:A,[1]android_repos_all_metrics!B:K,8,FALSE)</f>
        <v>4</v>
      </c>
      <c r="AH2137">
        <f>VLOOKUP(A:A,[1]android_repos_all_metrics!B:K,9,FALSE)</f>
        <v>8</v>
      </c>
      <c r="AI2137">
        <f>VLOOKUP(A:A,[1]android_repos_all_metrics!B:K,10,FALSE)</f>
        <v>0</v>
      </c>
    </row>
    <row r="2138" spans="1:35">
      <c r="A2138" t="s">
        <v>2208</v>
      </c>
      <c r="B2138" t="b">
        <v>1</v>
      </c>
      <c r="C2138" t="b">
        <v>0</v>
      </c>
      <c r="D2138" t="b">
        <v>0</v>
      </c>
      <c r="F2138" t="b">
        <v>0</v>
      </c>
      <c r="H2138" t="s">
        <v>37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>
        <v>1</v>
      </c>
      <c r="AB2138">
        <v>0</v>
      </c>
      <c r="AC2138">
        <f>VLOOKUP(A:A,[1]android_repos_all_metrics!B:K,4,FALSE)</f>
        <v>37</v>
      </c>
      <c r="AD2138">
        <f>VLOOKUP(A:A,[1]android_repos_all_metrics!B:K,5,FALSE)</f>
        <v>0</v>
      </c>
      <c r="AE2138">
        <f>VLOOKUP(A:A,[1]android_repos_all_metrics!B:K,6,FALSE)</f>
        <v>1</v>
      </c>
      <c r="AF2138">
        <f>VLOOKUP(A:A,[1]android_repos_all_metrics!B:K,7,FALSE)</f>
        <v>38429</v>
      </c>
      <c r="AG2138">
        <f>VLOOKUP(A:A,[1]android_repos_all_metrics!B:K,8,FALSE)</f>
        <v>1</v>
      </c>
      <c r="AH2138">
        <f>VLOOKUP(A:A,[1]android_repos_all_metrics!B:K,9,FALSE)</f>
        <v>13</v>
      </c>
      <c r="AI2138">
        <f>VLOOKUP(A:A,[1]android_repos_all_metrics!B:K,10,FALSE)</f>
        <v>0</v>
      </c>
    </row>
    <row r="2139" spans="1:35">
      <c r="A2139" t="s">
        <v>2209</v>
      </c>
      <c r="B2139" t="b">
        <v>0</v>
      </c>
      <c r="C2139" t="b">
        <v>0</v>
      </c>
      <c r="D2139" t="b">
        <v>0</v>
      </c>
      <c r="F2139" t="b">
        <v>0</v>
      </c>
      <c r="H2139" t="s">
        <v>41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>
        <v>1</v>
      </c>
      <c r="AB2139">
        <v>0</v>
      </c>
      <c r="AC2139">
        <f>VLOOKUP(A:A,[1]android_repos_all_metrics!B:K,4,FALSE)</f>
        <v>27</v>
      </c>
      <c r="AD2139">
        <f>VLOOKUP(A:A,[1]android_repos_all_metrics!B:K,5,FALSE)</f>
        <v>0</v>
      </c>
      <c r="AE2139">
        <f>VLOOKUP(A:A,[1]android_repos_all_metrics!B:K,6,FALSE)</f>
        <v>1</v>
      </c>
      <c r="AF2139">
        <f>VLOOKUP(A:A,[1]android_repos_all_metrics!B:K,7,FALSE)</f>
        <v>171</v>
      </c>
      <c r="AG2139">
        <f>VLOOKUP(A:A,[1]android_repos_all_metrics!B:K,8,FALSE)</f>
        <v>4</v>
      </c>
      <c r="AH2139">
        <f>VLOOKUP(A:A,[1]android_repos_all_metrics!B:K,9,FALSE)</f>
        <v>9</v>
      </c>
      <c r="AI2139">
        <f>VLOOKUP(A:A,[1]android_repos_all_metrics!B:K,10,FALSE)</f>
        <v>1</v>
      </c>
    </row>
    <row r="2140" spans="1:35">
      <c r="A2140" t="s">
        <v>2210</v>
      </c>
      <c r="B2140" t="b">
        <v>1</v>
      </c>
      <c r="C2140" t="b">
        <v>1</v>
      </c>
      <c r="D2140" t="b">
        <v>1</v>
      </c>
      <c r="E2140" t="s">
        <v>557</v>
      </c>
      <c r="F2140" t="b">
        <v>0</v>
      </c>
      <c r="H2140" t="s">
        <v>37</v>
      </c>
      <c r="I2140" t="s">
        <v>37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>
        <v>4</v>
      </c>
      <c r="AB2140">
        <v>0</v>
      </c>
      <c r="AC2140">
        <f>VLOOKUP(A:A,[1]android_repos_all_metrics!B:K,4,FALSE)</f>
        <v>1993</v>
      </c>
      <c r="AD2140">
        <f>VLOOKUP(A:A,[1]android_repos_all_metrics!B:K,5,FALSE)</f>
        <v>314</v>
      </c>
      <c r="AE2140">
        <f>VLOOKUP(A:A,[1]android_repos_all_metrics!B:K,6,FALSE)</f>
        <v>5</v>
      </c>
      <c r="AF2140">
        <f>VLOOKUP(A:A,[1]android_repos_all_metrics!B:K,7,FALSE)</f>
        <v>29794</v>
      </c>
      <c r="AG2140">
        <f>VLOOKUP(A:A,[1]android_repos_all_metrics!B:K,8,FALSE)</f>
        <v>1</v>
      </c>
      <c r="AH2140">
        <f>VLOOKUP(A:A,[1]android_repos_all_metrics!B:K,9,FALSE)</f>
        <v>6</v>
      </c>
      <c r="AI2140">
        <f>VLOOKUP(A:A,[1]android_repos_all_metrics!B:K,10,FALSE)</f>
        <v>6</v>
      </c>
    </row>
    <row r="2141" spans="1:35">
      <c r="A2141" t="s">
        <v>2211</v>
      </c>
      <c r="B2141" t="b">
        <v>1</v>
      </c>
      <c r="C2141" t="b">
        <v>0</v>
      </c>
      <c r="D2141" t="b">
        <v>0</v>
      </c>
      <c r="F2141" t="b">
        <v>0</v>
      </c>
      <c r="H2141" t="s">
        <v>37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>
        <v>1</v>
      </c>
      <c r="AB2141">
        <v>0</v>
      </c>
      <c r="AC2141">
        <f>VLOOKUP(A:A,[1]android_repos_all_metrics!B:K,4,FALSE)</f>
        <v>556</v>
      </c>
      <c r="AD2141">
        <f>VLOOKUP(A:A,[1]android_repos_all_metrics!B:K,5,FALSE)</f>
        <v>40</v>
      </c>
      <c r="AE2141">
        <f>VLOOKUP(A:A,[1]android_repos_all_metrics!B:K,6,FALSE)</f>
        <v>8</v>
      </c>
      <c r="AF2141">
        <f>VLOOKUP(A:A,[1]android_repos_all_metrics!B:K,7,FALSE)</f>
        <v>1765</v>
      </c>
      <c r="AG2141">
        <f>VLOOKUP(A:A,[1]android_repos_all_metrics!B:K,8,FALSE)</f>
        <v>8</v>
      </c>
      <c r="AH2141">
        <f>VLOOKUP(A:A,[1]android_repos_all_metrics!B:K,9,FALSE)</f>
        <v>23</v>
      </c>
      <c r="AI2141">
        <f>VLOOKUP(A:A,[1]android_repos_all_metrics!B:K,10,FALSE)</f>
        <v>6</v>
      </c>
    </row>
    <row r="2142" spans="1:35">
      <c r="A2142" t="s">
        <v>2212</v>
      </c>
      <c r="B2142" t="b">
        <v>1</v>
      </c>
      <c r="C2142" t="b">
        <v>0</v>
      </c>
      <c r="D2142" t="b">
        <v>0</v>
      </c>
      <c r="F2142" t="b">
        <v>0</v>
      </c>
      <c r="H2142" t="s">
        <v>43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>
        <v>1</v>
      </c>
      <c r="AB2142">
        <v>0</v>
      </c>
      <c r="AC2142">
        <f>VLOOKUP(A:A,[1]android_repos_all_metrics!B:K,4,FALSE)</f>
        <v>153</v>
      </c>
      <c r="AD2142">
        <f>VLOOKUP(A:A,[1]android_repos_all_metrics!B:K,5,FALSE)</f>
        <v>9</v>
      </c>
      <c r="AE2142">
        <f>VLOOKUP(A:A,[1]android_repos_all_metrics!B:K,6,FALSE)</f>
        <v>1</v>
      </c>
      <c r="AF2142">
        <f>VLOOKUP(A:A,[1]android_repos_all_metrics!B:K,7,FALSE)</f>
        <v>1180</v>
      </c>
      <c r="AG2142">
        <f>VLOOKUP(A:A,[1]android_repos_all_metrics!B:K,8,FALSE)</f>
        <v>0</v>
      </c>
      <c r="AH2142">
        <f>VLOOKUP(A:A,[1]android_repos_all_metrics!B:K,9,FALSE)</f>
        <v>2</v>
      </c>
      <c r="AI2142">
        <f>VLOOKUP(A:A,[1]android_repos_all_metrics!B:K,10,FALSE)</f>
        <v>0</v>
      </c>
    </row>
    <row r="2143" spans="1:35">
      <c r="A2143" t="s">
        <v>2213</v>
      </c>
      <c r="B2143" t="b">
        <v>1</v>
      </c>
      <c r="C2143" t="b">
        <v>0</v>
      </c>
      <c r="D2143" t="b">
        <v>0</v>
      </c>
      <c r="F2143" t="b">
        <v>0</v>
      </c>
      <c r="H2143" t="s">
        <v>37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>
        <v>1</v>
      </c>
      <c r="AB2143">
        <v>0</v>
      </c>
      <c r="AC2143">
        <f>VLOOKUP(A:A,[1]android_repos_all_metrics!B:K,4,FALSE)</f>
        <v>44</v>
      </c>
      <c r="AD2143">
        <f>VLOOKUP(A:A,[1]android_repos_all_metrics!B:K,5,FALSE)</f>
        <v>5</v>
      </c>
      <c r="AE2143">
        <f>VLOOKUP(A:A,[1]android_repos_all_metrics!B:K,6,FALSE)</f>
        <v>1</v>
      </c>
      <c r="AF2143">
        <f>VLOOKUP(A:A,[1]android_repos_all_metrics!B:K,7,FALSE)</f>
        <v>20711</v>
      </c>
      <c r="AG2143">
        <f>VLOOKUP(A:A,[1]android_repos_all_metrics!B:K,8,FALSE)</f>
        <v>0</v>
      </c>
      <c r="AH2143">
        <f>VLOOKUP(A:A,[1]android_repos_all_metrics!B:K,9,FALSE)</f>
        <v>1</v>
      </c>
      <c r="AI2143">
        <f>VLOOKUP(A:A,[1]android_repos_all_metrics!B:K,10,FALSE)</f>
        <v>0</v>
      </c>
    </row>
    <row r="2144" spans="1:35">
      <c r="A2144" t="s">
        <v>2214</v>
      </c>
      <c r="B2144" t="b">
        <v>1</v>
      </c>
      <c r="C2144" t="b">
        <v>0</v>
      </c>
      <c r="D2144" t="b">
        <v>0</v>
      </c>
      <c r="F2144" t="b">
        <v>0</v>
      </c>
      <c r="H2144" t="s">
        <v>37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>
        <v>1</v>
      </c>
      <c r="AB2144">
        <v>0</v>
      </c>
      <c r="AC2144">
        <f>VLOOKUP(A:A,[1]android_repos_all_metrics!B:K,4,FALSE)</f>
        <v>216</v>
      </c>
      <c r="AD2144">
        <f>VLOOKUP(A:A,[1]android_repos_all_metrics!B:K,5,FALSE)</f>
        <v>13</v>
      </c>
      <c r="AE2144">
        <f>VLOOKUP(A:A,[1]android_repos_all_metrics!B:K,6,FALSE)</f>
        <v>8</v>
      </c>
      <c r="AF2144">
        <f>VLOOKUP(A:A,[1]android_repos_all_metrics!B:K,7,FALSE)</f>
        <v>10479</v>
      </c>
      <c r="AG2144">
        <f>VLOOKUP(A:A,[1]android_repos_all_metrics!B:K,8,FALSE)</f>
        <v>26</v>
      </c>
      <c r="AH2144">
        <f>VLOOKUP(A:A,[1]android_repos_all_metrics!B:K,9,FALSE)</f>
        <v>575</v>
      </c>
      <c r="AI2144">
        <f>VLOOKUP(A:A,[1]android_repos_all_metrics!B:K,10,FALSE)</f>
        <v>14</v>
      </c>
    </row>
    <row r="2145" spans="1:35">
      <c r="A2145" t="s">
        <v>2215</v>
      </c>
      <c r="B2145" t="b">
        <v>1</v>
      </c>
      <c r="C2145" t="b">
        <v>0</v>
      </c>
      <c r="D2145" t="b">
        <v>0</v>
      </c>
      <c r="F2145" t="b">
        <v>0</v>
      </c>
      <c r="H2145" t="s">
        <v>37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>
        <v>1</v>
      </c>
      <c r="AB2145">
        <v>0</v>
      </c>
      <c r="AC2145">
        <f>VLOOKUP(A:A,[1]android_repos_all_metrics!B:K,4,FALSE)</f>
        <v>372</v>
      </c>
      <c r="AD2145">
        <f>VLOOKUP(A:A,[1]android_repos_all_metrics!B:K,5,FALSE)</f>
        <v>18</v>
      </c>
      <c r="AE2145">
        <f>VLOOKUP(A:A,[1]android_repos_all_metrics!B:K,6,FALSE)</f>
        <v>2</v>
      </c>
      <c r="AF2145">
        <f>VLOOKUP(A:A,[1]android_repos_all_metrics!B:K,7,FALSE)</f>
        <v>9457</v>
      </c>
      <c r="AG2145">
        <f>VLOOKUP(A:A,[1]android_repos_all_metrics!B:K,8,FALSE)</f>
        <v>0</v>
      </c>
      <c r="AH2145">
        <f>VLOOKUP(A:A,[1]android_repos_all_metrics!B:K,9,FALSE)</f>
        <v>1</v>
      </c>
      <c r="AI2145">
        <f>VLOOKUP(A:A,[1]android_repos_all_metrics!B:K,10,FALSE)</f>
        <v>0</v>
      </c>
    </row>
    <row r="2146" spans="1:35">
      <c r="A2146" t="s">
        <v>2216</v>
      </c>
      <c r="B2146" t="b">
        <v>0</v>
      </c>
      <c r="C2146" t="b">
        <v>0</v>
      </c>
      <c r="D2146" t="b">
        <v>0</v>
      </c>
      <c r="F2146" t="b">
        <v>0</v>
      </c>
      <c r="H2146" t="s">
        <v>41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>
        <v>1</v>
      </c>
      <c r="AB2146">
        <v>0</v>
      </c>
      <c r="AC2146">
        <f>VLOOKUP(A:A,[1]android_repos_all_metrics!B:K,4,FALSE)</f>
        <v>226</v>
      </c>
      <c r="AD2146">
        <f>VLOOKUP(A:A,[1]android_repos_all_metrics!B:K,5,FALSE)</f>
        <v>1</v>
      </c>
      <c r="AE2146">
        <f>VLOOKUP(A:A,[1]android_repos_all_metrics!B:K,6,FALSE)</f>
        <v>1</v>
      </c>
      <c r="AF2146">
        <f>VLOOKUP(A:A,[1]android_repos_all_metrics!B:K,7,FALSE)</f>
        <v>1124</v>
      </c>
      <c r="AG2146">
        <f>VLOOKUP(A:A,[1]android_repos_all_metrics!B:K,8,FALSE)</f>
        <v>4</v>
      </c>
      <c r="AH2146">
        <f>VLOOKUP(A:A,[1]android_repos_all_metrics!B:K,9,FALSE)</f>
        <v>5</v>
      </c>
      <c r="AI2146">
        <f>VLOOKUP(A:A,[1]android_repos_all_metrics!B:K,10,FALSE)</f>
        <v>1</v>
      </c>
    </row>
    <row r="2147" spans="1:35">
      <c r="A2147" t="s">
        <v>2217</v>
      </c>
      <c r="B2147" t="b">
        <v>1</v>
      </c>
      <c r="C2147" t="b">
        <v>0</v>
      </c>
      <c r="D2147" t="b">
        <v>0</v>
      </c>
      <c r="F2147" t="b">
        <v>0</v>
      </c>
      <c r="H2147" t="s">
        <v>37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>
        <v>2</v>
      </c>
      <c r="AB2147">
        <v>0</v>
      </c>
      <c r="AC2147">
        <f>VLOOKUP(A:A,[1]android_repos_all_metrics!B:K,4,FALSE)</f>
        <v>101</v>
      </c>
      <c r="AD2147">
        <f>VLOOKUP(A:A,[1]android_repos_all_metrics!B:K,5,FALSE)</f>
        <v>39</v>
      </c>
      <c r="AE2147">
        <f>VLOOKUP(A:A,[1]android_repos_all_metrics!B:K,6,FALSE)</f>
        <v>13</v>
      </c>
      <c r="AF2147">
        <f>VLOOKUP(A:A,[1]android_repos_all_metrics!B:K,7,FALSE)</f>
        <v>2192</v>
      </c>
      <c r="AG2147">
        <f>VLOOKUP(A:A,[1]android_repos_all_metrics!B:K,8,FALSE)</f>
        <v>26</v>
      </c>
      <c r="AH2147">
        <f>VLOOKUP(A:A,[1]android_repos_all_metrics!B:K,9,FALSE)</f>
        <v>106</v>
      </c>
      <c r="AI2147">
        <f>VLOOKUP(A:A,[1]android_repos_all_metrics!B:K,10,FALSE)</f>
        <v>29</v>
      </c>
    </row>
    <row r="2148" spans="1:35">
      <c r="A2148" t="s">
        <v>2218</v>
      </c>
      <c r="B2148" t="b">
        <v>1</v>
      </c>
      <c r="C2148" t="b">
        <v>0</v>
      </c>
      <c r="D2148" t="b">
        <v>0</v>
      </c>
      <c r="F2148" t="b">
        <v>0</v>
      </c>
      <c r="H2148" t="s">
        <v>37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>
        <v>1</v>
      </c>
      <c r="AB2148">
        <v>0</v>
      </c>
      <c r="AC2148">
        <f>VLOOKUP(A:A,[1]android_repos_all_metrics!B:K,4,FALSE)</f>
        <v>258</v>
      </c>
      <c r="AD2148">
        <f>VLOOKUP(A:A,[1]android_repos_all_metrics!B:K,5,FALSE)</f>
        <v>12</v>
      </c>
      <c r="AE2148">
        <f>VLOOKUP(A:A,[1]android_repos_all_metrics!B:K,6,FALSE)</f>
        <v>4</v>
      </c>
      <c r="AF2148">
        <f>VLOOKUP(A:A,[1]android_repos_all_metrics!B:K,7,FALSE)</f>
        <v>1961</v>
      </c>
      <c r="AG2148">
        <f>VLOOKUP(A:A,[1]android_repos_all_metrics!B:K,8,FALSE)</f>
        <v>6</v>
      </c>
      <c r="AH2148">
        <f>VLOOKUP(A:A,[1]android_repos_all_metrics!B:K,9,FALSE)</f>
        <v>13</v>
      </c>
      <c r="AI2148">
        <f>VLOOKUP(A:A,[1]android_repos_all_metrics!B:K,10,FALSE)</f>
        <v>6</v>
      </c>
    </row>
    <row r="2149" spans="1:35">
      <c r="A2149" t="s">
        <v>2219</v>
      </c>
      <c r="B2149" t="b">
        <v>1</v>
      </c>
      <c r="C2149" t="b">
        <v>0</v>
      </c>
      <c r="D2149" t="b">
        <v>0</v>
      </c>
      <c r="F2149" t="b">
        <v>0</v>
      </c>
      <c r="H2149" t="s">
        <v>37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>
        <v>2</v>
      </c>
      <c r="AB2149">
        <v>0</v>
      </c>
      <c r="AC2149">
        <f>VLOOKUP(A:A,[1]android_repos_all_metrics!B:K,4,FALSE)</f>
        <v>147</v>
      </c>
      <c r="AD2149">
        <f>VLOOKUP(A:A,[1]android_repos_all_metrics!B:K,5,FALSE)</f>
        <v>56</v>
      </c>
      <c r="AE2149">
        <f>VLOOKUP(A:A,[1]android_repos_all_metrics!B:K,6,FALSE)</f>
        <v>2</v>
      </c>
      <c r="AF2149">
        <f>VLOOKUP(A:A,[1]android_repos_all_metrics!B:K,7,FALSE)</f>
        <v>5498</v>
      </c>
      <c r="AG2149">
        <f>VLOOKUP(A:A,[1]android_repos_all_metrics!B:K,8,FALSE)</f>
        <v>1</v>
      </c>
      <c r="AH2149">
        <f>VLOOKUP(A:A,[1]android_repos_all_metrics!B:K,9,FALSE)</f>
        <v>1</v>
      </c>
      <c r="AI2149">
        <f>VLOOKUP(A:A,[1]android_repos_all_metrics!B:K,10,FALSE)</f>
        <v>11</v>
      </c>
    </row>
    <row r="2150" spans="1:35">
      <c r="A2150" t="s">
        <v>2220</v>
      </c>
      <c r="B2150" t="b">
        <v>1</v>
      </c>
      <c r="C2150" t="b">
        <v>0</v>
      </c>
      <c r="D2150" t="b">
        <v>0</v>
      </c>
      <c r="F2150" t="b">
        <v>0</v>
      </c>
      <c r="H2150" t="s">
        <v>37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>
        <v>1</v>
      </c>
      <c r="AB2150">
        <v>0</v>
      </c>
      <c r="AC2150">
        <f>VLOOKUP(A:A,[1]android_repos_all_metrics!B:K,4,FALSE)</f>
        <v>205</v>
      </c>
      <c r="AD2150">
        <f>VLOOKUP(A:A,[1]android_repos_all_metrics!B:K,5,FALSE)</f>
        <v>1</v>
      </c>
      <c r="AE2150">
        <f>VLOOKUP(A:A,[1]android_repos_all_metrics!B:K,6,FALSE)</f>
        <v>2</v>
      </c>
      <c r="AF2150">
        <f>VLOOKUP(A:A,[1]android_repos_all_metrics!B:K,7,FALSE)</f>
        <v>1481</v>
      </c>
      <c r="AG2150">
        <f>VLOOKUP(A:A,[1]android_repos_all_metrics!B:K,8,FALSE)</f>
        <v>2</v>
      </c>
      <c r="AH2150">
        <f>VLOOKUP(A:A,[1]android_repos_all_metrics!B:K,9,FALSE)</f>
        <v>6</v>
      </c>
      <c r="AI2150">
        <f>VLOOKUP(A:A,[1]android_repos_all_metrics!B:K,10,FALSE)</f>
        <v>7</v>
      </c>
    </row>
    <row r="2151" spans="1:35">
      <c r="A2151" t="s">
        <v>2221</v>
      </c>
      <c r="B2151" t="b">
        <v>1</v>
      </c>
      <c r="C2151" t="b">
        <v>0</v>
      </c>
      <c r="D2151" t="b">
        <v>0</v>
      </c>
      <c r="F2151" t="b">
        <v>0</v>
      </c>
      <c r="H2151" t="s">
        <v>37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>
        <v>3</v>
      </c>
      <c r="AB2151">
        <v>0</v>
      </c>
      <c r="AC2151">
        <f>VLOOKUP(A:A,[1]android_repos_all_metrics!B:K,4,FALSE)</f>
        <v>195</v>
      </c>
      <c r="AD2151">
        <f>VLOOKUP(A:A,[1]android_repos_all_metrics!B:K,5,FALSE)</f>
        <v>59</v>
      </c>
      <c r="AE2151">
        <f>VLOOKUP(A:A,[1]android_repos_all_metrics!B:K,6,FALSE)</f>
        <v>4</v>
      </c>
      <c r="AF2151">
        <f>VLOOKUP(A:A,[1]android_repos_all_metrics!B:K,7,FALSE)</f>
        <v>128555</v>
      </c>
      <c r="AG2151">
        <f>VLOOKUP(A:A,[1]android_repos_all_metrics!B:K,8,FALSE)</f>
        <v>43</v>
      </c>
      <c r="AH2151">
        <f>VLOOKUP(A:A,[1]android_repos_all_metrics!B:K,9,FALSE)</f>
        <v>178</v>
      </c>
      <c r="AI2151">
        <f>VLOOKUP(A:A,[1]android_repos_all_metrics!B:K,10,FALSE)</f>
        <v>12</v>
      </c>
    </row>
    <row r="2152" spans="1:35">
      <c r="A2152" t="s">
        <v>2222</v>
      </c>
      <c r="B2152" t="b">
        <v>1</v>
      </c>
      <c r="C2152" t="b">
        <v>1</v>
      </c>
      <c r="D2152" t="b">
        <v>1</v>
      </c>
      <c r="E2152" t="s">
        <v>1009</v>
      </c>
      <c r="F2152" t="b">
        <v>0</v>
      </c>
      <c r="H2152" t="s">
        <v>37</v>
      </c>
      <c r="I2152" t="s">
        <v>37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>
        <v>3</v>
      </c>
      <c r="AB2152">
        <v>0</v>
      </c>
      <c r="AC2152">
        <f>VLOOKUP(A:A,[1]android_repos_all_metrics!B:K,4,FALSE)</f>
        <v>54</v>
      </c>
      <c r="AD2152">
        <f>VLOOKUP(A:A,[1]android_repos_all_metrics!B:K,5,FALSE)</f>
        <v>18</v>
      </c>
      <c r="AE2152">
        <f>VLOOKUP(A:A,[1]android_repos_all_metrics!B:K,6,FALSE)</f>
        <v>2</v>
      </c>
      <c r="AF2152">
        <f>VLOOKUP(A:A,[1]android_repos_all_metrics!B:K,7,FALSE)</f>
        <v>474</v>
      </c>
      <c r="AG2152">
        <f>VLOOKUP(A:A,[1]android_repos_all_metrics!B:K,8,FALSE)</f>
        <v>8</v>
      </c>
      <c r="AH2152">
        <f>VLOOKUP(A:A,[1]android_repos_all_metrics!B:K,9,FALSE)</f>
        <v>37</v>
      </c>
      <c r="AI2152">
        <f>VLOOKUP(A:A,[1]android_repos_all_metrics!B:K,10,FALSE)</f>
        <v>5</v>
      </c>
    </row>
    <row r="2153" spans="1:35">
      <c r="A2153" t="s">
        <v>2223</v>
      </c>
      <c r="B2153" t="b">
        <v>1</v>
      </c>
      <c r="C2153" t="b">
        <v>1</v>
      </c>
      <c r="D2153" t="b">
        <v>0</v>
      </c>
      <c r="F2153" t="b">
        <v>1</v>
      </c>
      <c r="G2153" t="s">
        <v>39</v>
      </c>
      <c r="H2153" t="s">
        <v>41</v>
      </c>
      <c r="I2153" t="s">
        <v>41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>
        <v>1</v>
      </c>
      <c r="AB2153">
        <v>0</v>
      </c>
      <c r="AC2153">
        <f>VLOOKUP(A:A,[1]android_repos_all_metrics!B:K,4,FALSE)</f>
        <v>81</v>
      </c>
      <c r="AD2153">
        <f>VLOOKUP(A:A,[1]android_repos_all_metrics!B:K,5,FALSE)</f>
        <v>13</v>
      </c>
      <c r="AE2153">
        <f>VLOOKUP(A:A,[1]android_repos_all_metrics!B:K,6,FALSE)</f>
        <v>2</v>
      </c>
      <c r="AF2153">
        <f>VLOOKUP(A:A,[1]android_repos_all_metrics!B:K,7,FALSE)</f>
        <v>1639</v>
      </c>
      <c r="AG2153">
        <f>VLOOKUP(A:A,[1]android_repos_all_metrics!B:K,8,FALSE)</f>
        <v>3</v>
      </c>
      <c r="AH2153">
        <f>VLOOKUP(A:A,[1]android_repos_all_metrics!B:K,9,FALSE)</f>
        <v>1</v>
      </c>
      <c r="AI2153">
        <f>VLOOKUP(A:A,[1]android_repos_all_metrics!B:K,10,FALSE)</f>
        <v>1</v>
      </c>
    </row>
    <row r="2154" spans="1:35">
      <c r="A2154" t="s">
        <v>2224</v>
      </c>
      <c r="B2154" t="b">
        <v>1</v>
      </c>
      <c r="C2154" t="b">
        <v>1</v>
      </c>
      <c r="D2154" t="b">
        <v>1</v>
      </c>
      <c r="E2154" t="s">
        <v>36</v>
      </c>
      <c r="F2154" t="b">
        <v>0</v>
      </c>
      <c r="H2154" t="s">
        <v>37</v>
      </c>
      <c r="I2154" t="s">
        <v>37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>
        <v>1</v>
      </c>
      <c r="AA2154">
        <v>4</v>
      </c>
      <c r="AB2154">
        <v>0</v>
      </c>
      <c r="AC2154">
        <f>VLOOKUP(A:A,[1]android_repos_all_metrics!B:K,4,FALSE)</f>
        <v>1088</v>
      </c>
      <c r="AD2154">
        <f>VLOOKUP(A:A,[1]android_repos_all_metrics!B:K,5,FALSE)</f>
        <v>360</v>
      </c>
      <c r="AE2154">
        <f>VLOOKUP(A:A,[1]android_repos_all_metrics!B:K,6,FALSE)</f>
        <v>12</v>
      </c>
      <c r="AF2154">
        <f>VLOOKUP(A:A,[1]android_repos_all_metrics!B:K,7,FALSE)</f>
        <v>30657</v>
      </c>
      <c r="AG2154">
        <f>VLOOKUP(A:A,[1]android_repos_all_metrics!B:K,8,FALSE)</f>
        <v>59</v>
      </c>
      <c r="AH2154">
        <f>VLOOKUP(A:A,[1]android_repos_all_metrics!B:K,9,FALSE)</f>
        <v>219</v>
      </c>
      <c r="AI2154">
        <f>VLOOKUP(A:A,[1]android_repos_all_metrics!B:K,10,FALSE)</f>
        <v>18</v>
      </c>
    </row>
    <row r="2155" spans="1:35">
      <c r="A2155" t="s">
        <v>2225</v>
      </c>
      <c r="B2155" t="b">
        <v>0</v>
      </c>
      <c r="C2155" t="b">
        <v>0</v>
      </c>
      <c r="D2155" t="b">
        <v>0</v>
      </c>
      <c r="F2155" t="b">
        <v>0</v>
      </c>
      <c r="H2155" t="s">
        <v>41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>
        <v>1</v>
      </c>
      <c r="AB2155">
        <v>0</v>
      </c>
      <c r="AC2155">
        <f>VLOOKUP(A:A,[1]android_repos_all_metrics!B:K,4,FALSE)</f>
        <v>27</v>
      </c>
      <c r="AD2155">
        <f>VLOOKUP(A:A,[1]android_repos_all_metrics!B:K,5,FALSE)</f>
        <v>0</v>
      </c>
      <c r="AE2155">
        <f>VLOOKUP(A:A,[1]android_repos_all_metrics!B:K,6,FALSE)</f>
        <v>1</v>
      </c>
      <c r="AF2155">
        <f>VLOOKUP(A:A,[1]android_repos_all_metrics!B:K,7,FALSE)</f>
        <v>803</v>
      </c>
      <c r="AG2155">
        <f>VLOOKUP(A:A,[1]android_repos_all_metrics!B:K,8,FALSE)</f>
        <v>0</v>
      </c>
      <c r="AH2155">
        <f>VLOOKUP(A:A,[1]android_repos_all_metrics!B:K,9,FALSE)</f>
        <v>20</v>
      </c>
      <c r="AI2155">
        <f>VLOOKUP(A:A,[1]android_repos_all_metrics!B:K,10,FALSE)</f>
        <v>0</v>
      </c>
    </row>
    <row r="2156" spans="1:35">
      <c r="A2156" t="s">
        <v>2226</v>
      </c>
      <c r="B2156" t="b">
        <v>0</v>
      </c>
      <c r="C2156" t="b">
        <v>0</v>
      </c>
      <c r="D2156" t="b">
        <v>0</v>
      </c>
      <c r="F2156" t="b">
        <v>0</v>
      </c>
      <c r="H2156" t="s">
        <v>41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>
        <v>1</v>
      </c>
      <c r="AB2156">
        <v>0</v>
      </c>
      <c r="AC2156">
        <f>VLOOKUP(A:A,[1]android_repos_all_metrics!B:K,4,FALSE)</f>
        <v>15</v>
      </c>
      <c r="AD2156">
        <f>VLOOKUP(A:A,[1]android_repos_all_metrics!B:K,5,FALSE)</f>
        <v>0</v>
      </c>
      <c r="AE2156">
        <f>VLOOKUP(A:A,[1]android_repos_all_metrics!B:K,6,FALSE)</f>
        <v>1</v>
      </c>
      <c r="AF2156">
        <f>VLOOKUP(A:A,[1]android_repos_all_metrics!B:K,7,FALSE)</f>
        <v>194</v>
      </c>
      <c r="AG2156">
        <f>VLOOKUP(A:A,[1]android_repos_all_metrics!B:K,8,FALSE)</f>
        <v>0</v>
      </c>
      <c r="AH2156">
        <f>VLOOKUP(A:A,[1]android_repos_all_metrics!B:K,9,FALSE)</f>
        <v>15</v>
      </c>
      <c r="AI2156">
        <f>VLOOKUP(A:A,[1]android_repos_all_metrics!B:K,10,FALSE)</f>
        <v>0</v>
      </c>
    </row>
    <row r="2157" spans="1:35">
      <c r="A2157" t="s">
        <v>2227</v>
      </c>
      <c r="B2157" t="b">
        <v>0</v>
      </c>
      <c r="C2157" t="b">
        <v>0</v>
      </c>
      <c r="D2157" t="b">
        <v>0</v>
      </c>
      <c r="F2157" t="b">
        <v>0</v>
      </c>
      <c r="H2157" t="s">
        <v>41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>
        <v>1</v>
      </c>
      <c r="AB2157">
        <v>0</v>
      </c>
      <c r="AC2157">
        <f>VLOOKUP(A:A,[1]android_repos_all_metrics!B:K,4,FALSE)</f>
        <v>307</v>
      </c>
      <c r="AD2157">
        <f>VLOOKUP(A:A,[1]android_repos_all_metrics!B:K,5,FALSE)</f>
        <v>4</v>
      </c>
      <c r="AE2157">
        <f>VLOOKUP(A:A,[1]android_repos_all_metrics!B:K,6,FALSE)</f>
        <v>1</v>
      </c>
      <c r="AF2157">
        <f>VLOOKUP(A:A,[1]android_repos_all_metrics!B:K,7,FALSE)</f>
        <v>4298</v>
      </c>
      <c r="AG2157">
        <f>VLOOKUP(A:A,[1]android_repos_all_metrics!B:K,8,FALSE)</f>
        <v>1</v>
      </c>
      <c r="AH2157">
        <f>VLOOKUP(A:A,[1]android_repos_all_metrics!B:K,9,FALSE)</f>
        <v>6</v>
      </c>
      <c r="AI2157">
        <f>VLOOKUP(A:A,[1]android_repos_all_metrics!B:K,10,FALSE)</f>
        <v>10</v>
      </c>
    </row>
    <row r="2158" spans="1:35">
      <c r="A2158" t="s">
        <v>2228</v>
      </c>
      <c r="B2158" t="b">
        <v>1</v>
      </c>
      <c r="C2158" t="b">
        <v>0</v>
      </c>
      <c r="D2158" t="b">
        <v>0</v>
      </c>
      <c r="F2158" t="b">
        <v>0</v>
      </c>
      <c r="H2158" t="s">
        <v>37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>
        <v>5</v>
      </c>
      <c r="AB2158">
        <v>0</v>
      </c>
      <c r="AC2158">
        <f>VLOOKUP(A:A,[1]android_repos_all_metrics!B:K,4,FALSE)</f>
        <v>70</v>
      </c>
      <c r="AD2158">
        <f>VLOOKUP(A:A,[1]android_repos_all_metrics!B:K,5,FALSE)</f>
        <v>12</v>
      </c>
      <c r="AE2158">
        <f>VLOOKUP(A:A,[1]android_repos_all_metrics!B:K,6,FALSE)</f>
        <v>1</v>
      </c>
      <c r="AF2158">
        <f>VLOOKUP(A:A,[1]android_repos_all_metrics!B:K,7,FALSE)</f>
        <v>343</v>
      </c>
      <c r="AG2158">
        <f>VLOOKUP(A:A,[1]android_repos_all_metrics!B:K,8,FALSE)</f>
        <v>0</v>
      </c>
      <c r="AH2158">
        <f>VLOOKUP(A:A,[1]android_repos_all_metrics!B:K,9,FALSE)</f>
        <v>3</v>
      </c>
      <c r="AI2158">
        <f>VLOOKUP(A:A,[1]android_repos_all_metrics!B:K,10,FALSE)</f>
        <v>2</v>
      </c>
    </row>
    <row r="2159" spans="1:35">
      <c r="A2159" t="s">
        <v>2229</v>
      </c>
      <c r="B2159" t="b">
        <v>1</v>
      </c>
      <c r="C2159" t="b">
        <v>0</v>
      </c>
      <c r="D2159" t="b">
        <v>0</v>
      </c>
      <c r="F2159" t="b">
        <v>0</v>
      </c>
      <c r="H2159" t="s">
        <v>37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>
        <v>1</v>
      </c>
      <c r="AB2159">
        <v>0</v>
      </c>
      <c r="AC2159">
        <f>VLOOKUP(A:A,[1]android_repos_all_metrics!B:K,4,FALSE)</f>
        <v>72</v>
      </c>
      <c r="AD2159">
        <f>VLOOKUP(A:A,[1]android_repos_all_metrics!B:K,5,FALSE)</f>
        <v>3</v>
      </c>
      <c r="AE2159">
        <f>VLOOKUP(A:A,[1]android_repos_all_metrics!B:K,6,FALSE)</f>
        <v>5</v>
      </c>
      <c r="AF2159">
        <f>VLOOKUP(A:A,[1]android_repos_all_metrics!B:K,7,FALSE)</f>
        <v>487</v>
      </c>
      <c r="AG2159">
        <f>VLOOKUP(A:A,[1]android_repos_all_metrics!B:K,8,FALSE)</f>
        <v>9</v>
      </c>
      <c r="AH2159">
        <f>VLOOKUP(A:A,[1]android_repos_all_metrics!B:K,9,FALSE)</f>
        <v>49</v>
      </c>
      <c r="AI2159">
        <f>VLOOKUP(A:A,[1]android_repos_all_metrics!B:K,10,FALSE)</f>
        <v>16</v>
      </c>
    </row>
    <row r="2160" spans="1:35">
      <c r="A2160" t="s">
        <v>2230</v>
      </c>
      <c r="B2160" t="b">
        <v>1</v>
      </c>
      <c r="C2160" t="b">
        <v>0</v>
      </c>
      <c r="D2160" t="b">
        <v>0</v>
      </c>
      <c r="F2160" t="b">
        <v>0</v>
      </c>
      <c r="H2160" t="s">
        <v>37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>
        <v>6</v>
      </c>
      <c r="AB2160">
        <v>0</v>
      </c>
      <c r="AC2160">
        <f>VLOOKUP(A:A,[1]android_repos_all_metrics!B:K,4,FALSE)</f>
        <v>142</v>
      </c>
      <c r="AD2160">
        <f>VLOOKUP(A:A,[1]android_repos_all_metrics!B:K,5,FALSE)</f>
        <v>95</v>
      </c>
      <c r="AE2160">
        <f>VLOOKUP(A:A,[1]android_repos_all_metrics!B:K,6,FALSE)</f>
        <v>3</v>
      </c>
      <c r="AF2160">
        <f>VLOOKUP(A:A,[1]android_repos_all_metrics!B:K,7,FALSE)</f>
        <v>1023</v>
      </c>
      <c r="AG2160">
        <f>VLOOKUP(A:A,[1]android_repos_all_metrics!B:K,8,FALSE)</f>
        <v>0</v>
      </c>
      <c r="AH2160">
        <f>VLOOKUP(A:A,[1]android_repos_all_metrics!B:K,9,FALSE)</f>
        <v>1</v>
      </c>
      <c r="AI2160">
        <f>VLOOKUP(A:A,[1]android_repos_all_metrics!B:K,10,FALSE)</f>
        <v>1</v>
      </c>
    </row>
    <row r="2161" spans="1:35">
      <c r="A2161" t="s">
        <v>2231</v>
      </c>
      <c r="B2161" t="b">
        <v>0</v>
      </c>
      <c r="C2161" t="b">
        <v>0</v>
      </c>
      <c r="D2161" t="b">
        <v>0</v>
      </c>
      <c r="F2161" t="b">
        <v>0</v>
      </c>
      <c r="H2161" t="s">
        <v>41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>
        <v>1</v>
      </c>
      <c r="AB2161">
        <v>0</v>
      </c>
      <c r="AC2161">
        <f>VLOOKUP(A:A,[1]android_repos_all_metrics!B:K,4,FALSE)</f>
        <v>69</v>
      </c>
      <c r="AD2161">
        <f>VLOOKUP(A:A,[1]android_repos_all_metrics!B:K,5,FALSE)</f>
        <v>5</v>
      </c>
      <c r="AE2161">
        <f>VLOOKUP(A:A,[1]android_repos_all_metrics!B:K,6,FALSE)</f>
        <v>2</v>
      </c>
      <c r="AF2161">
        <f>VLOOKUP(A:A,[1]android_repos_all_metrics!B:K,7,FALSE)</f>
        <v>311</v>
      </c>
      <c r="AG2161">
        <f>VLOOKUP(A:A,[1]android_repos_all_metrics!B:K,8,FALSE)</f>
        <v>33</v>
      </c>
      <c r="AH2161">
        <f>VLOOKUP(A:A,[1]android_repos_all_metrics!B:K,9,FALSE)</f>
        <v>103</v>
      </c>
      <c r="AI2161">
        <f>VLOOKUP(A:A,[1]android_repos_all_metrics!B:K,10,FALSE)</f>
        <v>8</v>
      </c>
    </row>
    <row r="2162" spans="1:35">
      <c r="A2162" t="s">
        <v>2232</v>
      </c>
      <c r="B2162" t="b">
        <v>1</v>
      </c>
      <c r="C2162" t="b">
        <v>0</v>
      </c>
      <c r="D2162" t="b">
        <v>0</v>
      </c>
      <c r="F2162" t="b">
        <v>0</v>
      </c>
      <c r="H2162" t="s">
        <v>37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>
        <v>3</v>
      </c>
      <c r="AB2162">
        <v>0</v>
      </c>
      <c r="AC2162">
        <f>VLOOKUP(A:A,[1]android_repos_all_metrics!B:K,4,FALSE)</f>
        <v>1383</v>
      </c>
      <c r="AD2162">
        <f>VLOOKUP(A:A,[1]android_repos_all_metrics!B:K,5,FALSE)</f>
        <v>91</v>
      </c>
      <c r="AE2162">
        <f>VLOOKUP(A:A,[1]android_repos_all_metrics!B:K,6,FALSE)</f>
        <v>17</v>
      </c>
      <c r="AF2162">
        <f>VLOOKUP(A:A,[1]android_repos_all_metrics!B:K,7,FALSE)</f>
        <v>8700</v>
      </c>
      <c r="AG2162">
        <f>VLOOKUP(A:A,[1]android_repos_all_metrics!B:K,8,FALSE)</f>
        <v>32</v>
      </c>
      <c r="AH2162">
        <f>VLOOKUP(A:A,[1]android_repos_all_metrics!B:K,9,FALSE)</f>
        <v>135</v>
      </c>
      <c r="AI2162">
        <f>VLOOKUP(A:A,[1]android_repos_all_metrics!B:K,10,FALSE)</f>
        <v>28</v>
      </c>
    </row>
    <row r="2163" spans="1:35">
      <c r="A2163" t="s">
        <v>2233</v>
      </c>
      <c r="B2163" t="b">
        <v>1</v>
      </c>
      <c r="C2163" t="b">
        <v>0</v>
      </c>
      <c r="D2163" t="b">
        <v>0</v>
      </c>
      <c r="F2163" t="b">
        <v>0</v>
      </c>
      <c r="H2163" t="s">
        <v>41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>
        <v>1</v>
      </c>
      <c r="AB2163">
        <v>0</v>
      </c>
      <c r="AC2163">
        <f>VLOOKUP(A:A,[1]android_repos_all_metrics!B:K,4,FALSE)</f>
        <v>224</v>
      </c>
      <c r="AD2163">
        <f>VLOOKUP(A:A,[1]android_repos_all_metrics!B:K,5,FALSE)</f>
        <v>0</v>
      </c>
      <c r="AE2163">
        <f>VLOOKUP(A:A,[1]android_repos_all_metrics!B:K,6,FALSE)</f>
        <v>2</v>
      </c>
      <c r="AF2163">
        <f>VLOOKUP(A:A,[1]android_repos_all_metrics!B:K,7,FALSE)</f>
        <v>10133</v>
      </c>
      <c r="AG2163">
        <f>VLOOKUP(A:A,[1]android_repos_all_metrics!B:K,8,FALSE)</f>
        <v>3</v>
      </c>
      <c r="AH2163">
        <f>VLOOKUP(A:A,[1]android_repos_all_metrics!B:K,9,FALSE)</f>
        <v>7</v>
      </c>
      <c r="AI2163">
        <f>VLOOKUP(A:A,[1]android_repos_all_metrics!B:K,10,FALSE)</f>
        <v>1</v>
      </c>
    </row>
    <row r="2164" spans="1:35">
      <c r="A2164" t="s">
        <v>2234</v>
      </c>
      <c r="B2164" t="b">
        <v>1</v>
      </c>
      <c r="C2164" t="b">
        <v>0</v>
      </c>
      <c r="D2164" t="b">
        <v>0</v>
      </c>
      <c r="F2164" t="b">
        <v>0</v>
      </c>
      <c r="H2164" t="s">
        <v>43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>
        <v>1</v>
      </c>
      <c r="AB2164">
        <v>0</v>
      </c>
      <c r="AC2164">
        <f>VLOOKUP(A:A,[1]android_repos_all_metrics!B:K,4,FALSE)</f>
        <v>23</v>
      </c>
      <c r="AD2164">
        <f>VLOOKUP(A:A,[1]android_repos_all_metrics!B:K,5,FALSE)</f>
        <v>9</v>
      </c>
      <c r="AE2164">
        <f>VLOOKUP(A:A,[1]android_repos_all_metrics!B:K,6,FALSE)</f>
        <v>1</v>
      </c>
      <c r="AF2164">
        <f>VLOOKUP(A:A,[1]android_repos_all_metrics!B:K,7,FALSE)</f>
        <v>64</v>
      </c>
      <c r="AG2164">
        <f>VLOOKUP(A:A,[1]android_repos_all_metrics!B:K,8,FALSE)</f>
        <v>1</v>
      </c>
      <c r="AH2164">
        <f>VLOOKUP(A:A,[1]android_repos_all_metrics!B:K,9,FALSE)</f>
        <v>2</v>
      </c>
      <c r="AI2164">
        <f>VLOOKUP(A:A,[1]android_repos_all_metrics!B:K,10,FALSE)</f>
        <v>8</v>
      </c>
    </row>
    <row r="2165" spans="1:35">
      <c r="A2165" t="s">
        <v>2235</v>
      </c>
      <c r="B2165" t="b">
        <v>0</v>
      </c>
      <c r="C2165" t="b">
        <v>0</v>
      </c>
      <c r="D2165" t="b">
        <v>0</v>
      </c>
      <c r="F2165" t="b">
        <v>0</v>
      </c>
      <c r="H2165" t="s">
        <v>41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>
        <v>1</v>
      </c>
      <c r="AB2165">
        <v>0</v>
      </c>
      <c r="AC2165">
        <f>VLOOKUP(A:A,[1]android_repos_all_metrics!B:K,4,FALSE)</f>
        <v>251</v>
      </c>
      <c r="AD2165">
        <f>VLOOKUP(A:A,[1]android_repos_all_metrics!B:K,5,FALSE)</f>
        <v>1</v>
      </c>
      <c r="AE2165">
        <f>VLOOKUP(A:A,[1]android_repos_all_metrics!B:K,6,FALSE)</f>
        <v>2</v>
      </c>
      <c r="AF2165">
        <f>VLOOKUP(A:A,[1]android_repos_all_metrics!B:K,7,FALSE)</f>
        <v>37379</v>
      </c>
      <c r="AG2165">
        <f>VLOOKUP(A:A,[1]android_repos_all_metrics!B:K,8,FALSE)</f>
        <v>1</v>
      </c>
      <c r="AH2165">
        <f>VLOOKUP(A:A,[1]android_repos_all_metrics!B:K,9,FALSE)</f>
        <v>9</v>
      </c>
      <c r="AI2165">
        <f>VLOOKUP(A:A,[1]android_repos_all_metrics!B:K,10,FALSE)</f>
        <v>19</v>
      </c>
    </row>
    <row r="2166" spans="1:35">
      <c r="A2166" t="s">
        <v>2236</v>
      </c>
      <c r="B2166" t="b">
        <v>1</v>
      </c>
      <c r="C2166" t="b">
        <v>0</v>
      </c>
      <c r="D2166" t="b">
        <v>0</v>
      </c>
      <c r="F2166" t="b">
        <v>0</v>
      </c>
      <c r="H2166" t="s">
        <v>37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>
        <v>1</v>
      </c>
      <c r="AB2166">
        <v>0</v>
      </c>
      <c r="AC2166">
        <f>VLOOKUP(A:A,[1]android_repos_all_metrics!B:K,4,FALSE)</f>
        <v>250</v>
      </c>
      <c r="AD2166">
        <f>VLOOKUP(A:A,[1]android_repos_all_metrics!B:K,5,FALSE)</f>
        <v>97</v>
      </c>
      <c r="AE2166">
        <f>VLOOKUP(A:A,[1]android_repos_all_metrics!B:K,6,FALSE)</f>
        <v>2</v>
      </c>
      <c r="AF2166">
        <f>VLOOKUP(A:A,[1]android_repos_all_metrics!B:K,7,FALSE)</f>
        <v>9112</v>
      </c>
      <c r="AG2166">
        <f>VLOOKUP(A:A,[1]android_repos_all_metrics!B:K,8,FALSE)</f>
        <v>116</v>
      </c>
      <c r="AH2166">
        <f>VLOOKUP(A:A,[1]android_repos_all_metrics!B:K,9,FALSE)</f>
        <v>290</v>
      </c>
      <c r="AI2166">
        <f>VLOOKUP(A:A,[1]android_repos_all_metrics!B:K,10,FALSE)</f>
        <v>3</v>
      </c>
    </row>
    <row r="2167" spans="1:35">
      <c r="A2167" t="s">
        <v>2237</v>
      </c>
      <c r="B2167" t="b">
        <v>1</v>
      </c>
      <c r="C2167" t="b">
        <v>0</v>
      </c>
      <c r="D2167" t="b">
        <v>0</v>
      </c>
      <c r="F2167" t="b">
        <v>0</v>
      </c>
      <c r="H2167" t="s">
        <v>37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>
        <v>2</v>
      </c>
      <c r="AB2167">
        <v>0</v>
      </c>
      <c r="AC2167">
        <f>VLOOKUP(A:A,[1]android_repos_all_metrics!B:K,4,FALSE)</f>
        <v>490</v>
      </c>
      <c r="AD2167">
        <f>VLOOKUP(A:A,[1]android_repos_all_metrics!B:K,5,FALSE)</f>
        <v>103</v>
      </c>
      <c r="AE2167">
        <f>VLOOKUP(A:A,[1]android_repos_all_metrics!B:K,6,FALSE)</f>
        <v>42</v>
      </c>
      <c r="AF2167">
        <f>VLOOKUP(A:A,[1]android_repos_all_metrics!B:K,7,FALSE)</f>
        <v>1582</v>
      </c>
      <c r="AG2167">
        <f>VLOOKUP(A:A,[1]android_repos_all_metrics!B:K,8,FALSE)</f>
        <v>354</v>
      </c>
      <c r="AH2167">
        <f>VLOOKUP(A:A,[1]android_repos_all_metrics!B:K,9,FALSE)</f>
        <v>605</v>
      </c>
      <c r="AI2167">
        <f>VLOOKUP(A:A,[1]android_repos_all_metrics!B:K,10,FALSE)</f>
        <v>6</v>
      </c>
    </row>
    <row r="2168" spans="1:35">
      <c r="A2168" t="s">
        <v>2238</v>
      </c>
      <c r="B2168" t="b">
        <v>1</v>
      </c>
      <c r="C2168" t="b">
        <v>0</v>
      </c>
      <c r="D2168" t="b">
        <v>0</v>
      </c>
      <c r="F2168" t="b">
        <v>0</v>
      </c>
      <c r="H2168" t="s">
        <v>37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>
        <v>3</v>
      </c>
      <c r="AB2168">
        <v>0</v>
      </c>
      <c r="AC2168">
        <f>VLOOKUP(A:A,[1]android_repos_all_metrics!B:K,4,FALSE)</f>
        <v>65</v>
      </c>
      <c r="AD2168">
        <f>VLOOKUP(A:A,[1]android_repos_all_metrics!B:K,5,FALSE)</f>
        <v>8</v>
      </c>
      <c r="AE2168">
        <f>VLOOKUP(A:A,[1]android_repos_all_metrics!B:K,6,FALSE)</f>
        <v>1</v>
      </c>
      <c r="AF2168">
        <f>VLOOKUP(A:A,[1]android_repos_all_metrics!B:K,7,FALSE)</f>
        <v>6603</v>
      </c>
      <c r="AG2168">
        <f>VLOOKUP(A:A,[1]android_repos_all_metrics!B:K,8,FALSE)</f>
        <v>0</v>
      </c>
      <c r="AH2168">
        <f>VLOOKUP(A:A,[1]android_repos_all_metrics!B:K,9,FALSE)</f>
        <v>1</v>
      </c>
      <c r="AI2168">
        <f>VLOOKUP(A:A,[1]android_repos_all_metrics!B:K,10,FALSE)</f>
        <v>0</v>
      </c>
    </row>
    <row r="2169" spans="1:35">
      <c r="A2169" t="s">
        <v>2239</v>
      </c>
      <c r="B2169" t="b">
        <v>0</v>
      </c>
      <c r="C2169" t="b">
        <v>0</v>
      </c>
      <c r="D2169" t="b">
        <v>0</v>
      </c>
      <c r="F2169" t="b">
        <v>0</v>
      </c>
      <c r="H2169" t="s">
        <v>41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>
        <v>1</v>
      </c>
      <c r="AB2169">
        <v>0</v>
      </c>
      <c r="AC2169">
        <f>VLOOKUP(A:A,[1]android_repos_all_metrics!B:K,4,FALSE)</f>
        <v>83</v>
      </c>
      <c r="AD2169">
        <f>VLOOKUP(A:A,[1]android_repos_all_metrics!B:K,5,FALSE)</f>
        <v>9</v>
      </c>
      <c r="AE2169">
        <f>VLOOKUP(A:A,[1]android_repos_all_metrics!B:K,6,FALSE)</f>
        <v>4</v>
      </c>
      <c r="AF2169">
        <f>VLOOKUP(A:A,[1]android_repos_all_metrics!B:K,7,FALSE)</f>
        <v>619</v>
      </c>
      <c r="AG2169">
        <f>VLOOKUP(A:A,[1]android_repos_all_metrics!B:K,8,FALSE)</f>
        <v>94</v>
      </c>
      <c r="AH2169">
        <f>VLOOKUP(A:A,[1]android_repos_all_metrics!B:K,9,FALSE)</f>
        <v>227</v>
      </c>
      <c r="AI2169">
        <f>VLOOKUP(A:A,[1]android_repos_all_metrics!B:K,10,FALSE)</f>
        <v>22</v>
      </c>
    </row>
    <row r="2170" spans="1:35">
      <c r="A2170" t="s">
        <v>2240</v>
      </c>
      <c r="B2170" t="b">
        <v>1</v>
      </c>
      <c r="C2170" t="b">
        <v>0</v>
      </c>
      <c r="D2170" t="b">
        <v>0</v>
      </c>
      <c r="F2170" t="b">
        <v>0</v>
      </c>
      <c r="H2170" t="s">
        <v>86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>
        <v>7</v>
      </c>
      <c r="AB2170">
        <v>0</v>
      </c>
      <c r="AC2170">
        <f>VLOOKUP(A:A,[1]android_repos_all_metrics!B:K,4,FALSE)</f>
        <v>1662</v>
      </c>
      <c r="AD2170">
        <f>VLOOKUP(A:A,[1]android_repos_all_metrics!B:K,5,FALSE)</f>
        <v>916</v>
      </c>
      <c r="AE2170">
        <f>VLOOKUP(A:A,[1]android_repos_all_metrics!B:K,6,FALSE)</f>
        <v>53</v>
      </c>
      <c r="AF2170">
        <f>VLOOKUP(A:A,[1]android_repos_all_metrics!B:K,7,FALSE)</f>
        <v>17237</v>
      </c>
      <c r="AG2170">
        <f>VLOOKUP(A:A,[1]android_repos_all_metrics!B:K,8,FALSE)</f>
        <v>305</v>
      </c>
      <c r="AH2170">
        <f>VLOOKUP(A:A,[1]android_repos_all_metrics!B:K,9,FALSE)</f>
        <v>197</v>
      </c>
      <c r="AI2170">
        <f>VLOOKUP(A:A,[1]android_repos_all_metrics!B:K,10,FALSE)</f>
        <v>71</v>
      </c>
    </row>
    <row r="2171" spans="1:35">
      <c r="A2171" t="s">
        <v>2241</v>
      </c>
      <c r="B2171" t="b">
        <v>1</v>
      </c>
      <c r="C2171" t="b">
        <v>0</v>
      </c>
      <c r="D2171" t="b">
        <v>0</v>
      </c>
      <c r="F2171" t="b">
        <v>0</v>
      </c>
      <c r="H2171" t="s">
        <v>37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>
        <v>14</v>
      </c>
      <c r="AB2171">
        <v>0</v>
      </c>
      <c r="AC2171">
        <f>VLOOKUP(A:A,[1]android_repos_all_metrics!B:K,4,FALSE)</f>
        <v>6945</v>
      </c>
      <c r="AD2171">
        <f>VLOOKUP(A:A,[1]android_repos_all_metrics!B:K,5,FALSE)</f>
        <v>1563</v>
      </c>
      <c r="AE2171">
        <f>VLOOKUP(A:A,[1]android_repos_all_metrics!B:K,6,FALSE)</f>
        <v>43</v>
      </c>
      <c r="AF2171">
        <f>VLOOKUP(A:A,[1]android_repos_all_metrics!B:K,7,FALSE)</f>
        <v>41205</v>
      </c>
      <c r="AG2171">
        <f>VLOOKUP(A:A,[1]android_repos_all_metrics!B:K,8,FALSE)</f>
        <v>195</v>
      </c>
      <c r="AH2171">
        <f>VLOOKUP(A:A,[1]android_repos_all_metrics!B:K,9,FALSE)</f>
        <v>434</v>
      </c>
      <c r="AI2171">
        <f>VLOOKUP(A:A,[1]android_repos_all_metrics!B:K,10,FALSE)</f>
        <v>305</v>
      </c>
    </row>
    <row r="2172" spans="1:35">
      <c r="A2172" t="s">
        <v>2242</v>
      </c>
      <c r="B2172" t="b">
        <v>1</v>
      </c>
      <c r="C2172" t="b">
        <v>0</v>
      </c>
      <c r="D2172" t="b">
        <v>0</v>
      </c>
      <c r="F2172" t="b">
        <v>0</v>
      </c>
      <c r="H2172" t="s">
        <v>37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>
        <v>1</v>
      </c>
      <c r="AB2172">
        <v>0</v>
      </c>
      <c r="AC2172">
        <f>VLOOKUP(A:A,[1]android_repos_all_metrics!B:K,4,FALSE)</f>
        <v>50</v>
      </c>
      <c r="AD2172">
        <f>VLOOKUP(A:A,[1]android_repos_all_metrics!B:K,5,FALSE)</f>
        <v>12</v>
      </c>
      <c r="AE2172">
        <f>VLOOKUP(A:A,[1]android_repos_all_metrics!B:K,6,FALSE)</f>
        <v>3</v>
      </c>
      <c r="AF2172">
        <f>VLOOKUP(A:A,[1]android_repos_all_metrics!B:K,7,FALSE)</f>
        <v>247</v>
      </c>
      <c r="AG2172">
        <f>VLOOKUP(A:A,[1]android_repos_all_metrics!B:K,8,FALSE)</f>
        <v>0</v>
      </c>
      <c r="AH2172">
        <f>VLOOKUP(A:A,[1]android_repos_all_metrics!B:K,9,FALSE)</f>
        <v>3</v>
      </c>
      <c r="AI2172">
        <f>VLOOKUP(A:A,[1]android_repos_all_metrics!B:K,10,FALSE)</f>
        <v>10</v>
      </c>
    </row>
    <row r="2173" spans="1:35">
      <c r="A2173" t="s">
        <v>2243</v>
      </c>
      <c r="B2173" t="b">
        <v>1</v>
      </c>
      <c r="C2173" t="b">
        <v>0</v>
      </c>
      <c r="D2173" t="b">
        <v>0</v>
      </c>
      <c r="F2173" t="b">
        <v>0</v>
      </c>
      <c r="H2173" t="s">
        <v>37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>
        <v>1</v>
      </c>
      <c r="AB2173">
        <v>0</v>
      </c>
      <c r="AC2173">
        <f>VLOOKUP(A:A,[1]android_repos_all_metrics!B:K,4,FALSE)</f>
        <v>1544</v>
      </c>
      <c r="AD2173">
        <f>VLOOKUP(A:A,[1]android_repos_all_metrics!B:K,5,FALSE)</f>
        <v>88</v>
      </c>
      <c r="AE2173">
        <f>VLOOKUP(A:A,[1]android_repos_all_metrics!B:K,6,FALSE)</f>
        <v>15</v>
      </c>
      <c r="AF2173">
        <f>VLOOKUP(A:A,[1]android_repos_all_metrics!B:K,7,FALSE)</f>
        <v>5215</v>
      </c>
      <c r="AG2173">
        <f>VLOOKUP(A:A,[1]android_repos_all_metrics!B:K,8,FALSE)</f>
        <v>113</v>
      </c>
      <c r="AH2173">
        <f>VLOOKUP(A:A,[1]android_repos_all_metrics!B:K,9,FALSE)</f>
        <v>634</v>
      </c>
      <c r="AI2173">
        <f>VLOOKUP(A:A,[1]android_repos_all_metrics!B:K,10,FALSE)</f>
        <v>120</v>
      </c>
    </row>
    <row r="2174" spans="1:35">
      <c r="A2174" t="s">
        <v>2244</v>
      </c>
      <c r="B2174" t="b">
        <v>1</v>
      </c>
      <c r="C2174" t="b">
        <v>0</v>
      </c>
      <c r="D2174" t="b">
        <v>0</v>
      </c>
      <c r="F2174" t="b">
        <v>0</v>
      </c>
      <c r="H2174" t="s">
        <v>37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>
        <v>1</v>
      </c>
      <c r="AB2174">
        <v>0</v>
      </c>
      <c r="AC2174">
        <f>VLOOKUP(A:A,[1]android_repos_all_metrics!B:K,4,FALSE)</f>
        <v>133</v>
      </c>
      <c r="AD2174">
        <f>VLOOKUP(A:A,[1]android_repos_all_metrics!B:K,5,FALSE)</f>
        <v>4</v>
      </c>
      <c r="AE2174">
        <f>VLOOKUP(A:A,[1]android_repos_all_metrics!B:K,6,FALSE)</f>
        <v>2</v>
      </c>
      <c r="AF2174">
        <f>VLOOKUP(A:A,[1]android_repos_all_metrics!B:K,7,FALSE)</f>
        <v>3204</v>
      </c>
      <c r="AG2174">
        <f>VLOOKUP(A:A,[1]android_repos_all_metrics!B:K,8,FALSE)</f>
        <v>35</v>
      </c>
      <c r="AH2174">
        <f>VLOOKUP(A:A,[1]android_repos_all_metrics!B:K,9,FALSE)</f>
        <v>145</v>
      </c>
      <c r="AI2174">
        <f>VLOOKUP(A:A,[1]android_repos_all_metrics!B:K,10,FALSE)</f>
        <v>4</v>
      </c>
    </row>
    <row r="2175" spans="1:35">
      <c r="A2175" t="s">
        <v>2245</v>
      </c>
      <c r="B2175" t="b">
        <v>1</v>
      </c>
      <c r="C2175" t="b">
        <v>1</v>
      </c>
      <c r="D2175" t="b">
        <v>1</v>
      </c>
      <c r="E2175" t="s">
        <v>36</v>
      </c>
      <c r="F2175" t="b">
        <v>0</v>
      </c>
      <c r="H2175" t="s">
        <v>37</v>
      </c>
      <c r="I2175" t="s">
        <v>37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>
        <v>1</v>
      </c>
      <c r="AA2175">
        <v>2</v>
      </c>
      <c r="AB2175">
        <v>0</v>
      </c>
      <c r="AC2175">
        <f>VLOOKUP(A:A,[1]android_repos_all_metrics!B:K,4,FALSE)</f>
        <v>11854</v>
      </c>
      <c r="AD2175">
        <f>VLOOKUP(A:A,[1]android_repos_all_metrics!B:K,5,FALSE)</f>
        <v>512</v>
      </c>
      <c r="AE2175">
        <f>VLOOKUP(A:A,[1]android_repos_all_metrics!B:K,6,FALSE)</f>
        <v>237</v>
      </c>
      <c r="AF2175">
        <f>VLOOKUP(A:A,[1]android_repos_all_metrics!B:K,7,FALSE)</f>
        <v>120230</v>
      </c>
      <c r="AG2175">
        <f>VLOOKUP(A:A,[1]android_repos_all_metrics!B:K,8,FALSE)</f>
        <v>440</v>
      </c>
      <c r="AH2175">
        <f>VLOOKUP(A:A,[1]android_repos_all_metrics!B:K,9,FALSE)</f>
        <v>2723</v>
      </c>
      <c r="AI2175">
        <f>VLOOKUP(A:A,[1]android_repos_all_metrics!B:K,10,FALSE)</f>
        <v>646</v>
      </c>
    </row>
    <row r="2176" spans="1:35">
      <c r="A2176" t="s">
        <v>2246</v>
      </c>
      <c r="B2176" t="b">
        <v>1</v>
      </c>
      <c r="C2176" t="b">
        <v>0</v>
      </c>
      <c r="D2176" t="b">
        <v>0</v>
      </c>
      <c r="F2176" t="b">
        <v>0</v>
      </c>
      <c r="H2176" t="s">
        <v>41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>
        <v>1</v>
      </c>
      <c r="AB2176">
        <v>0</v>
      </c>
      <c r="AC2176">
        <f>VLOOKUP(A:A,[1]android_repos_all_metrics!B:K,4,FALSE)</f>
        <v>67</v>
      </c>
      <c r="AD2176">
        <f>VLOOKUP(A:A,[1]android_repos_all_metrics!B:K,5,FALSE)</f>
        <v>16</v>
      </c>
      <c r="AE2176">
        <f>VLOOKUP(A:A,[1]android_repos_all_metrics!B:K,6,FALSE)</f>
        <v>3</v>
      </c>
      <c r="AF2176">
        <f>VLOOKUP(A:A,[1]android_repos_all_metrics!B:K,7,FALSE)</f>
        <v>903</v>
      </c>
      <c r="AG2176">
        <f>VLOOKUP(A:A,[1]android_repos_all_metrics!B:K,8,FALSE)</f>
        <v>367</v>
      </c>
      <c r="AH2176">
        <f>VLOOKUP(A:A,[1]android_repos_all_metrics!B:K,9,FALSE)</f>
        <v>2038</v>
      </c>
      <c r="AI2176">
        <f>VLOOKUP(A:A,[1]android_repos_all_metrics!B:K,10,FALSE)</f>
        <v>19</v>
      </c>
    </row>
    <row r="2177" spans="1:35">
      <c r="A2177" t="s">
        <v>2247</v>
      </c>
      <c r="B2177" t="b">
        <v>1</v>
      </c>
      <c r="C2177" t="b">
        <v>0</v>
      </c>
      <c r="D2177" t="b">
        <v>0</v>
      </c>
      <c r="F2177" t="b">
        <v>0</v>
      </c>
      <c r="H2177" t="s">
        <v>37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>
        <v>2</v>
      </c>
      <c r="AB2177">
        <v>0</v>
      </c>
      <c r="AC2177">
        <f>VLOOKUP(A:A,[1]android_repos_all_metrics!B:K,4,FALSE)</f>
        <v>94</v>
      </c>
      <c r="AD2177">
        <f>VLOOKUP(A:A,[1]android_repos_all_metrics!B:K,5,FALSE)</f>
        <v>17</v>
      </c>
      <c r="AE2177">
        <f>VLOOKUP(A:A,[1]android_repos_all_metrics!B:K,6,FALSE)</f>
        <v>1</v>
      </c>
      <c r="AF2177">
        <f>VLOOKUP(A:A,[1]android_repos_all_metrics!B:K,7,FALSE)</f>
        <v>18168</v>
      </c>
      <c r="AG2177">
        <f>VLOOKUP(A:A,[1]android_repos_all_metrics!B:K,8,FALSE)</f>
        <v>2</v>
      </c>
      <c r="AH2177">
        <f>VLOOKUP(A:A,[1]android_repos_all_metrics!B:K,9,FALSE)</f>
        <v>1</v>
      </c>
      <c r="AI2177">
        <f>VLOOKUP(A:A,[1]android_repos_all_metrics!B:K,10,FALSE)</f>
        <v>1</v>
      </c>
    </row>
    <row r="2178" spans="1:35">
      <c r="A2178" t="s">
        <v>2248</v>
      </c>
      <c r="B2178" t="b">
        <v>1</v>
      </c>
      <c r="C2178" t="b">
        <v>0</v>
      </c>
      <c r="D2178" t="b">
        <v>0</v>
      </c>
      <c r="F2178" t="b">
        <v>0</v>
      </c>
      <c r="H2178" t="s">
        <v>37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>
        <v>2</v>
      </c>
      <c r="AB2178">
        <v>0</v>
      </c>
      <c r="AC2178">
        <f>VLOOKUP(A:A,[1]android_repos_all_metrics!B:K,4,FALSE)</f>
        <v>909</v>
      </c>
      <c r="AD2178">
        <f>VLOOKUP(A:A,[1]android_repos_all_metrics!B:K,5,FALSE)</f>
        <v>109</v>
      </c>
      <c r="AE2178">
        <f>VLOOKUP(A:A,[1]android_repos_all_metrics!B:K,6,FALSE)</f>
        <v>11</v>
      </c>
      <c r="AF2178">
        <f>VLOOKUP(A:A,[1]android_repos_all_metrics!B:K,7,FALSE)</f>
        <v>153833</v>
      </c>
      <c r="AG2178">
        <f>VLOOKUP(A:A,[1]android_repos_all_metrics!B:K,8,FALSE)</f>
        <v>12</v>
      </c>
      <c r="AH2178">
        <f>VLOOKUP(A:A,[1]android_repos_all_metrics!B:K,9,FALSE)</f>
        <v>29</v>
      </c>
      <c r="AI2178">
        <f>VLOOKUP(A:A,[1]android_repos_all_metrics!B:K,10,FALSE)</f>
        <v>28</v>
      </c>
    </row>
    <row r="2179" spans="1:35">
      <c r="A2179" t="s">
        <v>2249</v>
      </c>
      <c r="B2179" t="b">
        <v>1</v>
      </c>
      <c r="C2179" t="b">
        <v>0</v>
      </c>
      <c r="D2179" t="b">
        <v>0</v>
      </c>
      <c r="F2179" t="b">
        <v>0</v>
      </c>
      <c r="H2179" t="s">
        <v>37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>
        <v>3</v>
      </c>
      <c r="AB2179">
        <v>0</v>
      </c>
      <c r="AC2179">
        <f>VLOOKUP(A:A,[1]android_repos_all_metrics!B:K,4,FALSE)</f>
        <v>1032</v>
      </c>
      <c r="AD2179">
        <f>VLOOKUP(A:A,[1]android_repos_all_metrics!B:K,5,FALSE)</f>
        <v>168</v>
      </c>
      <c r="AE2179">
        <f>VLOOKUP(A:A,[1]android_repos_all_metrics!B:K,6,FALSE)</f>
        <v>23</v>
      </c>
      <c r="AF2179">
        <f>VLOOKUP(A:A,[1]android_repos_all_metrics!B:K,7,FALSE)</f>
        <v>6243</v>
      </c>
      <c r="AG2179">
        <f>VLOOKUP(A:A,[1]android_repos_all_metrics!B:K,8,FALSE)</f>
        <v>13</v>
      </c>
      <c r="AH2179">
        <f>VLOOKUP(A:A,[1]android_repos_all_metrics!B:K,9,FALSE)</f>
        <v>99</v>
      </c>
      <c r="AI2179">
        <f>VLOOKUP(A:A,[1]android_repos_all_metrics!B:K,10,FALSE)</f>
        <v>46</v>
      </c>
    </row>
    <row r="2180" spans="1:35">
      <c r="A2180" t="s">
        <v>2250</v>
      </c>
      <c r="B2180" t="b">
        <v>1</v>
      </c>
      <c r="C2180" t="b">
        <v>0</v>
      </c>
      <c r="D2180" t="b">
        <v>0</v>
      </c>
      <c r="F2180" t="b">
        <v>0</v>
      </c>
      <c r="H2180" t="s">
        <v>41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>
        <v>1</v>
      </c>
      <c r="AB2180">
        <v>0</v>
      </c>
      <c r="AC2180">
        <f>VLOOKUP(A:A,[1]android_repos_all_metrics!B:K,4,FALSE)</f>
        <v>680</v>
      </c>
      <c r="AD2180">
        <f>VLOOKUP(A:A,[1]android_repos_all_metrics!B:K,5,FALSE)</f>
        <v>99</v>
      </c>
      <c r="AE2180">
        <f>VLOOKUP(A:A,[1]android_repos_all_metrics!B:K,6,FALSE)</f>
        <v>7</v>
      </c>
      <c r="AF2180">
        <f>VLOOKUP(A:A,[1]android_repos_all_metrics!B:K,7,FALSE)</f>
        <v>5386</v>
      </c>
      <c r="AG2180">
        <f>VLOOKUP(A:A,[1]android_repos_all_metrics!B:K,8,FALSE)</f>
        <v>5</v>
      </c>
      <c r="AH2180">
        <f>VLOOKUP(A:A,[1]android_repos_all_metrics!B:K,9,FALSE)</f>
        <v>8</v>
      </c>
      <c r="AI2180">
        <f>VLOOKUP(A:A,[1]android_repos_all_metrics!B:K,10,FALSE)</f>
        <v>15</v>
      </c>
    </row>
    <row r="2181" spans="1:35">
      <c r="A2181" t="s">
        <v>2251</v>
      </c>
      <c r="B2181" t="b">
        <v>1</v>
      </c>
      <c r="C2181" t="b">
        <v>0</v>
      </c>
      <c r="D2181" t="b">
        <v>0</v>
      </c>
      <c r="F2181" t="b">
        <v>0</v>
      </c>
      <c r="H2181" t="s">
        <v>37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>
        <v>1</v>
      </c>
      <c r="AB2181">
        <v>0</v>
      </c>
      <c r="AC2181">
        <f>VLOOKUP(A:A,[1]android_repos_all_metrics!B:K,4,FALSE)</f>
        <v>61</v>
      </c>
      <c r="AD2181">
        <f>VLOOKUP(A:A,[1]android_repos_all_metrics!B:K,5,FALSE)</f>
        <v>2</v>
      </c>
      <c r="AE2181">
        <f>VLOOKUP(A:A,[1]android_repos_all_metrics!B:K,6,FALSE)</f>
        <v>3</v>
      </c>
      <c r="AF2181">
        <f>VLOOKUP(A:A,[1]android_repos_all_metrics!B:K,7,FALSE)</f>
        <v>3642</v>
      </c>
      <c r="AG2181">
        <f>VLOOKUP(A:A,[1]android_repos_all_metrics!B:K,8,FALSE)</f>
        <v>2</v>
      </c>
      <c r="AH2181">
        <f>VLOOKUP(A:A,[1]android_repos_all_metrics!B:K,9,FALSE)</f>
        <v>1</v>
      </c>
      <c r="AI2181">
        <f>VLOOKUP(A:A,[1]android_repos_all_metrics!B:K,10,FALSE)</f>
        <v>0</v>
      </c>
    </row>
    <row r="2182" spans="1:35">
      <c r="A2182" t="s">
        <v>2252</v>
      </c>
      <c r="B2182" t="b">
        <v>1</v>
      </c>
      <c r="C2182" t="b">
        <v>0</v>
      </c>
      <c r="D2182" t="b">
        <v>0</v>
      </c>
      <c r="F2182" t="b">
        <v>0</v>
      </c>
      <c r="H2182" t="s">
        <v>37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>
        <v>1</v>
      </c>
      <c r="AB2182">
        <v>0</v>
      </c>
      <c r="AC2182">
        <f>VLOOKUP(A:A,[1]android_repos_all_metrics!B:K,4,FALSE)</f>
        <v>1168</v>
      </c>
      <c r="AD2182">
        <f>VLOOKUP(A:A,[1]android_repos_all_metrics!B:K,5,FALSE)</f>
        <v>16</v>
      </c>
      <c r="AE2182">
        <f>VLOOKUP(A:A,[1]android_repos_all_metrics!B:K,6,FALSE)</f>
        <v>7</v>
      </c>
      <c r="AF2182">
        <f>VLOOKUP(A:A,[1]android_repos_all_metrics!B:K,7,FALSE)</f>
        <v>3490</v>
      </c>
      <c r="AG2182">
        <f>VLOOKUP(A:A,[1]android_repos_all_metrics!B:K,8,FALSE)</f>
        <v>135</v>
      </c>
      <c r="AH2182">
        <f>VLOOKUP(A:A,[1]android_repos_all_metrics!B:K,9,FALSE)</f>
        <v>1362</v>
      </c>
      <c r="AI2182">
        <f>VLOOKUP(A:A,[1]android_repos_all_metrics!B:K,10,FALSE)</f>
        <v>0</v>
      </c>
    </row>
    <row r="2183" spans="1:35">
      <c r="A2183" t="s">
        <v>2253</v>
      </c>
      <c r="B2183" t="b">
        <v>1</v>
      </c>
      <c r="C2183" t="b">
        <v>0</v>
      </c>
      <c r="D2183" t="b">
        <v>0</v>
      </c>
      <c r="F2183" t="b">
        <v>0</v>
      </c>
      <c r="H2183" t="s">
        <v>40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>
        <v>2</v>
      </c>
      <c r="AB2183">
        <v>0</v>
      </c>
      <c r="AC2183">
        <f>VLOOKUP(A:A,[1]android_repos_all_metrics!B:K,4,FALSE)</f>
        <v>166</v>
      </c>
      <c r="AD2183">
        <f>VLOOKUP(A:A,[1]android_repos_all_metrics!B:K,5,FALSE)</f>
        <v>83</v>
      </c>
      <c r="AE2183">
        <f>VLOOKUP(A:A,[1]android_repos_all_metrics!B:K,6,FALSE)</f>
        <v>18</v>
      </c>
      <c r="AF2183">
        <f>VLOOKUP(A:A,[1]android_repos_all_metrics!B:K,7,FALSE)</f>
        <v>1043</v>
      </c>
      <c r="AG2183">
        <f>VLOOKUP(A:A,[1]android_repos_all_metrics!B:K,8,FALSE)</f>
        <v>36</v>
      </c>
      <c r="AH2183">
        <f>VLOOKUP(A:A,[1]android_repos_all_metrics!B:K,9,FALSE)</f>
        <v>553</v>
      </c>
      <c r="AI2183">
        <f>VLOOKUP(A:A,[1]android_repos_all_metrics!B:K,10,FALSE)</f>
        <v>0</v>
      </c>
    </row>
    <row r="2184" spans="1:35">
      <c r="A2184" t="s">
        <v>2254</v>
      </c>
      <c r="B2184" t="b">
        <v>0</v>
      </c>
      <c r="C2184" t="b">
        <v>0</v>
      </c>
      <c r="D2184" t="b">
        <v>0</v>
      </c>
      <c r="F2184" t="b">
        <v>0</v>
      </c>
      <c r="H2184" t="s">
        <v>41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>
        <v>1</v>
      </c>
      <c r="AB2184">
        <v>0</v>
      </c>
      <c r="AC2184">
        <f>VLOOKUP(A:A,[1]android_repos_all_metrics!B:K,4,FALSE)</f>
        <v>296</v>
      </c>
      <c r="AD2184">
        <f>VLOOKUP(A:A,[1]android_repos_all_metrics!B:K,5,FALSE)</f>
        <v>9</v>
      </c>
      <c r="AE2184">
        <f>VLOOKUP(A:A,[1]android_repos_all_metrics!B:K,6,FALSE)</f>
        <v>6</v>
      </c>
      <c r="AF2184">
        <f>VLOOKUP(A:A,[1]android_repos_all_metrics!B:K,7,FALSE)</f>
        <v>5505</v>
      </c>
      <c r="AG2184">
        <f>VLOOKUP(A:A,[1]android_repos_all_metrics!B:K,8,FALSE)</f>
        <v>23</v>
      </c>
      <c r="AH2184">
        <f>VLOOKUP(A:A,[1]android_repos_all_metrics!B:K,9,FALSE)</f>
        <v>151</v>
      </c>
      <c r="AI2184">
        <f>VLOOKUP(A:A,[1]android_repos_all_metrics!B:K,10,FALSE)</f>
        <v>5</v>
      </c>
    </row>
    <row r="2185" spans="1:35">
      <c r="A2185" t="s">
        <v>2255</v>
      </c>
      <c r="B2185" t="b">
        <v>0</v>
      </c>
      <c r="C2185" t="b">
        <v>0</v>
      </c>
      <c r="D2185" t="b">
        <v>0</v>
      </c>
      <c r="F2185" t="b">
        <v>0</v>
      </c>
      <c r="H2185" t="s">
        <v>41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>
        <v>1</v>
      </c>
      <c r="AB2185">
        <v>0</v>
      </c>
      <c r="AC2185">
        <f>VLOOKUP(A:A,[1]android_repos_all_metrics!B:K,4,FALSE)</f>
        <v>92</v>
      </c>
      <c r="AD2185">
        <f>VLOOKUP(A:A,[1]android_repos_all_metrics!B:K,5,FALSE)</f>
        <v>0</v>
      </c>
      <c r="AE2185">
        <f>VLOOKUP(A:A,[1]android_repos_all_metrics!B:K,6,FALSE)</f>
        <v>1</v>
      </c>
      <c r="AF2185">
        <f>VLOOKUP(A:A,[1]android_repos_all_metrics!B:K,7,FALSE)</f>
        <v>1734</v>
      </c>
      <c r="AG2185">
        <f>VLOOKUP(A:A,[1]android_repos_all_metrics!B:K,8,FALSE)</f>
        <v>1</v>
      </c>
      <c r="AH2185">
        <f>VLOOKUP(A:A,[1]android_repos_all_metrics!B:K,9,FALSE)</f>
        <v>2</v>
      </c>
      <c r="AI2185">
        <f>VLOOKUP(A:A,[1]android_repos_all_metrics!B:K,10,FALSE)</f>
        <v>0</v>
      </c>
    </row>
    <row r="2186" spans="1:35">
      <c r="A2186" t="s">
        <v>2256</v>
      </c>
      <c r="B2186" t="b">
        <v>1</v>
      </c>
      <c r="C2186" t="b">
        <v>0</v>
      </c>
      <c r="D2186" t="b">
        <v>0</v>
      </c>
      <c r="F2186" t="b">
        <v>0</v>
      </c>
      <c r="H2186" t="s">
        <v>37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>
        <v>3</v>
      </c>
      <c r="AB2186">
        <v>0</v>
      </c>
      <c r="AC2186">
        <f>VLOOKUP(A:A,[1]android_repos_all_metrics!B:K,4,FALSE)</f>
        <v>12</v>
      </c>
      <c r="AD2186">
        <f>VLOOKUP(A:A,[1]android_repos_all_metrics!B:K,5,FALSE)</f>
        <v>0</v>
      </c>
      <c r="AE2186">
        <f>VLOOKUP(A:A,[1]android_repos_all_metrics!B:K,6,FALSE)</f>
        <v>1</v>
      </c>
      <c r="AF2186">
        <f>VLOOKUP(A:A,[1]android_repos_all_metrics!B:K,7,FALSE)</f>
        <v>4997</v>
      </c>
      <c r="AG2186">
        <f>VLOOKUP(A:A,[1]android_repos_all_metrics!B:K,8,FALSE)</f>
        <v>1</v>
      </c>
      <c r="AH2186">
        <f>VLOOKUP(A:A,[1]android_repos_all_metrics!B:K,9,FALSE)</f>
        <v>1</v>
      </c>
      <c r="AI2186">
        <f>VLOOKUP(A:A,[1]android_repos_all_metrics!B:K,10,FALSE)</f>
        <v>0</v>
      </c>
    </row>
    <row r="2187" spans="1:35">
      <c r="A2187" t="s">
        <v>2257</v>
      </c>
      <c r="B2187" t="b">
        <v>1</v>
      </c>
      <c r="C2187" t="b">
        <v>0</v>
      </c>
      <c r="D2187" t="b">
        <v>0</v>
      </c>
      <c r="F2187" t="b">
        <v>0</v>
      </c>
      <c r="H2187" t="s">
        <v>37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>
        <v>2</v>
      </c>
      <c r="AB2187">
        <v>0</v>
      </c>
      <c r="AC2187">
        <f>VLOOKUP(A:A,[1]android_repos_all_metrics!B:K,4,FALSE)</f>
        <v>413</v>
      </c>
      <c r="AD2187">
        <f>VLOOKUP(A:A,[1]android_repos_all_metrics!B:K,5,FALSE)</f>
        <v>142</v>
      </c>
      <c r="AE2187">
        <f>VLOOKUP(A:A,[1]android_repos_all_metrics!B:K,6,FALSE)</f>
        <v>49</v>
      </c>
      <c r="AF2187">
        <f>VLOOKUP(A:A,[1]android_repos_all_metrics!B:K,7,FALSE)</f>
        <v>1202</v>
      </c>
      <c r="AG2187">
        <f>VLOOKUP(A:A,[1]android_repos_all_metrics!B:K,8,FALSE)</f>
        <v>363</v>
      </c>
      <c r="AH2187">
        <f>VLOOKUP(A:A,[1]android_repos_all_metrics!B:K,9,FALSE)</f>
        <v>1485</v>
      </c>
      <c r="AI2187">
        <f>VLOOKUP(A:A,[1]android_repos_all_metrics!B:K,10,FALSE)</f>
        <v>202</v>
      </c>
    </row>
    <row r="2188" spans="1:35">
      <c r="A2188" t="s">
        <v>2258</v>
      </c>
      <c r="B2188" t="b">
        <v>1</v>
      </c>
      <c r="C2188" t="b">
        <v>0</v>
      </c>
      <c r="D2188" t="b">
        <v>0</v>
      </c>
      <c r="F2188" t="b">
        <v>0</v>
      </c>
      <c r="H2188" t="s">
        <v>37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>
        <v>10</v>
      </c>
      <c r="AB2188">
        <v>0</v>
      </c>
      <c r="AC2188">
        <f>VLOOKUP(A:A,[1]android_repos_all_metrics!B:K,4,FALSE)</f>
        <v>1429</v>
      </c>
      <c r="AD2188">
        <f>VLOOKUP(A:A,[1]android_repos_all_metrics!B:K,5,FALSE)</f>
        <v>0</v>
      </c>
      <c r="AE2188">
        <f>VLOOKUP(A:A,[1]android_repos_all_metrics!B:K,6,FALSE)</f>
        <v>68</v>
      </c>
      <c r="AF2188">
        <f>VLOOKUP(A:A,[1]android_repos_all_metrics!B:K,7,FALSE)</f>
        <v>3966</v>
      </c>
      <c r="AG2188">
        <f>VLOOKUP(A:A,[1]android_repos_all_metrics!B:K,8,FALSE)</f>
        <v>3</v>
      </c>
      <c r="AH2188">
        <f>VLOOKUP(A:A,[1]android_repos_all_metrics!B:K,9,FALSE)</f>
        <v>4</v>
      </c>
      <c r="AI2188">
        <f>VLOOKUP(A:A,[1]android_repos_all_metrics!B:K,10,FALSE)</f>
        <v>0</v>
      </c>
    </row>
    <row r="2189" spans="1:35">
      <c r="A2189" t="s">
        <v>2259</v>
      </c>
      <c r="B2189" t="b">
        <v>1</v>
      </c>
      <c r="C2189" t="b">
        <v>0</v>
      </c>
      <c r="D2189" t="b">
        <v>0</v>
      </c>
      <c r="F2189" t="b">
        <v>0</v>
      </c>
      <c r="H2189" t="s">
        <v>41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>
        <v>1</v>
      </c>
      <c r="AB2189">
        <v>0</v>
      </c>
      <c r="AC2189">
        <f>VLOOKUP(A:A,[1]android_repos_all_metrics!B:K,4,FALSE)</f>
        <v>7</v>
      </c>
      <c r="AD2189">
        <f>VLOOKUP(A:A,[1]android_repos_all_metrics!B:K,5,FALSE)</f>
        <v>0</v>
      </c>
      <c r="AE2189">
        <f>VLOOKUP(A:A,[1]android_repos_all_metrics!B:K,6,FALSE)</f>
        <v>1</v>
      </c>
      <c r="AF2189">
        <f>VLOOKUP(A:A,[1]android_repos_all_metrics!B:K,7,FALSE)</f>
        <v>637</v>
      </c>
      <c r="AG2189">
        <f>VLOOKUP(A:A,[1]android_repos_all_metrics!B:K,8,FALSE)</f>
        <v>5</v>
      </c>
      <c r="AH2189">
        <f>VLOOKUP(A:A,[1]android_repos_all_metrics!B:K,9,FALSE)</f>
        <v>15</v>
      </c>
      <c r="AI2189">
        <f>VLOOKUP(A:A,[1]android_repos_all_metrics!B:K,10,FALSE)</f>
        <v>1</v>
      </c>
    </row>
    <row r="2190" spans="1:35">
      <c r="A2190" t="s">
        <v>2260</v>
      </c>
      <c r="B2190" t="b">
        <v>1</v>
      </c>
      <c r="C2190" t="b">
        <v>0</v>
      </c>
      <c r="D2190" t="b">
        <v>0</v>
      </c>
      <c r="F2190" t="b">
        <v>0</v>
      </c>
      <c r="H2190" t="s">
        <v>37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>
        <v>1</v>
      </c>
      <c r="AB2190">
        <v>0</v>
      </c>
      <c r="AC2190">
        <f>VLOOKUP(A:A,[1]android_repos_all_metrics!B:K,4,FALSE)</f>
        <v>53</v>
      </c>
      <c r="AD2190">
        <f>VLOOKUP(A:A,[1]android_repos_all_metrics!B:K,5,FALSE)</f>
        <v>8</v>
      </c>
      <c r="AE2190">
        <f>VLOOKUP(A:A,[1]android_repos_all_metrics!B:K,6,FALSE)</f>
        <v>7</v>
      </c>
      <c r="AF2190">
        <f>VLOOKUP(A:A,[1]android_repos_all_metrics!B:K,7,FALSE)</f>
        <v>239</v>
      </c>
      <c r="AG2190">
        <f>VLOOKUP(A:A,[1]android_repos_all_metrics!B:K,8,FALSE)</f>
        <v>191</v>
      </c>
      <c r="AH2190">
        <f>VLOOKUP(A:A,[1]android_repos_all_metrics!B:K,9,FALSE)</f>
        <v>551</v>
      </c>
      <c r="AI2190">
        <f>VLOOKUP(A:A,[1]android_repos_all_metrics!B:K,10,FALSE)</f>
        <v>13</v>
      </c>
    </row>
    <row r="2191" spans="1:35">
      <c r="A2191" t="s">
        <v>2261</v>
      </c>
      <c r="B2191" t="b">
        <v>1</v>
      </c>
      <c r="C2191" t="b">
        <v>0</v>
      </c>
      <c r="D2191" t="b">
        <v>0</v>
      </c>
      <c r="F2191" t="b">
        <v>0</v>
      </c>
      <c r="H2191" t="s">
        <v>37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>
        <v>2</v>
      </c>
      <c r="AB2191">
        <v>0</v>
      </c>
      <c r="AC2191">
        <f>VLOOKUP(A:A,[1]android_repos_all_metrics!B:K,4,FALSE)</f>
        <v>75</v>
      </c>
      <c r="AD2191">
        <f>VLOOKUP(A:A,[1]android_repos_all_metrics!B:K,5,FALSE)</f>
        <v>12</v>
      </c>
      <c r="AE2191">
        <f>VLOOKUP(A:A,[1]android_repos_all_metrics!B:K,6,FALSE)</f>
        <v>9</v>
      </c>
      <c r="AF2191">
        <f>VLOOKUP(A:A,[1]android_repos_all_metrics!B:K,7,FALSE)</f>
        <v>308</v>
      </c>
      <c r="AG2191">
        <f>VLOOKUP(A:A,[1]android_repos_all_metrics!B:K,8,FALSE)</f>
        <v>66</v>
      </c>
      <c r="AH2191">
        <f>VLOOKUP(A:A,[1]android_repos_all_metrics!B:K,9,FALSE)</f>
        <v>302</v>
      </c>
      <c r="AI2191">
        <f>VLOOKUP(A:A,[1]android_repos_all_metrics!B:K,10,FALSE)</f>
        <v>15</v>
      </c>
    </row>
    <row r="2192" spans="1:35">
      <c r="A2192" t="s">
        <v>2262</v>
      </c>
      <c r="B2192" t="b">
        <v>1</v>
      </c>
      <c r="C2192" t="b">
        <v>0</v>
      </c>
      <c r="D2192" t="b">
        <v>0</v>
      </c>
      <c r="F2192" t="b">
        <v>0</v>
      </c>
      <c r="H2192" t="s">
        <v>37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>
        <v>2</v>
      </c>
      <c r="AB2192">
        <v>0</v>
      </c>
      <c r="AC2192">
        <f>VLOOKUP(A:A,[1]android_repos_all_metrics!B:K,4,FALSE)</f>
        <v>163</v>
      </c>
      <c r="AD2192">
        <f>VLOOKUP(A:A,[1]android_repos_all_metrics!B:K,5,FALSE)</f>
        <v>32</v>
      </c>
      <c r="AE2192">
        <f>VLOOKUP(A:A,[1]android_repos_all_metrics!B:K,6,FALSE)</f>
        <v>24</v>
      </c>
      <c r="AF2192">
        <f>VLOOKUP(A:A,[1]android_repos_all_metrics!B:K,7,FALSE)</f>
        <v>56361</v>
      </c>
      <c r="AG2192">
        <f>VLOOKUP(A:A,[1]android_repos_all_metrics!B:K,8,FALSE)</f>
        <v>217</v>
      </c>
      <c r="AH2192">
        <f>VLOOKUP(A:A,[1]android_repos_all_metrics!B:K,9,FALSE)</f>
        <v>734</v>
      </c>
      <c r="AI2192">
        <f>VLOOKUP(A:A,[1]android_repos_all_metrics!B:K,10,FALSE)</f>
        <v>28</v>
      </c>
    </row>
    <row r="2193" spans="1:35">
      <c r="A2193" t="s">
        <v>2263</v>
      </c>
      <c r="B2193" t="b">
        <v>0</v>
      </c>
      <c r="C2193" t="b">
        <v>0</v>
      </c>
      <c r="D2193" t="b">
        <v>0</v>
      </c>
      <c r="F2193" t="b">
        <v>0</v>
      </c>
      <c r="H2193" t="s">
        <v>41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>
        <v>1</v>
      </c>
      <c r="AB2193">
        <v>0</v>
      </c>
      <c r="AC2193">
        <f>VLOOKUP(A:A,[1]android_repos_all_metrics!B:K,4,FALSE)</f>
        <v>612</v>
      </c>
      <c r="AD2193">
        <f>VLOOKUP(A:A,[1]android_repos_all_metrics!B:K,5,FALSE)</f>
        <v>4</v>
      </c>
      <c r="AE2193">
        <f>VLOOKUP(A:A,[1]android_repos_all_metrics!B:K,6,FALSE)</f>
        <v>4</v>
      </c>
      <c r="AF2193">
        <f>VLOOKUP(A:A,[1]android_repos_all_metrics!B:K,7,FALSE)</f>
        <v>51867</v>
      </c>
      <c r="AG2193">
        <f>VLOOKUP(A:A,[1]android_repos_all_metrics!B:K,8,FALSE)</f>
        <v>14</v>
      </c>
      <c r="AH2193">
        <f>VLOOKUP(A:A,[1]android_repos_all_metrics!B:K,9,FALSE)</f>
        <v>47</v>
      </c>
      <c r="AI2193">
        <f>VLOOKUP(A:A,[1]android_repos_all_metrics!B:K,10,FALSE)</f>
        <v>15</v>
      </c>
    </row>
    <row r="2194" spans="1:35">
      <c r="A2194" t="s">
        <v>2264</v>
      </c>
      <c r="B2194" t="b">
        <v>0</v>
      </c>
      <c r="C2194" t="b">
        <v>0</v>
      </c>
      <c r="D2194" t="b">
        <v>0</v>
      </c>
      <c r="F2194" t="b">
        <v>0</v>
      </c>
      <c r="H2194" t="s">
        <v>2265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>
        <v>3</v>
      </c>
      <c r="AB2194">
        <v>0</v>
      </c>
      <c r="AC2194">
        <f>VLOOKUP(A:A,[1]android_repos_all_metrics!B:K,4,FALSE)</f>
        <v>63</v>
      </c>
      <c r="AD2194">
        <f>VLOOKUP(A:A,[1]android_repos_all_metrics!B:K,5,FALSE)</f>
        <v>8</v>
      </c>
      <c r="AE2194">
        <f>VLOOKUP(A:A,[1]android_repos_all_metrics!B:K,6,FALSE)</f>
        <v>4</v>
      </c>
      <c r="AF2194">
        <f>VLOOKUP(A:A,[1]android_repos_all_metrics!B:K,7,FALSE)</f>
        <v>3131</v>
      </c>
      <c r="AG2194">
        <f>VLOOKUP(A:A,[1]android_repos_all_metrics!B:K,8,FALSE)</f>
        <v>12</v>
      </c>
      <c r="AH2194">
        <f>VLOOKUP(A:A,[1]android_repos_all_metrics!B:K,9,FALSE)</f>
        <v>61</v>
      </c>
      <c r="AI2194">
        <f>VLOOKUP(A:A,[1]android_repos_all_metrics!B:K,10,FALSE)</f>
        <v>8</v>
      </c>
    </row>
    <row r="2195" spans="1:35">
      <c r="A2195" t="s">
        <v>2266</v>
      </c>
      <c r="B2195" t="b">
        <v>1</v>
      </c>
      <c r="C2195" t="b">
        <v>0</v>
      </c>
      <c r="D2195" t="b">
        <v>0</v>
      </c>
      <c r="F2195" t="b">
        <v>0</v>
      </c>
      <c r="H2195" t="s">
        <v>37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>
        <v>1</v>
      </c>
      <c r="AB2195">
        <v>0</v>
      </c>
      <c r="AC2195">
        <f>VLOOKUP(A:A,[1]android_repos_all_metrics!B:K,4,FALSE)</f>
        <v>76</v>
      </c>
      <c r="AD2195">
        <f>VLOOKUP(A:A,[1]android_repos_all_metrics!B:K,5,FALSE)</f>
        <v>1</v>
      </c>
      <c r="AE2195">
        <f>VLOOKUP(A:A,[1]android_repos_all_metrics!B:K,6,FALSE)</f>
        <v>1</v>
      </c>
      <c r="AF2195">
        <f>VLOOKUP(A:A,[1]android_repos_all_metrics!B:K,7,FALSE)</f>
        <v>140015</v>
      </c>
      <c r="AG2195">
        <f>VLOOKUP(A:A,[1]android_repos_all_metrics!B:K,8,FALSE)</f>
        <v>25</v>
      </c>
      <c r="AH2195">
        <f>VLOOKUP(A:A,[1]android_repos_all_metrics!B:K,9,FALSE)</f>
        <v>166</v>
      </c>
      <c r="AI2195">
        <f>VLOOKUP(A:A,[1]android_repos_all_metrics!B:K,10,FALSE)</f>
        <v>1</v>
      </c>
    </row>
    <row r="2196" spans="1:35">
      <c r="A2196" t="s">
        <v>2267</v>
      </c>
      <c r="B2196" t="b">
        <v>0</v>
      </c>
      <c r="C2196" t="b">
        <v>0</v>
      </c>
      <c r="D2196" t="b">
        <v>0</v>
      </c>
      <c r="F2196" t="b">
        <v>0</v>
      </c>
      <c r="H2196" t="s">
        <v>41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>
        <v>1</v>
      </c>
      <c r="AB2196">
        <v>0</v>
      </c>
      <c r="AC2196">
        <f>VLOOKUP(A:A,[1]android_repos_all_metrics!B:K,4,FALSE)</f>
        <v>964</v>
      </c>
      <c r="AD2196">
        <f>VLOOKUP(A:A,[1]android_repos_all_metrics!B:K,5,FALSE)</f>
        <v>9</v>
      </c>
      <c r="AE2196">
        <f>VLOOKUP(A:A,[1]android_repos_all_metrics!B:K,6,FALSE)</f>
        <v>5</v>
      </c>
      <c r="AF2196">
        <f>VLOOKUP(A:A,[1]android_repos_all_metrics!B:K,7,FALSE)</f>
        <v>1569037</v>
      </c>
      <c r="AG2196">
        <f>VLOOKUP(A:A,[1]android_repos_all_metrics!B:K,8,FALSE)</f>
        <v>299</v>
      </c>
      <c r="AH2196">
        <f>VLOOKUP(A:A,[1]android_repos_all_metrics!B:K,9,FALSE)</f>
        <v>772</v>
      </c>
      <c r="AI2196">
        <f>VLOOKUP(A:A,[1]android_repos_all_metrics!B:K,10,FALSE)</f>
        <v>41</v>
      </c>
    </row>
    <row r="2197" spans="1:35">
      <c r="A2197" t="s">
        <v>2268</v>
      </c>
      <c r="B2197" t="b">
        <v>0</v>
      </c>
      <c r="C2197" t="b">
        <v>0</v>
      </c>
      <c r="D2197" t="b">
        <v>0</v>
      </c>
      <c r="F2197" t="b">
        <v>0</v>
      </c>
      <c r="H2197" t="s">
        <v>41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>
        <v>1</v>
      </c>
      <c r="AB2197">
        <v>0</v>
      </c>
      <c r="AC2197">
        <f>VLOOKUP(A:A,[1]android_repos_all_metrics!B:K,4,FALSE)</f>
        <v>22</v>
      </c>
      <c r="AD2197">
        <f>VLOOKUP(A:A,[1]android_repos_all_metrics!B:K,5,FALSE)</f>
        <v>0</v>
      </c>
      <c r="AE2197">
        <f>VLOOKUP(A:A,[1]android_repos_all_metrics!B:K,6,FALSE)</f>
        <v>1</v>
      </c>
      <c r="AF2197">
        <f>VLOOKUP(A:A,[1]android_repos_all_metrics!B:K,7,FALSE)</f>
        <v>174</v>
      </c>
      <c r="AG2197">
        <f>VLOOKUP(A:A,[1]android_repos_all_metrics!B:K,8,FALSE)</f>
        <v>3</v>
      </c>
      <c r="AH2197">
        <f>VLOOKUP(A:A,[1]android_repos_all_metrics!B:K,9,FALSE)</f>
        <v>68</v>
      </c>
      <c r="AI2197">
        <f>VLOOKUP(A:A,[1]android_repos_all_metrics!B:K,10,FALSE)</f>
        <v>0</v>
      </c>
    </row>
    <row r="2198" spans="1:35">
      <c r="A2198" t="s">
        <v>2269</v>
      </c>
      <c r="B2198" t="b">
        <v>1</v>
      </c>
      <c r="C2198" t="b">
        <v>0</v>
      </c>
      <c r="D2198" t="b">
        <v>0</v>
      </c>
      <c r="F2198" t="b">
        <v>0</v>
      </c>
      <c r="H2198" t="s">
        <v>37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>
        <v>2</v>
      </c>
      <c r="AB2198">
        <v>0</v>
      </c>
      <c r="AC2198">
        <f>VLOOKUP(A:A,[1]android_repos_all_metrics!B:K,4,FALSE)</f>
        <v>18</v>
      </c>
      <c r="AD2198">
        <f>VLOOKUP(A:A,[1]android_repos_all_metrics!B:K,5,FALSE)</f>
        <v>0</v>
      </c>
      <c r="AE2198">
        <f>VLOOKUP(A:A,[1]android_repos_all_metrics!B:K,6,FALSE)</f>
        <v>2</v>
      </c>
      <c r="AF2198">
        <f>VLOOKUP(A:A,[1]android_repos_all_metrics!B:K,7,FALSE)</f>
        <v>145</v>
      </c>
      <c r="AG2198">
        <f>VLOOKUP(A:A,[1]android_repos_all_metrics!B:K,8,FALSE)</f>
        <v>0</v>
      </c>
      <c r="AH2198">
        <f>VLOOKUP(A:A,[1]android_repos_all_metrics!B:K,9,FALSE)</f>
        <v>2</v>
      </c>
      <c r="AI2198">
        <f>VLOOKUP(A:A,[1]android_repos_all_metrics!B:K,10,FALSE)</f>
        <v>0</v>
      </c>
    </row>
    <row r="2199" spans="1:35">
      <c r="A2199" t="s">
        <v>2270</v>
      </c>
      <c r="B2199" t="b">
        <v>1</v>
      </c>
      <c r="C2199" t="b">
        <v>0</v>
      </c>
      <c r="D2199" t="b">
        <v>0</v>
      </c>
      <c r="F2199" t="b">
        <v>0</v>
      </c>
      <c r="H2199" t="s">
        <v>76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>
        <v>1</v>
      </c>
      <c r="AB2199">
        <v>0</v>
      </c>
      <c r="AC2199">
        <f>VLOOKUP(A:A,[1]android_repos_all_metrics!B:K,4,FALSE)</f>
        <v>207</v>
      </c>
      <c r="AD2199">
        <f>VLOOKUP(A:A,[1]android_repos_all_metrics!B:K,5,FALSE)</f>
        <v>21</v>
      </c>
      <c r="AE2199">
        <f>VLOOKUP(A:A,[1]android_repos_all_metrics!B:K,6,FALSE)</f>
        <v>9</v>
      </c>
      <c r="AF2199">
        <f>VLOOKUP(A:A,[1]android_repos_all_metrics!B:K,7,FALSE)</f>
        <v>7401</v>
      </c>
      <c r="AG2199">
        <f>VLOOKUP(A:A,[1]android_repos_all_metrics!B:K,8,FALSE)</f>
        <v>16</v>
      </c>
      <c r="AH2199">
        <f>VLOOKUP(A:A,[1]android_repos_all_metrics!B:K,9,FALSE)</f>
        <v>67</v>
      </c>
      <c r="AI2199">
        <f>VLOOKUP(A:A,[1]android_repos_all_metrics!B:K,10,FALSE)</f>
        <v>44</v>
      </c>
    </row>
    <row r="2200" spans="1:35">
      <c r="A2200" t="s">
        <v>2271</v>
      </c>
      <c r="B2200" t="b">
        <v>1</v>
      </c>
      <c r="C2200" t="b">
        <v>0</v>
      </c>
      <c r="D2200" t="b">
        <v>0</v>
      </c>
      <c r="F2200" t="b">
        <v>0</v>
      </c>
      <c r="H2200" t="s">
        <v>37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>
        <v>1</v>
      </c>
      <c r="AB2200">
        <v>0</v>
      </c>
      <c r="AC2200">
        <f>VLOOKUP(A:A,[1]android_repos_all_metrics!B:K,4,FALSE)</f>
        <v>65</v>
      </c>
      <c r="AD2200">
        <f>VLOOKUP(A:A,[1]android_repos_all_metrics!B:K,5,FALSE)</f>
        <v>2</v>
      </c>
      <c r="AE2200">
        <f>VLOOKUP(A:A,[1]android_repos_all_metrics!B:K,6,FALSE)</f>
        <v>2</v>
      </c>
      <c r="AF2200">
        <f>VLOOKUP(A:A,[1]android_repos_all_metrics!B:K,7,FALSE)</f>
        <v>2222</v>
      </c>
      <c r="AG2200">
        <f>VLOOKUP(A:A,[1]android_repos_all_metrics!B:K,8,FALSE)</f>
        <v>9</v>
      </c>
      <c r="AH2200">
        <f>VLOOKUP(A:A,[1]android_repos_all_metrics!B:K,9,FALSE)</f>
        <v>48</v>
      </c>
      <c r="AI2200">
        <f>VLOOKUP(A:A,[1]android_repos_all_metrics!B:K,10,FALSE)</f>
        <v>1</v>
      </c>
    </row>
    <row r="2201" spans="1:35">
      <c r="A2201" t="s">
        <v>2272</v>
      </c>
      <c r="B2201" t="b">
        <v>0</v>
      </c>
      <c r="C2201" t="b">
        <v>0</v>
      </c>
      <c r="D2201" t="b">
        <v>0</v>
      </c>
      <c r="F2201" t="b">
        <v>0</v>
      </c>
      <c r="H2201" t="s">
        <v>41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>
        <v>1</v>
      </c>
      <c r="AB2201">
        <v>0</v>
      </c>
      <c r="AC2201">
        <f>VLOOKUP(A:A,[1]android_repos_all_metrics!B:K,4,FALSE)</f>
        <v>52</v>
      </c>
      <c r="AD2201">
        <f>VLOOKUP(A:A,[1]android_repos_all_metrics!B:K,5,FALSE)</f>
        <v>0</v>
      </c>
      <c r="AE2201">
        <f>VLOOKUP(A:A,[1]android_repos_all_metrics!B:K,6,FALSE)</f>
        <v>1</v>
      </c>
      <c r="AF2201">
        <f>VLOOKUP(A:A,[1]android_repos_all_metrics!B:K,7,FALSE)</f>
        <v>51795</v>
      </c>
      <c r="AG2201">
        <f>VLOOKUP(A:A,[1]android_repos_all_metrics!B:K,8,FALSE)</f>
        <v>6</v>
      </c>
      <c r="AH2201">
        <f>VLOOKUP(A:A,[1]android_repos_all_metrics!B:K,9,FALSE)</f>
        <v>26</v>
      </c>
      <c r="AI2201">
        <f>VLOOKUP(A:A,[1]android_repos_all_metrics!B:K,10,FALSE)</f>
        <v>0</v>
      </c>
    </row>
    <row r="2202" spans="1:35">
      <c r="A2202" t="s">
        <v>2273</v>
      </c>
      <c r="B2202" t="b">
        <v>1</v>
      </c>
      <c r="C2202" t="b">
        <v>0</v>
      </c>
      <c r="D2202" t="b">
        <v>0</v>
      </c>
      <c r="F2202" t="b">
        <v>0</v>
      </c>
      <c r="H2202" t="s">
        <v>37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>
        <v>1</v>
      </c>
      <c r="AB2202">
        <v>0</v>
      </c>
      <c r="AC2202">
        <f>VLOOKUP(A:A,[1]android_repos_all_metrics!B:K,4,FALSE)</f>
        <v>2900</v>
      </c>
      <c r="AD2202">
        <f>VLOOKUP(A:A,[1]android_repos_all_metrics!B:K,5,FALSE)</f>
        <v>417</v>
      </c>
      <c r="AE2202">
        <f>VLOOKUP(A:A,[1]android_repos_all_metrics!B:K,6,FALSE)</f>
        <v>21</v>
      </c>
      <c r="AF2202">
        <f>VLOOKUP(A:A,[1]android_repos_all_metrics!B:K,7,FALSE)</f>
        <v>90278</v>
      </c>
      <c r="AG2202">
        <f>VLOOKUP(A:A,[1]android_repos_all_metrics!B:K,8,FALSE)</f>
        <v>31</v>
      </c>
      <c r="AH2202">
        <f>VLOOKUP(A:A,[1]android_repos_all_metrics!B:K,9,FALSE)</f>
        <v>72</v>
      </c>
      <c r="AI2202">
        <f>VLOOKUP(A:A,[1]android_repos_all_metrics!B:K,10,FALSE)</f>
        <v>113</v>
      </c>
    </row>
    <row r="2203" spans="1:35">
      <c r="A2203" t="s">
        <v>2274</v>
      </c>
      <c r="B2203" t="b">
        <v>0</v>
      </c>
      <c r="C2203" t="b">
        <v>0</v>
      </c>
      <c r="D2203" t="b">
        <v>0</v>
      </c>
      <c r="F2203" t="b">
        <v>0</v>
      </c>
      <c r="H2203" t="s">
        <v>41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>
        <v>1</v>
      </c>
      <c r="AB2203">
        <v>0</v>
      </c>
      <c r="AC2203">
        <f>VLOOKUP(A:A,[1]android_repos_all_metrics!B:K,4,FALSE)</f>
        <v>13</v>
      </c>
      <c r="AD2203">
        <f>VLOOKUP(A:A,[1]android_repos_all_metrics!B:K,5,FALSE)</f>
        <v>0</v>
      </c>
      <c r="AE2203">
        <f>VLOOKUP(A:A,[1]android_repos_all_metrics!B:K,6,FALSE)</f>
        <v>1</v>
      </c>
      <c r="AF2203">
        <f>VLOOKUP(A:A,[1]android_repos_all_metrics!B:K,7,FALSE)</f>
        <v>670</v>
      </c>
      <c r="AG2203">
        <f>VLOOKUP(A:A,[1]android_repos_all_metrics!B:K,8,FALSE)</f>
        <v>1</v>
      </c>
      <c r="AH2203">
        <f>VLOOKUP(A:A,[1]android_repos_all_metrics!B:K,9,FALSE)</f>
        <v>6</v>
      </c>
      <c r="AI2203">
        <f>VLOOKUP(A:A,[1]android_repos_all_metrics!B:K,10,FALSE)</f>
        <v>0</v>
      </c>
    </row>
    <row r="2204" spans="1:35">
      <c r="A2204" t="s">
        <v>2275</v>
      </c>
      <c r="B2204" t="b">
        <v>1</v>
      </c>
      <c r="C2204" t="b">
        <v>0</v>
      </c>
      <c r="D2204" t="b">
        <v>0</v>
      </c>
      <c r="F2204" t="b">
        <v>0</v>
      </c>
      <c r="H2204" t="s">
        <v>37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>
        <v>1</v>
      </c>
      <c r="AB2204">
        <v>0</v>
      </c>
      <c r="AC2204">
        <f>VLOOKUP(A:A,[1]android_repos_all_metrics!B:K,4,FALSE)</f>
        <v>520</v>
      </c>
      <c r="AD2204">
        <f>VLOOKUP(A:A,[1]android_repos_all_metrics!B:K,5,FALSE)</f>
        <v>85</v>
      </c>
      <c r="AE2204">
        <f>VLOOKUP(A:A,[1]android_repos_all_metrics!B:K,6,FALSE)</f>
        <v>4</v>
      </c>
      <c r="AF2204">
        <f>VLOOKUP(A:A,[1]android_repos_all_metrics!B:K,7,FALSE)</f>
        <v>1420</v>
      </c>
      <c r="AG2204">
        <f>VLOOKUP(A:A,[1]android_repos_all_metrics!B:K,8,FALSE)</f>
        <v>88</v>
      </c>
      <c r="AH2204">
        <f>VLOOKUP(A:A,[1]android_repos_all_metrics!B:K,9,FALSE)</f>
        <v>351</v>
      </c>
      <c r="AI2204">
        <f>VLOOKUP(A:A,[1]android_repos_all_metrics!B:K,10,FALSE)</f>
        <v>3</v>
      </c>
    </row>
    <row r="2205" spans="1:35">
      <c r="A2205" t="s">
        <v>2276</v>
      </c>
      <c r="B2205" t="b">
        <v>1</v>
      </c>
      <c r="C2205" t="b">
        <v>0</v>
      </c>
      <c r="D2205" t="b">
        <v>0</v>
      </c>
      <c r="F2205" t="b">
        <v>0</v>
      </c>
      <c r="H2205" t="s">
        <v>37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>
        <v>3</v>
      </c>
      <c r="AB2205">
        <v>0</v>
      </c>
      <c r="AC2205">
        <f>VLOOKUP(A:A,[1]android_repos_all_metrics!B:K,4,FALSE)</f>
        <v>104</v>
      </c>
      <c r="AD2205">
        <f>VLOOKUP(A:A,[1]android_repos_all_metrics!B:K,5,FALSE)</f>
        <v>5</v>
      </c>
      <c r="AE2205">
        <f>VLOOKUP(A:A,[1]android_repos_all_metrics!B:K,6,FALSE)</f>
        <v>1</v>
      </c>
      <c r="AF2205">
        <f>VLOOKUP(A:A,[1]android_repos_all_metrics!B:K,7,FALSE)</f>
        <v>471</v>
      </c>
      <c r="AG2205">
        <f>VLOOKUP(A:A,[1]android_repos_all_metrics!B:K,8,FALSE)</f>
        <v>1</v>
      </c>
      <c r="AH2205">
        <f>VLOOKUP(A:A,[1]android_repos_all_metrics!B:K,9,FALSE)</f>
        <v>1</v>
      </c>
      <c r="AI2205">
        <f>VLOOKUP(A:A,[1]android_repos_all_metrics!B:K,10,FALSE)</f>
        <v>0</v>
      </c>
    </row>
    <row r="2206" spans="1:35">
      <c r="A2206" t="s">
        <v>2277</v>
      </c>
      <c r="B2206" t="b">
        <v>1</v>
      </c>
      <c r="C2206" t="b">
        <v>0</v>
      </c>
      <c r="D2206" t="b">
        <v>0</v>
      </c>
      <c r="F2206" t="b">
        <v>0</v>
      </c>
      <c r="H2206" t="s">
        <v>37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>
        <v>1</v>
      </c>
      <c r="AB2206">
        <v>0</v>
      </c>
      <c r="AC2206">
        <f>VLOOKUP(A:A,[1]android_repos_all_metrics!B:K,4,FALSE)</f>
        <v>118</v>
      </c>
      <c r="AD2206">
        <f>VLOOKUP(A:A,[1]android_repos_all_metrics!B:K,5,FALSE)</f>
        <v>4</v>
      </c>
      <c r="AE2206">
        <f>VLOOKUP(A:A,[1]android_repos_all_metrics!B:K,6,FALSE)</f>
        <v>1</v>
      </c>
      <c r="AF2206">
        <f>VLOOKUP(A:A,[1]android_repos_all_metrics!B:K,7,FALSE)</f>
        <v>908</v>
      </c>
      <c r="AG2206">
        <f>VLOOKUP(A:A,[1]android_repos_all_metrics!B:K,8,FALSE)</f>
        <v>3</v>
      </c>
      <c r="AH2206">
        <f>VLOOKUP(A:A,[1]android_repos_all_metrics!B:K,9,FALSE)</f>
        <v>17</v>
      </c>
      <c r="AI2206">
        <f>VLOOKUP(A:A,[1]android_repos_all_metrics!B:K,10,FALSE)</f>
        <v>2</v>
      </c>
    </row>
    <row r="2207" spans="1:35">
      <c r="A2207" t="s">
        <v>2278</v>
      </c>
      <c r="B2207" t="b">
        <v>1</v>
      </c>
      <c r="C2207" t="b">
        <v>0</v>
      </c>
      <c r="D2207" t="b">
        <v>0</v>
      </c>
      <c r="F2207" t="b">
        <v>0</v>
      </c>
      <c r="H2207" t="s">
        <v>43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>
        <v>1</v>
      </c>
      <c r="AB2207">
        <v>0</v>
      </c>
      <c r="AC2207">
        <f>VLOOKUP(A:A,[1]android_repos_all_metrics!B:K,4,FALSE)</f>
        <v>13</v>
      </c>
      <c r="AD2207">
        <f>VLOOKUP(A:A,[1]android_repos_all_metrics!B:K,5,FALSE)</f>
        <v>0</v>
      </c>
      <c r="AE2207">
        <f>VLOOKUP(A:A,[1]android_repos_all_metrics!B:K,6,FALSE)</f>
        <v>1</v>
      </c>
      <c r="AF2207">
        <f>VLOOKUP(A:A,[1]android_repos_all_metrics!B:K,7,FALSE)</f>
        <v>22351</v>
      </c>
      <c r="AG2207">
        <f>VLOOKUP(A:A,[1]android_repos_all_metrics!B:K,8,FALSE)</f>
        <v>1</v>
      </c>
      <c r="AH2207">
        <f>VLOOKUP(A:A,[1]android_repos_all_metrics!B:K,9,FALSE)</f>
        <v>1</v>
      </c>
      <c r="AI2207">
        <f>VLOOKUP(A:A,[1]android_repos_all_metrics!B:K,10,FALSE)</f>
        <v>0</v>
      </c>
    </row>
    <row r="2208" spans="1:35">
      <c r="A2208" t="s">
        <v>2279</v>
      </c>
      <c r="B2208" t="b">
        <v>1</v>
      </c>
      <c r="C2208" t="b">
        <v>0</v>
      </c>
      <c r="D2208" t="b">
        <v>0</v>
      </c>
      <c r="F2208" t="b">
        <v>0</v>
      </c>
      <c r="H2208" t="s">
        <v>41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>
        <v>1</v>
      </c>
      <c r="AB2208">
        <v>0</v>
      </c>
      <c r="AC2208">
        <f>VLOOKUP(A:A,[1]android_repos_all_metrics!B:K,4,FALSE)</f>
        <v>35</v>
      </c>
      <c r="AD2208">
        <f>VLOOKUP(A:A,[1]android_repos_all_metrics!B:K,5,FALSE)</f>
        <v>1</v>
      </c>
      <c r="AE2208">
        <f>VLOOKUP(A:A,[1]android_repos_all_metrics!B:K,6,FALSE)</f>
        <v>1</v>
      </c>
      <c r="AF2208">
        <f>VLOOKUP(A:A,[1]android_repos_all_metrics!B:K,7,FALSE)</f>
        <v>787</v>
      </c>
      <c r="AG2208">
        <f>VLOOKUP(A:A,[1]android_repos_all_metrics!B:K,8,FALSE)</f>
        <v>1</v>
      </c>
      <c r="AH2208">
        <f>VLOOKUP(A:A,[1]android_repos_all_metrics!B:K,9,FALSE)</f>
        <v>7</v>
      </c>
      <c r="AI2208">
        <f>VLOOKUP(A:A,[1]android_repos_all_metrics!B:K,10,FALSE)</f>
        <v>0</v>
      </c>
    </row>
    <row r="2209" spans="1:35">
      <c r="A2209" t="s">
        <v>2280</v>
      </c>
      <c r="B2209" t="b">
        <v>1</v>
      </c>
      <c r="C2209" t="b">
        <v>0</v>
      </c>
      <c r="D2209" t="b">
        <v>0</v>
      </c>
      <c r="F2209" t="b">
        <v>0</v>
      </c>
      <c r="H2209" t="s">
        <v>37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>
        <v>1</v>
      </c>
      <c r="AB2209">
        <v>0</v>
      </c>
      <c r="AC2209">
        <f>VLOOKUP(A:A,[1]android_repos_all_metrics!B:K,4,FALSE)</f>
        <v>200</v>
      </c>
      <c r="AD2209">
        <f>VLOOKUP(A:A,[1]android_repos_all_metrics!B:K,5,FALSE)</f>
        <v>30</v>
      </c>
      <c r="AE2209">
        <f>VLOOKUP(A:A,[1]android_repos_all_metrics!B:K,6,FALSE)</f>
        <v>4</v>
      </c>
      <c r="AF2209">
        <f>VLOOKUP(A:A,[1]android_repos_all_metrics!B:K,7,FALSE)</f>
        <v>2670</v>
      </c>
      <c r="AG2209">
        <f>VLOOKUP(A:A,[1]android_repos_all_metrics!B:K,8,FALSE)</f>
        <v>1</v>
      </c>
      <c r="AH2209">
        <f>VLOOKUP(A:A,[1]android_repos_all_metrics!B:K,9,FALSE)</f>
        <v>1</v>
      </c>
      <c r="AI2209">
        <f>VLOOKUP(A:A,[1]android_repos_all_metrics!B:K,10,FALSE)</f>
        <v>1</v>
      </c>
    </row>
    <row r="2210" spans="1:35">
      <c r="A2210" t="s">
        <v>2281</v>
      </c>
      <c r="B2210" t="b">
        <v>1</v>
      </c>
      <c r="C2210" t="b">
        <v>0</v>
      </c>
      <c r="D2210" t="b">
        <v>0</v>
      </c>
      <c r="F2210" t="b">
        <v>0</v>
      </c>
      <c r="H2210" t="s">
        <v>37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>
        <v>3</v>
      </c>
      <c r="AB2210">
        <v>0</v>
      </c>
      <c r="AC2210">
        <f>VLOOKUP(A:A,[1]android_repos_all_metrics!B:K,4,FALSE)</f>
        <v>243</v>
      </c>
      <c r="AD2210">
        <f>VLOOKUP(A:A,[1]android_repos_all_metrics!B:K,5,FALSE)</f>
        <v>213</v>
      </c>
      <c r="AE2210">
        <f>VLOOKUP(A:A,[1]android_repos_all_metrics!B:K,6,FALSE)</f>
        <v>4</v>
      </c>
      <c r="AF2210">
        <f>VLOOKUP(A:A,[1]android_repos_all_metrics!B:K,7,FALSE)</f>
        <v>9064</v>
      </c>
      <c r="AG2210">
        <f>VLOOKUP(A:A,[1]android_repos_all_metrics!B:K,8,FALSE)</f>
        <v>1</v>
      </c>
      <c r="AH2210">
        <f>VLOOKUP(A:A,[1]android_repos_all_metrics!B:K,9,FALSE)</f>
        <v>12</v>
      </c>
      <c r="AI2210">
        <f>VLOOKUP(A:A,[1]android_repos_all_metrics!B:K,10,FALSE)</f>
        <v>0</v>
      </c>
    </row>
    <row r="2211" spans="1:35">
      <c r="A2211" t="s">
        <v>2282</v>
      </c>
      <c r="B2211" t="b">
        <v>1</v>
      </c>
      <c r="C2211" t="b">
        <v>0</v>
      </c>
      <c r="D2211" t="b">
        <v>0</v>
      </c>
      <c r="F2211" t="b">
        <v>0</v>
      </c>
      <c r="H2211" t="s">
        <v>37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>
        <v>2</v>
      </c>
      <c r="AB2211">
        <v>0</v>
      </c>
      <c r="AC2211">
        <f>VLOOKUP(A:A,[1]android_repos_all_metrics!B:K,4,FALSE)</f>
        <v>3696</v>
      </c>
      <c r="AD2211">
        <f>VLOOKUP(A:A,[1]android_repos_all_metrics!B:K,5,FALSE)</f>
        <v>287</v>
      </c>
      <c r="AE2211">
        <f>VLOOKUP(A:A,[1]android_repos_all_metrics!B:K,6,FALSE)</f>
        <v>14</v>
      </c>
      <c r="AF2211">
        <f>VLOOKUP(A:A,[1]android_repos_all_metrics!B:K,7,FALSE)</f>
        <v>15458</v>
      </c>
      <c r="AG2211">
        <f>VLOOKUP(A:A,[1]android_repos_all_metrics!B:K,8,FALSE)</f>
        <v>10</v>
      </c>
      <c r="AH2211">
        <f>VLOOKUP(A:A,[1]android_repos_all_metrics!B:K,9,FALSE)</f>
        <v>95</v>
      </c>
      <c r="AI2211">
        <f>VLOOKUP(A:A,[1]android_repos_all_metrics!B:K,10,FALSE)</f>
        <v>2</v>
      </c>
    </row>
    <row r="2212" spans="1:35">
      <c r="A2212" t="s">
        <v>2283</v>
      </c>
      <c r="B2212" t="b">
        <v>1</v>
      </c>
      <c r="C2212" t="b">
        <v>0</v>
      </c>
      <c r="D2212" t="b">
        <v>0</v>
      </c>
      <c r="F2212" t="b">
        <v>0</v>
      </c>
      <c r="H2212" t="s">
        <v>37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>
        <v>1</v>
      </c>
      <c r="AB2212">
        <v>0</v>
      </c>
      <c r="AC2212">
        <f>VLOOKUP(A:A,[1]android_repos_all_metrics!B:K,4,FALSE)</f>
        <v>82</v>
      </c>
      <c r="AD2212">
        <f>VLOOKUP(A:A,[1]android_repos_all_metrics!B:K,5,FALSE)</f>
        <v>20</v>
      </c>
      <c r="AE2212">
        <f>VLOOKUP(A:A,[1]android_repos_all_metrics!B:K,6,FALSE)</f>
        <v>3</v>
      </c>
      <c r="AF2212">
        <f>VLOOKUP(A:A,[1]android_repos_all_metrics!B:K,7,FALSE)</f>
        <v>16626</v>
      </c>
      <c r="AG2212">
        <f>VLOOKUP(A:A,[1]android_repos_all_metrics!B:K,8,FALSE)</f>
        <v>57</v>
      </c>
      <c r="AH2212">
        <f>VLOOKUP(A:A,[1]android_repos_all_metrics!B:K,9,FALSE)</f>
        <v>296</v>
      </c>
      <c r="AI2212">
        <f>VLOOKUP(A:A,[1]android_repos_all_metrics!B:K,10,FALSE)</f>
        <v>6</v>
      </c>
    </row>
    <row r="2213" spans="1:35">
      <c r="A2213" t="s">
        <v>2284</v>
      </c>
      <c r="B2213" t="b">
        <v>1</v>
      </c>
      <c r="C2213" t="b">
        <v>0</v>
      </c>
      <c r="D2213" t="b">
        <v>0</v>
      </c>
      <c r="F2213" t="b">
        <v>0</v>
      </c>
      <c r="H2213" t="s">
        <v>37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>
        <v>2</v>
      </c>
      <c r="AB2213">
        <v>0</v>
      </c>
      <c r="AC2213">
        <f>VLOOKUP(A:A,[1]android_repos_all_metrics!B:K,4,FALSE)</f>
        <v>2642</v>
      </c>
      <c r="AD2213">
        <f>VLOOKUP(A:A,[1]android_repos_all_metrics!B:K,5,FALSE)</f>
        <v>399</v>
      </c>
      <c r="AE2213">
        <f>VLOOKUP(A:A,[1]android_repos_all_metrics!B:K,6,FALSE)</f>
        <v>130</v>
      </c>
      <c r="AF2213">
        <f>VLOOKUP(A:A,[1]android_repos_all_metrics!B:K,7,FALSE)</f>
        <v>128058</v>
      </c>
      <c r="AG2213">
        <f>VLOOKUP(A:A,[1]android_repos_all_metrics!B:K,8,FALSE)</f>
        <v>391</v>
      </c>
      <c r="AH2213">
        <f>VLOOKUP(A:A,[1]android_repos_all_metrics!B:K,9,FALSE)</f>
        <v>4147</v>
      </c>
      <c r="AI2213">
        <f>VLOOKUP(A:A,[1]android_repos_all_metrics!B:K,10,FALSE)</f>
        <v>241</v>
      </c>
    </row>
    <row r="2214" spans="1:35">
      <c r="A2214" t="s">
        <v>2285</v>
      </c>
      <c r="B2214" t="b">
        <v>1</v>
      </c>
      <c r="C2214" t="b">
        <v>0</v>
      </c>
      <c r="D2214" t="b">
        <v>0</v>
      </c>
      <c r="F2214" t="b">
        <v>0</v>
      </c>
      <c r="H2214" t="s">
        <v>41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>
        <v>1</v>
      </c>
      <c r="AB2214">
        <v>0</v>
      </c>
      <c r="AC2214">
        <f>VLOOKUP(A:A,[1]android_repos_all_metrics!B:K,4,FALSE)</f>
        <v>92</v>
      </c>
      <c r="AD2214">
        <f>VLOOKUP(A:A,[1]android_repos_all_metrics!B:K,5,FALSE)</f>
        <v>42</v>
      </c>
      <c r="AE2214">
        <f>VLOOKUP(A:A,[1]android_repos_all_metrics!B:K,6,FALSE)</f>
        <v>5</v>
      </c>
      <c r="AF2214">
        <f>VLOOKUP(A:A,[1]android_repos_all_metrics!B:K,7,FALSE)</f>
        <v>25208</v>
      </c>
      <c r="AG2214">
        <f>VLOOKUP(A:A,[1]android_repos_all_metrics!B:K,8,FALSE)</f>
        <v>10</v>
      </c>
      <c r="AH2214">
        <f>VLOOKUP(A:A,[1]android_repos_all_metrics!B:K,9,FALSE)</f>
        <v>7</v>
      </c>
      <c r="AI2214">
        <f>VLOOKUP(A:A,[1]android_repos_all_metrics!B:K,10,FALSE)</f>
        <v>1</v>
      </c>
    </row>
    <row r="2215" spans="1:35">
      <c r="A2215" t="s">
        <v>2286</v>
      </c>
      <c r="B2215" t="b">
        <v>1</v>
      </c>
      <c r="C2215" t="b">
        <v>0</v>
      </c>
      <c r="D2215" t="b">
        <v>0</v>
      </c>
      <c r="F2215" t="b">
        <v>0</v>
      </c>
      <c r="H2215" t="s">
        <v>43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>
        <v>1</v>
      </c>
      <c r="AB2215">
        <v>0</v>
      </c>
      <c r="AC2215" t="e">
        <f>VLOOKUP(A:A,[1]android_repos_all_metrics!B:K,4,FALSE)</f>
        <v>#N/A</v>
      </c>
      <c r="AD2215" t="e">
        <f>VLOOKUP(A:A,[1]android_repos_all_metrics!B:K,5,FALSE)</f>
        <v>#N/A</v>
      </c>
      <c r="AE2215" t="e">
        <f>VLOOKUP(A:A,[1]android_repos_all_metrics!B:K,6,FALSE)</f>
        <v>#N/A</v>
      </c>
      <c r="AF2215" t="e">
        <f>VLOOKUP(A:A,[1]android_repos_all_metrics!B:K,7,FALSE)</f>
        <v>#N/A</v>
      </c>
      <c r="AG2215" t="e">
        <f>VLOOKUP(A:A,[1]android_repos_all_metrics!B:K,8,FALSE)</f>
        <v>#N/A</v>
      </c>
      <c r="AH2215" t="e">
        <f>VLOOKUP(A:A,[1]android_repos_all_metrics!B:K,9,FALSE)</f>
        <v>#N/A</v>
      </c>
      <c r="AI2215" t="e">
        <f>VLOOKUP(A:A,[1]android_repos_all_metrics!B:K,10,FALSE)</f>
        <v>#N/A</v>
      </c>
    </row>
    <row r="2216" spans="1:35">
      <c r="A2216" t="s">
        <v>2287</v>
      </c>
      <c r="B2216" t="b">
        <v>1</v>
      </c>
      <c r="C2216" t="b">
        <v>0</v>
      </c>
      <c r="D2216" t="b">
        <v>0</v>
      </c>
      <c r="F2216" t="b">
        <v>0</v>
      </c>
      <c r="H2216" t="s">
        <v>86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>
        <v>2</v>
      </c>
      <c r="AB2216">
        <v>0</v>
      </c>
      <c r="AC2216">
        <f>VLOOKUP(A:A,[1]android_repos_all_metrics!B:K,4,FALSE)</f>
        <v>448</v>
      </c>
      <c r="AD2216">
        <f>VLOOKUP(A:A,[1]android_repos_all_metrics!B:K,5,FALSE)</f>
        <v>62</v>
      </c>
      <c r="AE2216">
        <f>VLOOKUP(A:A,[1]android_repos_all_metrics!B:K,6,FALSE)</f>
        <v>21</v>
      </c>
      <c r="AF2216">
        <f>VLOOKUP(A:A,[1]android_repos_all_metrics!B:K,7,FALSE)</f>
        <v>4088</v>
      </c>
      <c r="AG2216">
        <f>VLOOKUP(A:A,[1]android_repos_all_metrics!B:K,8,FALSE)</f>
        <v>31</v>
      </c>
      <c r="AH2216">
        <f>VLOOKUP(A:A,[1]android_repos_all_metrics!B:K,9,FALSE)</f>
        <v>101</v>
      </c>
      <c r="AI2216">
        <f>VLOOKUP(A:A,[1]android_repos_all_metrics!B:K,10,FALSE)</f>
        <v>36</v>
      </c>
    </row>
    <row r="2217" spans="1:35">
      <c r="A2217" t="s">
        <v>2288</v>
      </c>
      <c r="B2217" t="b">
        <v>1</v>
      </c>
      <c r="C2217" t="b">
        <v>0</v>
      </c>
      <c r="D2217" t="b">
        <v>0</v>
      </c>
      <c r="F2217" t="b">
        <v>0</v>
      </c>
      <c r="H2217" t="s">
        <v>37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>
        <v>1</v>
      </c>
      <c r="AB2217">
        <v>0</v>
      </c>
      <c r="AC2217">
        <f>VLOOKUP(A:A,[1]android_repos_all_metrics!B:K,4,FALSE)</f>
        <v>31</v>
      </c>
      <c r="AD2217">
        <f>VLOOKUP(A:A,[1]android_repos_all_metrics!B:K,5,FALSE)</f>
        <v>11</v>
      </c>
      <c r="AE2217">
        <f>VLOOKUP(A:A,[1]android_repos_all_metrics!B:K,6,FALSE)</f>
        <v>1</v>
      </c>
      <c r="AF2217">
        <f>VLOOKUP(A:A,[1]android_repos_all_metrics!B:K,7,FALSE)</f>
        <v>9783</v>
      </c>
      <c r="AG2217">
        <f>VLOOKUP(A:A,[1]android_repos_all_metrics!B:K,8,FALSE)</f>
        <v>0</v>
      </c>
      <c r="AH2217">
        <f>VLOOKUP(A:A,[1]android_repos_all_metrics!B:K,9,FALSE)</f>
        <v>1</v>
      </c>
      <c r="AI2217">
        <f>VLOOKUP(A:A,[1]android_repos_all_metrics!B:K,10,FALSE)</f>
        <v>0</v>
      </c>
    </row>
    <row r="2218" spans="1:35">
      <c r="A2218" t="s">
        <v>2289</v>
      </c>
      <c r="B2218" t="b">
        <v>1</v>
      </c>
      <c r="C2218" t="b">
        <v>0</v>
      </c>
      <c r="D2218" t="b">
        <v>0</v>
      </c>
      <c r="F2218" t="b">
        <v>0</v>
      </c>
      <c r="H2218" t="s">
        <v>37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>
        <v>2</v>
      </c>
      <c r="AB2218">
        <v>0</v>
      </c>
      <c r="AC2218">
        <f>VLOOKUP(A:A,[1]android_repos_all_metrics!B:K,4,FALSE)</f>
        <v>61</v>
      </c>
      <c r="AD2218">
        <f>VLOOKUP(A:A,[1]android_repos_all_metrics!B:K,5,FALSE)</f>
        <v>18</v>
      </c>
      <c r="AE2218">
        <f>VLOOKUP(A:A,[1]android_repos_all_metrics!B:K,6,FALSE)</f>
        <v>1</v>
      </c>
      <c r="AF2218">
        <f>VLOOKUP(A:A,[1]android_repos_all_metrics!B:K,7,FALSE)</f>
        <v>394</v>
      </c>
      <c r="AG2218">
        <f>VLOOKUP(A:A,[1]android_repos_all_metrics!B:K,8,FALSE)</f>
        <v>0</v>
      </c>
      <c r="AH2218">
        <f>VLOOKUP(A:A,[1]android_repos_all_metrics!B:K,9,FALSE)</f>
        <v>1</v>
      </c>
      <c r="AI2218">
        <f>VLOOKUP(A:A,[1]android_repos_all_metrics!B:K,10,FALSE)</f>
        <v>0</v>
      </c>
    </row>
    <row r="2219" spans="1:35">
      <c r="A2219" t="s">
        <v>2290</v>
      </c>
      <c r="B2219" t="b">
        <v>0</v>
      </c>
      <c r="C2219" t="b">
        <v>0</v>
      </c>
      <c r="D2219" t="b">
        <v>0</v>
      </c>
      <c r="F2219" t="b">
        <v>0</v>
      </c>
      <c r="H2219" t="s">
        <v>43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>
        <v>1</v>
      </c>
      <c r="AB2219">
        <v>0</v>
      </c>
      <c r="AC2219">
        <f>VLOOKUP(A:A,[1]android_repos_all_metrics!B:K,4,FALSE)</f>
        <v>297</v>
      </c>
      <c r="AD2219">
        <f>VLOOKUP(A:A,[1]android_repos_all_metrics!B:K,5,FALSE)</f>
        <v>31</v>
      </c>
      <c r="AE2219">
        <f>VLOOKUP(A:A,[1]android_repos_all_metrics!B:K,6,FALSE)</f>
        <v>1</v>
      </c>
      <c r="AF2219">
        <f>VLOOKUP(A:A,[1]android_repos_all_metrics!B:K,7,FALSE)</f>
        <v>19116</v>
      </c>
      <c r="AG2219">
        <f>VLOOKUP(A:A,[1]android_repos_all_metrics!B:K,8,FALSE)</f>
        <v>2</v>
      </c>
      <c r="AH2219">
        <f>VLOOKUP(A:A,[1]android_repos_all_metrics!B:K,9,FALSE)</f>
        <v>4</v>
      </c>
      <c r="AI2219">
        <f>VLOOKUP(A:A,[1]android_repos_all_metrics!B:K,10,FALSE)</f>
        <v>5</v>
      </c>
    </row>
    <row r="2220" spans="1:35">
      <c r="A2220" t="s">
        <v>2291</v>
      </c>
      <c r="B2220" t="b">
        <v>0</v>
      </c>
      <c r="C2220" t="b">
        <v>0</v>
      </c>
      <c r="D2220" t="b">
        <v>0</v>
      </c>
      <c r="F2220" t="b">
        <v>0</v>
      </c>
      <c r="H2220" t="s">
        <v>41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>
        <v>1</v>
      </c>
      <c r="AB2220">
        <v>0</v>
      </c>
      <c r="AC2220">
        <f>VLOOKUP(A:A,[1]android_repos_all_metrics!B:K,4,FALSE)</f>
        <v>602</v>
      </c>
      <c r="AD2220">
        <f>VLOOKUP(A:A,[1]android_repos_all_metrics!B:K,5,FALSE)</f>
        <v>150</v>
      </c>
      <c r="AE2220">
        <f>VLOOKUP(A:A,[1]android_repos_all_metrics!B:K,6,FALSE)</f>
        <v>30</v>
      </c>
      <c r="AF2220">
        <f>VLOOKUP(A:A,[1]android_repos_all_metrics!B:K,7,FALSE)</f>
        <v>17485</v>
      </c>
      <c r="AG2220">
        <f>VLOOKUP(A:A,[1]android_repos_all_metrics!B:K,8,FALSE)</f>
        <v>2160</v>
      </c>
      <c r="AH2220">
        <f>VLOOKUP(A:A,[1]android_repos_all_metrics!B:K,9,FALSE)</f>
        <v>6823</v>
      </c>
      <c r="AI2220">
        <f>VLOOKUP(A:A,[1]android_repos_all_metrics!B:K,10,FALSE)</f>
        <v>213</v>
      </c>
    </row>
    <row r="2221" spans="1:35">
      <c r="A2221" t="s">
        <v>2292</v>
      </c>
      <c r="B2221" t="b">
        <v>0</v>
      </c>
      <c r="C2221" t="b">
        <v>0</v>
      </c>
      <c r="D2221" t="b">
        <v>0</v>
      </c>
      <c r="F2221" t="b">
        <v>0</v>
      </c>
      <c r="H2221" t="s">
        <v>41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>
        <v>1</v>
      </c>
      <c r="AB2221">
        <v>0</v>
      </c>
      <c r="AC2221">
        <f>VLOOKUP(A:A,[1]android_repos_all_metrics!B:K,4,FALSE)</f>
        <v>26</v>
      </c>
      <c r="AD2221">
        <f>VLOOKUP(A:A,[1]android_repos_all_metrics!B:K,5,FALSE)</f>
        <v>0</v>
      </c>
      <c r="AE2221">
        <f>VLOOKUP(A:A,[1]android_repos_all_metrics!B:K,6,FALSE)</f>
        <v>1</v>
      </c>
      <c r="AF2221">
        <f>VLOOKUP(A:A,[1]android_repos_all_metrics!B:K,7,FALSE)</f>
        <v>149</v>
      </c>
      <c r="AG2221">
        <f>VLOOKUP(A:A,[1]android_repos_all_metrics!B:K,8,FALSE)</f>
        <v>4</v>
      </c>
      <c r="AH2221">
        <f>VLOOKUP(A:A,[1]android_repos_all_metrics!B:K,9,FALSE)</f>
        <v>22</v>
      </c>
      <c r="AI2221">
        <f>VLOOKUP(A:A,[1]android_repos_all_metrics!B:K,10,FALSE)</f>
        <v>0</v>
      </c>
    </row>
    <row r="2222" spans="1:35">
      <c r="A2222" t="s">
        <v>2293</v>
      </c>
      <c r="B2222" t="b">
        <v>1</v>
      </c>
      <c r="C2222" t="b">
        <v>0</v>
      </c>
      <c r="D2222" t="b">
        <v>0</v>
      </c>
      <c r="F2222" t="b">
        <v>0</v>
      </c>
      <c r="H2222" t="s">
        <v>37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>
        <v>1</v>
      </c>
      <c r="AB2222">
        <v>0</v>
      </c>
      <c r="AC2222">
        <f>VLOOKUP(A:A,[1]android_repos_all_metrics!B:K,4,FALSE)</f>
        <v>182</v>
      </c>
      <c r="AD2222">
        <f>VLOOKUP(A:A,[1]android_repos_all_metrics!B:K,5,FALSE)</f>
        <v>20</v>
      </c>
      <c r="AE2222">
        <f>VLOOKUP(A:A,[1]android_repos_all_metrics!B:K,6,FALSE)</f>
        <v>1</v>
      </c>
      <c r="AF2222">
        <f>VLOOKUP(A:A,[1]android_repos_all_metrics!B:K,7,FALSE)</f>
        <v>1822</v>
      </c>
      <c r="AG2222">
        <f>VLOOKUP(A:A,[1]android_repos_all_metrics!B:K,8,FALSE)</f>
        <v>2</v>
      </c>
      <c r="AH2222">
        <f>VLOOKUP(A:A,[1]android_repos_all_metrics!B:K,9,FALSE)</f>
        <v>4</v>
      </c>
      <c r="AI2222">
        <f>VLOOKUP(A:A,[1]android_repos_all_metrics!B:K,10,FALSE)</f>
        <v>11</v>
      </c>
    </row>
    <row r="2223" spans="1:35">
      <c r="A2223" t="s">
        <v>2294</v>
      </c>
      <c r="B2223" t="b">
        <v>1</v>
      </c>
      <c r="C2223" t="b">
        <v>1</v>
      </c>
      <c r="D2223" t="b">
        <v>0</v>
      </c>
      <c r="F2223" t="b">
        <v>1</v>
      </c>
      <c r="G2223" t="s">
        <v>39</v>
      </c>
      <c r="H2223" t="s">
        <v>41</v>
      </c>
      <c r="I2223" t="s">
        <v>41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>
        <v>1</v>
      </c>
      <c r="AB2223">
        <v>0</v>
      </c>
      <c r="AC2223">
        <f>VLOOKUP(A:A,[1]android_repos_all_metrics!B:K,4,FALSE)</f>
        <v>33</v>
      </c>
      <c r="AD2223">
        <f>VLOOKUP(A:A,[1]android_repos_all_metrics!B:K,5,FALSE)</f>
        <v>3</v>
      </c>
      <c r="AE2223">
        <f>VLOOKUP(A:A,[1]android_repos_all_metrics!B:K,6,FALSE)</f>
        <v>3</v>
      </c>
      <c r="AF2223">
        <f>VLOOKUP(A:A,[1]android_repos_all_metrics!B:K,7,FALSE)</f>
        <v>2033</v>
      </c>
      <c r="AG2223">
        <f>VLOOKUP(A:A,[1]android_repos_all_metrics!B:K,8,FALSE)</f>
        <v>43</v>
      </c>
      <c r="AH2223">
        <f>VLOOKUP(A:A,[1]android_repos_all_metrics!B:K,9,FALSE)</f>
        <v>355</v>
      </c>
      <c r="AI2223">
        <f>VLOOKUP(A:A,[1]android_repos_all_metrics!B:K,10,FALSE)</f>
        <v>0</v>
      </c>
    </row>
    <row r="2224" spans="1:35">
      <c r="A2224" t="s">
        <v>2295</v>
      </c>
      <c r="B2224" t="b">
        <v>1</v>
      </c>
      <c r="C2224" t="b">
        <v>0</v>
      </c>
      <c r="D2224" t="b">
        <v>0</v>
      </c>
      <c r="F2224" t="b">
        <v>0</v>
      </c>
      <c r="H2224" t="s">
        <v>37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>
        <v>1</v>
      </c>
      <c r="AB2224">
        <v>0</v>
      </c>
      <c r="AC2224">
        <f>VLOOKUP(A:A,[1]android_repos_all_metrics!B:K,4,FALSE)</f>
        <v>188</v>
      </c>
      <c r="AD2224">
        <f>VLOOKUP(A:A,[1]android_repos_all_metrics!B:K,5,FALSE)</f>
        <v>12</v>
      </c>
      <c r="AE2224">
        <f>VLOOKUP(A:A,[1]android_repos_all_metrics!B:K,6,FALSE)</f>
        <v>12</v>
      </c>
      <c r="AF2224">
        <f>VLOOKUP(A:A,[1]android_repos_all_metrics!B:K,7,FALSE)</f>
        <v>3672</v>
      </c>
      <c r="AG2224">
        <f>VLOOKUP(A:A,[1]android_repos_all_metrics!B:K,8,FALSE)</f>
        <v>9</v>
      </c>
      <c r="AH2224">
        <f>VLOOKUP(A:A,[1]android_repos_all_metrics!B:K,9,FALSE)</f>
        <v>68</v>
      </c>
      <c r="AI2224">
        <f>VLOOKUP(A:A,[1]android_repos_all_metrics!B:K,10,FALSE)</f>
        <v>2</v>
      </c>
    </row>
    <row r="2225" spans="1:35">
      <c r="A2225" t="s">
        <v>2296</v>
      </c>
      <c r="B2225" t="b">
        <v>1</v>
      </c>
      <c r="C2225" t="b">
        <v>0</v>
      </c>
      <c r="D2225" t="b">
        <v>0</v>
      </c>
      <c r="F2225" t="b">
        <v>0</v>
      </c>
      <c r="H2225" t="s">
        <v>43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>
        <v>1</v>
      </c>
      <c r="AB2225">
        <v>0</v>
      </c>
      <c r="AC2225">
        <f>VLOOKUP(A:A,[1]android_repos_all_metrics!B:K,4,FALSE)</f>
        <v>21</v>
      </c>
      <c r="AD2225">
        <f>VLOOKUP(A:A,[1]android_repos_all_metrics!B:K,5,FALSE)</f>
        <v>0</v>
      </c>
      <c r="AE2225">
        <f>VLOOKUP(A:A,[1]android_repos_all_metrics!B:K,6,FALSE)</f>
        <v>1</v>
      </c>
      <c r="AF2225">
        <f>VLOOKUP(A:A,[1]android_repos_all_metrics!B:K,7,FALSE)</f>
        <v>8913</v>
      </c>
      <c r="AG2225">
        <f>VLOOKUP(A:A,[1]android_repos_all_metrics!B:K,8,FALSE)</f>
        <v>8</v>
      </c>
      <c r="AH2225">
        <f>VLOOKUP(A:A,[1]android_repos_all_metrics!B:K,9,FALSE)</f>
        <v>30</v>
      </c>
      <c r="AI2225">
        <f>VLOOKUP(A:A,[1]android_repos_all_metrics!B:K,10,FALSE)</f>
        <v>0</v>
      </c>
    </row>
    <row r="2226" spans="1:35">
      <c r="A2226" t="s">
        <v>2297</v>
      </c>
      <c r="B2226" t="b">
        <v>0</v>
      </c>
      <c r="C2226" t="b">
        <v>0</v>
      </c>
      <c r="D2226" t="b">
        <v>0</v>
      </c>
      <c r="F2226" t="b">
        <v>0</v>
      </c>
      <c r="H2226" t="s">
        <v>41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>
        <v>1</v>
      </c>
      <c r="AB2226">
        <v>0</v>
      </c>
      <c r="AC2226">
        <f>VLOOKUP(A:A,[1]android_repos_all_metrics!B:K,4,FALSE)</f>
        <v>201</v>
      </c>
      <c r="AD2226">
        <f>VLOOKUP(A:A,[1]android_repos_all_metrics!B:K,5,FALSE)</f>
        <v>0</v>
      </c>
      <c r="AE2226">
        <f>VLOOKUP(A:A,[1]android_repos_all_metrics!B:K,6,FALSE)</f>
        <v>1</v>
      </c>
      <c r="AF2226">
        <f>VLOOKUP(A:A,[1]android_repos_all_metrics!B:K,7,FALSE)</f>
        <v>1642</v>
      </c>
      <c r="AG2226">
        <f>VLOOKUP(A:A,[1]android_repos_all_metrics!B:K,8,FALSE)</f>
        <v>8</v>
      </c>
      <c r="AH2226">
        <f>VLOOKUP(A:A,[1]android_repos_all_metrics!B:K,9,FALSE)</f>
        <v>18</v>
      </c>
      <c r="AI2226">
        <f>VLOOKUP(A:A,[1]android_repos_all_metrics!B:K,10,FALSE)</f>
        <v>0</v>
      </c>
    </row>
    <row r="2227" spans="1:35">
      <c r="A2227" t="s">
        <v>2298</v>
      </c>
      <c r="B2227" t="b">
        <v>0</v>
      </c>
      <c r="C2227" t="b">
        <v>0</v>
      </c>
      <c r="D2227" t="b">
        <v>0</v>
      </c>
      <c r="F2227" t="b">
        <v>0</v>
      </c>
      <c r="H2227" t="s">
        <v>41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>
        <v>1</v>
      </c>
      <c r="AB2227">
        <v>0</v>
      </c>
      <c r="AC2227">
        <f>VLOOKUP(A:A,[1]android_repos_all_metrics!B:K,4,FALSE)</f>
        <v>81</v>
      </c>
      <c r="AD2227">
        <f>VLOOKUP(A:A,[1]android_repos_all_metrics!B:K,5,FALSE)</f>
        <v>8</v>
      </c>
      <c r="AE2227">
        <f>VLOOKUP(A:A,[1]android_repos_all_metrics!B:K,6,FALSE)</f>
        <v>3</v>
      </c>
      <c r="AF2227">
        <f>VLOOKUP(A:A,[1]android_repos_all_metrics!B:K,7,FALSE)</f>
        <v>9709</v>
      </c>
      <c r="AG2227">
        <f>VLOOKUP(A:A,[1]android_repos_all_metrics!B:K,8,FALSE)</f>
        <v>25</v>
      </c>
      <c r="AH2227">
        <f>VLOOKUP(A:A,[1]android_repos_all_metrics!B:K,9,FALSE)</f>
        <v>76</v>
      </c>
      <c r="AI2227">
        <f>VLOOKUP(A:A,[1]android_repos_all_metrics!B:K,10,FALSE)</f>
        <v>9</v>
      </c>
    </row>
    <row r="2228" spans="1:35">
      <c r="A2228" t="s">
        <v>2299</v>
      </c>
      <c r="B2228" t="b">
        <v>0</v>
      </c>
      <c r="C2228" t="b">
        <v>0</v>
      </c>
      <c r="D2228" t="b">
        <v>0</v>
      </c>
      <c r="F2228" t="b">
        <v>0</v>
      </c>
      <c r="H2228" t="s">
        <v>41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>
        <v>1</v>
      </c>
      <c r="AB2228">
        <v>0</v>
      </c>
      <c r="AC2228">
        <f>VLOOKUP(A:A,[1]android_repos_all_metrics!B:K,4,FALSE)</f>
        <v>309</v>
      </c>
      <c r="AD2228">
        <f>VLOOKUP(A:A,[1]android_repos_all_metrics!B:K,5,FALSE)</f>
        <v>23</v>
      </c>
      <c r="AE2228">
        <f>VLOOKUP(A:A,[1]android_repos_all_metrics!B:K,6,FALSE)</f>
        <v>11</v>
      </c>
      <c r="AF2228">
        <f>VLOOKUP(A:A,[1]android_repos_all_metrics!B:K,7,FALSE)</f>
        <v>32503</v>
      </c>
      <c r="AG2228">
        <f>VLOOKUP(A:A,[1]android_repos_all_metrics!B:K,8,FALSE)</f>
        <v>63</v>
      </c>
      <c r="AH2228">
        <f>VLOOKUP(A:A,[1]android_repos_all_metrics!B:K,9,FALSE)</f>
        <v>246</v>
      </c>
      <c r="AI2228">
        <f>VLOOKUP(A:A,[1]android_repos_all_metrics!B:K,10,FALSE)</f>
        <v>71</v>
      </c>
    </row>
    <row r="2229" spans="1:35">
      <c r="A2229" t="s">
        <v>2300</v>
      </c>
      <c r="B2229" t="b">
        <v>1</v>
      </c>
      <c r="C2229" t="b">
        <v>0</v>
      </c>
      <c r="D2229" t="b">
        <v>0</v>
      </c>
      <c r="F2229" t="b">
        <v>0</v>
      </c>
      <c r="H2229" t="s">
        <v>43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>
        <v>1</v>
      </c>
      <c r="AB2229">
        <v>0</v>
      </c>
      <c r="AC2229">
        <f>VLOOKUP(A:A,[1]android_repos_all_metrics!B:K,4,FALSE)</f>
        <v>262</v>
      </c>
      <c r="AD2229">
        <f>VLOOKUP(A:A,[1]android_repos_all_metrics!B:K,5,FALSE)</f>
        <v>0</v>
      </c>
      <c r="AE2229">
        <f>VLOOKUP(A:A,[1]android_repos_all_metrics!B:K,6,FALSE)</f>
        <v>1</v>
      </c>
      <c r="AF2229">
        <f>VLOOKUP(A:A,[1]android_repos_all_metrics!B:K,7,FALSE)</f>
        <v>418</v>
      </c>
      <c r="AG2229">
        <f>VLOOKUP(A:A,[1]android_repos_all_metrics!B:K,8,FALSE)</f>
        <v>1</v>
      </c>
      <c r="AH2229">
        <f>VLOOKUP(A:A,[1]android_repos_all_metrics!B:K,9,FALSE)</f>
        <v>4</v>
      </c>
      <c r="AI2229">
        <f>VLOOKUP(A:A,[1]android_repos_all_metrics!B:K,10,FALSE)</f>
        <v>1</v>
      </c>
    </row>
    <row r="2230" spans="1:35">
      <c r="A2230" t="s">
        <v>2301</v>
      </c>
      <c r="B2230" t="b">
        <v>0</v>
      </c>
      <c r="C2230" t="b">
        <v>0</v>
      </c>
      <c r="D2230" t="b">
        <v>0</v>
      </c>
      <c r="F2230" t="b">
        <v>0</v>
      </c>
      <c r="H2230" t="s">
        <v>41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>
        <v>1</v>
      </c>
      <c r="AB2230">
        <v>0</v>
      </c>
      <c r="AC2230">
        <f>VLOOKUP(A:A,[1]android_repos_all_metrics!B:K,4,FALSE)</f>
        <v>33</v>
      </c>
      <c r="AD2230">
        <f>VLOOKUP(A:A,[1]android_repos_all_metrics!B:K,5,FALSE)</f>
        <v>0</v>
      </c>
      <c r="AE2230">
        <f>VLOOKUP(A:A,[1]android_repos_all_metrics!B:K,6,FALSE)</f>
        <v>1</v>
      </c>
      <c r="AF2230">
        <f>VLOOKUP(A:A,[1]android_repos_all_metrics!B:K,7,FALSE)</f>
        <v>191</v>
      </c>
      <c r="AG2230">
        <f>VLOOKUP(A:A,[1]android_repos_all_metrics!B:K,8,FALSE)</f>
        <v>2</v>
      </c>
      <c r="AH2230">
        <f>VLOOKUP(A:A,[1]android_repos_all_metrics!B:K,9,FALSE)</f>
        <v>2</v>
      </c>
      <c r="AI2230">
        <f>VLOOKUP(A:A,[1]android_repos_all_metrics!B:K,10,FALSE)</f>
        <v>0</v>
      </c>
    </row>
    <row r="2231" spans="1:35">
      <c r="A2231" t="s">
        <v>2302</v>
      </c>
      <c r="B2231" t="b">
        <v>0</v>
      </c>
      <c r="C2231" t="b">
        <v>0</v>
      </c>
      <c r="D2231" t="b">
        <v>0</v>
      </c>
      <c r="F2231" t="b">
        <v>0</v>
      </c>
      <c r="H2231" t="s">
        <v>41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>
        <v>1</v>
      </c>
      <c r="AB2231">
        <v>0</v>
      </c>
      <c r="AC2231">
        <f>VLOOKUP(A:A,[1]android_repos_all_metrics!B:K,4,FALSE)</f>
        <v>5</v>
      </c>
      <c r="AD2231">
        <f>VLOOKUP(A:A,[1]android_repos_all_metrics!B:K,5,FALSE)</f>
        <v>0</v>
      </c>
      <c r="AE2231">
        <f>VLOOKUP(A:A,[1]android_repos_all_metrics!B:K,6,FALSE)</f>
        <v>1</v>
      </c>
      <c r="AF2231">
        <f>VLOOKUP(A:A,[1]android_repos_all_metrics!B:K,7,FALSE)</f>
        <v>131</v>
      </c>
      <c r="AG2231">
        <f>VLOOKUP(A:A,[1]android_repos_all_metrics!B:K,8,FALSE)</f>
        <v>0</v>
      </c>
      <c r="AH2231">
        <f>VLOOKUP(A:A,[1]android_repos_all_metrics!B:K,9,FALSE)</f>
        <v>3</v>
      </c>
      <c r="AI2231">
        <f>VLOOKUP(A:A,[1]android_repos_all_metrics!B:K,10,FALSE)</f>
        <v>0</v>
      </c>
    </row>
    <row r="2232" spans="1:35">
      <c r="A2232" t="s">
        <v>2303</v>
      </c>
      <c r="B2232" t="b">
        <v>1</v>
      </c>
      <c r="C2232" t="b">
        <v>1</v>
      </c>
      <c r="D2232" t="b">
        <v>0</v>
      </c>
      <c r="F2232" t="b">
        <v>1</v>
      </c>
      <c r="G2232" t="s">
        <v>109</v>
      </c>
      <c r="H2232" t="s">
        <v>43</v>
      </c>
      <c r="I2232" t="s">
        <v>43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>
        <v>1</v>
      </c>
      <c r="AB2232">
        <v>0</v>
      </c>
      <c r="AC2232">
        <f>VLOOKUP(A:A,[1]android_repos_all_metrics!B:K,4,FALSE)</f>
        <v>569</v>
      </c>
      <c r="AD2232">
        <f>VLOOKUP(A:A,[1]android_repos_all_metrics!B:K,5,FALSE)</f>
        <v>80</v>
      </c>
      <c r="AE2232">
        <f>VLOOKUP(A:A,[1]android_repos_all_metrics!B:K,6,FALSE)</f>
        <v>4</v>
      </c>
      <c r="AF2232">
        <f>VLOOKUP(A:A,[1]android_repos_all_metrics!B:K,7,FALSE)</f>
        <v>33253</v>
      </c>
      <c r="AG2232">
        <f>VLOOKUP(A:A,[1]android_repos_all_metrics!B:K,8,FALSE)</f>
        <v>4</v>
      </c>
      <c r="AH2232">
        <f>VLOOKUP(A:A,[1]android_repos_all_metrics!B:K,9,FALSE)</f>
        <v>10</v>
      </c>
      <c r="AI2232">
        <f>VLOOKUP(A:A,[1]android_repos_all_metrics!B:K,10,FALSE)</f>
        <v>39</v>
      </c>
    </row>
    <row r="2233" spans="1:35">
      <c r="A2233" t="s">
        <v>2304</v>
      </c>
      <c r="B2233" t="b">
        <v>1</v>
      </c>
      <c r="C2233" t="b">
        <v>0</v>
      </c>
      <c r="D2233" t="b">
        <v>0</v>
      </c>
      <c r="F2233" t="b">
        <v>0</v>
      </c>
      <c r="H2233" t="s">
        <v>37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>
        <v>1</v>
      </c>
      <c r="AB2233">
        <v>0</v>
      </c>
      <c r="AC2233">
        <f>VLOOKUP(A:A,[1]android_repos_all_metrics!B:K,4,FALSE)</f>
        <v>48</v>
      </c>
      <c r="AD2233">
        <f>VLOOKUP(A:A,[1]android_repos_all_metrics!B:K,5,FALSE)</f>
        <v>1</v>
      </c>
      <c r="AE2233">
        <f>VLOOKUP(A:A,[1]android_repos_all_metrics!B:K,6,FALSE)</f>
        <v>3</v>
      </c>
      <c r="AF2233">
        <f>VLOOKUP(A:A,[1]android_repos_all_metrics!B:K,7,FALSE)</f>
        <v>37048</v>
      </c>
      <c r="AG2233">
        <f>VLOOKUP(A:A,[1]android_repos_all_metrics!B:K,8,FALSE)</f>
        <v>198</v>
      </c>
      <c r="AH2233">
        <f>VLOOKUP(A:A,[1]android_repos_all_metrics!B:K,9,FALSE)</f>
        <v>1494</v>
      </c>
      <c r="AI2233">
        <f>VLOOKUP(A:A,[1]android_repos_all_metrics!B:K,10,FALSE)</f>
        <v>2</v>
      </c>
    </row>
    <row r="2234" spans="1:35">
      <c r="A2234" t="s">
        <v>2305</v>
      </c>
      <c r="B2234" t="b">
        <v>1</v>
      </c>
      <c r="C2234" t="b">
        <v>0</v>
      </c>
      <c r="D2234" t="b">
        <v>0</v>
      </c>
      <c r="F2234" t="b">
        <v>0</v>
      </c>
      <c r="H2234" t="s">
        <v>41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>
        <v>1</v>
      </c>
      <c r="AB2234">
        <v>0</v>
      </c>
      <c r="AC2234">
        <f>VLOOKUP(A:A,[1]android_repos_all_metrics!B:K,4,FALSE)</f>
        <v>153</v>
      </c>
      <c r="AD2234">
        <f>VLOOKUP(A:A,[1]android_repos_all_metrics!B:K,5,FALSE)</f>
        <v>54</v>
      </c>
      <c r="AE2234">
        <f>VLOOKUP(A:A,[1]android_repos_all_metrics!B:K,6,FALSE)</f>
        <v>1</v>
      </c>
      <c r="AF2234">
        <f>VLOOKUP(A:A,[1]android_repos_all_metrics!B:K,7,FALSE)</f>
        <v>1637</v>
      </c>
      <c r="AG2234">
        <f>VLOOKUP(A:A,[1]android_repos_all_metrics!B:K,8,FALSE)</f>
        <v>15</v>
      </c>
      <c r="AH2234">
        <f>VLOOKUP(A:A,[1]android_repos_all_metrics!B:K,9,FALSE)</f>
        <v>129</v>
      </c>
      <c r="AI2234">
        <f>VLOOKUP(A:A,[1]android_repos_all_metrics!B:K,10,FALSE)</f>
        <v>6</v>
      </c>
    </row>
    <row r="2235" spans="1:35">
      <c r="A2235" t="s">
        <v>2306</v>
      </c>
      <c r="B2235" t="b">
        <v>1</v>
      </c>
      <c r="C2235" t="b">
        <v>0</v>
      </c>
      <c r="D2235" t="b">
        <v>0</v>
      </c>
      <c r="F2235" t="b">
        <v>0</v>
      </c>
      <c r="H2235" t="s">
        <v>43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>
        <v>1</v>
      </c>
      <c r="AB2235">
        <v>0</v>
      </c>
      <c r="AC2235">
        <f>VLOOKUP(A:A,[1]android_repos_all_metrics!B:K,4,FALSE)</f>
        <v>659</v>
      </c>
      <c r="AD2235">
        <f>VLOOKUP(A:A,[1]android_repos_all_metrics!B:K,5,FALSE)</f>
        <v>43</v>
      </c>
      <c r="AE2235">
        <f>VLOOKUP(A:A,[1]android_repos_all_metrics!B:K,6,FALSE)</f>
        <v>1</v>
      </c>
      <c r="AF2235">
        <f>VLOOKUP(A:A,[1]android_repos_all_metrics!B:K,7,FALSE)</f>
        <v>25151</v>
      </c>
      <c r="AG2235">
        <f>VLOOKUP(A:A,[1]android_repos_all_metrics!B:K,8,FALSE)</f>
        <v>1</v>
      </c>
      <c r="AH2235">
        <f>VLOOKUP(A:A,[1]android_repos_all_metrics!B:K,9,FALSE)</f>
        <v>5</v>
      </c>
      <c r="AI2235">
        <f>VLOOKUP(A:A,[1]android_repos_all_metrics!B:K,10,FALSE)</f>
        <v>0</v>
      </c>
    </row>
    <row r="2236" spans="1:35">
      <c r="A2236" t="s">
        <v>2307</v>
      </c>
      <c r="B2236" t="b">
        <v>1</v>
      </c>
      <c r="C2236" t="b">
        <v>0</v>
      </c>
      <c r="D2236" t="b">
        <v>0</v>
      </c>
      <c r="F2236" t="b">
        <v>0</v>
      </c>
      <c r="H2236" t="s">
        <v>43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>
        <v>1</v>
      </c>
      <c r="AB2236">
        <v>0</v>
      </c>
      <c r="AC2236">
        <f>VLOOKUP(A:A,[1]android_repos_all_metrics!B:K,4,FALSE)</f>
        <v>25</v>
      </c>
      <c r="AD2236">
        <f>VLOOKUP(A:A,[1]android_repos_all_metrics!B:K,5,FALSE)</f>
        <v>6</v>
      </c>
      <c r="AE2236">
        <f>VLOOKUP(A:A,[1]android_repos_all_metrics!B:K,6,FALSE)</f>
        <v>1</v>
      </c>
      <c r="AF2236">
        <f>VLOOKUP(A:A,[1]android_repos_all_metrics!B:K,7,FALSE)</f>
        <v>716</v>
      </c>
      <c r="AG2236">
        <f>VLOOKUP(A:A,[1]android_repos_all_metrics!B:K,8,FALSE)</f>
        <v>1</v>
      </c>
      <c r="AH2236">
        <f>VLOOKUP(A:A,[1]android_repos_all_metrics!B:K,9,FALSE)</f>
        <v>7</v>
      </c>
      <c r="AI2236">
        <f>VLOOKUP(A:A,[1]android_repos_all_metrics!B:K,10,FALSE)</f>
        <v>0</v>
      </c>
    </row>
    <row r="2237" spans="1:35">
      <c r="A2237" t="s">
        <v>2308</v>
      </c>
      <c r="B2237" t="b">
        <v>1</v>
      </c>
      <c r="C2237" t="b">
        <v>0</v>
      </c>
      <c r="D2237" t="b">
        <v>0</v>
      </c>
      <c r="F2237" t="b">
        <v>0</v>
      </c>
      <c r="H2237" t="s">
        <v>86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>
        <v>3</v>
      </c>
      <c r="AB2237">
        <v>0</v>
      </c>
      <c r="AC2237">
        <f>VLOOKUP(A:A,[1]android_repos_all_metrics!B:K,4,FALSE)</f>
        <v>1</v>
      </c>
      <c r="AD2237">
        <f>VLOOKUP(A:A,[1]android_repos_all_metrics!B:K,5,FALSE)</f>
        <v>5</v>
      </c>
      <c r="AE2237">
        <f>VLOOKUP(A:A,[1]android_repos_all_metrics!B:K,6,FALSE)</f>
        <v>1</v>
      </c>
      <c r="AF2237">
        <f>VLOOKUP(A:A,[1]android_repos_all_metrics!B:K,7,FALSE)</f>
        <v>23801</v>
      </c>
      <c r="AG2237">
        <f>VLOOKUP(A:A,[1]android_repos_all_metrics!B:K,8,FALSE)</f>
        <v>10</v>
      </c>
      <c r="AH2237">
        <f>VLOOKUP(A:A,[1]android_repos_all_metrics!B:K,9,FALSE)</f>
        <v>12</v>
      </c>
      <c r="AI2237">
        <f>VLOOKUP(A:A,[1]android_repos_all_metrics!B:K,10,FALSE)</f>
        <v>7</v>
      </c>
    </row>
    <row r="2238" spans="1:35">
      <c r="A2238" t="s">
        <v>2309</v>
      </c>
      <c r="B2238" t="b">
        <v>1</v>
      </c>
      <c r="C2238" t="b">
        <v>0</v>
      </c>
      <c r="D2238" t="b">
        <v>0</v>
      </c>
      <c r="F2238" t="b">
        <v>0</v>
      </c>
      <c r="H2238" t="s">
        <v>41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>
        <v>1</v>
      </c>
      <c r="AB2238">
        <v>0</v>
      </c>
      <c r="AC2238">
        <f>VLOOKUP(A:A,[1]android_repos_all_metrics!B:K,4,FALSE)</f>
        <v>86</v>
      </c>
      <c r="AD2238">
        <f>VLOOKUP(A:A,[1]android_repos_all_metrics!B:K,5,FALSE)</f>
        <v>21</v>
      </c>
      <c r="AE2238">
        <f>VLOOKUP(A:A,[1]android_repos_all_metrics!B:K,6,FALSE)</f>
        <v>1</v>
      </c>
      <c r="AF2238">
        <f>VLOOKUP(A:A,[1]android_repos_all_metrics!B:K,7,FALSE)</f>
        <v>714</v>
      </c>
      <c r="AG2238">
        <f>VLOOKUP(A:A,[1]android_repos_all_metrics!B:K,8,FALSE)</f>
        <v>9</v>
      </c>
      <c r="AH2238">
        <f>VLOOKUP(A:A,[1]android_repos_all_metrics!B:K,9,FALSE)</f>
        <v>29</v>
      </c>
      <c r="AI2238">
        <f>VLOOKUP(A:A,[1]android_repos_all_metrics!B:K,10,FALSE)</f>
        <v>2</v>
      </c>
    </row>
    <row r="2239" spans="1:35">
      <c r="A2239" t="s">
        <v>2310</v>
      </c>
      <c r="B2239" t="b">
        <v>1</v>
      </c>
      <c r="C2239" t="b">
        <v>0</v>
      </c>
      <c r="D2239" t="b">
        <v>0</v>
      </c>
      <c r="F2239" t="b">
        <v>0</v>
      </c>
      <c r="H2239" t="s">
        <v>37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>
        <v>1</v>
      </c>
      <c r="AB2239">
        <v>0</v>
      </c>
      <c r="AC2239">
        <f>VLOOKUP(A:A,[1]android_repos_all_metrics!B:K,4,FALSE)</f>
        <v>104</v>
      </c>
      <c r="AD2239">
        <f>VLOOKUP(A:A,[1]android_repos_all_metrics!B:K,5,FALSE)</f>
        <v>29</v>
      </c>
      <c r="AE2239">
        <f>VLOOKUP(A:A,[1]android_repos_all_metrics!B:K,6,FALSE)</f>
        <v>1</v>
      </c>
      <c r="AF2239">
        <f>VLOOKUP(A:A,[1]android_repos_all_metrics!B:K,7,FALSE)</f>
        <v>226</v>
      </c>
      <c r="AG2239">
        <f>VLOOKUP(A:A,[1]android_repos_all_metrics!B:K,8,FALSE)</f>
        <v>0</v>
      </c>
      <c r="AH2239">
        <f>VLOOKUP(A:A,[1]android_repos_all_metrics!B:K,9,FALSE)</f>
        <v>1</v>
      </c>
      <c r="AI2239">
        <f>VLOOKUP(A:A,[1]android_repos_all_metrics!B:K,10,FALSE)</f>
        <v>0</v>
      </c>
    </row>
    <row r="2240" spans="1:35">
      <c r="A2240" t="s">
        <v>2311</v>
      </c>
      <c r="B2240" t="b">
        <v>0</v>
      </c>
      <c r="C2240" t="b">
        <v>0</v>
      </c>
      <c r="D2240" t="b">
        <v>0</v>
      </c>
      <c r="F2240" t="b">
        <v>0</v>
      </c>
      <c r="H2240" t="s">
        <v>41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>
        <v>1</v>
      </c>
      <c r="AB2240">
        <v>0</v>
      </c>
      <c r="AC2240">
        <f>VLOOKUP(A:A,[1]android_repos_all_metrics!B:K,4,FALSE)</f>
        <v>22</v>
      </c>
      <c r="AD2240">
        <f>VLOOKUP(A:A,[1]android_repos_all_metrics!B:K,5,FALSE)</f>
        <v>2</v>
      </c>
      <c r="AE2240">
        <f>VLOOKUP(A:A,[1]android_repos_all_metrics!B:K,6,FALSE)</f>
        <v>2</v>
      </c>
      <c r="AF2240">
        <f>VLOOKUP(A:A,[1]android_repos_all_metrics!B:K,7,FALSE)</f>
        <v>243</v>
      </c>
      <c r="AG2240">
        <f>VLOOKUP(A:A,[1]android_repos_all_metrics!B:K,8,FALSE)</f>
        <v>3</v>
      </c>
      <c r="AH2240">
        <f>VLOOKUP(A:A,[1]android_repos_all_metrics!B:K,9,FALSE)</f>
        <v>4</v>
      </c>
      <c r="AI2240">
        <f>VLOOKUP(A:A,[1]android_repos_all_metrics!B:K,10,FALSE)</f>
        <v>1</v>
      </c>
    </row>
    <row r="2241" spans="1:35">
      <c r="A2241" t="s">
        <v>2312</v>
      </c>
      <c r="B2241" t="b">
        <v>1</v>
      </c>
      <c r="C2241" t="b">
        <v>1</v>
      </c>
      <c r="D2241" t="b">
        <v>1</v>
      </c>
      <c r="E2241" t="s">
        <v>36</v>
      </c>
      <c r="F2241" t="b">
        <v>0</v>
      </c>
      <c r="H2241" t="s">
        <v>37</v>
      </c>
      <c r="I2241" t="s">
        <v>37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1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>
        <v>1</v>
      </c>
      <c r="AA2241">
        <v>3</v>
      </c>
      <c r="AB2241">
        <v>0</v>
      </c>
      <c r="AC2241">
        <f>VLOOKUP(A:A,[1]android_repos_all_metrics!B:K,4,FALSE)</f>
        <v>100</v>
      </c>
      <c r="AD2241">
        <f>VLOOKUP(A:A,[1]android_repos_all_metrics!B:K,5,FALSE)</f>
        <v>2</v>
      </c>
      <c r="AE2241">
        <f>VLOOKUP(A:A,[1]android_repos_all_metrics!B:K,6,FALSE)</f>
        <v>2</v>
      </c>
      <c r="AF2241">
        <f>VLOOKUP(A:A,[1]android_repos_all_metrics!B:K,7,FALSE)</f>
        <v>2211</v>
      </c>
      <c r="AG2241">
        <f>VLOOKUP(A:A,[1]android_repos_all_metrics!B:K,8,FALSE)</f>
        <v>1</v>
      </c>
      <c r="AH2241">
        <f>VLOOKUP(A:A,[1]android_repos_all_metrics!B:K,9,FALSE)</f>
        <v>1</v>
      </c>
      <c r="AI2241">
        <f>VLOOKUP(A:A,[1]android_repos_all_metrics!B:K,10,FALSE)</f>
        <v>2</v>
      </c>
    </row>
    <row r="2242" spans="1:35">
      <c r="A2242" t="s">
        <v>2313</v>
      </c>
      <c r="B2242" t="b">
        <v>1</v>
      </c>
      <c r="C2242" t="b">
        <v>0</v>
      </c>
      <c r="D2242" t="b">
        <v>0</v>
      </c>
      <c r="F2242" t="b">
        <v>0</v>
      </c>
      <c r="H2242" t="s">
        <v>37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>
        <v>1</v>
      </c>
      <c r="AB2242">
        <v>0</v>
      </c>
      <c r="AC2242">
        <f>VLOOKUP(A:A,[1]android_repos_all_metrics!B:K,4,FALSE)</f>
        <v>99</v>
      </c>
      <c r="AD2242">
        <f>VLOOKUP(A:A,[1]android_repos_all_metrics!B:K,5,FALSE)</f>
        <v>1</v>
      </c>
      <c r="AE2242">
        <f>VLOOKUP(A:A,[1]android_repos_all_metrics!B:K,6,FALSE)</f>
        <v>1</v>
      </c>
      <c r="AF2242">
        <f>VLOOKUP(A:A,[1]android_repos_all_metrics!B:K,7,FALSE)</f>
        <v>8918</v>
      </c>
      <c r="AG2242">
        <f>VLOOKUP(A:A,[1]android_repos_all_metrics!B:K,8,FALSE)</f>
        <v>0</v>
      </c>
      <c r="AH2242">
        <f>VLOOKUP(A:A,[1]android_repos_all_metrics!B:K,9,FALSE)</f>
        <v>2</v>
      </c>
      <c r="AI2242">
        <f>VLOOKUP(A:A,[1]android_repos_all_metrics!B:K,10,FALSE)</f>
        <v>0</v>
      </c>
    </row>
    <row r="2243" spans="1:35">
      <c r="A2243" t="s">
        <v>2314</v>
      </c>
      <c r="B2243" t="b">
        <v>1</v>
      </c>
      <c r="C2243" t="b">
        <v>0</v>
      </c>
      <c r="D2243" t="b">
        <v>0</v>
      </c>
      <c r="F2243" t="b">
        <v>0</v>
      </c>
      <c r="H2243" t="s">
        <v>37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>
        <v>1</v>
      </c>
      <c r="AB2243">
        <v>0</v>
      </c>
      <c r="AC2243">
        <f>VLOOKUP(A:A,[1]android_repos_all_metrics!B:K,4,FALSE)</f>
        <v>344</v>
      </c>
      <c r="AD2243">
        <f>VLOOKUP(A:A,[1]android_repos_all_metrics!B:K,5,FALSE)</f>
        <v>32</v>
      </c>
      <c r="AE2243">
        <f>VLOOKUP(A:A,[1]android_repos_all_metrics!B:K,6,FALSE)</f>
        <v>1</v>
      </c>
      <c r="AF2243">
        <f>VLOOKUP(A:A,[1]android_repos_all_metrics!B:K,7,FALSE)</f>
        <v>4750</v>
      </c>
      <c r="AG2243">
        <f>VLOOKUP(A:A,[1]android_repos_all_metrics!B:K,8,FALSE)</f>
        <v>0</v>
      </c>
      <c r="AH2243">
        <f>VLOOKUP(A:A,[1]android_repos_all_metrics!B:K,9,FALSE)</f>
        <v>2</v>
      </c>
      <c r="AI2243">
        <f>VLOOKUP(A:A,[1]android_repos_all_metrics!B:K,10,FALSE)</f>
        <v>0</v>
      </c>
    </row>
    <row r="2244" spans="1:35">
      <c r="A2244" t="s">
        <v>2315</v>
      </c>
      <c r="B2244" t="b">
        <v>1</v>
      </c>
      <c r="C2244" t="b">
        <v>0</v>
      </c>
      <c r="D2244" t="b">
        <v>0</v>
      </c>
      <c r="F2244" t="b">
        <v>0</v>
      </c>
      <c r="H2244" t="s">
        <v>37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>
        <v>1</v>
      </c>
      <c r="AB2244">
        <v>0</v>
      </c>
      <c r="AC2244">
        <f>VLOOKUP(A:A,[1]android_repos_all_metrics!B:K,4,FALSE)</f>
        <v>46</v>
      </c>
      <c r="AD2244">
        <f>VLOOKUP(A:A,[1]android_repos_all_metrics!B:K,5,FALSE)</f>
        <v>4</v>
      </c>
      <c r="AE2244">
        <f>VLOOKUP(A:A,[1]android_repos_all_metrics!B:K,6,FALSE)</f>
        <v>3</v>
      </c>
      <c r="AF2244">
        <f>VLOOKUP(A:A,[1]android_repos_all_metrics!B:K,7,FALSE)</f>
        <v>4369</v>
      </c>
      <c r="AG2244">
        <f>VLOOKUP(A:A,[1]android_repos_all_metrics!B:K,8,FALSE)</f>
        <v>3</v>
      </c>
      <c r="AH2244">
        <f>VLOOKUP(A:A,[1]android_repos_all_metrics!B:K,9,FALSE)</f>
        <v>12</v>
      </c>
      <c r="AI2244">
        <f>VLOOKUP(A:A,[1]android_repos_all_metrics!B:K,10,FALSE)</f>
        <v>0</v>
      </c>
    </row>
    <row r="2245" spans="1:35">
      <c r="A2245" t="s">
        <v>2316</v>
      </c>
      <c r="B2245" t="b">
        <v>1</v>
      </c>
      <c r="C2245" t="b">
        <v>0</v>
      </c>
      <c r="D2245" t="b">
        <v>0</v>
      </c>
      <c r="F2245" t="b">
        <v>0</v>
      </c>
      <c r="H2245" t="s">
        <v>37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>
        <v>1</v>
      </c>
      <c r="AB2245">
        <v>0</v>
      </c>
      <c r="AC2245">
        <f>VLOOKUP(A:A,[1]android_repos_all_metrics!B:K,4,FALSE)</f>
        <v>466</v>
      </c>
      <c r="AD2245">
        <f>VLOOKUP(A:A,[1]android_repos_all_metrics!B:K,5,FALSE)</f>
        <v>101</v>
      </c>
      <c r="AE2245">
        <f>VLOOKUP(A:A,[1]android_repos_all_metrics!B:K,6,FALSE)</f>
        <v>6</v>
      </c>
      <c r="AF2245">
        <f>VLOOKUP(A:A,[1]android_repos_all_metrics!B:K,7,FALSE)</f>
        <v>1352</v>
      </c>
      <c r="AG2245">
        <f>VLOOKUP(A:A,[1]android_repos_all_metrics!B:K,8,FALSE)</f>
        <v>2</v>
      </c>
      <c r="AH2245">
        <f>VLOOKUP(A:A,[1]android_repos_all_metrics!B:K,9,FALSE)</f>
        <v>11</v>
      </c>
      <c r="AI2245">
        <f>VLOOKUP(A:A,[1]android_repos_all_metrics!B:K,10,FALSE)</f>
        <v>4</v>
      </c>
    </row>
    <row r="2246" spans="1:35">
      <c r="A2246" t="s">
        <v>2317</v>
      </c>
      <c r="B2246" t="b">
        <v>1</v>
      </c>
      <c r="C2246" t="b">
        <v>0</v>
      </c>
      <c r="D2246" t="b">
        <v>0</v>
      </c>
      <c r="F2246" t="b">
        <v>0</v>
      </c>
      <c r="H2246" t="s">
        <v>37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>
        <v>5</v>
      </c>
      <c r="AB2246">
        <v>0</v>
      </c>
      <c r="AC2246">
        <f>VLOOKUP(A:A,[1]android_repos_all_metrics!B:K,4,FALSE)</f>
        <v>594</v>
      </c>
      <c r="AD2246">
        <f>VLOOKUP(A:A,[1]android_repos_all_metrics!B:K,5,FALSE)</f>
        <v>185</v>
      </c>
      <c r="AE2246">
        <f>VLOOKUP(A:A,[1]android_repos_all_metrics!B:K,6,FALSE)</f>
        <v>50</v>
      </c>
      <c r="AF2246">
        <f>VLOOKUP(A:A,[1]android_repos_all_metrics!B:K,7,FALSE)</f>
        <v>14196</v>
      </c>
      <c r="AG2246">
        <f>VLOOKUP(A:A,[1]android_repos_all_metrics!B:K,8,FALSE)</f>
        <v>20</v>
      </c>
      <c r="AH2246">
        <f>VLOOKUP(A:A,[1]android_repos_all_metrics!B:K,9,FALSE)</f>
        <v>122</v>
      </c>
      <c r="AI2246">
        <f>VLOOKUP(A:A,[1]android_repos_all_metrics!B:K,10,FALSE)</f>
        <v>22</v>
      </c>
    </row>
    <row r="2247" spans="1:35">
      <c r="A2247" t="s">
        <v>2318</v>
      </c>
      <c r="B2247" t="b">
        <v>1</v>
      </c>
      <c r="C2247" t="b">
        <v>0</v>
      </c>
      <c r="D2247" t="b">
        <v>0</v>
      </c>
      <c r="F2247" t="b">
        <v>0</v>
      </c>
      <c r="H2247" t="s">
        <v>37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>
        <v>1</v>
      </c>
      <c r="AB2247">
        <v>0</v>
      </c>
      <c r="AC2247">
        <f>VLOOKUP(A:A,[1]android_repos_all_metrics!B:K,4,FALSE)</f>
        <v>297</v>
      </c>
      <c r="AD2247">
        <f>VLOOKUP(A:A,[1]android_repos_all_metrics!B:K,5,FALSE)</f>
        <v>0</v>
      </c>
      <c r="AE2247">
        <f>VLOOKUP(A:A,[1]android_repos_all_metrics!B:K,6,FALSE)</f>
        <v>1</v>
      </c>
      <c r="AF2247">
        <f>VLOOKUP(A:A,[1]android_repos_all_metrics!B:K,7,FALSE)</f>
        <v>1471</v>
      </c>
      <c r="AG2247">
        <f>VLOOKUP(A:A,[1]android_repos_all_metrics!B:K,8,FALSE)</f>
        <v>0</v>
      </c>
      <c r="AH2247">
        <f>VLOOKUP(A:A,[1]android_repos_all_metrics!B:K,9,FALSE)</f>
        <v>1</v>
      </c>
      <c r="AI2247">
        <f>VLOOKUP(A:A,[1]android_repos_all_metrics!B:K,10,FALSE)</f>
        <v>0</v>
      </c>
    </row>
    <row r="2248" spans="1:35">
      <c r="A2248" t="s">
        <v>2319</v>
      </c>
      <c r="B2248" t="b">
        <v>0</v>
      </c>
      <c r="C2248" t="b">
        <v>0</v>
      </c>
      <c r="D2248" t="b">
        <v>0</v>
      </c>
      <c r="F2248" t="b">
        <v>0</v>
      </c>
      <c r="H2248" t="s">
        <v>41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>
        <v>1</v>
      </c>
      <c r="AB2248">
        <v>0</v>
      </c>
      <c r="AC2248">
        <f>VLOOKUP(A:A,[1]android_repos_all_metrics!B:K,4,FALSE)</f>
        <v>19</v>
      </c>
      <c r="AD2248">
        <f>VLOOKUP(A:A,[1]android_repos_all_metrics!B:K,5,FALSE)</f>
        <v>2</v>
      </c>
      <c r="AE2248">
        <f>VLOOKUP(A:A,[1]android_repos_all_metrics!B:K,6,FALSE)</f>
        <v>2</v>
      </c>
      <c r="AF2248">
        <f>VLOOKUP(A:A,[1]android_repos_all_metrics!B:K,7,FALSE)</f>
        <v>371</v>
      </c>
      <c r="AG2248">
        <f>VLOOKUP(A:A,[1]android_repos_all_metrics!B:K,8,FALSE)</f>
        <v>29</v>
      </c>
      <c r="AH2248">
        <f>VLOOKUP(A:A,[1]android_repos_all_metrics!B:K,9,FALSE)</f>
        <v>229</v>
      </c>
      <c r="AI2248">
        <f>VLOOKUP(A:A,[1]android_repos_all_metrics!B:K,10,FALSE)</f>
        <v>8</v>
      </c>
    </row>
    <row r="2249" spans="1:35">
      <c r="A2249" t="s">
        <v>2320</v>
      </c>
      <c r="B2249" t="b">
        <v>1</v>
      </c>
      <c r="C2249" t="b">
        <v>0</v>
      </c>
      <c r="D2249" t="b">
        <v>0</v>
      </c>
      <c r="F2249" t="b">
        <v>0</v>
      </c>
      <c r="H2249" t="s">
        <v>86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>
        <v>2</v>
      </c>
      <c r="AB2249">
        <v>0</v>
      </c>
      <c r="AC2249">
        <f>VLOOKUP(A:A,[1]android_repos_all_metrics!B:K,4,FALSE)</f>
        <v>234</v>
      </c>
      <c r="AD2249">
        <f>VLOOKUP(A:A,[1]android_repos_all_metrics!B:K,5,FALSE)</f>
        <v>5</v>
      </c>
      <c r="AE2249">
        <f>VLOOKUP(A:A,[1]android_repos_all_metrics!B:K,6,FALSE)</f>
        <v>6</v>
      </c>
      <c r="AF2249">
        <f>VLOOKUP(A:A,[1]android_repos_all_metrics!B:K,7,FALSE)</f>
        <v>1156</v>
      </c>
      <c r="AG2249">
        <f>VLOOKUP(A:A,[1]android_repos_all_metrics!B:K,8,FALSE)</f>
        <v>23</v>
      </c>
      <c r="AH2249">
        <f>VLOOKUP(A:A,[1]android_repos_all_metrics!B:K,9,FALSE)</f>
        <v>53</v>
      </c>
      <c r="AI2249">
        <f>VLOOKUP(A:A,[1]android_repos_all_metrics!B:K,10,FALSE)</f>
        <v>8</v>
      </c>
    </row>
    <row r="2250" spans="1:35">
      <c r="A2250" t="s">
        <v>2321</v>
      </c>
      <c r="B2250" t="b">
        <v>1</v>
      </c>
      <c r="C2250" t="b">
        <v>0</v>
      </c>
      <c r="D2250" t="b">
        <v>0</v>
      </c>
      <c r="F2250" t="b">
        <v>0</v>
      </c>
      <c r="H2250" t="s">
        <v>325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>
        <v>2</v>
      </c>
      <c r="AB2250">
        <v>0</v>
      </c>
      <c r="AC2250">
        <f>VLOOKUP(A:A,[1]android_repos_all_metrics!B:K,4,FALSE)</f>
        <v>3771</v>
      </c>
      <c r="AD2250">
        <f>VLOOKUP(A:A,[1]android_repos_all_metrics!B:K,5,FALSE)</f>
        <v>177</v>
      </c>
      <c r="AE2250">
        <f>VLOOKUP(A:A,[1]android_repos_all_metrics!B:K,6,FALSE)</f>
        <v>7</v>
      </c>
      <c r="AF2250">
        <f>VLOOKUP(A:A,[1]android_repos_all_metrics!B:K,7,FALSE)</f>
        <v>7084</v>
      </c>
      <c r="AG2250">
        <f>VLOOKUP(A:A,[1]android_repos_all_metrics!B:K,8,FALSE)</f>
        <v>43</v>
      </c>
      <c r="AH2250">
        <f>VLOOKUP(A:A,[1]android_repos_all_metrics!B:K,9,FALSE)</f>
        <v>467</v>
      </c>
      <c r="AI2250">
        <f>VLOOKUP(A:A,[1]android_repos_all_metrics!B:K,10,FALSE)</f>
        <v>26</v>
      </c>
    </row>
    <row r="2251" spans="1:35">
      <c r="A2251" t="s">
        <v>2322</v>
      </c>
      <c r="B2251" t="b">
        <v>1</v>
      </c>
      <c r="C2251" t="b">
        <v>0</v>
      </c>
      <c r="D2251" t="b">
        <v>0</v>
      </c>
      <c r="F2251" t="b">
        <v>0</v>
      </c>
      <c r="H2251" t="s">
        <v>37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>
        <v>1</v>
      </c>
      <c r="AB2251">
        <v>0</v>
      </c>
      <c r="AC2251">
        <f>VLOOKUP(A:A,[1]android_repos_all_metrics!B:K,4,FALSE)</f>
        <v>142</v>
      </c>
      <c r="AD2251">
        <f>VLOOKUP(A:A,[1]android_repos_all_metrics!B:K,5,FALSE)</f>
        <v>9</v>
      </c>
      <c r="AE2251">
        <f>VLOOKUP(A:A,[1]android_repos_all_metrics!B:K,6,FALSE)</f>
        <v>3</v>
      </c>
      <c r="AF2251">
        <f>VLOOKUP(A:A,[1]android_repos_all_metrics!B:K,7,FALSE)</f>
        <v>564</v>
      </c>
      <c r="AG2251">
        <f>VLOOKUP(A:A,[1]android_repos_all_metrics!B:K,8,FALSE)</f>
        <v>19</v>
      </c>
      <c r="AH2251">
        <f>VLOOKUP(A:A,[1]android_repos_all_metrics!B:K,9,FALSE)</f>
        <v>66</v>
      </c>
      <c r="AI2251">
        <f>VLOOKUP(A:A,[1]android_repos_all_metrics!B:K,10,FALSE)</f>
        <v>6</v>
      </c>
    </row>
    <row r="2252" spans="1:35">
      <c r="A2252" t="s">
        <v>2323</v>
      </c>
      <c r="B2252" t="b">
        <v>1</v>
      </c>
      <c r="C2252" t="b">
        <v>0</v>
      </c>
      <c r="D2252" t="b">
        <v>0</v>
      </c>
      <c r="F2252" t="b">
        <v>0</v>
      </c>
      <c r="H2252" t="s">
        <v>37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>
        <v>1</v>
      </c>
      <c r="AB2252">
        <v>0</v>
      </c>
      <c r="AC2252">
        <f>VLOOKUP(A:A,[1]android_repos_all_metrics!B:K,4,FALSE)</f>
        <v>28</v>
      </c>
      <c r="AD2252">
        <f>VLOOKUP(A:A,[1]android_repos_all_metrics!B:K,5,FALSE)</f>
        <v>2</v>
      </c>
      <c r="AE2252">
        <f>VLOOKUP(A:A,[1]android_repos_all_metrics!B:K,6,FALSE)</f>
        <v>1</v>
      </c>
      <c r="AF2252">
        <f>VLOOKUP(A:A,[1]android_repos_all_metrics!B:K,7,FALSE)</f>
        <v>10200</v>
      </c>
      <c r="AG2252">
        <f>VLOOKUP(A:A,[1]android_repos_all_metrics!B:K,8,FALSE)</f>
        <v>1</v>
      </c>
      <c r="AH2252">
        <f>VLOOKUP(A:A,[1]android_repos_all_metrics!B:K,9,FALSE)</f>
        <v>2</v>
      </c>
      <c r="AI2252">
        <f>VLOOKUP(A:A,[1]android_repos_all_metrics!B:K,10,FALSE)</f>
        <v>0</v>
      </c>
    </row>
    <row r="2253" spans="1:35">
      <c r="A2253" t="s">
        <v>2324</v>
      </c>
      <c r="B2253" t="b">
        <v>0</v>
      </c>
      <c r="C2253" t="b">
        <v>0</v>
      </c>
      <c r="D2253" t="b">
        <v>0</v>
      </c>
      <c r="F2253" t="b">
        <v>0</v>
      </c>
      <c r="H2253" t="s">
        <v>41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>
        <v>1</v>
      </c>
      <c r="AB2253">
        <v>0</v>
      </c>
      <c r="AC2253">
        <f>VLOOKUP(A:A,[1]android_repos_all_metrics!B:K,4,FALSE)</f>
        <v>290</v>
      </c>
      <c r="AD2253">
        <f>VLOOKUP(A:A,[1]android_repos_all_metrics!B:K,5,FALSE)</f>
        <v>1</v>
      </c>
      <c r="AE2253">
        <f>VLOOKUP(A:A,[1]android_repos_all_metrics!B:K,6,FALSE)</f>
        <v>1</v>
      </c>
      <c r="AF2253">
        <f>VLOOKUP(A:A,[1]android_repos_all_metrics!B:K,7,FALSE)</f>
        <v>533</v>
      </c>
      <c r="AG2253">
        <f>VLOOKUP(A:A,[1]android_repos_all_metrics!B:K,8,FALSE)</f>
        <v>1</v>
      </c>
      <c r="AH2253">
        <f>VLOOKUP(A:A,[1]android_repos_all_metrics!B:K,9,FALSE)</f>
        <v>3</v>
      </c>
      <c r="AI2253">
        <f>VLOOKUP(A:A,[1]android_repos_all_metrics!B:K,10,FALSE)</f>
        <v>1</v>
      </c>
    </row>
    <row r="2254" spans="1:35">
      <c r="A2254" t="s">
        <v>2325</v>
      </c>
      <c r="B2254" t="b">
        <v>1</v>
      </c>
      <c r="C2254" t="b">
        <v>0</v>
      </c>
      <c r="D2254" t="b">
        <v>0</v>
      </c>
      <c r="F2254" t="b">
        <v>0</v>
      </c>
      <c r="H2254" t="s">
        <v>37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>
        <v>1</v>
      </c>
      <c r="AB2254">
        <v>0</v>
      </c>
      <c r="AC2254">
        <f>VLOOKUP(A:A,[1]android_repos_all_metrics!B:K,4,FALSE)</f>
        <v>42</v>
      </c>
      <c r="AD2254">
        <f>VLOOKUP(A:A,[1]android_repos_all_metrics!B:K,5,FALSE)</f>
        <v>0</v>
      </c>
      <c r="AE2254">
        <f>VLOOKUP(A:A,[1]android_repos_all_metrics!B:K,6,FALSE)</f>
        <v>1</v>
      </c>
      <c r="AF2254">
        <f>VLOOKUP(A:A,[1]android_repos_all_metrics!B:K,7,FALSE)</f>
        <v>49563</v>
      </c>
      <c r="AG2254">
        <f>VLOOKUP(A:A,[1]android_repos_all_metrics!B:K,8,FALSE)</f>
        <v>2</v>
      </c>
      <c r="AH2254">
        <f>VLOOKUP(A:A,[1]android_repos_all_metrics!B:K,9,FALSE)</f>
        <v>2</v>
      </c>
      <c r="AI2254">
        <f>VLOOKUP(A:A,[1]android_repos_all_metrics!B:K,10,FALSE)</f>
        <v>0</v>
      </c>
    </row>
    <row r="2255" spans="1:35">
      <c r="A2255" t="s">
        <v>2326</v>
      </c>
      <c r="B2255" t="b">
        <v>1</v>
      </c>
      <c r="C2255" t="b">
        <v>0</v>
      </c>
      <c r="D2255" t="b">
        <v>0</v>
      </c>
      <c r="F2255" t="b">
        <v>0</v>
      </c>
      <c r="H2255" t="s">
        <v>37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>
        <v>2</v>
      </c>
      <c r="AB2255">
        <v>0</v>
      </c>
      <c r="AC2255">
        <f>VLOOKUP(A:A,[1]android_repos_all_metrics!B:K,4,FALSE)</f>
        <v>10</v>
      </c>
      <c r="AD2255">
        <f>VLOOKUP(A:A,[1]android_repos_all_metrics!B:K,5,FALSE)</f>
        <v>0</v>
      </c>
      <c r="AE2255">
        <f>VLOOKUP(A:A,[1]android_repos_all_metrics!B:K,6,FALSE)</f>
        <v>2</v>
      </c>
      <c r="AF2255">
        <f>VLOOKUP(A:A,[1]android_repos_all_metrics!B:K,7,FALSE)</f>
        <v>326</v>
      </c>
      <c r="AG2255">
        <f>VLOOKUP(A:A,[1]android_repos_all_metrics!B:K,8,FALSE)</f>
        <v>0</v>
      </c>
      <c r="AH2255">
        <f>VLOOKUP(A:A,[1]android_repos_all_metrics!B:K,9,FALSE)</f>
        <v>6</v>
      </c>
      <c r="AI2255">
        <f>VLOOKUP(A:A,[1]android_repos_all_metrics!B:K,10,FALSE)</f>
        <v>0</v>
      </c>
    </row>
    <row r="2256" spans="1:35">
      <c r="A2256" t="s">
        <v>2327</v>
      </c>
      <c r="B2256" t="b">
        <v>0</v>
      </c>
      <c r="C2256" t="b">
        <v>0</v>
      </c>
      <c r="D2256" t="b">
        <v>0</v>
      </c>
      <c r="F2256" t="b">
        <v>0</v>
      </c>
      <c r="H2256" t="s">
        <v>41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>
        <v>1</v>
      </c>
      <c r="AB2256">
        <v>0</v>
      </c>
      <c r="AC2256">
        <f>VLOOKUP(A:A,[1]android_repos_all_metrics!B:K,4,FALSE)</f>
        <v>146</v>
      </c>
      <c r="AD2256">
        <f>VLOOKUP(A:A,[1]android_repos_all_metrics!B:K,5,FALSE)</f>
        <v>35</v>
      </c>
      <c r="AE2256">
        <f>VLOOKUP(A:A,[1]android_repos_all_metrics!B:K,6,FALSE)</f>
        <v>4</v>
      </c>
      <c r="AF2256">
        <f>VLOOKUP(A:A,[1]android_repos_all_metrics!B:K,7,FALSE)</f>
        <v>13352</v>
      </c>
      <c r="AG2256">
        <f>VLOOKUP(A:A,[1]android_repos_all_metrics!B:K,8,FALSE)</f>
        <v>12</v>
      </c>
      <c r="AH2256">
        <f>VLOOKUP(A:A,[1]android_repos_all_metrics!B:K,9,FALSE)</f>
        <v>12</v>
      </c>
      <c r="AI2256">
        <f>VLOOKUP(A:A,[1]android_repos_all_metrics!B:K,10,FALSE)</f>
        <v>10</v>
      </c>
    </row>
    <row r="2257" spans="1:35">
      <c r="A2257" t="s">
        <v>2328</v>
      </c>
      <c r="B2257" t="b">
        <v>1</v>
      </c>
      <c r="C2257" t="b">
        <v>0</v>
      </c>
      <c r="D2257" t="b">
        <v>0</v>
      </c>
      <c r="F2257" t="b">
        <v>0</v>
      </c>
      <c r="H2257" t="s">
        <v>37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>
        <v>1</v>
      </c>
      <c r="AB2257">
        <v>0</v>
      </c>
      <c r="AC2257">
        <f>VLOOKUP(A:A,[1]android_repos_all_metrics!B:K,4,FALSE)</f>
        <v>1127</v>
      </c>
      <c r="AD2257">
        <f>VLOOKUP(A:A,[1]android_repos_all_metrics!B:K,5,FALSE)</f>
        <v>45</v>
      </c>
      <c r="AE2257">
        <f>VLOOKUP(A:A,[1]android_repos_all_metrics!B:K,6,FALSE)</f>
        <v>7</v>
      </c>
      <c r="AF2257">
        <f>VLOOKUP(A:A,[1]android_repos_all_metrics!B:K,7,FALSE)</f>
        <v>11271</v>
      </c>
      <c r="AG2257">
        <f>VLOOKUP(A:A,[1]android_repos_all_metrics!B:K,8,FALSE)</f>
        <v>35</v>
      </c>
      <c r="AH2257">
        <f>VLOOKUP(A:A,[1]android_repos_all_metrics!B:K,9,FALSE)</f>
        <v>285</v>
      </c>
      <c r="AI2257">
        <f>VLOOKUP(A:A,[1]android_repos_all_metrics!B:K,10,FALSE)</f>
        <v>1</v>
      </c>
    </row>
    <row r="2258" spans="1:35">
      <c r="A2258" t="s">
        <v>2329</v>
      </c>
      <c r="B2258" t="b">
        <v>1</v>
      </c>
      <c r="C2258" t="b">
        <v>0</v>
      </c>
      <c r="D2258" t="b">
        <v>0</v>
      </c>
      <c r="F2258" t="b">
        <v>0</v>
      </c>
      <c r="H2258" t="s">
        <v>76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>
        <v>1</v>
      </c>
      <c r="AB2258">
        <v>0</v>
      </c>
      <c r="AC2258">
        <f>VLOOKUP(A:A,[1]android_repos_all_metrics!B:K,4,FALSE)</f>
        <v>49</v>
      </c>
      <c r="AD2258">
        <f>VLOOKUP(A:A,[1]android_repos_all_metrics!B:K,5,FALSE)</f>
        <v>0</v>
      </c>
      <c r="AE2258">
        <f>VLOOKUP(A:A,[1]android_repos_all_metrics!B:K,6,FALSE)</f>
        <v>4</v>
      </c>
      <c r="AF2258">
        <f>VLOOKUP(A:A,[1]android_repos_all_metrics!B:K,7,FALSE)</f>
        <v>501</v>
      </c>
      <c r="AG2258">
        <f>VLOOKUP(A:A,[1]android_repos_all_metrics!B:K,8,FALSE)</f>
        <v>1</v>
      </c>
      <c r="AH2258">
        <f>VLOOKUP(A:A,[1]android_repos_all_metrics!B:K,9,FALSE)</f>
        <v>5</v>
      </c>
      <c r="AI2258">
        <f>VLOOKUP(A:A,[1]android_repos_all_metrics!B:K,10,FALSE)</f>
        <v>0</v>
      </c>
    </row>
    <row r="2259" spans="1:35">
      <c r="A2259" t="s">
        <v>2330</v>
      </c>
      <c r="B2259" t="b">
        <v>1</v>
      </c>
      <c r="C2259" t="b">
        <v>0</v>
      </c>
      <c r="D2259" t="b">
        <v>0</v>
      </c>
      <c r="F2259" t="b">
        <v>0</v>
      </c>
      <c r="H2259" t="s">
        <v>41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>
        <v>1</v>
      </c>
      <c r="AB2259">
        <v>0</v>
      </c>
      <c r="AC2259">
        <f>VLOOKUP(A:A,[1]android_repos_all_metrics!B:K,4,FALSE)</f>
        <v>555</v>
      </c>
      <c r="AD2259">
        <f>VLOOKUP(A:A,[1]android_repos_all_metrics!B:K,5,FALSE)</f>
        <v>31</v>
      </c>
      <c r="AE2259">
        <f>VLOOKUP(A:A,[1]android_repos_all_metrics!B:K,6,FALSE)</f>
        <v>3</v>
      </c>
      <c r="AF2259">
        <f>VLOOKUP(A:A,[1]android_repos_all_metrics!B:K,7,FALSE)</f>
        <v>1510</v>
      </c>
      <c r="AG2259">
        <f>VLOOKUP(A:A,[1]android_repos_all_metrics!B:K,8,FALSE)</f>
        <v>0</v>
      </c>
      <c r="AH2259">
        <f>VLOOKUP(A:A,[1]android_repos_all_metrics!B:K,9,FALSE)</f>
        <v>10</v>
      </c>
      <c r="AI2259">
        <f>VLOOKUP(A:A,[1]android_repos_all_metrics!B:K,10,FALSE)</f>
        <v>2</v>
      </c>
    </row>
    <row r="2260" spans="1:35">
      <c r="A2260" t="s">
        <v>2331</v>
      </c>
      <c r="B2260" t="b">
        <v>1</v>
      </c>
      <c r="C2260" t="b">
        <v>0</v>
      </c>
      <c r="D2260" t="b">
        <v>0</v>
      </c>
      <c r="F2260" t="b">
        <v>0</v>
      </c>
      <c r="H2260" t="s">
        <v>86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>
        <v>2</v>
      </c>
      <c r="AB2260">
        <v>0</v>
      </c>
      <c r="AC2260">
        <f>VLOOKUP(A:A,[1]android_repos_all_metrics!B:K,4,FALSE)</f>
        <v>23</v>
      </c>
      <c r="AD2260">
        <f>VLOOKUP(A:A,[1]android_repos_all_metrics!B:K,5,FALSE)</f>
        <v>0</v>
      </c>
      <c r="AE2260">
        <f>VLOOKUP(A:A,[1]android_repos_all_metrics!B:K,6,FALSE)</f>
        <v>1</v>
      </c>
      <c r="AF2260">
        <f>VLOOKUP(A:A,[1]android_repos_all_metrics!B:K,7,FALSE)</f>
        <v>176</v>
      </c>
      <c r="AG2260">
        <f>VLOOKUP(A:A,[1]android_repos_all_metrics!B:K,8,FALSE)</f>
        <v>0</v>
      </c>
      <c r="AH2260">
        <f>VLOOKUP(A:A,[1]android_repos_all_metrics!B:K,9,FALSE)</f>
        <v>3</v>
      </c>
      <c r="AI2260">
        <f>VLOOKUP(A:A,[1]android_repos_all_metrics!B:K,10,FALSE)</f>
        <v>1</v>
      </c>
    </row>
    <row r="2261" spans="1:35">
      <c r="A2261" t="s">
        <v>2332</v>
      </c>
      <c r="B2261" t="b">
        <v>0</v>
      </c>
      <c r="C2261" t="b">
        <v>0</v>
      </c>
      <c r="D2261" t="b">
        <v>0</v>
      </c>
      <c r="F2261" t="b">
        <v>0</v>
      </c>
      <c r="H2261" t="s">
        <v>41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>
        <v>1</v>
      </c>
      <c r="AB2261">
        <v>0</v>
      </c>
      <c r="AC2261">
        <f>VLOOKUP(A:A,[1]android_repos_all_metrics!B:K,4,FALSE)</f>
        <v>159</v>
      </c>
      <c r="AD2261">
        <f>VLOOKUP(A:A,[1]android_repos_all_metrics!B:K,5,FALSE)</f>
        <v>3</v>
      </c>
      <c r="AE2261">
        <f>VLOOKUP(A:A,[1]android_repos_all_metrics!B:K,6,FALSE)</f>
        <v>1</v>
      </c>
      <c r="AF2261">
        <f>VLOOKUP(A:A,[1]android_repos_all_metrics!B:K,7,FALSE)</f>
        <v>14258</v>
      </c>
      <c r="AG2261">
        <f>VLOOKUP(A:A,[1]android_repos_all_metrics!B:K,8,FALSE)</f>
        <v>0</v>
      </c>
      <c r="AH2261">
        <f>VLOOKUP(A:A,[1]android_repos_all_metrics!B:K,9,FALSE)</f>
        <v>1</v>
      </c>
      <c r="AI2261">
        <f>VLOOKUP(A:A,[1]android_repos_all_metrics!B:K,10,FALSE)</f>
        <v>0</v>
      </c>
    </row>
    <row r="2262" spans="1:35">
      <c r="A2262" t="s">
        <v>2333</v>
      </c>
      <c r="B2262" t="b">
        <v>1</v>
      </c>
      <c r="C2262" t="b">
        <v>1</v>
      </c>
      <c r="D2262" t="b">
        <v>1</v>
      </c>
      <c r="E2262" t="s">
        <v>36</v>
      </c>
      <c r="F2262" t="b">
        <v>0</v>
      </c>
      <c r="H2262" t="s">
        <v>1054</v>
      </c>
      <c r="I2262" t="s">
        <v>37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>
        <v>9</v>
      </c>
      <c r="AB2262">
        <v>0</v>
      </c>
      <c r="AC2262">
        <f>VLOOKUP(A:A,[1]android_repos_all_metrics!B:K,4,FALSE)</f>
        <v>3925</v>
      </c>
      <c r="AD2262">
        <f>VLOOKUP(A:A,[1]android_repos_all_metrics!B:K,5,FALSE)</f>
        <v>200</v>
      </c>
      <c r="AE2262">
        <f>VLOOKUP(A:A,[1]android_repos_all_metrics!B:K,6,FALSE)</f>
        <v>31</v>
      </c>
      <c r="AF2262">
        <f>VLOOKUP(A:A,[1]android_repos_all_metrics!B:K,7,FALSE)</f>
        <v>33887</v>
      </c>
      <c r="AG2262">
        <f>VLOOKUP(A:A,[1]android_repos_all_metrics!B:K,8,FALSE)</f>
        <v>50</v>
      </c>
      <c r="AH2262">
        <f>VLOOKUP(A:A,[1]android_repos_all_metrics!B:K,9,FALSE)</f>
        <v>224</v>
      </c>
      <c r="AI2262">
        <f>VLOOKUP(A:A,[1]android_repos_all_metrics!B:K,10,FALSE)</f>
        <v>28</v>
      </c>
    </row>
    <row r="2263" spans="1:35">
      <c r="A2263" t="s">
        <v>2334</v>
      </c>
      <c r="B2263" t="b">
        <v>1</v>
      </c>
      <c r="C2263" t="b">
        <v>0</v>
      </c>
      <c r="D2263" t="b">
        <v>0</v>
      </c>
      <c r="F2263" t="b">
        <v>0</v>
      </c>
      <c r="H2263" t="s">
        <v>37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>
        <v>1</v>
      </c>
      <c r="AB2263">
        <v>0</v>
      </c>
      <c r="AC2263">
        <f>VLOOKUP(A:A,[1]android_repos_all_metrics!B:K,4,FALSE)</f>
        <v>28</v>
      </c>
      <c r="AD2263">
        <f>VLOOKUP(A:A,[1]android_repos_all_metrics!B:K,5,FALSE)</f>
        <v>2</v>
      </c>
      <c r="AE2263">
        <f>VLOOKUP(A:A,[1]android_repos_all_metrics!B:K,6,FALSE)</f>
        <v>1</v>
      </c>
      <c r="AF2263">
        <f>VLOOKUP(A:A,[1]android_repos_all_metrics!B:K,7,FALSE)</f>
        <v>159</v>
      </c>
      <c r="AG2263">
        <f>VLOOKUP(A:A,[1]android_repos_all_metrics!B:K,8,FALSE)</f>
        <v>1</v>
      </c>
      <c r="AH2263">
        <f>VLOOKUP(A:A,[1]android_repos_all_metrics!B:K,9,FALSE)</f>
        <v>7</v>
      </c>
      <c r="AI2263">
        <f>VLOOKUP(A:A,[1]android_repos_all_metrics!B:K,10,FALSE)</f>
        <v>0</v>
      </c>
    </row>
    <row r="2264" spans="1:35">
      <c r="A2264" t="s">
        <v>2335</v>
      </c>
      <c r="B2264" t="b">
        <v>1</v>
      </c>
      <c r="C2264" t="b">
        <v>0</v>
      </c>
      <c r="D2264" t="b">
        <v>0</v>
      </c>
      <c r="F2264" t="b">
        <v>0</v>
      </c>
      <c r="H2264" t="s">
        <v>37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>
        <v>1</v>
      </c>
      <c r="AB2264">
        <v>0</v>
      </c>
      <c r="AC2264" t="e">
        <f>VLOOKUP(A:A,[1]android_repos_all_metrics!B:K,4,FALSE)</f>
        <v>#N/A</v>
      </c>
      <c r="AD2264" t="e">
        <f>VLOOKUP(A:A,[1]android_repos_all_metrics!B:K,5,FALSE)</f>
        <v>#N/A</v>
      </c>
      <c r="AE2264" t="e">
        <f>VLOOKUP(A:A,[1]android_repos_all_metrics!B:K,6,FALSE)</f>
        <v>#N/A</v>
      </c>
      <c r="AF2264" t="e">
        <f>VLOOKUP(A:A,[1]android_repos_all_metrics!B:K,7,FALSE)</f>
        <v>#N/A</v>
      </c>
      <c r="AG2264" t="e">
        <f>VLOOKUP(A:A,[1]android_repos_all_metrics!B:K,8,FALSE)</f>
        <v>#N/A</v>
      </c>
      <c r="AH2264" t="e">
        <f>VLOOKUP(A:A,[1]android_repos_all_metrics!B:K,9,FALSE)</f>
        <v>#N/A</v>
      </c>
      <c r="AI2264" t="e">
        <f>VLOOKUP(A:A,[1]android_repos_all_metrics!B:K,10,FALSE)</f>
        <v>#N/A</v>
      </c>
    </row>
    <row r="2265" spans="1:35">
      <c r="A2265" t="s">
        <v>2336</v>
      </c>
      <c r="B2265" t="b">
        <v>1</v>
      </c>
      <c r="C2265" t="b">
        <v>0</v>
      </c>
      <c r="D2265" t="b">
        <v>0</v>
      </c>
      <c r="F2265" t="b">
        <v>0</v>
      </c>
      <c r="H2265" t="s">
        <v>37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>
        <v>1</v>
      </c>
      <c r="AB2265">
        <v>0</v>
      </c>
      <c r="AC2265">
        <f>VLOOKUP(A:A,[1]android_repos_all_metrics!B:K,4,FALSE)</f>
        <v>138</v>
      </c>
      <c r="AD2265">
        <f>VLOOKUP(A:A,[1]android_repos_all_metrics!B:K,5,FALSE)</f>
        <v>71</v>
      </c>
      <c r="AE2265">
        <f>VLOOKUP(A:A,[1]android_repos_all_metrics!B:K,6,FALSE)</f>
        <v>1</v>
      </c>
      <c r="AF2265">
        <f>VLOOKUP(A:A,[1]android_repos_all_metrics!B:K,7,FALSE)</f>
        <v>26350</v>
      </c>
      <c r="AG2265">
        <f>VLOOKUP(A:A,[1]android_repos_all_metrics!B:K,8,FALSE)</f>
        <v>3</v>
      </c>
      <c r="AH2265">
        <f>VLOOKUP(A:A,[1]android_repos_all_metrics!B:K,9,FALSE)</f>
        <v>29</v>
      </c>
      <c r="AI2265">
        <f>VLOOKUP(A:A,[1]android_repos_all_metrics!B:K,10,FALSE)</f>
        <v>14</v>
      </c>
    </row>
    <row r="2266" spans="1:35">
      <c r="A2266" t="s">
        <v>2337</v>
      </c>
      <c r="B2266" t="b">
        <v>1</v>
      </c>
      <c r="C2266" t="b">
        <v>1</v>
      </c>
      <c r="D2266" t="b">
        <v>1</v>
      </c>
      <c r="E2266" t="s">
        <v>104</v>
      </c>
      <c r="F2266" t="b">
        <v>0</v>
      </c>
      <c r="H2266" t="s">
        <v>37</v>
      </c>
      <c r="I2266" t="s">
        <v>37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>
        <v>2</v>
      </c>
      <c r="AB2266">
        <v>0</v>
      </c>
      <c r="AC2266">
        <f>VLOOKUP(A:A,[1]android_repos_all_metrics!B:K,4,FALSE)</f>
        <v>845</v>
      </c>
      <c r="AD2266">
        <f>VLOOKUP(A:A,[1]android_repos_all_metrics!B:K,5,FALSE)</f>
        <v>86</v>
      </c>
      <c r="AE2266">
        <f>VLOOKUP(A:A,[1]android_repos_all_metrics!B:K,6,FALSE)</f>
        <v>12</v>
      </c>
      <c r="AF2266">
        <f>VLOOKUP(A:A,[1]android_repos_all_metrics!B:K,7,FALSE)</f>
        <v>7586</v>
      </c>
      <c r="AG2266">
        <f>VLOOKUP(A:A,[1]android_repos_all_metrics!B:K,8,FALSE)</f>
        <v>19</v>
      </c>
      <c r="AH2266">
        <f>VLOOKUP(A:A,[1]android_repos_all_metrics!B:K,9,FALSE)</f>
        <v>97</v>
      </c>
      <c r="AI2266">
        <f>VLOOKUP(A:A,[1]android_repos_all_metrics!B:K,10,FALSE)</f>
        <v>31</v>
      </c>
    </row>
    <row r="2267" spans="1:35">
      <c r="A2267" t="s">
        <v>2338</v>
      </c>
      <c r="B2267" t="b">
        <v>1</v>
      </c>
      <c r="C2267" t="b">
        <v>0</v>
      </c>
      <c r="D2267" t="b">
        <v>0</v>
      </c>
      <c r="F2267" t="b">
        <v>0</v>
      </c>
      <c r="H2267" t="s">
        <v>37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>
        <v>3</v>
      </c>
      <c r="AB2267">
        <v>0</v>
      </c>
      <c r="AC2267">
        <f>VLOOKUP(A:A,[1]android_repos_all_metrics!B:K,4,FALSE)</f>
        <v>26</v>
      </c>
      <c r="AD2267">
        <f>VLOOKUP(A:A,[1]android_repos_all_metrics!B:K,5,FALSE)</f>
        <v>7</v>
      </c>
      <c r="AE2267">
        <f>VLOOKUP(A:A,[1]android_repos_all_metrics!B:K,6,FALSE)</f>
        <v>2</v>
      </c>
      <c r="AF2267">
        <f>VLOOKUP(A:A,[1]android_repos_all_metrics!B:K,7,FALSE)</f>
        <v>135</v>
      </c>
      <c r="AG2267">
        <f>VLOOKUP(A:A,[1]android_repos_all_metrics!B:K,8,FALSE)</f>
        <v>1</v>
      </c>
      <c r="AH2267">
        <f>VLOOKUP(A:A,[1]android_repos_all_metrics!B:K,9,FALSE)</f>
        <v>2</v>
      </c>
      <c r="AI2267">
        <f>VLOOKUP(A:A,[1]android_repos_all_metrics!B:K,10,FALSE)</f>
        <v>1</v>
      </c>
    </row>
    <row r="2268" spans="1:35">
      <c r="A2268" t="s">
        <v>2339</v>
      </c>
      <c r="B2268" t="b">
        <v>1</v>
      </c>
      <c r="C2268" t="b">
        <v>0</v>
      </c>
      <c r="D2268" t="b">
        <v>0</v>
      </c>
      <c r="F2268" t="b">
        <v>0</v>
      </c>
      <c r="H2268" t="s">
        <v>37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>
        <v>1</v>
      </c>
      <c r="AB2268">
        <v>0</v>
      </c>
      <c r="AC2268">
        <f>VLOOKUP(A:A,[1]android_repos_all_metrics!B:K,4,FALSE)</f>
        <v>5052</v>
      </c>
      <c r="AD2268">
        <f>VLOOKUP(A:A,[1]android_repos_all_metrics!B:K,5,FALSE)</f>
        <v>404</v>
      </c>
      <c r="AE2268">
        <f>VLOOKUP(A:A,[1]android_repos_all_metrics!B:K,6,FALSE)</f>
        <v>118</v>
      </c>
      <c r="AF2268">
        <f>VLOOKUP(A:A,[1]android_repos_all_metrics!B:K,7,FALSE)</f>
        <v>59020</v>
      </c>
      <c r="AG2268">
        <f>VLOOKUP(A:A,[1]android_repos_all_metrics!B:K,8,FALSE)</f>
        <v>42</v>
      </c>
      <c r="AH2268">
        <f>VLOOKUP(A:A,[1]android_repos_all_metrics!B:K,9,FALSE)</f>
        <v>639</v>
      </c>
      <c r="AI2268">
        <f>VLOOKUP(A:A,[1]android_repos_all_metrics!B:K,10,FALSE)</f>
        <v>383</v>
      </c>
    </row>
    <row r="2269" spans="1:35">
      <c r="A2269" t="s">
        <v>2340</v>
      </c>
      <c r="B2269" t="b">
        <v>1</v>
      </c>
      <c r="C2269" t="b">
        <v>0</v>
      </c>
      <c r="D2269" t="b">
        <v>0</v>
      </c>
      <c r="F2269" t="b">
        <v>0</v>
      </c>
      <c r="H2269" t="s">
        <v>37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>
        <v>2</v>
      </c>
      <c r="AB2269">
        <v>0</v>
      </c>
      <c r="AC2269">
        <f>VLOOKUP(A:A,[1]android_repos_all_metrics!B:K,4,FALSE)</f>
        <v>383</v>
      </c>
      <c r="AD2269">
        <f>VLOOKUP(A:A,[1]android_repos_all_metrics!B:K,5,FALSE)</f>
        <v>26</v>
      </c>
      <c r="AE2269">
        <f>VLOOKUP(A:A,[1]android_repos_all_metrics!B:K,6,FALSE)</f>
        <v>3</v>
      </c>
      <c r="AF2269">
        <f>VLOOKUP(A:A,[1]android_repos_all_metrics!B:K,7,FALSE)</f>
        <v>1051413</v>
      </c>
      <c r="AG2269">
        <f>VLOOKUP(A:A,[1]android_repos_all_metrics!B:K,8,FALSE)</f>
        <v>16</v>
      </c>
      <c r="AH2269">
        <f>VLOOKUP(A:A,[1]android_repos_all_metrics!B:K,9,FALSE)</f>
        <v>94</v>
      </c>
      <c r="AI2269">
        <f>VLOOKUP(A:A,[1]android_repos_all_metrics!B:K,10,FALSE)</f>
        <v>30</v>
      </c>
    </row>
    <row r="2270" spans="1:35">
      <c r="A2270" t="s">
        <v>2341</v>
      </c>
      <c r="B2270" t="b">
        <v>1</v>
      </c>
      <c r="C2270" t="b">
        <v>0</v>
      </c>
      <c r="D2270" t="b">
        <v>0</v>
      </c>
      <c r="F2270" t="b">
        <v>0</v>
      </c>
      <c r="H2270" t="s">
        <v>37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>
        <v>4</v>
      </c>
      <c r="AB2270">
        <v>0</v>
      </c>
      <c r="AC2270">
        <f>VLOOKUP(A:A,[1]android_repos_all_metrics!B:K,4,FALSE)</f>
        <v>863</v>
      </c>
      <c r="AD2270">
        <f>VLOOKUP(A:A,[1]android_repos_all_metrics!B:K,5,FALSE)</f>
        <v>143</v>
      </c>
      <c r="AE2270">
        <f>VLOOKUP(A:A,[1]android_repos_all_metrics!B:K,6,FALSE)</f>
        <v>80</v>
      </c>
      <c r="AF2270">
        <f>VLOOKUP(A:A,[1]android_repos_all_metrics!B:K,7,FALSE)</f>
        <v>39262</v>
      </c>
      <c r="AG2270">
        <f>VLOOKUP(A:A,[1]android_repos_all_metrics!B:K,8,FALSE)</f>
        <v>23</v>
      </c>
      <c r="AH2270">
        <f>VLOOKUP(A:A,[1]android_repos_all_metrics!B:K,9,FALSE)</f>
        <v>408</v>
      </c>
      <c r="AI2270">
        <f>VLOOKUP(A:A,[1]android_repos_all_metrics!B:K,10,FALSE)</f>
        <v>5</v>
      </c>
    </row>
    <row r="2271" spans="1:35">
      <c r="A2271" t="s">
        <v>2342</v>
      </c>
      <c r="B2271" t="b">
        <v>1</v>
      </c>
      <c r="C2271" t="b">
        <v>0</v>
      </c>
      <c r="D2271" t="b">
        <v>0</v>
      </c>
      <c r="F2271" t="b">
        <v>0</v>
      </c>
      <c r="H2271" t="s">
        <v>86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>
        <v>3</v>
      </c>
      <c r="AB2271">
        <v>0</v>
      </c>
      <c r="AC2271">
        <f>VLOOKUP(A:A,[1]android_repos_all_metrics!B:K,4,FALSE)</f>
        <v>153</v>
      </c>
      <c r="AD2271">
        <f>VLOOKUP(A:A,[1]android_repos_all_metrics!B:K,5,FALSE)</f>
        <v>20</v>
      </c>
      <c r="AE2271">
        <f>VLOOKUP(A:A,[1]android_repos_all_metrics!B:K,6,FALSE)</f>
        <v>16</v>
      </c>
      <c r="AF2271">
        <f>VLOOKUP(A:A,[1]android_repos_all_metrics!B:K,7,FALSE)</f>
        <v>5984</v>
      </c>
      <c r="AG2271">
        <f>VLOOKUP(A:A,[1]android_repos_all_metrics!B:K,8,FALSE)</f>
        <v>42</v>
      </c>
      <c r="AH2271">
        <f>VLOOKUP(A:A,[1]android_repos_all_metrics!B:K,9,FALSE)</f>
        <v>86</v>
      </c>
      <c r="AI2271">
        <f>VLOOKUP(A:A,[1]android_repos_all_metrics!B:K,10,FALSE)</f>
        <v>10</v>
      </c>
    </row>
    <row r="2272" spans="1:35">
      <c r="A2272" t="s">
        <v>2343</v>
      </c>
      <c r="B2272" t="b">
        <v>1</v>
      </c>
      <c r="C2272" t="b">
        <v>0</v>
      </c>
      <c r="D2272" t="b">
        <v>0</v>
      </c>
      <c r="F2272" t="b">
        <v>0</v>
      </c>
      <c r="H2272" t="s">
        <v>37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>
        <v>3</v>
      </c>
      <c r="AB2272">
        <v>0</v>
      </c>
      <c r="AC2272">
        <f>VLOOKUP(A:A,[1]android_repos_all_metrics!B:K,4,FALSE)</f>
        <v>2985</v>
      </c>
      <c r="AD2272">
        <f>VLOOKUP(A:A,[1]android_repos_all_metrics!B:K,5,FALSE)</f>
        <v>1281</v>
      </c>
      <c r="AE2272">
        <f>VLOOKUP(A:A,[1]android_repos_all_metrics!B:K,6,FALSE)</f>
        <v>6</v>
      </c>
      <c r="AF2272">
        <f>VLOOKUP(A:A,[1]android_repos_all_metrics!B:K,7,FALSE)</f>
        <v>14563</v>
      </c>
      <c r="AG2272">
        <f>VLOOKUP(A:A,[1]android_repos_all_metrics!B:K,8,FALSE)</f>
        <v>13</v>
      </c>
      <c r="AH2272">
        <f>VLOOKUP(A:A,[1]android_repos_all_metrics!B:K,9,FALSE)</f>
        <v>213</v>
      </c>
      <c r="AI2272">
        <f>VLOOKUP(A:A,[1]android_repos_all_metrics!B:K,10,FALSE)</f>
        <v>8</v>
      </c>
    </row>
    <row r="2273" spans="1:35">
      <c r="A2273" t="s">
        <v>2344</v>
      </c>
      <c r="B2273" t="b">
        <v>1</v>
      </c>
      <c r="C2273" t="b">
        <v>1</v>
      </c>
      <c r="D2273" t="b">
        <v>1</v>
      </c>
      <c r="E2273" t="s">
        <v>36</v>
      </c>
      <c r="F2273" t="b">
        <v>0</v>
      </c>
      <c r="H2273" t="s">
        <v>37</v>
      </c>
      <c r="I2273" t="s">
        <v>37</v>
      </c>
      <c r="J2273" t="b">
        <v>0</v>
      </c>
      <c r="K2273" t="b">
        <v>0</v>
      </c>
      <c r="L2273" t="b">
        <v>1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1</v>
      </c>
      <c r="W2273" t="b">
        <v>0</v>
      </c>
      <c r="X2273" t="b">
        <v>0</v>
      </c>
      <c r="Y2273" t="b">
        <v>0</v>
      </c>
      <c r="Z2273">
        <v>3</v>
      </c>
      <c r="AA2273">
        <v>1</v>
      </c>
      <c r="AB2273">
        <v>0</v>
      </c>
      <c r="AC2273">
        <f>VLOOKUP(A:A,[1]android_repos_all_metrics!B:K,4,FALSE)</f>
        <v>1274</v>
      </c>
      <c r="AD2273">
        <f>VLOOKUP(A:A,[1]android_repos_all_metrics!B:K,5,FALSE)</f>
        <v>185</v>
      </c>
      <c r="AE2273">
        <f>VLOOKUP(A:A,[1]android_repos_all_metrics!B:K,6,FALSE)</f>
        <v>47</v>
      </c>
      <c r="AF2273">
        <f>VLOOKUP(A:A,[1]android_repos_all_metrics!B:K,7,FALSE)</f>
        <v>46012</v>
      </c>
      <c r="AG2273">
        <f>VLOOKUP(A:A,[1]android_repos_all_metrics!B:K,8,FALSE)</f>
        <v>193</v>
      </c>
      <c r="AH2273">
        <f>VLOOKUP(A:A,[1]android_repos_all_metrics!B:K,9,FALSE)</f>
        <v>892</v>
      </c>
      <c r="AI2273">
        <f>VLOOKUP(A:A,[1]android_repos_all_metrics!B:K,10,FALSE)</f>
        <v>139</v>
      </c>
    </row>
    <row r="2274" spans="1:35">
      <c r="A2274" t="s">
        <v>2345</v>
      </c>
      <c r="B2274" t="b">
        <v>1</v>
      </c>
      <c r="C2274" t="b">
        <v>0</v>
      </c>
      <c r="D2274" t="b">
        <v>0</v>
      </c>
      <c r="F2274" t="b">
        <v>0</v>
      </c>
      <c r="H2274" t="s">
        <v>37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>
        <v>1</v>
      </c>
      <c r="AB2274">
        <v>0</v>
      </c>
      <c r="AC2274">
        <f>VLOOKUP(A:A,[1]android_repos_all_metrics!B:K,4,FALSE)</f>
        <v>10</v>
      </c>
      <c r="AD2274">
        <f>VLOOKUP(A:A,[1]android_repos_all_metrics!B:K,5,FALSE)</f>
        <v>0</v>
      </c>
      <c r="AE2274">
        <f>VLOOKUP(A:A,[1]android_repos_all_metrics!B:K,6,FALSE)</f>
        <v>1</v>
      </c>
      <c r="AF2274">
        <f>VLOOKUP(A:A,[1]android_repos_all_metrics!B:K,7,FALSE)</f>
        <v>490</v>
      </c>
      <c r="AG2274">
        <f>VLOOKUP(A:A,[1]android_repos_all_metrics!B:K,8,FALSE)</f>
        <v>0</v>
      </c>
      <c r="AH2274">
        <f>VLOOKUP(A:A,[1]android_repos_all_metrics!B:K,9,FALSE)</f>
        <v>1</v>
      </c>
      <c r="AI2274">
        <f>VLOOKUP(A:A,[1]android_repos_all_metrics!B:K,10,FALSE)</f>
        <v>9</v>
      </c>
    </row>
    <row r="2275" spans="1:35">
      <c r="A2275" t="s">
        <v>2346</v>
      </c>
      <c r="B2275" t="b">
        <v>1</v>
      </c>
      <c r="C2275" t="b">
        <v>0</v>
      </c>
      <c r="D2275" t="b">
        <v>0</v>
      </c>
      <c r="F2275" t="b">
        <v>0</v>
      </c>
      <c r="H2275" t="s">
        <v>37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>
        <v>1</v>
      </c>
      <c r="AB2275">
        <v>0</v>
      </c>
      <c r="AC2275">
        <f>VLOOKUP(A:A,[1]android_repos_all_metrics!B:K,4,FALSE)</f>
        <v>209</v>
      </c>
      <c r="AD2275">
        <f>VLOOKUP(A:A,[1]android_repos_all_metrics!B:K,5,FALSE)</f>
        <v>108</v>
      </c>
      <c r="AE2275">
        <f>VLOOKUP(A:A,[1]android_repos_all_metrics!B:K,6,FALSE)</f>
        <v>4</v>
      </c>
      <c r="AF2275">
        <f>VLOOKUP(A:A,[1]android_repos_all_metrics!B:K,7,FALSE)</f>
        <v>8791</v>
      </c>
      <c r="AG2275">
        <f>VLOOKUP(A:A,[1]android_repos_all_metrics!B:K,8,FALSE)</f>
        <v>3</v>
      </c>
      <c r="AH2275">
        <f>VLOOKUP(A:A,[1]android_repos_all_metrics!B:K,9,FALSE)</f>
        <v>4</v>
      </c>
      <c r="AI2275">
        <f>VLOOKUP(A:A,[1]android_repos_all_metrics!B:K,10,FALSE)</f>
        <v>7</v>
      </c>
    </row>
    <row r="2276" spans="1:35">
      <c r="A2276" t="s">
        <v>2347</v>
      </c>
      <c r="B2276" t="b">
        <v>1</v>
      </c>
      <c r="C2276" t="b">
        <v>0</v>
      </c>
      <c r="D2276" t="b">
        <v>0</v>
      </c>
      <c r="F2276" t="b">
        <v>0</v>
      </c>
      <c r="H2276" t="s">
        <v>41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>
        <v>1</v>
      </c>
      <c r="AB2276">
        <v>0</v>
      </c>
      <c r="AC2276">
        <f>VLOOKUP(A:A,[1]android_repos_all_metrics!B:K,4,FALSE)</f>
        <v>92</v>
      </c>
      <c r="AD2276">
        <f>VLOOKUP(A:A,[1]android_repos_all_metrics!B:K,5,FALSE)</f>
        <v>2</v>
      </c>
      <c r="AE2276">
        <f>VLOOKUP(A:A,[1]android_repos_all_metrics!B:K,6,FALSE)</f>
        <v>2</v>
      </c>
      <c r="AF2276">
        <f>VLOOKUP(A:A,[1]android_repos_all_metrics!B:K,7,FALSE)</f>
        <v>2647</v>
      </c>
      <c r="AG2276">
        <f>VLOOKUP(A:A,[1]android_repos_all_metrics!B:K,8,FALSE)</f>
        <v>5</v>
      </c>
      <c r="AH2276">
        <f>VLOOKUP(A:A,[1]android_repos_all_metrics!B:K,9,FALSE)</f>
        <v>25</v>
      </c>
      <c r="AI2276">
        <f>VLOOKUP(A:A,[1]android_repos_all_metrics!B:K,10,FALSE)</f>
        <v>8</v>
      </c>
    </row>
    <row r="2277" spans="1:35">
      <c r="A2277" t="s">
        <v>2348</v>
      </c>
      <c r="B2277" t="b">
        <v>1</v>
      </c>
      <c r="C2277" t="b">
        <v>0</v>
      </c>
      <c r="D2277" t="b">
        <v>0</v>
      </c>
      <c r="F2277" t="b">
        <v>0</v>
      </c>
      <c r="H2277" t="s">
        <v>37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>
        <v>2</v>
      </c>
      <c r="AB2277">
        <v>0</v>
      </c>
      <c r="AC2277">
        <f>VLOOKUP(A:A,[1]android_repos_all_metrics!B:K,4,FALSE)</f>
        <v>1901</v>
      </c>
      <c r="AD2277">
        <f>VLOOKUP(A:A,[1]android_repos_all_metrics!B:K,5,FALSE)</f>
        <v>532</v>
      </c>
      <c r="AE2277">
        <f>VLOOKUP(A:A,[1]android_repos_all_metrics!B:K,6,FALSE)</f>
        <v>40</v>
      </c>
      <c r="AF2277">
        <f>VLOOKUP(A:A,[1]android_repos_all_metrics!B:K,7,FALSE)</f>
        <v>10935</v>
      </c>
      <c r="AG2277">
        <f>VLOOKUP(A:A,[1]android_repos_all_metrics!B:K,8,FALSE)</f>
        <v>84</v>
      </c>
      <c r="AH2277">
        <f>VLOOKUP(A:A,[1]android_repos_all_metrics!B:K,9,FALSE)</f>
        <v>77</v>
      </c>
      <c r="AI2277">
        <f>VLOOKUP(A:A,[1]android_repos_all_metrics!B:K,10,FALSE)</f>
        <v>80</v>
      </c>
    </row>
    <row r="2278" spans="1:35">
      <c r="A2278" t="s">
        <v>2349</v>
      </c>
      <c r="B2278" t="b">
        <v>1</v>
      </c>
      <c r="C2278" t="b">
        <v>1</v>
      </c>
      <c r="D2278" t="b">
        <v>1</v>
      </c>
      <c r="E2278" t="s">
        <v>36</v>
      </c>
      <c r="F2278" t="b">
        <v>0</v>
      </c>
      <c r="H2278" t="s">
        <v>86</v>
      </c>
      <c r="I2278" t="s">
        <v>37</v>
      </c>
      <c r="J2278" t="b">
        <v>0</v>
      </c>
      <c r="K2278" t="b">
        <v>0</v>
      </c>
      <c r="L2278" t="b">
        <v>0</v>
      </c>
      <c r="M2278" t="b">
        <v>0</v>
      </c>
      <c r="N2278" t="b">
        <v>1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>
        <v>2</v>
      </c>
      <c r="AA2278">
        <v>3</v>
      </c>
      <c r="AB2278">
        <v>0</v>
      </c>
      <c r="AC2278">
        <f>VLOOKUP(A:A,[1]android_repos_all_metrics!B:K,4,FALSE)</f>
        <v>1130</v>
      </c>
      <c r="AD2278">
        <f>VLOOKUP(A:A,[1]android_repos_all_metrics!B:K,5,FALSE)</f>
        <v>18</v>
      </c>
      <c r="AE2278">
        <f>VLOOKUP(A:A,[1]android_repos_all_metrics!B:K,6,FALSE)</f>
        <v>6</v>
      </c>
      <c r="AF2278">
        <f>VLOOKUP(A:A,[1]android_repos_all_metrics!B:K,7,FALSE)</f>
        <v>60039</v>
      </c>
      <c r="AG2278">
        <f>VLOOKUP(A:A,[1]android_repos_all_metrics!B:K,8,FALSE)</f>
        <v>21</v>
      </c>
      <c r="AH2278">
        <f>VLOOKUP(A:A,[1]android_repos_all_metrics!B:K,9,FALSE)</f>
        <v>121</v>
      </c>
      <c r="AI2278">
        <f>VLOOKUP(A:A,[1]android_repos_all_metrics!B:K,10,FALSE)</f>
        <v>68</v>
      </c>
    </row>
    <row r="2279" spans="1:35">
      <c r="A2279" t="s">
        <v>2350</v>
      </c>
      <c r="B2279" t="b">
        <v>1</v>
      </c>
      <c r="C2279" t="b">
        <v>0</v>
      </c>
      <c r="D2279" t="b">
        <v>0</v>
      </c>
      <c r="F2279" t="b">
        <v>0</v>
      </c>
      <c r="H2279" t="s">
        <v>37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>
        <v>1</v>
      </c>
      <c r="AB2279">
        <v>0</v>
      </c>
      <c r="AC2279">
        <f>VLOOKUP(A:A,[1]android_repos_all_metrics!B:K,4,FALSE)</f>
        <v>1457</v>
      </c>
      <c r="AD2279">
        <f>VLOOKUP(A:A,[1]android_repos_all_metrics!B:K,5,FALSE)</f>
        <v>158</v>
      </c>
      <c r="AE2279">
        <f>VLOOKUP(A:A,[1]android_repos_all_metrics!B:K,6,FALSE)</f>
        <v>5</v>
      </c>
      <c r="AF2279">
        <f>VLOOKUP(A:A,[1]android_repos_all_metrics!B:K,7,FALSE)</f>
        <v>6581</v>
      </c>
      <c r="AG2279">
        <f>VLOOKUP(A:A,[1]android_repos_all_metrics!B:K,8,FALSE)</f>
        <v>16</v>
      </c>
      <c r="AH2279">
        <f>VLOOKUP(A:A,[1]android_repos_all_metrics!B:K,9,FALSE)</f>
        <v>173</v>
      </c>
      <c r="AI2279">
        <f>VLOOKUP(A:A,[1]android_repos_all_metrics!B:K,10,FALSE)</f>
        <v>22</v>
      </c>
    </row>
    <row r="2280" spans="1:35">
      <c r="A2280" t="s">
        <v>2351</v>
      </c>
      <c r="B2280" t="b">
        <v>1</v>
      </c>
      <c r="C2280" t="b">
        <v>0</v>
      </c>
      <c r="D2280" t="b">
        <v>0</v>
      </c>
      <c r="F2280" t="b">
        <v>0</v>
      </c>
      <c r="H2280" t="s">
        <v>37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>
        <v>1</v>
      </c>
      <c r="AB2280">
        <v>0</v>
      </c>
      <c r="AC2280">
        <f>VLOOKUP(A:A,[1]android_repos_all_metrics!B:K,4,FALSE)</f>
        <v>301</v>
      </c>
      <c r="AD2280">
        <f>VLOOKUP(A:A,[1]android_repos_all_metrics!B:K,5,FALSE)</f>
        <v>14</v>
      </c>
      <c r="AE2280">
        <f>VLOOKUP(A:A,[1]android_repos_all_metrics!B:K,6,FALSE)</f>
        <v>6</v>
      </c>
      <c r="AF2280">
        <f>VLOOKUP(A:A,[1]android_repos_all_metrics!B:K,7,FALSE)</f>
        <v>30533</v>
      </c>
      <c r="AG2280">
        <f>VLOOKUP(A:A,[1]android_repos_all_metrics!B:K,8,FALSE)</f>
        <v>15</v>
      </c>
      <c r="AH2280">
        <f>VLOOKUP(A:A,[1]android_repos_all_metrics!B:K,9,FALSE)</f>
        <v>45</v>
      </c>
      <c r="AI2280">
        <f>VLOOKUP(A:A,[1]android_repos_all_metrics!B:K,10,FALSE)</f>
        <v>22</v>
      </c>
    </row>
    <row r="2281" spans="1:35">
      <c r="A2281" t="s">
        <v>2352</v>
      </c>
      <c r="B2281" t="b">
        <v>1</v>
      </c>
      <c r="C2281" t="b">
        <v>0</v>
      </c>
      <c r="D2281" t="b">
        <v>0</v>
      </c>
      <c r="F2281" t="b">
        <v>0</v>
      </c>
      <c r="H2281" t="s">
        <v>37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>
        <v>3</v>
      </c>
      <c r="AB2281">
        <v>0</v>
      </c>
      <c r="AC2281">
        <f>VLOOKUP(A:A,[1]android_repos_all_metrics!B:K,4,FALSE)</f>
        <v>1682</v>
      </c>
      <c r="AD2281">
        <f>VLOOKUP(A:A,[1]android_repos_all_metrics!B:K,5,FALSE)</f>
        <v>277</v>
      </c>
      <c r="AE2281">
        <f>VLOOKUP(A:A,[1]android_repos_all_metrics!B:K,6,FALSE)</f>
        <v>35</v>
      </c>
      <c r="AF2281">
        <f>VLOOKUP(A:A,[1]android_repos_all_metrics!B:K,7,FALSE)</f>
        <v>28634</v>
      </c>
      <c r="AG2281">
        <f>VLOOKUP(A:A,[1]android_repos_all_metrics!B:K,8,FALSE)</f>
        <v>292</v>
      </c>
      <c r="AH2281">
        <f>VLOOKUP(A:A,[1]android_repos_all_metrics!B:K,9,FALSE)</f>
        <v>1951</v>
      </c>
      <c r="AI2281">
        <f>VLOOKUP(A:A,[1]android_repos_all_metrics!B:K,10,FALSE)</f>
        <v>107</v>
      </c>
    </row>
    <row r="2282" spans="1:35">
      <c r="A2282" t="s">
        <v>2353</v>
      </c>
      <c r="B2282" t="b">
        <v>1</v>
      </c>
      <c r="C2282" t="b">
        <v>0</v>
      </c>
      <c r="D2282" t="b">
        <v>0</v>
      </c>
      <c r="F2282" t="b">
        <v>0</v>
      </c>
      <c r="H2282" t="s">
        <v>43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>
        <v>1</v>
      </c>
      <c r="AB2282">
        <v>0</v>
      </c>
      <c r="AC2282">
        <f>VLOOKUP(A:A,[1]android_repos_all_metrics!B:K,4,FALSE)</f>
        <v>115</v>
      </c>
      <c r="AD2282">
        <f>VLOOKUP(A:A,[1]android_repos_all_metrics!B:K,5,FALSE)</f>
        <v>0</v>
      </c>
      <c r="AE2282">
        <f>VLOOKUP(A:A,[1]android_repos_all_metrics!B:K,6,FALSE)</f>
        <v>3</v>
      </c>
      <c r="AF2282">
        <f>VLOOKUP(A:A,[1]android_repos_all_metrics!B:K,7,FALSE)</f>
        <v>1103</v>
      </c>
      <c r="AG2282">
        <f>VLOOKUP(A:A,[1]android_repos_all_metrics!B:K,8,FALSE)</f>
        <v>0</v>
      </c>
      <c r="AH2282">
        <f>VLOOKUP(A:A,[1]android_repos_all_metrics!B:K,9,FALSE)</f>
        <v>1</v>
      </c>
      <c r="AI2282">
        <f>VLOOKUP(A:A,[1]android_repos_all_metrics!B:K,10,FALSE)</f>
        <v>0</v>
      </c>
    </row>
    <row r="2283" spans="1:35">
      <c r="A2283" t="s">
        <v>2354</v>
      </c>
      <c r="B2283" t="b">
        <v>1</v>
      </c>
      <c r="C2283" t="b">
        <v>1</v>
      </c>
      <c r="D2283" t="b">
        <v>0</v>
      </c>
      <c r="F2283" t="b">
        <v>1</v>
      </c>
      <c r="G2283" t="s">
        <v>39</v>
      </c>
      <c r="H2283" t="s">
        <v>41</v>
      </c>
      <c r="I2283" t="s">
        <v>41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>
        <v>1</v>
      </c>
      <c r="AB2283">
        <v>0</v>
      </c>
      <c r="AC2283">
        <f>VLOOKUP(A:A,[1]android_repos_all_metrics!B:K,4,FALSE)</f>
        <v>344</v>
      </c>
      <c r="AD2283">
        <f>VLOOKUP(A:A,[1]android_repos_all_metrics!B:K,5,FALSE)</f>
        <v>10</v>
      </c>
      <c r="AE2283">
        <f>VLOOKUP(A:A,[1]android_repos_all_metrics!B:K,6,FALSE)</f>
        <v>3</v>
      </c>
      <c r="AF2283">
        <f>VLOOKUP(A:A,[1]android_repos_all_metrics!B:K,7,FALSE)</f>
        <v>5914</v>
      </c>
      <c r="AG2283">
        <f>VLOOKUP(A:A,[1]android_repos_all_metrics!B:K,8,FALSE)</f>
        <v>7</v>
      </c>
      <c r="AH2283">
        <f>VLOOKUP(A:A,[1]android_repos_all_metrics!B:K,9,FALSE)</f>
        <v>12</v>
      </c>
      <c r="AI2283">
        <f>VLOOKUP(A:A,[1]android_repos_all_metrics!B:K,10,FALSE)</f>
        <v>4</v>
      </c>
    </row>
    <row r="2284" spans="1:35">
      <c r="A2284" t="s">
        <v>2355</v>
      </c>
      <c r="B2284" t="b">
        <v>0</v>
      </c>
      <c r="C2284" t="b">
        <v>0</v>
      </c>
      <c r="D2284" t="b">
        <v>0</v>
      </c>
      <c r="F2284" t="b">
        <v>0</v>
      </c>
      <c r="H2284" t="s">
        <v>76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>
        <v>1</v>
      </c>
      <c r="AB2284">
        <v>0</v>
      </c>
      <c r="AC2284">
        <f>VLOOKUP(A:A,[1]android_repos_all_metrics!B:K,4,FALSE)</f>
        <v>0</v>
      </c>
      <c r="AD2284">
        <f>VLOOKUP(A:A,[1]android_repos_all_metrics!B:K,5,FALSE)</f>
        <v>0</v>
      </c>
      <c r="AE2284">
        <f>VLOOKUP(A:A,[1]android_repos_all_metrics!B:K,6,FALSE)</f>
        <v>0</v>
      </c>
      <c r="AF2284">
        <f>VLOOKUP(A:A,[1]android_repos_all_metrics!B:K,7,FALSE)</f>
        <v>42192</v>
      </c>
      <c r="AG2284">
        <f>VLOOKUP(A:A,[1]android_repos_all_metrics!B:K,8,FALSE)</f>
        <v>3</v>
      </c>
      <c r="AH2284">
        <f>VLOOKUP(A:A,[1]android_repos_all_metrics!B:K,9,FALSE)</f>
        <v>10</v>
      </c>
      <c r="AI2284">
        <f>VLOOKUP(A:A,[1]android_repos_all_metrics!B:K,10,FALSE)</f>
        <v>21</v>
      </c>
    </row>
    <row r="2285" spans="1:35">
      <c r="A2285" t="s">
        <v>2356</v>
      </c>
      <c r="B2285" t="b">
        <v>1</v>
      </c>
      <c r="C2285" t="b">
        <v>0</v>
      </c>
      <c r="D2285" t="b">
        <v>0</v>
      </c>
      <c r="F2285" t="b">
        <v>0</v>
      </c>
      <c r="H2285" t="s">
        <v>37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>
        <v>1</v>
      </c>
      <c r="AB2285">
        <v>0</v>
      </c>
      <c r="AC2285">
        <f>VLOOKUP(A:A,[1]android_repos_all_metrics!B:K,4,FALSE)</f>
        <v>33</v>
      </c>
      <c r="AD2285">
        <f>VLOOKUP(A:A,[1]android_repos_all_metrics!B:K,5,FALSE)</f>
        <v>18</v>
      </c>
      <c r="AE2285">
        <f>VLOOKUP(A:A,[1]android_repos_all_metrics!B:K,6,FALSE)</f>
        <v>1</v>
      </c>
      <c r="AF2285">
        <f>VLOOKUP(A:A,[1]android_repos_all_metrics!B:K,7,FALSE)</f>
        <v>3774</v>
      </c>
      <c r="AG2285">
        <f>VLOOKUP(A:A,[1]android_repos_all_metrics!B:K,8,FALSE)</f>
        <v>8</v>
      </c>
      <c r="AH2285">
        <f>VLOOKUP(A:A,[1]android_repos_all_metrics!B:K,9,FALSE)</f>
        <v>29</v>
      </c>
      <c r="AI2285">
        <f>VLOOKUP(A:A,[1]android_repos_all_metrics!B:K,10,FALSE)</f>
        <v>0</v>
      </c>
    </row>
    <row r="2286" spans="1:35">
      <c r="A2286" t="s">
        <v>2357</v>
      </c>
      <c r="B2286" t="b">
        <v>1</v>
      </c>
      <c r="C2286" t="b">
        <v>0</v>
      </c>
      <c r="D2286" t="b">
        <v>0</v>
      </c>
      <c r="F2286" t="b">
        <v>0</v>
      </c>
      <c r="H2286" t="s">
        <v>43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>
        <v>1</v>
      </c>
      <c r="AB2286">
        <v>0</v>
      </c>
      <c r="AC2286">
        <f>VLOOKUP(A:A,[1]android_repos_all_metrics!B:K,4,FALSE)</f>
        <v>206</v>
      </c>
      <c r="AD2286">
        <f>VLOOKUP(A:A,[1]android_repos_all_metrics!B:K,5,FALSE)</f>
        <v>3</v>
      </c>
      <c r="AE2286">
        <f>VLOOKUP(A:A,[1]android_repos_all_metrics!B:K,6,FALSE)</f>
        <v>1</v>
      </c>
      <c r="AF2286">
        <f>VLOOKUP(A:A,[1]android_repos_all_metrics!B:K,7,FALSE)</f>
        <v>2607</v>
      </c>
      <c r="AG2286">
        <f>VLOOKUP(A:A,[1]android_repos_all_metrics!B:K,8,FALSE)</f>
        <v>0</v>
      </c>
      <c r="AH2286">
        <f>VLOOKUP(A:A,[1]android_repos_all_metrics!B:K,9,FALSE)</f>
        <v>7</v>
      </c>
      <c r="AI2286">
        <f>VLOOKUP(A:A,[1]android_repos_all_metrics!B:K,10,FALSE)</f>
        <v>68</v>
      </c>
    </row>
    <row r="2287" spans="1:35">
      <c r="A2287" t="s">
        <v>2358</v>
      </c>
      <c r="B2287" t="b">
        <v>1</v>
      </c>
      <c r="C2287" t="b">
        <v>0</v>
      </c>
      <c r="D2287" t="b">
        <v>0</v>
      </c>
      <c r="F2287" t="b">
        <v>0</v>
      </c>
      <c r="H2287" t="s">
        <v>37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>
        <v>1</v>
      </c>
      <c r="AB2287">
        <v>0</v>
      </c>
      <c r="AC2287">
        <f>VLOOKUP(A:A,[1]android_repos_all_metrics!B:K,4,FALSE)</f>
        <v>362</v>
      </c>
      <c r="AD2287">
        <f>VLOOKUP(A:A,[1]android_repos_all_metrics!B:K,5,FALSE)</f>
        <v>42</v>
      </c>
      <c r="AE2287">
        <f>VLOOKUP(A:A,[1]android_repos_all_metrics!B:K,6,FALSE)</f>
        <v>1</v>
      </c>
      <c r="AF2287">
        <f>VLOOKUP(A:A,[1]android_repos_all_metrics!B:K,7,FALSE)</f>
        <v>1586</v>
      </c>
      <c r="AG2287">
        <f>VLOOKUP(A:A,[1]android_repos_all_metrics!B:K,8,FALSE)</f>
        <v>1</v>
      </c>
      <c r="AH2287">
        <f>VLOOKUP(A:A,[1]android_repos_all_metrics!B:K,9,FALSE)</f>
        <v>2</v>
      </c>
      <c r="AI2287">
        <f>VLOOKUP(A:A,[1]android_repos_all_metrics!B:K,10,FALSE)</f>
        <v>0</v>
      </c>
    </row>
    <row r="2288" spans="1:35">
      <c r="A2288" t="s">
        <v>2359</v>
      </c>
      <c r="B2288" t="b">
        <v>1</v>
      </c>
      <c r="C2288" t="b">
        <v>0</v>
      </c>
      <c r="D2288" t="b">
        <v>0</v>
      </c>
      <c r="F2288" t="b">
        <v>0</v>
      </c>
      <c r="H2288" t="s">
        <v>37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>
        <v>1</v>
      </c>
      <c r="AB2288">
        <v>0</v>
      </c>
      <c r="AC2288">
        <f>VLOOKUP(A:A,[1]android_repos_all_metrics!B:K,4,FALSE)</f>
        <v>149</v>
      </c>
      <c r="AD2288">
        <f>VLOOKUP(A:A,[1]android_repos_all_metrics!B:K,5,FALSE)</f>
        <v>143</v>
      </c>
      <c r="AE2288">
        <f>VLOOKUP(A:A,[1]android_repos_all_metrics!B:K,6,FALSE)</f>
        <v>1</v>
      </c>
      <c r="AF2288">
        <f>VLOOKUP(A:A,[1]android_repos_all_metrics!B:K,7,FALSE)</f>
        <v>9418</v>
      </c>
      <c r="AG2288">
        <f>VLOOKUP(A:A,[1]android_repos_all_metrics!B:K,8,FALSE)</f>
        <v>0</v>
      </c>
      <c r="AH2288">
        <f>VLOOKUP(A:A,[1]android_repos_all_metrics!B:K,9,FALSE)</f>
        <v>2</v>
      </c>
      <c r="AI2288">
        <f>VLOOKUP(A:A,[1]android_repos_all_metrics!B:K,10,FALSE)</f>
        <v>1</v>
      </c>
    </row>
    <row r="2289" spans="1:35">
      <c r="A2289" t="s">
        <v>2360</v>
      </c>
      <c r="B2289" t="b">
        <v>1</v>
      </c>
      <c r="C2289" t="b">
        <v>0</v>
      </c>
      <c r="D2289" t="b">
        <v>0</v>
      </c>
      <c r="F2289" t="b">
        <v>0</v>
      </c>
      <c r="H2289" t="s">
        <v>37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>
        <v>3</v>
      </c>
      <c r="AB2289">
        <v>0</v>
      </c>
      <c r="AC2289">
        <f>VLOOKUP(A:A,[1]android_repos_all_metrics!B:K,4,FALSE)</f>
        <v>758</v>
      </c>
      <c r="AD2289">
        <f>VLOOKUP(A:A,[1]android_repos_all_metrics!B:K,5,FALSE)</f>
        <v>6</v>
      </c>
      <c r="AE2289">
        <f>VLOOKUP(A:A,[1]android_repos_all_metrics!B:K,6,FALSE)</f>
        <v>2</v>
      </c>
      <c r="AF2289">
        <f>VLOOKUP(A:A,[1]android_repos_all_metrics!B:K,7,FALSE)</f>
        <v>3411</v>
      </c>
      <c r="AG2289">
        <f>VLOOKUP(A:A,[1]android_repos_all_metrics!B:K,8,FALSE)</f>
        <v>65</v>
      </c>
      <c r="AH2289">
        <f>VLOOKUP(A:A,[1]android_repos_all_metrics!B:K,9,FALSE)</f>
        <v>623</v>
      </c>
      <c r="AI2289">
        <f>VLOOKUP(A:A,[1]android_repos_all_metrics!B:K,10,FALSE)</f>
        <v>4</v>
      </c>
    </row>
    <row r="2290" spans="1:35">
      <c r="A2290" t="s">
        <v>2361</v>
      </c>
      <c r="B2290" t="b">
        <v>1</v>
      </c>
      <c r="C2290" t="b">
        <v>0</v>
      </c>
      <c r="D2290" t="b">
        <v>0</v>
      </c>
      <c r="F2290" t="b">
        <v>0</v>
      </c>
      <c r="H2290" t="s">
        <v>41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>
        <v>1</v>
      </c>
      <c r="AB2290">
        <v>0</v>
      </c>
      <c r="AC2290">
        <f>VLOOKUP(A:A,[1]android_repos_all_metrics!B:K,4,FALSE)</f>
        <v>316</v>
      </c>
      <c r="AD2290">
        <f>VLOOKUP(A:A,[1]android_repos_all_metrics!B:K,5,FALSE)</f>
        <v>13</v>
      </c>
      <c r="AE2290">
        <f>VLOOKUP(A:A,[1]android_repos_all_metrics!B:K,6,FALSE)</f>
        <v>4</v>
      </c>
      <c r="AF2290">
        <f>VLOOKUP(A:A,[1]android_repos_all_metrics!B:K,7,FALSE)</f>
        <v>14483</v>
      </c>
      <c r="AG2290">
        <f>VLOOKUP(A:A,[1]android_repos_all_metrics!B:K,8,FALSE)</f>
        <v>2</v>
      </c>
      <c r="AH2290">
        <f>VLOOKUP(A:A,[1]android_repos_all_metrics!B:K,9,FALSE)</f>
        <v>10</v>
      </c>
      <c r="AI2290">
        <f>VLOOKUP(A:A,[1]android_repos_all_metrics!B:K,10,FALSE)</f>
        <v>11</v>
      </c>
    </row>
    <row r="2291" spans="1:35">
      <c r="A2291" t="s">
        <v>2362</v>
      </c>
      <c r="B2291" t="b">
        <v>0</v>
      </c>
      <c r="C2291" t="b">
        <v>0</v>
      </c>
      <c r="D2291" t="b">
        <v>0</v>
      </c>
      <c r="F2291" t="b">
        <v>0</v>
      </c>
      <c r="H2291" t="s">
        <v>41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>
        <v>1</v>
      </c>
      <c r="AB2291">
        <v>0</v>
      </c>
      <c r="AC2291">
        <f>VLOOKUP(A:A,[1]android_repos_all_metrics!B:K,4,FALSE)</f>
        <v>563</v>
      </c>
      <c r="AD2291">
        <f>VLOOKUP(A:A,[1]android_repos_all_metrics!B:K,5,FALSE)</f>
        <v>1</v>
      </c>
      <c r="AE2291">
        <f>VLOOKUP(A:A,[1]android_repos_all_metrics!B:K,6,FALSE)</f>
        <v>1</v>
      </c>
      <c r="AF2291">
        <f>VLOOKUP(A:A,[1]android_repos_all_metrics!B:K,7,FALSE)</f>
        <v>36349</v>
      </c>
      <c r="AG2291">
        <f>VLOOKUP(A:A,[1]android_repos_all_metrics!B:K,8,FALSE)</f>
        <v>209</v>
      </c>
      <c r="AH2291">
        <f>VLOOKUP(A:A,[1]android_repos_all_metrics!B:K,9,FALSE)</f>
        <v>1015</v>
      </c>
      <c r="AI2291">
        <f>VLOOKUP(A:A,[1]android_repos_all_metrics!B:K,10,FALSE)</f>
        <v>13</v>
      </c>
    </row>
    <row r="2292" spans="1:35">
      <c r="A2292" t="s">
        <v>2363</v>
      </c>
      <c r="B2292" t="b">
        <v>1</v>
      </c>
      <c r="C2292" t="b">
        <v>0</v>
      </c>
      <c r="D2292" t="b">
        <v>0</v>
      </c>
      <c r="F2292" t="b">
        <v>0</v>
      </c>
      <c r="H2292" t="s">
        <v>37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>
        <v>2</v>
      </c>
      <c r="AB2292">
        <v>0</v>
      </c>
      <c r="AC2292">
        <f>VLOOKUP(A:A,[1]android_repos_all_metrics!B:K,4,FALSE)</f>
        <v>364</v>
      </c>
      <c r="AD2292">
        <f>VLOOKUP(A:A,[1]android_repos_all_metrics!B:K,5,FALSE)</f>
        <v>20</v>
      </c>
      <c r="AE2292">
        <f>VLOOKUP(A:A,[1]android_repos_all_metrics!B:K,6,FALSE)</f>
        <v>11</v>
      </c>
      <c r="AF2292">
        <f>VLOOKUP(A:A,[1]android_repos_all_metrics!B:K,7,FALSE)</f>
        <v>9192</v>
      </c>
      <c r="AG2292">
        <f>VLOOKUP(A:A,[1]android_repos_all_metrics!B:K,8,FALSE)</f>
        <v>51</v>
      </c>
      <c r="AH2292">
        <f>VLOOKUP(A:A,[1]android_repos_all_metrics!B:K,9,FALSE)</f>
        <v>148</v>
      </c>
      <c r="AI2292">
        <f>VLOOKUP(A:A,[1]android_repos_all_metrics!B:K,10,FALSE)</f>
        <v>1</v>
      </c>
    </row>
    <row r="2293" spans="1:35">
      <c r="A2293" t="s">
        <v>2364</v>
      </c>
      <c r="B2293" t="b">
        <v>0</v>
      </c>
      <c r="C2293" t="b">
        <v>0</v>
      </c>
      <c r="D2293" t="b">
        <v>0</v>
      </c>
      <c r="F2293" t="b">
        <v>0</v>
      </c>
      <c r="H2293" t="s">
        <v>41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>
        <v>1</v>
      </c>
      <c r="AB2293">
        <v>0</v>
      </c>
      <c r="AC2293">
        <f>VLOOKUP(A:A,[1]android_repos_all_metrics!B:K,4,FALSE)</f>
        <v>55</v>
      </c>
      <c r="AD2293">
        <f>VLOOKUP(A:A,[1]android_repos_all_metrics!B:K,5,FALSE)</f>
        <v>0</v>
      </c>
      <c r="AE2293">
        <f>VLOOKUP(A:A,[1]android_repos_all_metrics!B:K,6,FALSE)</f>
        <v>1</v>
      </c>
      <c r="AF2293">
        <f>VLOOKUP(A:A,[1]android_repos_all_metrics!B:K,7,FALSE)</f>
        <v>297</v>
      </c>
      <c r="AG2293">
        <f>VLOOKUP(A:A,[1]android_repos_all_metrics!B:K,8,FALSE)</f>
        <v>0</v>
      </c>
      <c r="AH2293">
        <f>VLOOKUP(A:A,[1]android_repos_all_metrics!B:K,9,FALSE)</f>
        <v>3</v>
      </c>
      <c r="AI2293">
        <f>VLOOKUP(A:A,[1]android_repos_all_metrics!B:K,10,FALSE)</f>
        <v>0</v>
      </c>
    </row>
    <row r="2294" spans="1:35">
      <c r="A2294" t="s">
        <v>2365</v>
      </c>
      <c r="B2294" t="b">
        <v>1</v>
      </c>
      <c r="C2294" t="b">
        <v>0</v>
      </c>
      <c r="D2294" t="b">
        <v>0</v>
      </c>
      <c r="F2294" t="b">
        <v>0</v>
      </c>
      <c r="H2294" t="s">
        <v>37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>
        <v>2</v>
      </c>
      <c r="AB2294">
        <v>0</v>
      </c>
      <c r="AC2294">
        <f>VLOOKUP(A:A,[1]android_repos_all_metrics!B:K,4,FALSE)</f>
        <v>8477</v>
      </c>
      <c r="AD2294">
        <f>VLOOKUP(A:A,[1]android_repos_all_metrics!B:K,5,FALSE)</f>
        <v>1428</v>
      </c>
      <c r="AE2294">
        <f>VLOOKUP(A:A,[1]android_repos_all_metrics!B:K,6,FALSE)</f>
        <v>87</v>
      </c>
      <c r="AF2294">
        <f>VLOOKUP(A:A,[1]android_repos_all_metrics!B:K,7,FALSE)</f>
        <v>177653</v>
      </c>
      <c r="AG2294">
        <f>VLOOKUP(A:A,[1]android_repos_all_metrics!B:K,8,FALSE)</f>
        <v>499</v>
      </c>
      <c r="AH2294">
        <f>VLOOKUP(A:A,[1]android_repos_all_metrics!B:K,9,FALSE)</f>
        <v>5363</v>
      </c>
      <c r="AI2294">
        <f>VLOOKUP(A:A,[1]android_repos_all_metrics!B:K,10,FALSE)</f>
        <v>708</v>
      </c>
    </row>
    <row r="2295" spans="1:35">
      <c r="A2295" t="s">
        <v>2366</v>
      </c>
      <c r="B2295" t="b">
        <v>0</v>
      </c>
      <c r="C2295" t="b">
        <v>0</v>
      </c>
      <c r="D2295" t="b">
        <v>0</v>
      </c>
      <c r="F2295" t="b">
        <v>0</v>
      </c>
      <c r="H2295" t="s">
        <v>37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>
        <v>1</v>
      </c>
      <c r="AB2295">
        <v>0</v>
      </c>
      <c r="AC2295">
        <f>VLOOKUP(A:A,[1]android_repos_all_metrics!B:K,4,FALSE)</f>
        <v>230</v>
      </c>
      <c r="AD2295">
        <f>VLOOKUP(A:A,[1]android_repos_all_metrics!B:K,5,FALSE)</f>
        <v>113</v>
      </c>
      <c r="AE2295">
        <f>VLOOKUP(A:A,[1]android_repos_all_metrics!B:K,6,FALSE)</f>
        <v>4</v>
      </c>
      <c r="AF2295">
        <f>VLOOKUP(A:A,[1]android_repos_all_metrics!B:K,7,FALSE)</f>
        <v>479</v>
      </c>
      <c r="AG2295">
        <f>VLOOKUP(A:A,[1]android_repos_all_metrics!B:K,8,FALSE)</f>
        <v>25</v>
      </c>
      <c r="AH2295">
        <f>VLOOKUP(A:A,[1]android_repos_all_metrics!B:K,9,FALSE)</f>
        <v>123</v>
      </c>
      <c r="AI2295">
        <f>VLOOKUP(A:A,[1]android_repos_all_metrics!B:K,10,FALSE)</f>
        <v>8</v>
      </c>
    </row>
    <row r="2296" spans="1:35">
      <c r="A2296" t="s">
        <v>2367</v>
      </c>
      <c r="B2296" t="b">
        <v>1</v>
      </c>
      <c r="C2296" t="b">
        <v>0</v>
      </c>
      <c r="D2296" t="b">
        <v>0</v>
      </c>
      <c r="F2296" t="b">
        <v>0</v>
      </c>
      <c r="H2296" t="s">
        <v>37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>
        <v>1</v>
      </c>
      <c r="AB2296">
        <v>0</v>
      </c>
      <c r="AC2296">
        <f>VLOOKUP(A:A,[1]android_repos_all_metrics!B:K,4,FALSE)</f>
        <v>6336</v>
      </c>
      <c r="AD2296">
        <f>VLOOKUP(A:A,[1]android_repos_all_metrics!B:K,5,FALSE)</f>
        <v>68</v>
      </c>
      <c r="AE2296">
        <f>VLOOKUP(A:A,[1]android_repos_all_metrics!B:K,6,FALSE)</f>
        <v>21</v>
      </c>
      <c r="AF2296">
        <f>VLOOKUP(A:A,[1]android_repos_all_metrics!B:K,7,FALSE)</f>
        <v>43097</v>
      </c>
      <c r="AG2296">
        <f>VLOOKUP(A:A,[1]android_repos_all_metrics!B:K,8,FALSE)</f>
        <v>66</v>
      </c>
      <c r="AH2296">
        <f>VLOOKUP(A:A,[1]android_repos_all_metrics!B:K,9,FALSE)</f>
        <v>151</v>
      </c>
      <c r="AI2296">
        <f>VLOOKUP(A:A,[1]android_repos_all_metrics!B:K,10,FALSE)</f>
        <v>21</v>
      </c>
    </row>
    <row r="2297" spans="1:35">
      <c r="A2297" t="s">
        <v>2368</v>
      </c>
      <c r="B2297" t="b">
        <v>1</v>
      </c>
      <c r="C2297" t="b">
        <v>0</v>
      </c>
      <c r="D2297" t="b">
        <v>0</v>
      </c>
      <c r="F2297" t="b">
        <v>0</v>
      </c>
      <c r="H2297" t="s">
        <v>37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>
        <v>1</v>
      </c>
      <c r="AB2297">
        <v>0</v>
      </c>
      <c r="AC2297">
        <f>VLOOKUP(A:A,[1]android_repos_all_metrics!B:K,4,FALSE)</f>
        <v>29</v>
      </c>
      <c r="AD2297">
        <f>VLOOKUP(A:A,[1]android_repos_all_metrics!B:K,5,FALSE)</f>
        <v>0</v>
      </c>
      <c r="AE2297">
        <f>VLOOKUP(A:A,[1]android_repos_all_metrics!B:K,6,FALSE)</f>
        <v>1</v>
      </c>
      <c r="AF2297">
        <f>VLOOKUP(A:A,[1]android_repos_all_metrics!B:K,7,FALSE)</f>
        <v>23006</v>
      </c>
      <c r="AG2297">
        <f>VLOOKUP(A:A,[1]android_repos_all_metrics!B:K,8,FALSE)</f>
        <v>33</v>
      </c>
      <c r="AH2297">
        <f>VLOOKUP(A:A,[1]android_repos_all_metrics!B:K,9,FALSE)</f>
        <v>31</v>
      </c>
      <c r="AI2297">
        <f>VLOOKUP(A:A,[1]android_repos_all_metrics!B:K,10,FALSE)</f>
        <v>5</v>
      </c>
    </row>
    <row r="2298" spans="1:35">
      <c r="A2298" t="s">
        <v>2369</v>
      </c>
      <c r="B2298" t="b">
        <v>1</v>
      </c>
      <c r="C2298" t="b">
        <v>0</v>
      </c>
      <c r="D2298" t="b">
        <v>0</v>
      </c>
      <c r="F2298" t="b">
        <v>0</v>
      </c>
      <c r="H2298" t="s">
        <v>41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>
        <v>1</v>
      </c>
      <c r="AB2298">
        <v>0</v>
      </c>
      <c r="AC2298">
        <f>VLOOKUP(A:A,[1]android_repos_all_metrics!B:K,4,FALSE)</f>
        <v>3232</v>
      </c>
      <c r="AD2298">
        <f>VLOOKUP(A:A,[1]android_repos_all_metrics!B:K,5,FALSE)</f>
        <v>146</v>
      </c>
      <c r="AE2298">
        <f>VLOOKUP(A:A,[1]android_repos_all_metrics!B:K,6,FALSE)</f>
        <v>37</v>
      </c>
      <c r="AF2298">
        <f>VLOOKUP(A:A,[1]android_repos_all_metrics!B:K,7,FALSE)</f>
        <v>127376</v>
      </c>
      <c r="AG2298">
        <f>VLOOKUP(A:A,[1]android_repos_all_metrics!B:K,8,FALSE)</f>
        <v>389</v>
      </c>
      <c r="AH2298">
        <f>VLOOKUP(A:A,[1]android_repos_all_metrics!B:K,9,FALSE)</f>
        <v>2716</v>
      </c>
      <c r="AI2298">
        <f>VLOOKUP(A:A,[1]android_repos_all_metrics!B:K,10,FALSE)</f>
        <v>338</v>
      </c>
    </row>
    <row r="2299" spans="1:35">
      <c r="A2299" t="s">
        <v>2370</v>
      </c>
      <c r="B2299" t="b">
        <v>1</v>
      </c>
      <c r="C2299" t="b">
        <v>1</v>
      </c>
      <c r="D2299" t="b">
        <v>1</v>
      </c>
      <c r="E2299" t="s">
        <v>36</v>
      </c>
      <c r="F2299" t="b">
        <v>0</v>
      </c>
      <c r="H2299" t="s">
        <v>37</v>
      </c>
      <c r="I2299" t="s">
        <v>37</v>
      </c>
      <c r="J2299" t="b">
        <v>0</v>
      </c>
      <c r="K2299" t="b">
        <v>0</v>
      </c>
      <c r="L2299" t="b">
        <v>0</v>
      </c>
      <c r="M2299" t="b">
        <v>1</v>
      </c>
      <c r="N2299" t="b">
        <v>0</v>
      </c>
      <c r="O2299" t="b">
        <v>1</v>
      </c>
      <c r="P2299" t="b">
        <v>0</v>
      </c>
      <c r="Q2299" t="b">
        <v>1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  <c r="Z2299">
        <v>5</v>
      </c>
      <c r="AA2299">
        <v>4</v>
      </c>
      <c r="AB2299">
        <v>0</v>
      </c>
      <c r="AC2299">
        <f>VLOOKUP(A:A,[1]android_repos_all_metrics!B:K,4,FALSE)</f>
        <v>2638</v>
      </c>
      <c r="AD2299">
        <f>VLOOKUP(A:A,[1]android_repos_all_metrics!B:K,5,FALSE)</f>
        <v>328</v>
      </c>
      <c r="AE2299">
        <f>VLOOKUP(A:A,[1]android_repos_all_metrics!B:K,6,FALSE)</f>
        <v>10</v>
      </c>
      <c r="AF2299">
        <f>VLOOKUP(A:A,[1]android_repos_all_metrics!B:K,7,FALSE)</f>
        <v>11256</v>
      </c>
      <c r="AG2299">
        <f>VLOOKUP(A:A,[1]android_repos_all_metrics!B:K,8,FALSE)</f>
        <v>48</v>
      </c>
      <c r="AH2299">
        <f>VLOOKUP(A:A,[1]android_repos_all_metrics!B:K,9,FALSE)</f>
        <v>924</v>
      </c>
      <c r="AI2299">
        <f>VLOOKUP(A:A,[1]android_repos_all_metrics!B:K,10,FALSE)</f>
        <v>87</v>
      </c>
    </row>
    <row r="2300" spans="1:35">
      <c r="A2300" t="s">
        <v>2371</v>
      </c>
      <c r="B2300" t="b">
        <v>1</v>
      </c>
      <c r="C2300" t="b">
        <v>1</v>
      </c>
      <c r="D2300" t="b">
        <v>0</v>
      </c>
      <c r="F2300" t="b">
        <v>1</v>
      </c>
      <c r="G2300" t="s">
        <v>109</v>
      </c>
      <c r="H2300" t="s">
        <v>43</v>
      </c>
      <c r="I2300" t="s">
        <v>43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>
        <v>1</v>
      </c>
      <c r="AB2300">
        <v>0</v>
      </c>
      <c r="AC2300">
        <f>VLOOKUP(A:A,[1]android_repos_all_metrics!B:K,4,FALSE)</f>
        <v>329</v>
      </c>
      <c r="AD2300">
        <f>VLOOKUP(A:A,[1]android_repos_all_metrics!B:K,5,FALSE)</f>
        <v>201</v>
      </c>
      <c r="AE2300">
        <f>VLOOKUP(A:A,[1]android_repos_all_metrics!B:K,6,FALSE)</f>
        <v>10</v>
      </c>
      <c r="AF2300">
        <f>VLOOKUP(A:A,[1]android_repos_all_metrics!B:K,7,FALSE)</f>
        <v>70434</v>
      </c>
      <c r="AG2300">
        <f>VLOOKUP(A:A,[1]android_repos_all_metrics!B:K,8,FALSE)</f>
        <v>97</v>
      </c>
      <c r="AH2300">
        <f>VLOOKUP(A:A,[1]android_repos_all_metrics!B:K,9,FALSE)</f>
        <v>225</v>
      </c>
      <c r="AI2300">
        <f>VLOOKUP(A:A,[1]android_repos_all_metrics!B:K,10,FALSE)</f>
        <v>16</v>
      </c>
    </row>
    <row r="2301" spans="1:35">
      <c r="A2301" t="s">
        <v>2372</v>
      </c>
      <c r="B2301" t="b">
        <v>1</v>
      </c>
      <c r="C2301" t="b">
        <v>1</v>
      </c>
      <c r="D2301" t="b">
        <v>1</v>
      </c>
      <c r="E2301" t="s">
        <v>104</v>
      </c>
      <c r="F2301" t="b">
        <v>0</v>
      </c>
      <c r="H2301" t="s">
        <v>37</v>
      </c>
      <c r="I2301" t="s">
        <v>37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>
        <v>1</v>
      </c>
      <c r="AA2301">
        <v>1</v>
      </c>
      <c r="AB2301">
        <v>0</v>
      </c>
      <c r="AC2301">
        <f>VLOOKUP(A:A,[1]android_repos_all_metrics!B:K,4,FALSE)</f>
        <v>631</v>
      </c>
      <c r="AD2301">
        <f>VLOOKUP(A:A,[1]android_repos_all_metrics!B:K,5,FALSE)</f>
        <v>86</v>
      </c>
      <c r="AE2301">
        <f>VLOOKUP(A:A,[1]android_repos_all_metrics!B:K,6,FALSE)</f>
        <v>32</v>
      </c>
      <c r="AF2301">
        <f>VLOOKUP(A:A,[1]android_repos_all_metrics!B:K,7,FALSE)</f>
        <v>39170</v>
      </c>
      <c r="AG2301">
        <f>VLOOKUP(A:A,[1]android_repos_all_metrics!B:K,8,FALSE)</f>
        <v>50</v>
      </c>
      <c r="AH2301">
        <f>VLOOKUP(A:A,[1]android_repos_all_metrics!B:K,9,FALSE)</f>
        <v>799</v>
      </c>
      <c r="AI2301">
        <f>VLOOKUP(A:A,[1]android_repos_all_metrics!B:K,10,FALSE)</f>
        <v>111</v>
      </c>
    </row>
    <row r="2302" spans="1:35">
      <c r="A2302" t="s">
        <v>2373</v>
      </c>
      <c r="B2302" t="b">
        <v>1</v>
      </c>
      <c r="C2302" t="b">
        <v>0</v>
      </c>
      <c r="D2302" t="b">
        <v>0</v>
      </c>
      <c r="F2302" t="b">
        <v>0</v>
      </c>
      <c r="H2302" t="s">
        <v>37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>
        <v>1</v>
      </c>
      <c r="AB2302">
        <v>0</v>
      </c>
      <c r="AC2302">
        <f>VLOOKUP(A:A,[1]android_repos_all_metrics!B:K,4,FALSE)</f>
        <v>205</v>
      </c>
      <c r="AD2302">
        <f>VLOOKUP(A:A,[1]android_repos_all_metrics!B:K,5,FALSE)</f>
        <v>7</v>
      </c>
      <c r="AE2302">
        <f>VLOOKUP(A:A,[1]android_repos_all_metrics!B:K,6,FALSE)</f>
        <v>5</v>
      </c>
      <c r="AF2302">
        <f>VLOOKUP(A:A,[1]android_repos_all_metrics!B:K,7,FALSE)</f>
        <v>967</v>
      </c>
      <c r="AG2302">
        <f>VLOOKUP(A:A,[1]android_repos_all_metrics!B:K,8,FALSE)</f>
        <v>8</v>
      </c>
      <c r="AH2302">
        <f>VLOOKUP(A:A,[1]android_repos_all_metrics!B:K,9,FALSE)</f>
        <v>31</v>
      </c>
      <c r="AI2302">
        <f>VLOOKUP(A:A,[1]android_repos_all_metrics!B:K,10,FALSE)</f>
        <v>10</v>
      </c>
    </row>
    <row r="2303" spans="1:35">
      <c r="A2303" t="s">
        <v>2374</v>
      </c>
      <c r="B2303" t="b">
        <v>1</v>
      </c>
      <c r="C2303" t="b">
        <v>0</v>
      </c>
      <c r="D2303" t="b">
        <v>0</v>
      </c>
      <c r="F2303" t="b">
        <v>0</v>
      </c>
      <c r="H2303" t="s">
        <v>37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>
        <v>1</v>
      </c>
      <c r="AB2303">
        <v>0</v>
      </c>
      <c r="AC2303">
        <f>VLOOKUP(A:A,[1]android_repos_all_metrics!B:K,4,FALSE)</f>
        <v>164</v>
      </c>
      <c r="AD2303">
        <f>VLOOKUP(A:A,[1]android_repos_all_metrics!B:K,5,FALSE)</f>
        <v>27</v>
      </c>
      <c r="AE2303">
        <f>VLOOKUP(A:A,[1]android_repos_all_metrics!B:K,6,FALSE)</f>
        <v>1</v>
      </c>
      <c r="AF2303">
        <f>VLOOKUP(A:A,[1]android_repos_all_metrics!B:K,7,FALSE)</f>
        <v>2819</v>
      </c>
      <c r="AG2303">
        <f>VLOOKUP(A:A,[1]android_repos_all_metrics!B:K,8,FALSE)</f>
        <v>0</v>
      </c>
      <c r="AH2303">
        <f>VLOOKUP(A:A,[1]android_repos_all_metrics!B:K,9,FALSE)</f>
        <v>1</v>
      </c>
      <c r="AI2303">
        <f>VLOOKUP(A:A,[1]android_repos_all_metrics!B:K,10,FALSE)</f>
        <v>1</v>
      </c>
    </row>
    <row r="2304" spans="1:35">
      <c r="A2304" t="s">
        <v>2375</v>
      </c>
      <c r="B2304" t="b">
        <v>1</v>
      </c>
      <c r="C2304" t="b">
        <v>1</v>
      </c>
      <c r="D2304" t="b">
        <v>0</v>
      </c>
      <c r="F2304" t="b">
        <v>1</v>
      </c>
      <c r="G2304" t="s">
        <v>39</v>
      </c>
      <c r="H2304" t="s">
        <v>41</v>
      </c>
      <c r="I2304" t="s">
        <v>41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>
        <v>1</v>
      </c>
      <c r="AB2304">
        <v>0</v>
      </c>
      <c r="AC2304">
        <f>VLOOKUP(A:A,[1]android_repos_all_metrics!B:K,4,FALSE)</f>
        <v>3082</v>
      </c>
      <c r="AD2304">
        <f>VLOOKUP(A:A,[1]android_repos_all_metrics!B:K,5,FALSE)</f>
        <v>30</v>
      </c>
      <c r="AE2304">
        <f>VLOOKUP(A:A,[1]android_repos_all_metrics!B:K,6,FALSE)</f>
        <v>5</v>
      </c>
      <c r="AF2304">
        <f>VLOOKUP(A:A,[1]android_repos_all_metrics!B:K,7,FALSE)</f>
        <v>126498</v>
      </c>
      <c r="AG2304">
        <f>VLOOKUP(A:A,[1]android_repos_all_metrics!B:K,8,FALSE)</f>
        <v>24</v>
      </c>
      <c r="AH2304">
        <f>VLOOKUP(A:A,[1]android_repos_all_metrics!B:K,9,FALSE)</f>
        <v>117</v>
      </c>
      <c r="AI2304">
        <f>VLOOKUP(A:A,[1]android_repos_all_metrics!B:K,10,FALSE)</f>
        <v>18</v>
      </c>
    </row>
    <row r="2305" spans="1:35">
      <c r="A2305" t="s">
        <v>2376</v>
      </c>
      <c r="B2305" t="b">
        <v>1</v>
      </c>
      <c r="C2305" t="b">
        <v>0</v>
      </c>
      <c r="D2305" t="b">
        <v>0</v>
      </c>
      <c r="F2305" t="b">
        <v>0</v>
      </c>
      <c r="H2305" t="s">
        <v>37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>
        <v>2</v>
      </c>
      <c r="AB2305">
        <v>0</v>
      </c>
      <c r="AC2305">
        <f>VLOOKUP(A:A,[1]android_repos_all_metrics!B:K,4,FALSE)</f>
        <v>173</v>
      </c>
      <c r="AD2305">
        <f>VLOOKUP(A:A,[1]android_repos_all_metrics!B:K,5,FALSE)</f>
        <v>1</v>
      </c>
      <c r="AE2305">
        <f>VLOOKUP(A:A,[1]android_repos_all_metrics!B:K,6,FALSE)</f>
        <v>2</v>
      </c>
      <c r="AF2305">
        <f>VLOOKUP(A:A,[1]android_repos_all_metrics!B:K,7,FALSE)</f>
        <v>14653</v>
      </c>
      <c r="AG2305">
        <f>VLOOKUP(A:A,[1]android_repos_all_metrics!B:K,8,FALSE)</f>
        <v>2</v>
      </c>
      <c r="AH2305">
        <f>VLOOKUP(A:A,[1]android_repos_all_metrics!B:K,9,FALSE)</f>
        <v>36</v>
      </c>
      <c r="AI2305">
        <f>VLOOKUP(A:A,[1]android_repos_all_metrics!B:K,10,FALSE)</f>
        <v>0</v>
      </c>
    </row>
    <row r="2306" spans="1:35">
      <c r="A2306" t="s">
        <v>2377</v>
      </c>
      <c r="B2306" t="b">
        <v>1</v>
      </c>
      <c r="C2306" t="b">
        <v>0</v>
      </c>
      <c r="D2306" t="b">
        <v>0</v>
      </c>
      <c r="F2306" t="b">
        <v>0</v>
      </c>
      <c r="H2306" t="s">
        <v>41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>
        <v>1</v>
      </c>
      <c r="AB2306">
        <v>0</v>
      </c>
      <c r="AC2306">
        <f>VLOOKUP(A:A,[1]android_repos_all_metrics!B:K,4,FALSE)</f>
        <v>2</v>
      </c>
      <c r="AD2306">
        <f>VLOOKUP(A:A,[1]android_repos_all_metrics!B:K,5,FALSE)</f>
        <v>1</v>
      </c>
      <c r="AE2306">
        <f>VLOOKUP(A:A,[1]android_repos_all_metrics!B:K,6,FALSE)</f>
        <v>1</v>
      </c>
      <c r="AF2306">
        <f>VLOOKUP(A:A,[1]android_repos_all_metrics!B:K,7,FALSE)</f>
        <v>469</v>
      </c>
      <c r="AG2306">
        <f>VLOOKUP(A:A,[1]android_repos_all_metrics!B:K,8,FALSE)</f>
        <v>5</v>
      </c>
      <c r="AH2306">
        <f>VLOOKUP(A:A,[1]android_repos_all_metrics!B:K,9,FALSE)</f>
        <v>36</v>
      </c>
      <c r="AI2306">
        <f>VLOOKUP(A:A,[1]android_repos_all_metrics!B:K,10,FALSE)</f>
        <v>0</v>
      </c>
    </row>
    <row r="2307" spans="1:35">
      <c r="A2307" t="s">
        <v>2378</v>
      </c>
      <c r="B2307" t="b">
        <v>1</v>
      </c>
      <c r="C2307" t="b">
        <v>1</v>
      </c>
      <c r="D2307" t="b">
        <v>0</v>
      </c>
      <c r="F2307" t="b">
        <v>1</v>
      </c>
      <c r="G2307" t="s">
        <v>39</v>
      </c>
      <c r="H2307" t="s">
        <v>86</v>
      </c>
      <c r="I2307" t="s">
        <v>41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>
        <v>3</v>
      </c>
      <c r="AB2307">
        <v>0</v>
      </c>
      <c r="AC2307">
        <f>VLOOKUP(A:A,[1]android_repos_all_metrics!B:K,4,FALSE)</f>
        <v>12</v>
      </c>
      <c r="AD2307">
        <f>VLOOKUP(A:A,[1]android_repos_all_metrics!B:K,5,FALSE)</f>
        <v>12</v>
      </c>
      <c r="AE2307">
        <f>VLOOKUP(A:A,[1]android_repos_all_metrics!B:K,6,FALSE)</f>
        <v>2</v>
      </c>
      <c r="AF2307">
        <f>VLOOKUP(A:A,[1]android_repos_all_metrics!B:K,7,FALSE)</f>
        <v>3142</v>
      </c>
      <c r="AG2307">
        <f>VLOOKUP(A:A,[1]android_repos_all_metrics!B:K,8,FALSE)</f>
        <v>0</v>
      </c>
      <c r="AH2307">
        <f>VLOOKUP(A:A,[1]android_repos_all_metrics!B:K,9,FALSE)</f>
        <v>3</v>
      </c>
      <c r="AI2307">
        <f>VLOOKUP(A:A,[1]android_repos_all_metrics!B:K,10,FALSE)</f>
        <v>4</v>
      </c>
    </row>
    <row r="2308" spans="1:35">
      <c r="A2308" t="s">
        <v>2379</v>
      </c>
      <c r="B2308" t="b">
        <v>1</v>
      </c>
      <c r="C2308" t="b">
        <v>0</v>
      </c>
      <c r="D2308" t="b">
        <v>0</v>
      </c>
      <c r="F2308" t="b">
        <v>0</v>
      </c>
      <c r="H2308" t="s">
        <v>37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>
        <v>1</v>
      </c>
      <c r="AB2308">
        <v>0</v>
      </c>
      <c r="AC2308">
        <f>VLOOKUP(A:A,[1]android_repos_all_metrics!B:K,4,FALSE)</f>
        <v>73</v>
      </c>
      <c r="AD2308">
        <f>VLOOKUP(A:A,[1]android_repos_all_metrics!B:K,5,FALSE)</f>
        <v>7</v>
      </c>
      <c r="AE2308">
        <f>VLOOKUP(A:A,[1]android_repos_all_metrics!B:K,6,FALSE)</f>
        <v>3</v>
      </c>
      <c r="AF2308">
        <f>VLOOKUP(A:A,[1]android_repos_all_metrics!B:K,7,FALSE)</f>
        <v>40102</v>
      </c>
      <c r="AG2308">
        <f>VLOOKUP(A:A,[1]android_repos_all_metrics!B:K,8,FALSE)</f>
        <v>49</v>
      </c>
      <c r="AH2308">
        <f>VLOOKUP(A:A,[1]android_repos_all_metrics!B:K,9,FALSE)</f>
        <v>263</v>
      </c>
      <c r="AI2308">
        <f>VLOOKUP(A:A,[1]android_repos_all_metrics!B:K,10,FALSE)</f>
        <v>4</v>
      </c>
    </row>
    <row r="2309" spans="1:35">
      <c r="A2309" t="s">
        <v>2380</v>
      </c>
      <c r="B2309" t="b">
        <v>0</v>
      </c>
      <c r="C2309" t="b">
        <v>0</v>
      </c>
      <c r="D2309" t="b">
        <v>0</v>
      </c>
      <c r="F2309" t="b">
        <v>0</v>
      </c>
      <c r="H2309" t="s">
        <v>41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>
        <v>1</v>
      </c>
      <c r="AB2309">
        <v>0</v>
      </c>
      <c r="AC2309">
        <f>VLOOKUP(A:A,[1]android_repos_all_metrics!B:K,4,FALSE)</f>
        <v>705</v>
      </c>
      <c r="AD2309">
        <f>VLOOKUP(A:A,[1]android_repos_all_metrics!B:K,5,FALSE)</f>
        <v>0</v>
      </c>
      <c r="AE2309">
        <f>VLOOKUP(A:A,[1]android_repos_all_metrics!B:K,6,FALSE)</f>
        <v>3</v>
      </c>
      <c r="AF2309">
        <f>VLOOKUP(A:A,[1]android_repos_all_metrics!B:K,7,FALSE)</f>
        <v>118750</v>
      </c>
      <c r="AG2309">
        <f>VLOOKUP(A:A,[1]android_repos_all_metrics!B:K,8,FALSE)</f>
        <v>1</v>
      </c>
      <c r="AH2309">
        <f>VLOOKUP(A:A,[1]android_repos_all_metrics!B:K,9,FALSE)</f>
        <v>3</v>
      </c>
      <c r="AI2309">
        <f>VLOOKUP(A:A,[1]android_repos_all_metrics!B:K,10,FALSE)</f>
        <v>0</v>
      </c>
    </row>
    <row r="2310" spans="1:35">
      <c r="A2310" t="s">
        <v>2381</v>
      </c>
      <c r="B2310" t="b">
        <v>1</v>
      </c>
      <c r="C2310" t="b">
        <v>0</v>
      </c>
      <c r="D2310" t="b">
        <v>0</v>
      </c>
      <c r="F2310" t="b">
        <v>0</v>
      </c>
      <c r="H2310" t="s">
        <v>37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>
        <v>7</v>
      </c>
      <c r="AB2310">
        <v>0</v>
      </c>
      <c r="AC2310">
        <f>VLOOKUP(A:A,[1]android_repos_all_metrics!B:K,4,FALSE)</f>
        <v>396</v>
      </c>
      <c r="AD2310">
        <f>VLOOKUP(A:A,[1]android_repos_all_metrics!B:K,5,FALSE)</f>
        <v>196</v>
      </c>
      <c r="AE2310">
        <f>VLOOKUP(A:A,[1]android_repos_all_metrics!B:K,6,FALSE)</f>
        <v>9</v>
      </c>
      <c r="AF2310">
        <f>VLOOKUP(A:A,[1]android_repos_all_metrics!B:K,7,FALSE)</f>
        <v>39109</v>
      </c>
      <c r="AG2310">
        <f>VLOOKUP(A:A,[1]android_repos_all_metrics!B:K,8,FALSE)</f>
        <v>1</v>
      </c>
      <c r="AH2310">
        <f>VLOOKUP(A:A,[1]android_repos_all_metrics!B:K,9,FALSE)</f>
        <v>3</v>
      </c>
      <c r="AI2310">
        <f>VLOOKUP(A:A,[1]android_repos_all_metrics!B:K,10,FALSE)</f>
        <v>0</v>
      </c>
    </row>
    <row r="2311" spans="1:35">
      <c r="A2311" t="s">
        <v>2382</v>
      </c>
      <c r="B2311" t="b">
        <v>1</v>
      </c>
      <c r="C2311" t="b">
        <v>0</v>
      </c>
      <c r="D2311" t="b">
        <v>0</v>
      </c>
      <c r="F2311" t="b">
        <v>0</v>
      </c>
      <c r="H2311" t="s">
        <v>37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>
        <v>1</v>
      </c>
      <c r="AB2311">
        <v>0</v>
      </c>
      <c r="AC2311">
        <f>VLOOKUP(A:A,[1]android_repos_all_metrics!B:K,4,FALSE)</f>
        <v>2408</v>
      </c>
      <c r="AD2311">
        <f>VLOOKUP(A:A,[1]android_repos_all_metrics!B:K,5,FALSE)</f>
        <v>434</v>
      </c>
      <c r="AE2311">
        <f>VLOOKUP(A:A,[1]android_repos_all_metrics!B:K,6,FALSE)</f>
        <v>62</v>
      </c>
      <c r="AF2311">
        <f>VLOOKUP(A:A,[1]android_repos_all_metrics!B:K,7,FALSE)</f>
        <v>39741</v>
      </c>
      <c r="AG2311">
        <f>VLOOKUP(A:A,[1]android_repos_all_metrics!B:K,8,FALSE)</f>
        <v>852</v>
      </c>
      <c r="AH2311">
        <f>VLOOKUP(A:A,[1]android_repos_all_metrics!B:K,9,FALSE)</f>
        <v>6284</v>
      </c>
      <c r="AI2311">
        <f>VLOOKUP(A:A,[1]android_repos_all_metrics!B:K,10,FALSE)</f>
        <v>31</v>
      </c>
    </row>
    <row r="2312" spans="1:35">
      <c r="A2312" t="s">
        <v>2383</v>
      </c>
      <c r="B2312" t="b">
        <v>1</v>
      </c>
      <c r="C2312" t="b">
        <v>0</v>
      </c>
      <c r="D2312" t="b">
        <v>0</v>
      </c>
      <c r="F2312" t="b">
        <v>0</v>
      </c>
      <c r="H2312" t="s">
        <v>37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>
        <v>4</v>
      </c>
      <c r="AB2312">
        <v>0</v>
      </c>
      <c r="AC2312">
        <f>VLOOKUP(A:A,[1]android_repos_all_metrics!B:K,4,FALSE)</f>
        <v>690</v>
      </c>
      <c r="AD2312">
        <f>VLOOKUP(A:A,[1]android_repos_all_metrics!B:K,5,FALSE)</f>
        <v>132</v>
      </c>
      <c r="AE2312">
        <f>VLOOKUP(A:A,[1]android_repos_all_metrics!B:K,6,FALSE)</f>
        <v>9</v>
      </c>
      <c r="AF2312">
        <f>VLOOKUP(A:A,[1]android_repos_all_metrics!B:K,7,FALSE)</f>
        <v>32592</v>
      </c>
      <c r="AG2312">
        <f>VLOOKUP(A:A,[1]android_repos_all_metrics!B:K,8,FALSE)</f>
        <v>12</v>
      </c>
      <c r="AH2312">
        <f>VLOOKUP(A:A,[1]android_repos_all_metrics!B:K,9,FALSE)</f>
        <v>24</v>
      </c>
      <c r="AI2312">
        <f>VLOOKUP(A:A,[1]android_repos_all_metrics!B:K,10,FALSE)</f>
        <v>53</v>
      </c>
    </row>
    <row r="2313" spans="1:35">
      <c r="A2313" t="s">
        <v>2384</v>
      </c>
      <c r="B2313" t="b">
        <v>1</v>
      </c>
      <c r="C2313" t="b">
        <v>1</v>
      </c>
      <c r="D2313" t="b">
        <v>1</v>
      </c>
      <c r="E2313" t="s">
        <v>36</v>
      </c>
      <c r="F2313" t="b">
        <v>0</v>
      </c>
      <c r="H2313" t="s">
        <v>37</v>
      </c>
      <c r="I2313" t="s">
        <v>37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>
        <v>6</v>
      </c>
      <c r="AB2313">
        <v>0</v>
      </c>
      <c r="AC2313">
        <f>VLOOKUP(A:A,[1]android_repos_all_metrics!B:K,4,FALSE)</f>
        <v>1296</v>
      </c>
      <c r="AD2313">
        <f>VLOOKUP(A:A,[1]android_repos_all_metrics!B:K,5,FALSE)</f>
        <v>154</v>
      </c>
      <c r="AE2313">
        <f>VLOOKUP(A:A,[1]android_repos_all_metrics!B:K,6,FALSE)</f>
        <v>32</v>
      </c>
      <c r="AF2313">
        <f>VLOOKUP(A:A,[1]android_repos_all_metrics!B:K,7,FALSE)</f>
        <v>37998</v>
      </c>
      <c r="AG2313">
        <f>VLOOKUP(A:A,[1]android_repos_all_metrics!B:K,8,FALSE)</f>
        <v>12</v>
      </c>
      <c r="AH2313">
        <f>VLOOKUP(A:A,[1]android_repos_all_metrics!B:K,9,FALSE)</f>
        <v>219</v>
      </c>
      <c r="AI2313">
        <f>VLOOKUP(A:A,[1]android_repos_all_metrics!B:K,10,FALSE)</f>
        <v>48</v>
      </c>
    </row>
    <row r="2314" spans="1:35">
      <c r="A2314" t="s">
        <v>2385</v>
      </c>
      <c r="B2314" t="b">
        <v>1</v>
      </c>
      <c r="C2314" t="b">
        <v>0</v>
      </c>
      <c r="D2314" t="b">
        <v>0</v>
      </c>
      <c r="F2314" t="b">
        <v>0</v>
      </c>
      <c r="H2314" t="s">
        <v>37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>
        <v>1</v>
      </c>
      <c r="AB2314">
        <v>0</v>
      </c>
      <c r="AC2314">
        <f>VLOOKUP(A:A,[1]android_repos_all_metrics!B:K,4,FALSE)</f>
        <v>273</v>
      </c>
      <c r="AD2314">
        <f>VLOOKUP(A:A,[1]android_repos_all_metrics!B:K,5,FALSE)</f>
        <v>1</v>
      </c>
      <c r="AE2314">
        <f>VLOOKUP(A:A,[1]android_repos_all_metrics!B:K,6,FALSE)</f>
        <v>3</v>
      </c>
      <c r="AF2314">
        <f>VLOOKUP(A:A,[1]android_repos_all_metrics!B:K,7,FALSE)</f>
        <v>5318</v>
      </c>
      <c r="AG2314">
        <f>VLOOKUP(A:A,[1]android_repos_all_metrics!B:K,8,FALSE)</f>
        <v>22</v>
      </c>
      <c r="AH2314">
        <f>VLOOKUP(A:A,[1]android_repos_all_metrics!B:K,9,FALSE)</f>
        <v>187</v>
      </c>
      <c r="AI2314">
        <f>VLOOKUP(A:A,[1]android_repos_all_metrics!B:K,10,FALSE)</f>
        <v>1</v>
      </c>
    </row>
    <row r="2315" spans="1:35">
      <c r="A2315" t="s">
        <v>2386</v>
      </c>
      <c r="B2315" t="b">
        <v>1</v>
      </c>
      <c r="C2315" t="b">
        <v>0</v>
      </c>
      <c r="D2315" t="b">
        <v>0</v>
      </c>
      <c r="F2315" t="b">
        <v>0</v>
      </c>
      <c r="H2315" t="s">
        <v>76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>
        <v>1</v>
      </c>
      <c r="AB2315">
        <v>0</v>
      </c>
      <c r="AC2315">
        <f>VLOOKUP(A:A,[1]android_repos_all_metrics!B:K,4,FALSE)</f>
        <v>3</v>
      </c>
      <c r="AD2315">
        <f>VLOOKUP(A:A,[1]android_repos_all_metrics!B:K,5,FALSE)</f>
        <v>0</v>
      </c>
      <c r="AE2315">
        <f>VLOOKUP(A:A,[1]android_repos_all_metrics!B:K,6,FALSE)</f>
        <v>1</v>
      </c>
      <c r="AF2315">
        <f>VLOOKUP(A:A,[1]android_repos_all_metrics!B:K,7,FALSE)</f>
        <v>279</v>
      </c>
      <c r="AG2315">
        <f>VLOOKUP(A:A,[1]android_repos_all_metrics!B:K,8,FALSE)</f>
        <v>0</v>
      </c>
      <c r="AH2315">
        <f>VLOOKUP(A:A,[1]android_repos_all_metrics!B:K,9,FALSE)</f>
        <v>3</v>
      </c>
      <c r="AI2315">
        <f>VLOOKUP(A:A,[1]android_repos_all_metrics!B:K,10,FALSE)</f>
        <v>0</v>
      </c>
    </row>
    <row r="2316" spans="1:35">
      <c r="A2316" t="s">
        <v>2387</v>
      </c>
      <c r="B2316" t="b">
        <v>0</v>
      </c>
      <c r="C2316" t="b">
        <v>0</v>
      </c>
      <c r="D2316" t="b">
        <v>0</v>
      </c>
      <c r="F2316" t="b">
        <v>0</v>
      </c>
      <c r="H2316" t="s">
        <v>41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>
        <v>1</v>
      </c>
      <c r="AB2316">
        <v>0</v>
      </c>
      <c r="AC2316">
        <f>VLOOKUP(A:A,[1]android_repos_all_metrics!B:K,4,FALSE)</f>
        <v>2</v>
      </c>
      <c r="AD2316">
        <f>VLOOKUP(A:A,[1]android_repos_all_metrics!B:K,5,FALSE)</f>
        <v>0</v>
      </c>
      <c r="AE2316">
        <f>VLOOKUP(A:A,[1]android_repos_all_metrics!B:K,6,FALSE)</f>
        <v>1</v>
      </c>
      <c r="AF2316">
        <f>VLOOKUP(A:A,[1]android_repos_all_metrics!B:K,7,FALSE)</f>
        <v>94</v>
      </c>
      <c r="AG2316">
        <f>VLOOKUP(A:A,[1]android_repos_all_metrics!B:K,8,FALSE)</f>
        <v>1</v>
      </c>
      <c r="AH2316">
        <f>VLOOKUP(A:A,[1]android_repos_all_metrics!B:K,9,FALSE)</f>
        <v>15</v>
      </c>
      <c r="AI2316">
        <f>VLOOKUP(A:A,[1]android_repos_all_metrics!B:K,10,FALSE)</f>
        <v>0</v>
      </c>
    </row>
    <row r="2317" spans="1:35">
      <c r="A2317" t="s">
        <v>2388</v>
      </c>
      <c r="B2317" t="b">
        <v>1</v>
      </c>
      <c r="C2317" t="b">
        <v>1</v>
      </c>
      <c r="D2317" t="b">
        <v>0</v>
      </c>
      <c r="F2317" t="b">
        <v>1</v>
      </c>
      <c r="G2317" t="s">
        <v>39</v>
      </c>
      <c r="H2317" t="s">
        <v>41</v>
      </c>
      <c r="I2317" t="s">
        <v>41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>
        <v>1</v>
      </c>
      <c r="AB2317">
        <v>0</v>
      </c>
      <c r="AC2317">
        <f>VLOOKUP(A:A,[1]android_repos_all_metrics!B:K,4,FALSE)</f>
        <v>204</v>
      </c>
      <c r="AD2317">
        <f>VLOOKUP(A:A,[1]android_repos_all_metrics!B:K,5,FALSE)</f>
        <v>26</v>
      </c>
      <c r="AE2317">
        <f>VLOOKUP(A:A,[1]android_repos_all_metrics!B:K,6,FALSE)</f>
        <v>2</v>
      </c>
      <c r="AF2317">
        <f>VLOOKUP(A:A,[1]android_repos_all_metrics!B:K,7,FALSE)</f>
        <v>48043</v>
      </c>
      <c r="AG2317">
        <f>VLOOKUP(A:A,[1]android_repos_all_metrics!B:K,8,FALSE)</f>
        <v>4</v>
      </c>
      <c r="AH2317">
        <f>VLOOKUP(A:A,[1]android_repos_all_metrics!B:K,9,FALSE)</f>
        <v>9</v>
      </c>
      <c r="AI2317">
        <f>VLOOKUP(A:A,[1]android_repos_all_metrics!B:K,10,FALSE)</f>
        <v>3</v>
      </c>
    </row>
    <row r="2318" spans="1:35">
      <c r="A2318" t="s">
        <v>2389</v>
      </c>
      <c r="B2318" t="b">
        <v>0</v>
      </c>
      <c r="C2318" t="b">
        <v>0</v>
      </c>
      <c r="D2318" t="b">
        <v>0</v>
      </c>
      <c r="F2318" t="b">
        <v>0</v>
      </c>
      <c r="H2318" t="s">
        <v>41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>
        <v>1</v>
      </c>
      <c r="AB2318">
        <v>0</v>
      </c>
      <c r="AC2318">
        <f>VLOOKUP(A:A,[1]android_repos_all_metrics!B:K,4,FALSE)</f>
        <v>157</v>
      </c>
      <c r="AD2318">
        <f>VLOOKUP(A:A,[1]android_repos_all_metrics!B:K,5,FALSE)</f>
        <v>0</v>
      </c>
      <c r="AE2318">
        <f>VLOOKUP(A:A,[1]android_repos_all_metrics!B:K,6,FALSE)</f>
        <v>1</v>
      </c>
      <c r="AF2318">
        <f>VLOOKUP(A:A,[1]android_repos_all_metrics!B:K,7,FALSE)</f>
        <v>1878</v>
      </c>
      <c r="AG2318">
        <f>VLOOKUP(A:A,[1]android_repos_all_metrics!B:K,8,FALSE)</f>
        <v>0</v>
      </c>
      <c r="AH2318">
        <f>VLOOKUP(A:A,[1]android_repos_all_metrics!B:K,9,FALSE)</f>
        <v>4</v>
      </c>
      <c r="AI2318">
        <f>VLOOKUP(A:A,[1]android_repos_all_metrics!B:K,10,FALSE)</f>
        <v>1</v>
      </c>
    </row>
    <row r="2319" spans="1:35">
      <c r="A2319" t="s">
        <v>2390</v>
      </c>
      <c r="B2319" t="b">
        <v>1</v>
      </c>
      <c r="C2319" t="b">
        <v>0</v>
      </c>
      <c r="D2319" t="b">
        <v>0</v>
      </c>
      <c r="F2319" t="b">
        <v>0</v>
      </c>
      <c r="H2319" t="s">
        <v>37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>
        <v>1</v>
      </c>
      <c r="AB2319">
        <v>0</v>
      </c>
      <c r="AC2319">
        <f>VLOOKUP(A:A,[1]android_repos_all_metrics!B:K,4,FALSE)</f>
        <v>56</v>
      </c>
      <c r="AD2319">
        <f>VLOOKUP(A:A,[1]android_repos_all_metrics!B:K,5,FALSE)</f>
        <v>5</v>
      </c>
      <c r="AE2319">
        <f>VLOOKUP(A:A,[1]android_repos_all_metrics!B:K,6,FALSE)</f>
        <v>2</v>
      </c>
      <c r="AF2319">
        <f>VLOOKUP(A:A,[1]android_repos_all_metrics!B:K,7,FALSE)</f>
        <v>24657</v>
      </c>
      <c r="AG2319">
        <f>VLOOKUP(A:A,[1]android_repos_all_metrics!B:K,8,FALSE)</f>
        <v>3</v>
      </c>
      <c r="AH2319">
        <f>VLOOKUP(A:A,[1]android_repos_all_metrics!B:K,9,FALSE)</f>
        <v>2</v>
      </c>
      <c r="AI2319">
        <f>VLOOKUP(A:A,[1]android_repos_all_metrics!B:K,10,FALSE)</f>
        <v>12</v>
      </c>
    </row>
    <row r="2320" spans="1:35">
      <c r="A2320" t="s">
        <v>2391</v>
      </c>
      <c r="B2320" t="b">
        <v>1</v>
      </c>
      <c r="C2320" t="b">
        <v>0</v>
      </c>
      <c r="D2320" t="b">
        <v>0</v>
      </c>
      <c r="F2320" t="b">
        <v>0</v>
      </c>
      <c r="H2320" t="s">
        <v>37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>
        <v>1</v>
      </c>
      <c r="AB2320">
        <v>0</v>
      </c>
      <c r="AC2320">
        <f>VLOOKUP(A:A,[1]android_repos_all_metrics!B:K,4,FALSE)</f>
        <v>40</v>
      </c>
      <c r="AD2320">
        <f>VLOOKUP(A:A,[1]android_repos_all_metrics!B:K,5,FALSE)</f>
        <v>3</v>
      </c>
      <c r="AE2320">
        <f>VLOOKUP(A:A,[1]android_repos_all_metrics!B:K,6,FALSE)</f>
        <v>3</v>
      </c>
      <c r="AF2320">
        <f>VLOOKUP(A:A,[1]android_repos_all_metrics!B:K,7,FALSE)</f>
        <v>30025</v>
      </c>
      <c r="AG2320">
        <f>VLOOKUP(A:A,[1]android_repos_all_metrics!B:K,8,FALSE)</f>
        <v>75</v>
      </c>
      <c r="AH2320">
        <f>VLOOKUP(A:A,[1]android_repos_all_metrics!B:K,9,FALSE)</f>
        <v>1478</v>
      </c>
      <c r="AI2320">
        <f>VLOOKUP(A:A,[1]android_repos_all_metrics!B:K,10,FALSE)</f>
        <v>44</v>
      </c>
    </row>
    <row r="2321" spans="1:35">
      <c r="A2321" t="s">
        <v>2392</v>
      </c>
      <c r="B2321" t="b">
        <v>1</v>
      </c>
      <c r="C2321" t="b">
        <v>0</v>
      </c>
      <c r="D2321" t="b">
        <v>0</v>
      </c>
      <c r="F2321" t="b">
        <v>0</v>
      </c>
      <c r="H2321" t="s">
        <v>37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>
        <v>1</v>
      </c>
      <c r="AB2321">
        <v>0</v>
      </c>
      <c r="AC2321">
        <f>VLOOKUP(A:A,[1]android_repos_all_metrics!B:K,4,FALSE)</f>
        <v>1425</v>
      </c>
      <c r="AD2321">
        <f>VLOOKUP(A:A,[1]android_repos_all_metrics!B:K,5,FALSE)</f>
        <v>100</v>
      </c>
      <c r="AE2321">
        <f>VLOOKUP(A:A,[1]android_repos_all_metrics!B:K,6,FALSE)</f>
        <v>4</v>
      </c>
      <c r="AF2321">
        <f>VLOOKUP(A:A,[1]android_repos_all_metrics!B:K,7,FALSE)</f>
        <v>6727</v>
      </c>
      <c r="AG2321">
        <f>VLOOKUP(A:A,[1]android_repos_all_metrics!B:K,8,FALSE)</f>
        <v>44</v>
      </c>
      <c r="AH2321">
        <f>VLOOKUP(A:A,[1]android_repos_all_metrics!B:K,9,FALSE)</f>
        <v>190</v>
      </c>
      <c r="AI2321">
        <f>VLOOKUP(A:A,[1]android_repos_all_metrics!B:K,10,FALSE)</f>
        <v>28</v>
      </c>
    </row>
    <row r="2322" spans="1:35">
      <c r="A2322" t="s">
        <v>2393</v>
      </c>
      <c r="B2322" t="b">
        <v>1</v>
      </c>
      <c r="C2322" t="b">
        <v>0</v>
      </c>
      <c r="D2322" t="b">
        <v>0</v>
      </c>
      <c r="F2322" t="b">
        <v>0</v>
      </c>
      <c r="H2322" t="s">
        <v>37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>
        <v>8</v>
      </c>
      <c r="AB2322">
        <v>0</v>
      </c>
      <c r="AC2322">
        <f>VLOOKUP(A:A,[1]android_repos_all_metrics!B:K,4,FALSE)</f>
        <v>8889</v>
      </c>
      <c r="AD2322">
        <f>VLOOKUP(A:A,[1]android_repos_all_metrics!B:K,5,FALSE)</f>
        <v>6342</v>
      </c>
      <c r="AE2322">
        <f>VLOOKUP(A:A,[1]android_repos_all_metrics!B:K,6,FALSE)</f>
        <v>235</v>
      </c>
      <c r="AF2322">
        <f>VLOOKUP(A:A,[1]android_repos_all_metrics!B:K,7,FALSE)</f>
        <v>733138</v>
      </c>
      <c r="AG2322">
        <f>VLOOKUP(A:A,[1]android_repos_all_metrics!B:K,8,FALSE)</f>
        <v>1255</v>
      </c>
      <c r="AH2322">
        <f>VLOOKUP(A:A,[1]android_repos_all_metrics!B:K,9,FALSE)</f>
        <v>5642</v>
      </c>
      <c r="AI2322">
        <f>VLOOKUP(A:A,[1]android_repos_all_metrics!B:K,10,FALSE)</f>
        <v>156</v>
      </c>
    </row>
    <row r="2323" spans="1:35">
      <c r="A2323" t="s">
        <v>2394</v>
      </c>
      <c r="B2323" t="b">
        <v>1</v>
      </c>
      <c r="C2323" t="b">
        <v>0</v>
      </c>
      <c r="D2323" t="b">
        <v>0</v>
      </c>
      <c r="F2323" t="b">
        <v>0</v>
      </c>
      <c r="H2323" t="s">
        <v>43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>
        <v>1</v>
      </c>
      <c r="AB2323">
        <v>0</v>
      </c>
      <c r="AC2323">
        <f>VLOOKUP(A:A,[1]android_repos_all_metrics!B:K,4,FALSE)</f>
        <v>25</v>
      </c>
      <c r="AD2323">
        <f>VLOOKUP(A:A,[1]android_repos_all_metrics!B:K,5,FALSE)</f>
        <v>2</v>
      </c>
      <c r="AE2323">
        <f>VLOOKUP(A:A,[1]android_repos_all_metrics!B:K,6,FALSE)</f>
        <v>1</v>
      </c>
      <c r="AF2323">
        <f>VLOOKUP(A:A,[1]android_repos_all_metrics!B:K,7,FALSE)</f>
        <v>4087</v>
      </c>
      <c r="AG2323">
        <f>VLOOKUP(A:A,[1]android_repos_all_metrics!B:K,8,FALSE)</f>
        <v>0</v>
      </c>
      <c r="AH2323">
        <f>VLOOKUP(A:A,[1]android_repos_all_metrics!B:K,9,FALSE)</f>
        <v>3</v>
      </c>
      <c r="AI2323">
        <f>VLOOKUP(A:A,[1]android_repos_all_metrics!B:K,10,FALSE)</f>
        <v>0</v>
      </c>
    </row>
    <row r="2324" spans="1:35">
      <c r="A2324" t="s">
        <v>2395</v>
      </c>
      <c r="B2324" t="b">
        <v>1</v>
      </c>
      <c r="C2324" t="b">
        <v>0</v>
      </c>
      <c r="D2324" t="b">
        <v>0</v>
      </c>
      <c r="F2324" t="b">
        <v>0</v>
      </c>
      <c r="H2324" t="s">
        <v>37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>
        <v>3</v>
      </c>
      <c r="AB2324">
        <v>0</v>
      </c>
      <c r="AC2324">
        <f>VLOOKUP(A:A,[1]android_repos_all_metrics!B:K,4,FALSE)</f>
        <v>559</v>
      </c>
      <c r="AD2324">
        <f>VLOOKUP(A:A,[1]android_repos_all_metrics!B:K,5,FALSE)</f>
        <v>108</v>
      </c>
      <c r="AE2324">
        <f>VLOOKUP(A:A,[1]android_repos_all_metrics!B:K,6,FALSE)</f>
        <v>101</v>
      </c>
      <c r="AF2324">
        <f>VLOOKUP(A:A,[1]android_repos_all_metrics!B:K,7,FALSE)</f>
        <v>2425</v>
      </c>
      <c r="AG2324">
        <f>VLOOKUP(A:A,[1]android_repos_all_metrics!B:K,8,FALSE)</f>
        <v>97</v>
      </c>
      <c r="AH2324">
        <f>VLOOKUP(A:A,[1]android_repos_all_metrics!B:K,9,FALSE)</f>
        <v>571</v>
      </c>
      <c r="AI2324">
        <f>VLOOKUP(A:A,[1]android_repos_all_metrics!B:K,10,FALSE)</f>
        <v>74</v>
      </c>
    </row>
    <row r="2325" spans="1:35">
      <c r="A2325" t="s">
        <v>2396</v>
      </c>
      <c r="B2325" t="b">
        <v>1</v>
      </c>
      <c r="C2325" t="b">
        <v>0</v>
      </c>
      <c r="D2325" t="b">
        <v>0</v>
      </c>
      <c r="F2325" t="b">
        <v>0</v>
      </c>
      <c r="H2325" t="s">
        <v>37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>
        <v>1</v>
      </c>
      <c r="AB2325">
        <v>0</v>
      </c>
      <c r="AC2325">
        <f>VLOOKUP(A:A,[1]android_repos_all_metrics!B:K,4,FALSE)</f>
        <v>48</v>
      </c>
      <c r="AD2325">
        <f>VLOOKUP(A:A,[1]android_repos_all_metrics!B:K,5,FALSE)</f>
        <v>11</v>
      </c>
      <c r="AE2325">
        <f>VLOOKUP(A:A,[1]android_repos_all_metrics!B:K,6,FALSE)</f>
        <v>1</v>
      </c>
      <c r="AF2325">
        <f>VLOOKUP(A:A,[1]android_repos_all_metrics!B:K,7,FALSE)</f>
        <v>7755</v>
      </c>
      <c r="AG2325">
        <f>VLOOKUP(A:A,[1]android_repos_all_metrics!B:K,8,FALSE)</f>
        <v>1</v>
      </c>
      <c r="AH2325">
        <f>VLOOKUP(A:A,[1]android_repos_all_metrics!B:K,9,FALSE)</f>
        <v>6</v>
      </c>
      <c r="AI2325">
        <f>VLOOKUP(A:A,[1]android_repos_all_metrics!B:K,10,FALSE)</f>
        <v>1</v>
      </c>
    </row>
    <row r="2326" spans="1:35">
      <c r="A2326" t="s">
        <v>2397</v>
      </c>
      <c r="B2326" t="b">
        <v>1</v>
      </c>
      <c r="C2326" t="b">
        <v>0</v>
      </c>
      <c r="D2326" t="b">
        <v>0</v>
      </c>
      <c r="F2326" t="b">
        <v>0</v>
      </c>
      <c r="H2326" t="s">
        <v>43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>
        <v>1</v>
      </c>
      <c r="AB2326">
        <v>0</v>
      </c>
      <c r="AC2326">
        <f>VLOOKUP(A:A,[1]android_repos_all_metrics!B:K,4,FALSE)</f>
        <v>268</v>
      </c>
      <c r="AD2326">
        <f>VLOOKUP(A:A,[1]android_repos_all_metrics!B:K,5,FALSE)</f>
        <v>75</v>
      </c>
      <c r="AE2326">
        <f>VLOOKUP(A:A,[1]android_repos_all_metrics!B:K,6,FALSE)</f>
        <v>13</v>
      </c>
      <c r="AF2326">
        <f>VLOOKUP(A:A,[1]android_repos_all_metrics!B:K,7,FALSE)</f>
        <v>6539</v>
      </c>
      <c r="AG2326">
        <f>VLOOKUP(A:A,[1]android_repos_all_metrics!B:K,8,FALSE)</f>
        <v>30</v>
      </c>
      <c r="AH2326">
        <f>VLOOKUP(A:A,[1]android_repos_all_metrics!B:K,9,FALSE)</f>
        <v>230</v>
      </c>
      <c r="AI2326">
        <f>VLOOKUP(A:A,[1]android_repos_all_metrics!B:K,10,FALSE)</f>
        <v>26</v>
      </c>
    </row>
    <row r="2327" spans="1:35">
      <c r="A2327" t="s">
        <v>2398</v>
      </c>
      <c r="B2327" t="b">
        <v>1</v>
      </c>
      <c r="C2327" t="b">
        <v>0</v>
      </c>
      <c r="D2327" t="b">
        <v>0</v>
      </c>
      <c r="F2327" t="b">
        <v>0</v>
      </c>
      <c r="H2327" t="s">
        <v>37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>
        <v>2</v>
      </c>
      <c r="AB2327">
        <v>0</v>
      </c>
      <c r="AC2327">
        <f>VLOOKUP(A:A,[1]android_repos_all_metrics!B:K,4,FALSE)</f>
        <v>281</v>
      </c>
      <c r="AD2327">
        <f>VLOOKUP(A:A,[1]android_repos_all_metrics!B:K,5,FALSE)</f>
        <v>63</v>
      </c>
      <c r="AE2327">
        <f>VLOOKUP(A:A,[1]android_repos_all_metrics!B:K,6,FALSE)</f>
        <v>24</v>
      </c>
      <c r="AF2327">
        <f>VLOOKUP(A:A,[1]android_repos_all_metrics!B:K,7,FALSE)</f>
        <v>921</v>
      </c>
      <c r="AG2327">
        <f>VLOOKUP(A:A,[1]android_repos_all_metrics!B:K,8,FALSE)</f>
        <v>208</v>
      </c>
      <c r="AH2327">
        <f>VLOOKUP(A:A,[1]android_repos_all_metrics!B:K,9,FALSE)</f>
        <v>841</v>
      </c>
      <c r="AI2327">
        <f>VLOOKUP(A:A,[1]android_repos_all_metrics!B:K,10,FALSE)</f>
        <v>90</v>
      </c>
    </row>
    <row r="2328" spans="1:35">
      <c r="A2328" t="s">
        <v>2399</v>
      </c>
      <c r="B2328" t="b">
        <v>1</v>
      </c>
      <c r="C2328" t="b">
        <v>0</v>
      </c>
      <c r="D2328" t="b">
        <v>0</v>
      </c>
      <c r="F2328" t="b">
        <v>0</v>
      </c>
      <c r="H2328" t="s">
        <v>37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>
        <v>1</v>
      </c>
      <c r="AB2328">
        <v>0</v>
      </c>
      <c r="AC2328">
        <f>VLOOKUP(A:A,[1]android_repos_all_metrics!B:K,4,FALSE)</f>
        <v>0</v>
      </c>
      <c r="AD2328">
        <f>VLOOKUP(A:A,[1]android_repos_all_metrics!B:K,5,FALSE)</f>
        <v>0</v>
      </c>
      <c r="AE2328">
        <f>VLOOKUP(A:A,[1]android_repos_all_metrics!B:K,6,FALSE)</f>
        <v>0</v>
      </c>
      <c r="AF2328">
        <f>VLOOKUP(A:A,[1]android_repos_all_metrics!B:K,7,FALSE)</f>
        <v>264</v>
      </c>
      <c r="AG2328">
        <f>VLOOKUP(A:A,[1]android_repos_all_metrics!B:K,8,FALSE)</f>
        <v>2</v>
      </c>
      <c r="AH2328">
        <f>VLOOKUP(A:A,[1]android_repos_all_metrics!B:K,9,FALSE)</f>
        <v>9</v>
      </c>
      <c r="AI2328">
        <f>VLOOKUP(A:A,[1]android_repos_all_metrics!B:K,10,FALSE)</f>
        <v>0</v>
      </c>
    </row>
    <row r="2329" spans="1:35">
      <c r="A2329" t="s">
        <v>2400</v>
      </c>
      <c r="B2329" t="b">
        <v>1</v>
      </c>
      <c r="C2329" t="b">
        <v>0</v>
      </c>
      <c r="D2329" t="b">
        <v>0</v>
      </c>
      <c r="F2329" t="b">
        <v>0</v>
      </c>
      <c r="H2329" t="s">
        <v>37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>
        <v>2</v>
      </c>
      <c r="AB2329">
        <v>0</v>
      </c>
      <c r="AC2329">
        <f>VLOOKUP(A:A,[1]android_repos_all_metrics!B:K,4,FALSE)</f>
        <v>617</v>
      </c>
      <c r="AD2329">
        <f>VLOOKUP(A:A,[1]android_repos_all_metrics!B:K,5,FALSE)</f>
        <v>48</v>
      </c>
      <c r="AE2329">
        <f>VLOOKUP(A:A,[1]android_repos_all_metrics!B:K,6,FALSE)</f>
        <v>6</v>
      </c>
      <c r="AF2329">
        <f>VLOOKUP(A:A,[1]android_repos_all_metrics!B:K,7,FALSE)</f>
        <v>3928</v>
      </c>
      <c r="AG2329">
        <f>VLOOKUP(A:A,[1]android_repos_all_metrics!B:K,8,FALSE)</f>
        <v>2</v>
      </c>
      <c r="AH2329">
        <f>VLOOKUP(A:A,[1]android_repos_all_metrics!B:K,9,FALSE)</f>
        <v>11</v>
      </c>
      <c r="AI2329">
        <f>VLOOKUP(A:A,[1]android_repos_all_metrics!B:K,10,FALSE)</f>
        <v>8</v>
      </c>
    </row>
    <row r="2330" spans="1:35">
      <c r="A2330" t="s">
        <v>2401</v>
      </c>
      <c r="B2330" t="b">
        <v>0</v>
      </c>
      <c r="C2330" t="b">
        <v>0</v>
      </c>
      <c r="D2330" t="b">
        <v>0</v>
      </c>
      <c r="F2330" t="b">
        <v>0</v>
      </c>
      <c r="H2330" t="s">
        <v>41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>
        <v>1</v>
      </c>
      <c r="AB2330">
        <v>0</v>
      </c>
      <c r="AC2330">
        <f>VLOOKUP(A:A,[1]android_repos_all_metrics!B:K,4,FALSE)</f>
        <v>183</v>
      </c>
      <c r="AD2330">
        <f>VLOOKUP(A:A,[1]android_repos_all_metrics!B:K,5,FALSE)</f>
        <v>1</v>
      </c>
      <c r="AE2330">
        <f>VLOOKUP(A:A,[1]android_repos_all_metrics!B:K,6,FALSE)</f>
        <v>1</v>
      </c>
      <c r="AF2330">
        <f>VLOOKUP(A:A,[1]android_repos_all_metrics!B:K,7,FALSE)</f>
        <v>6669</v>
      </c>
      <c r="AG2330">
        <f>VLOOKUP(A:A,[1]android_repos_all_metrics!B:K,8,FALSE)</f>
        <v>47</v>
      </c>
      <c r="AH2330">
        <f>VLOOKUP(A:A,[1]android_repos_all_metrics!B:K,9,FALSE)</f>
        <v>311</v>
      </c>
      <c r="AI2330">
        <f>VLOOKUP(A:A,[1]android_repos_all_metrics!B:K,10,FALSE)</f>
        <v>5</v>
      </c>
    </row>
    <row r="2331" spans="1:35">
      <c r="A2331" t="s">
        <v>2402</v>
      </c>
      <c r="B2331" t="b">
        <v>1</v>
      </c>
      <c r="C2331" t="b">
        <v>0</v>
      </c>
      <c r="D2331" t="b">
        <v>0</v>
      </c>
      <c r="F2331" t="b">
        <v>0</v>
      </c>
      <c r="H2331" t="s">
        <v>41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>
        <v>1</v>
      </c>
      <c r="AB2331">
        <v>0</v>
      </c>
      <c r="AC2331">
        <f>VLOOKUP(A:A,[1]android_repos_all_metrics!B:K,4,FALSE)</f>
        <v>135</v>
      </c>
      <c r="AD2331">
        <f>VLOOKUP(A:A,[1]android_repos_all_metrics!B:K,5,FALSE)</f>
        <v>1</v>
      </c>
      <c r="AE2331">
        <f>VLOOKUP(A:A,[1]android_repos_all_metrics!B:K,6,FALSE)</f>
        <v>2</v>
      </c>
      <c r="AF2331">
        <f>VLOOKUP(A:A,[1]android_repos_all_metrics!B:K,7,FALSE)</f>
        <v>1667</v>
      </c>
      <c r="AG2331">
        <f>VLOOKUP(A:A,[1]android_repos_all_metrics!B:K,8,FALSE)</f>
        <v>15</v>
      </c>
      <c r="AH2331">
        <f>VLOOKUP(A:A,[1]android_repos_all_metrics!B:K,9,FALSE)</f>
        <v>128</v>
      </c>
      <c r="AI2331">
        <f>VLOOKUP(A:A,[1]android_repos_all_metrics!B:K,10,FALSE)</f>
        <v>4</v>
      </c>
    </row>
    <row r="2332" spans="1:35">
      <c r="A2332" t="s">
        <v>2403</v>
      </c>
      <c r="B2332" t="b">
        <v>1</v>
      </c>
      <c r="C2332" t="b">
        <v>0</v>
      </c>
      <c r="D2332" t="b">
        <v>0</v>
      </c>
      <c r="F2332" t="b">
        <v>0</v>
      </c>
      <c r="H2332" t="s">
        <v>37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>
        <v>3</v>
      </c>
      <c r="AB2332">
        <v>0</v>
      </c>
      <c r="AC2332">
        <f>VLOOKUP(A:A,[1]android_repos_all_metrics!B:K,4,FALSE)</f>
        <v>7728</v>
      </c>
      <c r="AD2332">
        <f>VLOOKUP(A:A,[1]android_repos_all_metrics!B:K,5,FALSE)</f>
        <v>3355</v>
      </c>
      <c r="AE2332">
        <f>VLOOKUP(A:A,[1]android_repos_all_metrics!B:K,6,FALSE)</f>
        <v>21</v>
      </c>
      <c r="AF2332">
        <f>VLOOKUP(A:A,[1]android_repos_all_metrics!B:K,7,FALSE)</f>
        <v>83121</v>
      </c>
      <c r="AG2332">
        <f>VLOOKUP(A:A,[1]android_repos_all_metrics!B:K,8,FALSE)</f>
        <v>324</v>
      </c>
      <c r="AH2332">
        <f>VLOOKUP(A:A,[1]android_repos_all_metrics!B:K,9,FALSE)</f>
        <v>633</v>
      </c>
      <c r="AI2332">
        <f>VLOOKUP(A:A,[1]android_repos_all_metrics!B:K,10,FALSE)</f>
        <v>62</v>
      </c>
    </row>
    <row r="2333" spans="1:35">
      <c r="A2333" t="s">
        <v>2404</v>
      </c>
      <c r="B2333" t="b">
        <v>1</v>
      </c>
      <c r="C2333" t="b">
        <v>0</v>
      </c>
      <c r="D2333" t="b">
        <v>0</v>
      </c>
      <c r="F2333" t="b">
        <v>0</v>
      </c>
      <c r="H2333" t="s">
        <v>37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>
        <v>1</v>
      </c>
      <c r="AB2333">
        <v>0</v>
      </c>
      <c r="AC2333">
        <f>VLOOKUP(A:A,[1]android_repos_all_metrics!B:K,4,FALSE)</f>
        <v>23</v>
      </c>
      <c r="AD2333">
        <f>VLOOKUP(A:A,[1]android_repos_all_metrics!B:K,5,FALSE)</f>
        <v>1</v>
      </c>
      <c r="AE2333">
        <f>VLOOKUP(A:A,[1]android_repos_all_metrics!B:K,6,FALSE)</f>
        <v>1</v>
      </c>
      <c r="AF2333">
        <f>VLOOKUP(A:A,[1]android_repos_all_metrics!B:K,7,FALSE)</f>
        <v>199</v>
      </c>
      <c r="AG2333">
        <f>VLOOKUP(A:A,[1]android_repos_all_metrics!B:K,8,FALSE)</f>
        <v>3</v>
      </c>
      <c r="AH2333">
        <f>VLOOKUP(A:A,[1]android_repos_all_metrics!B:K,9,FALSE)</f>
        <v>5</v>
      </c>
      <c r="AI2333">
        <f>VLOOKUP(A:A,[1]android_repos_all_metrics!B:K,10,FALSE)</f>
        <v>0</v>
      </c>
    </row>
    <row r="2334" spans="1:35">
      <c r="A2334" t="s">
        <v>2405</v>
      </c>
      <c r="B2334" t="b">
        <v>1</v>
      </c>
      <c r="C2334" t="b">
        <v>0</v>
      </c>
      <c r="D2334" t="b">
        <v>0</v>
      </c>
      <c r="F2334" t="b">
        <v>0</v>
      </c>
      <c r="H2334" t="s">
        <v>37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>
        <v>4</v>
      </c>
      <c r="AB2334">
        <v>0</v>
      </c>
      <c r="AC2334">
        <f>VLOOKUP(A:A,[1]android_repos_all_metrics!B:K,4,FALSE)</f>
        <v>1316</v>
      </c>
      <c r="AD2334">
        <f>VLOOKUP(A:A,[1]android_repos_all_metrics!B:K,5,FALSE)</f>
        <v>305</v>
      </c>
      <c r="AE2334">
        <f>VLOOKUP(A:A,[1]android_repos_all_metrics!B:K,6,FALSE)</f>
        <v>24</v>
      </c>
      <c r="AF2334">
        <f>VLOOKUP(A:A,[1]android_repos_all_metrics!B:K,7,FALSE)</f>
        <v>7793</v>
      </c>
      <c r="AG2334">
        <f>VLOOKUP(A:A,[1]android_repos_all_metrics!B:K,8,FALSE)</f>
        <v>18</v>
      </c>
      <c r="AH2334">
        <f>VLOOKUP(A:A,[1]android_repos_all_metrics!B:K,9,FALSE)</f>
        <v>639</v>
      </c>
      <c r="AI2334">
        <f>VLOOKUP(A:A,[1]android_repos_all_metrics!B:K,10,FALSE)</f>
        <v>34</v>
      </c>
    </row>
    <row r="2335" spans="1:35">
      <c r="A2335" t="s">
        <v>2406</v>
      </c>
      <c r="B2335" t="b">
        <v>1</v>
      </c>
      <c r="C2335" t="b">
        <v>0</v>
      </c>
      <c r="D2335" t="b">
        <v>0</v>
      </c>
      <c r="F2335" t="b">
        <v>0</v>
      </c>
      <c r="H2335" t="s">
        <v>37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>
        <v>1</v>
      </c>
      <c r="AB2335">
        <v>0</v>
      </c>
      <c r="AC2335">
        <f>VLOOKUP(A:A,[1]android_repos_all_metrics!B:K,4,FALSE)</f>
        <v>599</v>
      </c>
      <c r="AD2335">
        <f>VLOOKUP(A:A,[1]android_repos_all_metrics!B:K,5,FALSE)</f>
        <v>102</v>
      </c>
      <c r="AE2335">
        <f>VLOOKUP(A:A,[1]android_repos_all_metrics!B:K,6,FALSE)</f>
        <v>3</v>
      </c>
      <c r="AF2335">
        <f>VLOOKUP(A:A,[1]android_repos_all_metrics!B:K,7,FALSE)</f>
        <v>4188</v>
      </c>
      <c r="AG2335">
        <f>VLOOKUP(A:A,[1]android_repos_all_metrics!B:K,8,FALSE)</f>
        <v>6</v>
      </c>
      <c r="AH2335">
        <f>VLOOKUP(A:A,[1]android_repos_all_metrics!B:K,9,FALSE)</f>
        <v>34</v>
      </c>
      <c r="AI2335">
        <f>VLOOKUP(A:A,[1]android_repos_all_metrics!B:K,10,FALSE)</f>
        <v>0</v>
      </c>
    </row>
    <row r="2336" spans="1:35">
      <c r="A2336" t="s">
        <v>2407</v>
      </c>
      <c r="B2336" t="b">
        <v>1</v>
      </c>
      <c r="C2336" t="b">
        <v>0</v>
      </c>
      <c r="D2336" t="b">
        <v>0</v>
      </c>
      <c r="F2336" t="b">
        <v>0</v>
      </c>
      <c r="H2336" t="s">
        <v>37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>
        <v>9</v>
      </c>
      <c r="AB2336">
        <v>0</v>
      </c>
      <c r="AC2336">
        <f>VLOOKUP(A:A,[1]android_repos_all_metrics!B:K,4,FALSE)</f>
        <v>683</v>
      </c>
      <c r="AD2336">
        <f>VLOOKUP(A:A,[1]android_repos_all_metrics!B:K,5,FALSE)</f>
        <v>114</v>
      </c>
      <c r="AE2336">
        <f>VLOOKUP(A:A,[1]android_repos_all_metrics!B:K,6,FALSE)</f>
        <v>24</v>
      </c>
      <c r="AF2336">
        <f>VLOOKUP(A:A,[1]android_repos_all_metrics!B:K,7,FALSE)</f>
        <v>38093</v>
      </c>
      <c r="AG2336">
        <f>VLOOKUP(A:A,[1]android_repos_all_metrics!B:K,8,FALSE)</f>
        <v>33</v>
      </c>
      <c r="AH2336">
        <f>VLOOKUP(A:A,[1]android_repos_all_metrics!B:K,9,FALSE)</f>
        <v>345</v>
      </c>
      <c r="AI2336">
        <f>VLOOKUP(A:A,[1]android_repos_all_metrics!B:K,10,FALSE)</f>
        <v>44</v>
      </c>
    </row>
    <row r="2337" spans="1:35">
      <c r="A2337" t="s">
        <v>2408</v>
      </c>
      <c r="B2337" t="b">
        <v>0</v>
      </c>
      <c r="C2337" t="b">
        <v>0</v>
      </c>
      <c r="D2337" t="b">
        <v>0</v>
      </c>
      <c r="F2337" t="b">
        <v>0</v>
      </c>
      <c r="H2337" t="s">
        <v>41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>
        <v>1</v>
      </c>
      <c r="AB2337">
        <v>0</v>
      </c>
      <c r="AC2337">
        <f>VLOOKUP(A:A,[1]android_repos_all_metrics!B:K,4,FALSE)</f>
        <v>114</v>
      </c>
      <c r="AD2337">
        <f>VLOOKUP(A:A,[1]android_repos_all_metrics!B:K,5,FALSE)</f>
        <v>7</v>
      </c>
      <c r="AE2337">
        <f>VLOOKUP(A:A,[1]android_repos_all_metrics!B:K,6,FALSE)</f>
        <v>3</v>
      </c>
      <c r="AF2337">
        <f>VLOOKUP(A:A,[1]android_repos_all_metrics!B:K,7,FALSE)</f>
        <v>606</v>
      </c>
      <c r="AG2337">
        <f>VLOOKUP(A:A,[1]android_repos_all_metrics!B:K,8,FALSE)</f>
        <v>53</v>
      </c>
      <c r="AH2337">
        <f>VLOOKUP(A:A,[1]android_repos_all_metrics!B:K,9,FALSE)</f>
        <v>114</v>
      </c>
      <c r="AI2337">
        <f>VLOOKUP(A:A,[1]android_repos_all_metrics!B:K,10,FALSE)</f>
        <v>6</v>
      </c>
    </row>
    <row r="2338" spans="1:35">
      <c r="A2338" t="s">
        <v>2409</v>
      </c>
      <c r="B2338" t="b">
        <v>0</v>
      </c>
      <c r="C2338" t="b">
        <v>0</v>
      </c>
      <c r="D2338" t="b">
        <v>0</v>
      </c>
      <c r="F2338" t="b">
        <v>0</v>
      </c>
      <c r="H2338" t="s">
        <v>41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>
        <v>1</v>
      </c>
      <c r="AB2338">
        <v>0</v>
      </c>
      <c r="AC2338">
        <f>VLOOKUP(A:A,[1]android_repos_all_metrics!B:K,4,FALSE)</f>
        <v>426</v>
      </c>
      <c r="AD2338">
        <f>VLOOKUP(A:A,[1]android_repos_all_metrics!B:K,5,FALSE)</f>
        <v>86</v>
      </c>
      <c r="AE2338">
        <f>VLOOKUP(A:A,[1]android_repos_all_metrics!B:K,6,FALSE)</f>
        <v>25</v>
      </c>
      <c r="AF2338">
        <f>VLOOKUP(A:A,[1]android_repos_all_metrics!B:K,7,FALSE)</f>
        <v>2017</v>
      </c>
      <c r="AG2338">
        <f>VLOOKUP(A:A,[1]android_repos_all_metrics!B:K,8,FALSE)</f>
        <v>548</v>
      </c>
      <c r="AH2338">
        <f>VLOOKUP(A:A,[1]android_repos_all_metrics!B:K,9,FALSE)</f>
        <v>1603</v>
      </c>
      <c r="AI2338">
        <f>VLOOKUP(A:A,[1]android_repos_all_metrics!B:K,10,FALSE)</f>
        <v>117</v>
      </c>
    </row>
    <row r="2339" spans="1:35">
      <c r="A2339" t="s">
        <v>2410</v>
      </c>
      <c r="B2339" t="b">
        <v>1</v>
      </c>
      <c r="C2339" t="b">
        <v>0</v>
      </c>
      <c r="D2339" t="b">
        <v>0</v>
      </c>
      <c r="F2339" t="b">
        <v>0</v>
      </c>
      <c r="H2339" t="s">
        <v>76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>
        <v>1</v>
      </c>
      <c r="AB2339">
        <v>0</v>
      </c>
      <c r="AC2339">
        <f>VLOOKUP(A:A,[1]android_repos_all_metrics!B:K,4,FALSE)</f>
        <v>61</v>
      </c>
      <c r="AD2339">
        <f>VLOOKUP(A:A,[1]android_repos_all_metrics!B:K,5,FALSE)</f>
        <v>2</v>
      </c>
      <c r="AE2339">
        <f>VLOOKUP(A:A,[1]android_repos_all_metrics!B:K,6,FALSE)</f>
        <v>2</v>
      </c>
      <c r="AF2339">
        <f>VLOOKUP(A:A,[1]android_repos_all_metrics!B:K,7,FALSE)</f>
        <v>1601</v>
      </c>
      <c r="AG2339">
        <f>VLOOKUP(A:A,[1]android_repos_all_metrics!B:K,8,FALSE)</f>
        <v>2</v>
      </c>
      <c r="AH2339">
        <f>VLOOKUP(A:A,[1]android_repos_all_metrics!B:K,9,FALSE)</f>
        <v>10</v>
      </c>
      <c r="AI2339">
        <f>VLOOKUP(A:A,[1]android_repos_all_metrics!B:K,10,FALSE)</f>
        <v>0</v>
      </c>
    </row>
    <row r="2340" spans="1:35">
      <c r="A2340" t="s">
        <v>2411</v>
      </c>
      <c r="B2340" t="b">
        <v>1</v>
      </c>
      <c r="C2340" t="b">
        <v>1</v>
      </c>
      <c r="D2340" t="b">
        <v>0</v>
      </c>
      <c r="F2340" t="b">
        <v>1</v>
      </c>
      <c r="G2340" t="s">
        <v>109</v>
      </c>
      <c r="H2340" t="s">
        <v>43</v>
      </c>
      <c r="I2340" t="s">
        <v>43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>
        <v>1</v>
      </c>
      <c r="AB2340">
        <v>0</v>
      </c>
      <c r="AC2340">
        <f>VLOOKUP(A:A,[1]android_repos_all_metrics!B:K,4,FALSE)</f>
        <v>1108</v>
      </c>
      <c r="AD2340">
        <f>VLOOKUP(A:A,[1]android_repos_all_metrics!B:K,5,FALSE)</f>
        <v>475</v>
      </c>
      <c r="AE2340">
        <f>VLOOKUP(A:A,[1]android_repos_all_metrics!B:K,6,FALSE)</f>
        <v>25</v>
      </c>
      <c r="AF2340">
        <f>VLOOKUP(A:A,[1]android_repos_all_metrics!B:K,7,FALSE)</f>
        <v>5973</v>
      </c>
      <c r="AG2340">
        <f>VLOOKUP(A:A,[1]android_repos_all_metrics!B:K,8,FALSE)</f>
        <v>329</v>
      </c>
      <c r="AH2340">
        <f>VLOOKUP(A:A,[1]android_repos_all_metrics!B:K,9,FALSE)</f>
        <v>2995</v>
      </c>
      <c r="AI2340">
        <f>VLOOKUP(A:A,[1]android_repos_all_metrics!B:K,10,FALSE)</f>
        <v>604</v>
      </c>
    </row>
    <row r="2341" spans="1:35">
      <c r="A2341" t="s">
        <v>2412</v>
      </c>
      <c r="B2341" t="b">
        <v>1</v>
      </c>
      <c r="C2341" t="b">
        <v>0</v>
      </c>
      <c r="D2341" t="b">
        <v>0</v>
      </c>
      <c r="F2341" t="b">
        <v>0</v>
      </c>
      <c r="H2341" t="s">
        <v>1796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>
        <v>3</v>
      </c>
      <c r="AB2341">
        <v>0</v>
      </c>
      <c r="AC2341">
        <f>VLOOKUP(A:A,[1]android_repos_all_metrics!B:K,4,FALSE)</f>
        <v>4809</v>
      </c>
      <c r="AD2341">
        <f>VLOOKUP(A:A,[1]android_repos_all_metrics!B:K,5,FALSE)</f>
        <v>664</v>
      </c>
      <c r="AE2341">
        <f>VLOOKUP(A:A,[1]android_repos_all_metrics!B:K,6,FALSE)</f>
        <v>108</v>
      </c>
      <c r="AF2341">
        <f>VLOOKUP(A:A,[1]android_repos_all_metrics!B:K,7,FALSE)</f>
        <v>14574</v>
      </c>
      <c r="AG2341">
        <f>VLOOKUP(A:A,[1]android_repos_all_metrics!B:K,8,FALSE)</f>
        <v>188</v>
      </c>
      <c r="AH2341">
        <f>VLOOKUP(A:A,[1]android_repos_all_metrics!B:K,9,FALSE)</f>
        <v>911</v>
      </c>
      <c r="AI2341">
        <f>VLOOKUP(A:A,[1]android_repos_all_metrics!B:K,10,FALSE)</f>
        <v>264</v>
      </c>
    </row>
    <row r="2342" spans="1:35">
      <c r="A2342" t="s">
        <v>2413</v>
      </c>
      <c r="B2342" t="b">
        <v>1</v>
      </c>
      <c r="C2342" t="b">
        <v>0</v>
      </c>
      <c r="D2342" t="b">
        <v>0</v>
      </c>
      <c r="F2342" t="b">
        <v>0</v>
      </c>
      <c r="H2342" t="s">
        <v>136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>
        <v>2</v>
      </c>
      <c r="AB2342">
        <v>0</v>
      </c>
      <c r="AC2342">
        <f>VLOOKUP(A:A,[1]android_repos_all_metrics!B:K,4,FALSE)</f>
        <v>497</v>
      </c>
      <c r="AD2342">
        <f>VLOOKUP(A:A,[1]android_repos_all_metrics!B:K,5,FALSE)</f>
        <v>2</v>
      </c>
      <c r="AE2342">
        <f>VLOOKUP(A:A,[1]android_repos_all_metrics!B:K,6,FALSE)</f>
        <v>2</v>
      </c>
      <c r="AF2342">
        <f>VLOOKUP(A:A,[1]android_repos_all_metrics!B:K,7,FALSE)</f>
        <v>7159</v>
      </c>
      <c r="AG2342">
        <f>VLOOKUP(A:A,[1]android_repos_all_metrics!B:K,8,FALSE)</f>
        <v>2</v>
      </c>
      <c r="AH2342">
        <f>VLOOKUP(A:A,[1]android_repos_all_metrics!B:K,9,FALSE)</f>
        <v>52</v>
      </c>
      <c r="AI2342">
        <f>VLOOKUP(A:A,[1]android_repos_all_metrics!B:K,10,FALSE)</f>
        <v>1</v>
      </c>
    </row>
    <row r="2343" spans="1:35">
      <c r="A2343" t="s">
        <v>2414</v>
      </c>
      <c r="B2343" t="b">
        <v>1</v>
      </c>
      <c r="C2343" t="b">
        <v>0</v>
      </c>
      <c r="D2343" t="b">
        <v>0</v>
      </c>
      <c r="F2343" t="b">
        <v>0</v>
      </c>
      <c r="H2343" t="s">
        <v>37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>
        <v>3</v>
      </c>
      <c r="AB2343">
        <v>0</v>
      </c>
      <c r="AC2343">
        <f>VLOOKUP(A:A,[1]android_repos_all_metrics!B:K,4,FALSE)</f>
        <v>393</v>
      </c>
      <c r="AD2343">
        <f>VLOOKUP(A:A,[1]android_repos_all_metrics!B:K,5,FALSE)</f>
        <v>121</v>
      </c>
      <c r="AE2343">
        <f>VLOOKUP(A:A,[1]android_repos_all_metrics!B:K,6,FALSE)</f>
        <v>24</v>
      </c>
      <c r="AF2343">
        <f>VLOOKUP(A:A,[1]android_repos_all_metrics!B:K,7,FALSE)</f>
        <v>6417</v>
      </c>
      <c r="AG2343">
        <f>VLOOKUP(A:A,[1]android_repos_all_metrics!B:K,8,FALSE)</f>
        <v>8</v>
      </c>
      <c r="AH2343">
        <f>VLOOKUP(A:A,[1]android_repos_all_metrics!B:K,9,FALSE)</f>
        <v>32</v>
      </c>
      <c r="AI2343">
        <f>VLOOKUP(A:A,[1]android_repos_all_metrics!B:K,10,FALSE)</f>
        <v>11</v>
      </c>
    </row>
    <row r="2344" spans="1:35">
      <c r="A2344" t="s">
        <v>2415</v>
      </c>
      <c r="B2344" t="b">
        <v>1</v>
      </c>
      <c r="C2344" t="b">
        <v>0</v>
      </c>
      <c r="D2344" t="b">
        <v>0</v>
      </c>
      <c r="F2344" t="b">
        <v>0</v>
      </c>
      <c r="H2344" t="s">
        <v>37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>
        <v>1</v>
      </c>
      <c r="AB2344">
        <v>0</v>
      </c>
      <c r="AC2344">
        <f>VLOOKUP(A:A,[1]android_repos_all_metrics!B:K,4,FALSE)</f>
        <v>14</v>
      </c>
      <c r="AD2344">
        <f>VLOOKUP(A:A,[1]android_repos_all_metrics!B:K,5,FALSE)</f>
        <v>0</v>
      </c>
      <c r="AE2344">
        <f>VLOOKUP(A:A,[1]android_repos_all_metrics!B:K,6,FALSE)</f>
        <v>1</v>
      </c>
      <c r="AF2344">
        <f>VLOOKUP(A:A,[1]android_repos_all_metrics!B:K,7,FALSE)</f>
        <v>17594</v>
      </c>
      <c r="AG2344">
        <f>VLOOKUP(A:A,[1]android_repos_all_metrics!B:K,8,FALSE)</f>
        <v>0</v>
      </c>
      <c r="AH2344">
        <f>VLOOKUP(A:A,[1]android_repos_all_metrics!B:K,9,FALSE)</f>
        <v>2</v>
      </c>
      <c r="AI2344">
        <f>VLOOKUP(A:A,[1]android_repos_all_metrics!B:K,10,FALSE)</f>
        <v>0</v>
      </c>
    </row>
    <row r="2345" spans="1:35">
      <c r="A2345" t="s">
        <v>2416</v>
      </c>
      <c r="B2345" t="b">
        <v>1</v>
      </c>
      <c r="C2345" t="b">
        <v>0</v>
      </c>
      <c r="D2345" t="b">
        <v>0</v>
      </c>
      <c r="F2345" t="b">
        <v>0</v>
      </c>
      <c r="H2345" t="s">
        <v>37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>
        <v>1</v>
      </c>
      <c r="AB2345">
        <v>0</v>
      </c>
      <c r="AC2345">
        <f>VLOOKUP(A:A,[1]android_repos_all_metrics!B:K,4,FALSE)</f>
        <v>416</v>
      </c>
      <c r="AD2345">
        <f>VLOOKUP(A:A,[1]android_repos_all_metrics!B:K,5,FALSE)</f>
        <v>5</v>
      </c>
      <c r="AE2345">
        <f>VLOOKUP(A:A,[1]android_repos_all_metrics!B:K,6,FALSE)</f>
        <v>2</v>
      </c>
      <c r="AF2345">
        <f>VLOOKUP(A:A,[1]android_repos_all_metrics!B:K,7,FALSE)</f>
        <v>13173</v>
      </c>
      <c r="AG2345">
        <f>VLOOKUP(A:A,[1]android_repos_all_metrics!B:K,8,FALSE)</f>
        <v>2</v>
      </c>
      <c r="AH2345">
        <f>VLOOKUP(A:A,[1]android_repos_all_metrics!B:K,9,FALSE)</f>
        <v>6</v>
      </c>
      <c r="AI2345">
        <f>VLOOKUP(A:A,[1]android_repos_all_metrics!B:K,10,FALSE)</f>
        <v>0</v>
      </c>
    </row>
    <row r="2346" spans="1:35">
      <c r="A2346" t="s">
        <v>2417</v>
      </c>
      <c r="B2346" t="b">
        <v>1</v>
      </c>
      <c r="C2346" t="b">
        <v>0</v>
      </c>
      <c r="D2346" t="b">
        <v>0</v>
      </c>
      <c r="F2346" t="b">
        <v>0</v>
      </c>
      <c r="H2346" t="s">
        <v>41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>
        <v>1</v>
      </c>
      <c r="AB2346">
        <v>0</v>
      </c>
      <c r="AC2346">
        <f>VLOOKUP(A:A,[1]android_repos_all_metrics!B:K,4,FALSE)</f>
        <v>2280</v>
      </c>
      <c r="AD2346">
        <f>VLOOKUP(A:A,[1]android_repos_all_metrics!B:K,5,FALSE)</f>
        <v>171</v>
      </c>
      <c r="AE2346">
        <f>VLOOKUP(A:A,[1]android_repos_all_metrics!B:K,6,FALSE)</f>
        <v>51</v>
      </c>
      <c r="AF2346">
        <f>VLOOKUP(A:A,[1]android_repos_all_metrics!B:K,7,FALSE)</f>
        <v>31307</v>
      </c>
      <c r="AG2346">
        <f>VLOOKUP(A:A,[1]android_repos_all_metrics!B:K,8,FALSE)</f>
        <v>281</v>
      </c>
      <c r="AH2346">
        <f>VLOOKUP(A:A,[1]android_repos_all_metrics!B:K,9,FALSE)</f>
        <v>1009</v>
      </c>
      <c r="AI2346">
        <f>VLOOKUP(A:A,[1]android_repos_all_metrics!B:K,10,FALSE)</f>
        <v>239</v>
      </c>
    </row>
    <row r="2347" spans="1:35">
      <c r="A2347" t="s">
        <v>2418</v>
      </c>
      <c r="B2347" t="b">
        <v>1</v>
      </c>
      <c r="C2347" t="b">
        <v>0</v>
      </c>
      <c r="D2347" t="b">
        <v>0</v>
      </c>
      <c r="F2347" t="b">
        <v>0</v>
      </c>
      <c r="H2347" t="s">
        <v>37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>
        <v>1</v>
      </c>
      <c r="AB2347">
        <v>0</v>
      </c>
      <c r="AC2347">
        <f>VLOOKUP(A:A,[1]android_repos_all_metrics!B:K,4,FALSE)</f>
        <v>112</v>
      </c>
      <c r="AD2347">
        <f>VLOOKUP(A:A,[1]android_repos_all_metrics!B:K,5,FALSE)</f>
        <v>1</v>
      </c>
      <c r="AE2347">
        <f>VLOOKUP(A:A,[1]android_repos_all_metrics!B:K,6,FALSE)</f>
        <v>2</v>
      </c>
      <c r="AF2347">
        <f>VLOOKUP(A:A,[1]android_repos_all_metrics!B:K,7,FALSE)</f>
        <v>671</v>
      </c>
      <c r="AG2347">
        <f>VLOOKUP(A:A,[1]android_repos_all_metrics!B:K,8,FALSE)</f>
        <v>0</v>
      </c>
      <c r="AH2347">
        <f>VLOOKUP(A:A,[1]android_repos_all_metrics!B:K,9,FALSE)</f>
        <v>1</v>
      </c>
      <c r="AI2347">
        <f>VLOOKUP(A:A,[1]android_repos_all_metrics!B:K,10,FALSE)</f>
        <v>2</v>
      </c>
    </row>
    <row r="2348" spans="1:35">
      <c r="A2348" t="s">
        <v>2419</v>
      </c>
      <c r="B2348" t="b">
        <v>1</v>
      </c>
      <c r="C2348" t="b">
        <v>1</v>
      </c>
      <c r="D2348" t="b">
        <v>0</v>
      </c>
      <c r="F2348" t="b">
        <v>1</v>
      </c>
      <c r="G2348" t="s">
        <v>109</v>
      </c>
      <c r="H2348" t="s">
        <v>43</v>
      </c>
      <c r="I2348" t="s">
        <v>43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>
        <v>1</v>
      </c>
      <c r="AB2348">
        <v>0</v>
      </c>
      <c r="AC2348">
        <f>VLOOKUP(A:A,[1]android_repos_all_metrics!B:K,4,FALSE)</f>
        <v>766</v>
      </c>
      <c r="AD2348">
        <f>VLOOKUP(A:A,[1]android_repos_all_metrics!B:K,5,FALSE)</f>
        <v>360</v>
      </c>
      <c r="AE2348">
        <f>VLOOKUP(A:A,[1]android_repos_all_metrics!B:K,6,FALSE)</f>
        <v>3</v>
      </c>
      <c r="AF2348">
        <f>VLOOKUP(A:A,[1]android_repos_all_metrics!B:K,7,FALSE)</f>
        <v>3974</v>
      </c>
      <c r="AG2348">
        <f>VLOOKUP(A:A,[1]android_repos_all_metrics!B:K,8,FALSE)</f>
        <v>1</v>
      </c>
      <c r="AH2348">
        <f>VLOOKUP(A:A,[1]android_repos_all_metrics!B:K,9,FALSE)</f>
        <v>1</v>
      </c>
      <c r="AI2348">
        <f>VLOOKUP(A:A,[1]android_repos_all_metrics!B:K,10,FALSE)</f>
        <v>5</v>
      </c>
    </row>
    <row r="2349" spans="1:35">
      <c r="A2349" t="s">
        <v>2420</v>
      </c>
      <c r="B2349" t="b">
        <v>1</v>
      </c>
      <c r="C2349" t="b">
        <v>0</v>
      </c>
      <c r="D2349" t="b">
        <v>0</v>
      </c>
      <c r="F2349" t="b">
        <v>0</v>
      </c>
      <c r="H2349" t="s">
        <v>37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>
        <v>2</v>
      </c>
      <c r="AB2349">
        <v>0</v>
      </c>
      <c r="AC2349">
        <f>VLOOKUP(A:A,[1]android_repos_all_metrics!B:K,4,FALSE)</f>
        <v>90</v>
      </c>
      <c r="AD2349">
        <f>VLOOKUP(A:A,[1]android_repos_all_metrics!B:K,5,FALSE)</f>
        <v>4</v>
      </c>
      <c r="AE2349">
        <f>VLOOKUP(A:A,[1]android_repos_all_metrics!B:K,6,FALSE)</f>
        <v>2</v>
      </c>
      <c r="AF2349">
        <f>VLOOKUP(A:A,[1]android_repos_all_metrics!B:K,7,FALSE)</f>
        <v>987</v>
      </c>
      <c r="AG2349">
        <f>VLOOKUP(A:A,[1]android_repos_all_metrics!B:K,8,FALSE)</f>
        <v>1</v>
      </c>
      <c r="AH2349">
        <f>VLOOKUP(A:A,[1]android_repos_all_metrics!B:K,9,FALSE)</f>
        <v>12</v>
      </c>
      <c r="AI2349">
        <f>VLOOKUP(A:A,[1]android_repos_all_metrics!B:K,10,FALSE)</f>
        <v>2</v>
      </c>
    </row>
    <row r="2350" spans="1:35">
      <c r="A2350" t="s">
        <v>2421</v>
      </c>
      <c r="B2350" t="b">
        <v>1</v>
      </c>
      <c r="C2350" t="b">
        <v>1</v>
      </c>
      <c r="D2350" t="b">
        <v>0</v>
      </c>
      <c r="F2350" t="b">
        <v>1</v>
      </c>
      <c r="G2350" t="s">
        <v>39</v>
      </c>
      <c r="H2350" t="s">
        <v>41</v>
      </c>
      <c r="I2350" t="s">
        <v>41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>
        <v>1</v>
      </c>
      <c r="AB2350">
        <v>0</v>
      </c>
      <c r="AC2350">
        <f>VLOOKUP(A:A,[1]android_repos_all_metrics!B:K,4,FALSE)</f>
        <v>378</v>
      </c>
      <c r="AD2350">
        <f>VLOOKUP(A:A,[1]android_repos_all_metrics!B:K,5,FALSE)</f>
        <v>94</v>
      </c>
      <c r="AE2350">
        <f>VLOOKUP(A:A,[1]android_repos_all_metrics!B:K,6,FALSE)</f>
        <v>5</v>
      </c>
      <c r="AF2350">
        <f>VLOOKUP(A:A,[1]android_repos_all_metrics!B:K,7,FALSE)</f>
        <v>44518</v>
      </c>
      <c r="AG2350">
        <f>VLOOKUP(A:A,[1]android_repos_all_metrics!B:K,8,FALSE)</f>
        <v>56</v>
      </c>
      <c r="AH2350">
        <f>VLOOKUP(A:A,[1]android_repos_all_metrics!B:K,9,FALSE)</f>
        <v>377</v>
      </c>
      <c r="AI2350">
        <f>VLOOKUP(A:A,[1]android_repos_all_metrics!B:K,10,FALSE)</f>
        <v>66</v>
      </c>
    </row>
    <row r="2351" spans="1:35">
      <c r="A2351" t="s">
        <v>2422</v>
      </c>
      <c r="B2351" t="b">
        <v>0</v>
      </c>
      <c r="C2351" t="b">
        <v>0</v>
      </c>
      <c r="D2351" t="b">
        <v>0</v>
      </c>
      <c r="F2351" t="b">
        <v>0</v>
      </c>
      <c r="H2351" t="s">
        <v>41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>
        <v>1</v>
      </c>
      <c r="AB2351">
        <v>0</v>
      </c>
      <c r="AC2351">
        <f>VLOOKUP(A:A,[1]android_repos_all_metrics!B:K,4,FALSE)</f>
        <v>22</v>
      </c>
      <c r="AD2351">
        <f>VLOOKUP(A:A,[1]android_repos_all_metrics!B:K,5,FALSE)</f>
        <v>1</v>
      </c>
      <c r="AE2351">
        <f>VLOOKUP(A:A,[1]android_repos_all_metrics!B:K,6,FALSE)</f>
        <v>1</v>
      </c>
      <c r="AF2351">
        <f>VLOOKUP(A:A,[1]android_repos_all_metrics!B:K,7,FALSE)</f>
        <v>1494</v>
      </c>
      <c r="AG2351">
        <f>VLOOKUP(A:A,[1]android_repos_all_metrics!B:K,8,FALSE)</f>
        <v>7</v>
      </c>
      <c r="AH2351">
        <f>VLOOKUP(A:A,[1]android_repos_all_metrics!B:K,9,FALSE)</f>
        <v>45</v>
      </c>
      <c r="AI2351">
        <f>VLOOKUP(A:A,[1]android_repos_all_metrics!B:K,10,FALSE)</f>
        <v>1</v>
      </c>
    </row>
    <row r="2352" spans="1:35">
      <c r="A2352" t="s">
        <v>2423</v>
      </c>
      <c r="B2352" t="b">
        <v>1</v>
      </c>
      <c r="C2352" t="b">
        <v>0</v>
      </c>
      <c r="D2352" t="b">
        <v>0</v>
      </c>
      <c r="F2352" t="b">
        <v>0</v>
      </c>
      <c r="H2352" t="s">
        <v>37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>
        <v>3</v>
      </c>
      <c r="AB2352">
        <v>0</v>
      </c>
      <c r="AC2352">
        <f>VLOOKUP(A:A,[1]android_repos_all_metrics!B:K,4,FALSE)</f>
        <v>11</v>
      </c>
      <c r="AD2352">
        <f>VLOOKUP(A:A,[1]android_repos_all_metrics!B:K,5,FALSE)</f>
        <v>12</v>
      </c>
      <c r="AE2352">
        <f>VLOOKUP(A:A,[1]android_repos_all_metrics!B:K,6,FALSE)</f>
        <v>3</v>
      </c>
      <c r="AF2352">
        <f>VLOOKUP(A:A,[1]android_repos_all_metrics!B:K,7,FALSE)</f>
        <v>2594</v>
      </c>
      <c r="AG2352">
        <f>VLOOKUP(A:A,[1]android_repos_all_metrics!B:K,8,FALSE)</f>
        <v>13</v>
      </c>
      <c r="AH2352">
        <f>VLOOKUP(A:A,[1]android_repos_all_metrics!B:K,9,FALSE)</f>
        <v>31</v>
      </c>
      <c r="AI2352">
        <f>VLOOKUP(A:A,[1]android_repos_all_metrics!B:K,10,FALSE)</f>
        <v>0</v>
      </c>
    </row>
    <row r="2353" spans="1:35">
      <c r="A2353" t="s">
        <v>2424</v>
      </c>
      <c r="B2353" t="b">
        <v>0</v>
      </c>
      <c r="C2353" t="b">
        <v>0</v>
      </c>
      <c r="D2353" t="b">
        <v>0</v>
      </c>
      <c r="F2353" t="b">
        <v>0</v>
      </c>
      <c r="H2353" t="s">
        <v>41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>
        <v>1</v>
      </c>
      <c r="AB2353">
        <v>0</v>
      </c>
      <c r="AC2353">
        <f>VLOOKUP(A:A,[1]android_repos_all_metrics!B:K,4,FALSE)</f>
        <v>52</v>
      </c>
      <c r="AD2353">
        <f>VLOOKUP(A:A,[1]android_repos_all_metrics!B:K,5,FALSE)</f>
        <v>100</v>
      </c>
      <c r="AE2353">
        <f>VLOOKUP(A:A,[1]android_repos_all_metrics!B:K,6,FALSE)</f>
        <v>7</v>
      </c>
      <c r="AF2353">
        <f>VLOOKUP(A:A,[1]android_repos_all_metrics!B:K,7,FALSE)</f>
        <v>550</v>
      </c>
      <c r="AG2353">
        <f>VLOOKUP(A:A,[1]android_repos_all_metrics!B:K,8,FALSE)</f>
        <v>5</v>
      </c>
      <c r="AH2353">
        <f>VLOOKUP(A:A,[1]android_repos_all_metrics!B:K,9,FALSE)</f>
        <v>21</v>
      </c>
      <c r="AI2353">
        <f>VLOOKUP(A:A,[1]android_repos_all_metrics!B:K,10,FALSE)</f>
        <v>5</v>
      </c>
    </row>
    <row r="2354" spans="1:35">
      <c r="A2354" t="s">
        <v>2425</v>
      </c>
      <c r="B2354" t="b">
        <v>0</v>
      </c>
      <c r="C2354" t="b">
        <v>0</v>
      </c>
      <c r="D2354" t="b">
        <v>0</v>
      </c>
      <c r="F2354" t="b">
        <v>0</v>
      </c>
      <c r="H2354" t="s">
        <v>43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>
        <v>1</v>
      </c>
      <c r="AB2354">
        <v>0</v>
      </c>
      <c r="AC2354">
        <f>VLOOKUP(A:A,[1]android_repos_all_metrics!B:K,4,FALSE)</f>
        <v>77</v>
      </c>
      <c r="AD2354">
        <f>VLOOKUP(A:A,[1]android_repos_all_metrics!B:K,5,FALSE)</f>
        <v>25</v>
      </c>
      <c r="AE2354">
        <f>VLOOKUP(A:A,[1]android_repos_all_metrics!B:K,6,FALSE)</f>
        <v>2</v>
      </c>
      <c r="AF2354">
        <f>VLOOKUP(A:A,[1]android_repos_all_metrics!B:K,7,FALSE)</f>
        <v>216</v>
      </c>
      <c r="AG2354">
        <f>VLOOKUP(A:A,[1]android_repos_all_metrics!B:K,8,FALSE)</f>
        <v>1</v>
      </c>
      <c r="AH2354">
        <f>VLOOKUP(A:A,[1]android_repos_all_metrics!B:K,9,FALSE)</f>
        <v>12</v>
      </c>
      <c r="AI2354">
        <f>VLOOKUP(A:A,[1]android_repos_all_metrics!B:K,10,FALSE)</f>
        <v>1</v>
      </c>
    </row>
    <row r="2355" spans="1:35">
      <c r="A2355" t="s">
        <v>2426</v>
      </c>
      <c r="B2355" t="b">
        <v>0</v>
      </c>
      <c r="C2355" t="b">
        <v>0</v>
      </c>
      <c r="D2355" t="b">
        <v>0</v>
      </c>
      <c r="F2355" t="b">
        <v>0</v>
      </c>
      <c r="H2355" t="s">
        <v>41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>
        <v>1</v>
      </c>
      <c r="AB2355">
        <v>0</v>
      </c>
      <c r="AC2355">
        <f>VLOOKUP(A:A,[1]android_repos_all_metrics!B:K,4,FALSE)</f>
        <v>12</v>
      </c>
      <c r="AD2355">
        <f>VLOOKUP(A:A,[1]android_repos_all_metrics!B:K,5,FALSE)</f>
        <v>0</v>
      </c>
      <c r="AE2355">
        <f>VLOOKUP(A:A,[1]android_repos_all_metrics!B:K,6,FALSE)</f>
        <v>1</v>
      </c>
      <c r="AF2355">
        <f>VLOOKUP(A:A,[1]android_repos_all_metrics!B:K,7,FALSE)</f>
        <v>109</v>
      </c>
      <c r="AG2355">
        <f>VLOOKUP(A:A,[1]android_repos_all_metrics!B:K,8,FALSE)</f>
        <v>1</v>
      </c>
      <c r="AH2355">
        <f>VLOOKUP(A:A,[1]android_repos_all_metrics!B:K,9,FALSE)</f>
        <v>18</v>
      </c>
      <c r="AI2355">
        <f>VLOOKUP(A:A,[1]android_repos_all_metrics!B:K,10,FALSE)</f>
        <v>0</v>
      </c>
    </row>
    <row r="2356" spans="1:35">
      <c r="A2356" t="s">
        <v>2427</v>
      </c>
      <c r="B2356" t="b">
        <v>1</v>
      </c>
      <c r="C2356" t="b">
        <v>0</v>
      </c>
      <c r="D2356" t="b">
        <v>0</v>
      </c>
      <c r="F2356" t="b">
        <v>0</v>
      </c>
      <c r="H2356" t="s">
        <v>37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>
        <v>1</v>
      </c>
      <c r="AB2356">
        <v>0</v>
      </c>
      <c r="AC2356">
        <f>VLOOKUP(A:A,[1]android_repos_all_metrics!B:K,4,FALSE)</f>
        <v>649</v>
      </c>
      <c r="AD2356">
        <f>VLOOKUP(A:A,[1]android_repos_all_metrics!B:K,5,FALSE)</f>
        <v>25</v>
      </c>
      <c r="AE2356">
        <f>VLOOKUP(A:A,[1]android_repos_all_metrics!B:K,6,FALSE)</f>
        <v>8</v>
      </c>
      <c r="AF2356">
        <f>VLOOKUP(A:A,[1]android_repos_all_metrics!B:K,7,FALSE)</f>
        <v>11100</v>
      </c>
      <c r="AG2356">
        <f>VLOOKUP(A:A,[1]android_repos_all_metrics!B:K,8,FALSE)</f>
        <v>286</v>
      </c>
      <c r="AH2356">
        <f>VLOOKUP(A:A,[1]android_repos_all_metrics!B:K,9,FALSE)</f>
        <v>4676</v>
      </c>
      <c r="AI2356">
        <f>VLOOKUP(A:A,[1]android_repos_all_metrics!B:K,10,FALSE)</f>
        <v>104</v>
      </c>
    </row>
    <row r="2357" spans="1:35">
      <c r="A2357" t="s">
        <v>2428</v>
      </c>
      <c r="B2357" t="b">
        <v>1</v>
      </c>
      <c r="C2357" t="b">
        <v>0</v>
      </c>
      <c r="D2357" t="b">
        <v>0</v>
      </c>
      <c r="F2357" t="b">
        <v>0</v>
      </c>
      <c r="H2357" t="s">
        <v>37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>
        <v>1</v>
      </c>
      <c r="AB2357">
        <v>0</v>
      </c>
      <c r="AC2357">
        <f>VLOOKUP(A:A,[1]android_repos_all_metrics!B:K,4,FALSE)</f>
        <v>2723</v>
      </c>
      <c r="AD2357">
        <f>VLOOKUP(A:A,[1]android_repos_all_metrics!B:K,5,FALSE)</f>
        <v>271</v>
      </c>
      <c r="AE2357">
        <f>VLOOKUP(A:A,[1]android_repos_all_metrics!B:K,6,FALSE)</f>
        <v>69</v>
      </c>
      <c r="AF2357">
        <f>VLOOKUP(A:A,[1]android_repos_all_metrics!B:K,7,FALSE)</f>
        <v>21353</v>
      </c>
      <c r="AG2357">
        <f>VLOOKUP(A:A,[1]android_repos_all_metrics!B:K,8,FALSE)</f>
        <v>124</v>
      </c>
      <c r="AH2357">
        <f>VLOOKUP(A:A,[1]android_repos_all_metrics!B:K,9,FALSE)</f>
        <v>613</v>
      </c>
      <c r="AI2357">
        <f>VLOOKUP(A:A,[1]android_repos_all_metrics!B:K,10,FALSE)</f>
        <v>44</v>
      </c>
    </row>
    <row r="2358" spans="1:35">
      <c r="A2358" t="s">
        <v>2429</v>
      </c>
      <c r="B2358" t="b">
        <v>1</v>
      </c>
      <c r="C2358" t="b">
        <v>0</v>
      </c>
      <c r="D2358" t="b">
        <v>0</v>
      </c>
      <c r="F2358" t="b">
        <v>0</v>
      </c>
      <c r="H2358" t="s">
        <v>76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>
        <v>1</v>
      </c>
      <c r="AB2358">
        <v>0</v>
      </c>
      <c r="AC2358">
        <f>VLOOKUP(A:A,[1]android_repos_all_metrics!B:K,4,FALSE)</f>
        <v>19</v>
      </c>
      <c r="AD2358">
        <f>VLOOKUP(A:A,[1]android_repos_all_metrics!B:K,5,FALSE)</f>
        <v>0</v>
      </c>
      <c r="AE2358">
        <f>VLOOKUP(A:A,[1]android_repos_all_metrics!B:K,6,FALSE)</f>
        <v>1</v>
      </c>
      <c r="AF2358">
        <f>VLOOKUP(A:A,[1]android_repos_all_metrics!B:K,7,FALSE)</f>
        <v>1316</v>
      </c>
      <c r="AG2358">
        <f>VLOOKUP(A:A,[1]android_repos_all_metrics!B:K,8,FALSE)</f>
        <v>7</v>
      </c>
      <c r="AH2358">
        <f>VLOOKUP(A:A,[1]android_repos_all_metrics!B:K,9,FALSE)</f>
        <v>19</v>
      </c>
      <c r="AI2358">
        <f>VLOOKUP(A:A,[1]android_repos_all_metrics!B:K,10,FALSE)</f>
        <v>1</v>
      </c>
    </row>
    <row r="2359" spans="1:35">
      <c r="A2359" t="s">
        <v>2430</v>
      </c>
      <c r="B2359" t="b">
        <v>1</v>
      </c>
      <c r="C2359" t="b">
        <v>1</v>
      </c>
      <c r="D2359" t="b">
        <v>1</v>
      </c>
      <c r="E2359" t="s">
        <v>36</v>
      </c>
      <c r="F2359" t="b">
        <v>0</v>
      </c>
      <c r="H2359" t="s">
        <v>37</v>
      </c>
      <c r="I2359" t="s">
        <v>37</v>
      </c>
      <c r="J2359" t="b">
        <v>0</v>
      </c>
      <c r="K2359" t="b">
        <v>0</v>
      </c>
      <c r="L2359" t="b">
        <v>0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1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>
        <v>2</v>
      </c>
      <c r="AA2359">
        <v>3</v>
      </c>
      <c r="AB2359">
        <v>0</v>
      </c>
      <c r="AC2359">
        <f>VLOOKUP(A:A,[1]android_repos_all_metrics!B:K,4,FALSE)</f>
        <v>361</v>
      </c>
      <c r="AD2359">
        <f>VLOOKUP(A:A,[1]android_repos_all_metrics!B:K,5,FALSE)</f>
        <v>3</v>
      </c>
      <c r="AE2359">
        <f>VLOOKUP(A:A,[1]android_repos_all_metrics!B:K,6,FALSE)</f>
        <v>2</v>
      </c>
      <c r="AF2359">
        <f>VLOOKUP(A:A,[1]android_repos_all_metrics!B:K,7,FALSE)</f>
        <v>7741</v>
      </c>
      <c r="AG2359">
        <f>VLOOKUP(A:A,[1]android_repos_all_metrics!B:K,8,FALSE)</f>
        <v>2</v>
      </c>
      <c r="AH2359">
        <f>VLOOKUP(A:A,[1]android_repos_all_metrics!B:K,9,FALSE)</f>
        <v>15</v>
      </c>
      <c r="AI2359">
        <f>VLOOKUP(A:A,[1]android_repos_all_metrics!B:K,10,FALSE)</f>
        <v>0</v>
      </c>
    </row>
    <row r="2360" spans="1:35">
      <c r="A2360" t="s">
        <v>2431</v>
      </c>
      <c r="B2360" t="b">
        <v>1</v>
      </c>
      <c r="C2360" t="b">
        <v>0</v>
      </c>
      <c r="D2360" t="b">
        <v>0</v>
      </c>
      <c r="F2360" t="b">
        <v>0</v>
      </c>
      <c r="H2360" t="s">
        <v>86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>
        <v>2</v>
      </c>
      <c r="AB2360">
        <v>0</v>
      </c>
      <c r="AC2360">
        <f>VLOOKUP(A:A,[1]android_repos_all_metrics!B:K,4,FALSE)</f>
        <v>1661</v>
      </c>
      <c r="AD2360">
        <f>VLOOKUP(A:A,[1]android_repos_all_metrics!B:K,5,FALSE)</f>
        <v>64</v>
      </c>
      <c r="AE2360">
        <f>VLOOKUP(A:A,[1]android_repos_all_metrics!B:K,6,FALSE)</f>
        <v>37</v>
      </c>
      <c r="AF2360">
        <f>VLOOKUP(A:A,[1]android_repos_all_metrics!B:K,7,FALSE)</f>
        <v>49794</v>
      </c>
      <c r="AG2360">
        <f>VLOOKUP(A:A,[1]android_repos_all_metrics!B:K,8,FALSE)</f>
        <v>2408</v>
      </c>
      <c r="AH2360">
        <f>VLOOKUP(A:A,[1]android_repos_all_metrics!B:K,9,FALSE)</f>
        <v>14212</v>
      </c>
      <c r="AI2360">
        <f>VLOOKUP(A:A,[1]android_repos_all_metrics!B:K,10,FALSE)</f>
        <v>122</v>
      </c>
    </row>
    <row r="2361" spans="1:35">
      <c r="A2361" t="s">
        <v>2432</v>
      </c>
      <c r="B2361" t="b">
        <v>1</v>
      </c>
      <c r="C2361" t="b">
        <v>0</v>
      </c>
      <c r="D2361" t="b">
        <v>0</v>
      </c>
      <c r="F2361" t="b">
        <v>0</v>
      </c>
      <c r="H2361" t="s">
        <v>41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>
        <v>1</v>
      </c>
      <c r="AB2361">
        <v>0</v>
      </c>
      <c r="AC2361">
        <f>VLOOKUP(A:A,[1]android_repos_all_metrics!B:K,4,FALSE)</f>
        <v>23</v>
      </c>
      <c r="AD2361">
        <f>VLOOKUP(A:A,[1]android_repos_all_metrics!B:K,5,FALSE)</f>
        <v>4</v>
      </c>
      <c r="AE2361">
        <f>VLOOKUP(A:A,[1]android_repos_all_metrics!B:K,6,FALSE)</f>
        <v>2</v>
      </c>
      <c r="AF2361">
        <f>VLOOKUP(A:A,[1]android_repos_all_metrics!B:K,7,FALSE)</f>
        <v>595</v>
      </c>
      <c r="AG2361">
        <f>VLOOKUP(A:A,[1]android_repos_all_metrics!B:K,8,FALSE)</f>
        <v>6</v>
      </c>
      <c r="AH2361">
        <f>VLOOKUP(A:A,[1]android_repos_all_metrics!B:K,9,FALSE)</f>
        <v>11</v>
      </c>
      <c r="AI2361">
        <f>VLOOKUP(A:A,[1]android_repos_all_metrics!B:K,10,FALSE)</f>
        <v>2</v>
      </c>
    </row>
    <row r="2362" spans="1:35">
      <c r="A2362" t="s">
        <v>2433</v>
      </c>
      <c r="B2362" t="b">
        <v>1</v>
      </c>
      <c r="C2362" t="b">
        <v>0</v>
      </c>
      <c r="D2362" t="b">
        <v>0</v>
      </c>
      <c r="F2362" t="b">
        <v>0</v>
      </c>
      <c r="H2362" t="s">
        <v>37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>
        <v>2</v>
      </c>
      <c r="AB2362">
        <v>0</v>
      </c>
      <c r="AC2362">
        <f>VLOOKUP(A:A,[1]android_repos_all_metrics!B:K,4,FALSE)</f>
        <v>598</v>
      </c>
      <c r="AD2362">
        <f>VLOOKUP(A:A,[1]android_repos_all_metrics!B:K,5,FALSE)</f>
        <v>0</v>
      </c>
      <c r="AE2362">
        <f>VLOOKUP(A:A,[1]android_repos_all_metrics!B:K,6,FALSE)</f>
        <v>1</v>
      </c>
      <c r="AF2362">
        <f>VLOOKUP(A:A,[1]android_repos_all_metrics!B:K,7,FALSE)</f>
        <v>57987</v>
      </c>
      <c r="AG2362">
        <f>VLOOKUP(A:A,[1]android_repos_all_metrics!B:K,8,FALSE)</f>
        <v>5</v>
      </c>
      <c r="AH2362">
        <f>VLOOKUP(A:A,[1]android_repos_all_metrics!B:K,9,FALSE)</f>
        <v>8</v>
      </c>
      <c r="AI2362">
        <f>VLOOKUP(A:A,[1]android_repos_all_metrics!B:K,10,FALSE)</f>
        <v>0</v>
      </c>
    </row>
    <row r="2363" spans="1:35">
      <c r="A2363" t="s">
        <v>2434</v>
      </c>
      <c r="B2363" t="b">
        <v>1</v>
      </c>
      <c r="C2363" t="b">
        <v>0</v>
      </c>
      <c r="D2363" t="b">
        <v>0</v>
      </c>
      <c r="F2363" t="b">
        <v>0</v>
      </c>
      <c r="H2363" t="s">
        <v>41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>
        <v>1</v>
      </c>
      <c r="AB2363">
        <v>0</v>
      </c>
      <c r="AC2363">
        <f>VLOOKUP(A:A,[1]android_repos_all_metrics!B:K,4,FALSE)</f>
        <v>393</v>
      </c>
      <c r="AD2363">
        <f>VLOOKUP(A:A,[1]android_repos_all_metrics!B:K,5,FALSE)</f>
        <v>14</v>
      </c>
      <c r="AE2363">
        <f>VLOOKUP(A:A,[1]android_repos_all_metrics!B:K,6,FALSE)</f>
        <v>1</v>
      </c>
      <c r="AF2363">
        <f>VLOOKUP(A:A,[1]android_repos_all_metrics!B:K,7,FALSE)</f>
        <v>14281</v>
      </c>
      <c r="AG2363">
        <f>VLOOKUP(A:A,[1]android_repos_all_metrics!B:K,8,FALSE)</f>
        <v>12</v>
      </c>
      <c r="AH2363">
        <f>VLOOKUP(A:A,[1]android_repos_all_metrics!B:K,9,FALSE)</f>
        <v>13</v>
      </c>
      <c r="AI2363">
        <f>VLOOKUP(A:A,[1]android_repos_all_metrics!B:K,10,FALSE)</f>
        <v>10</v>
      </c>
    </row>
    <row r="2364" spans="1:35">
      <c r="A2364" t="s">
        <v>2435</v>
      </c>
      <c r="B2364" t="b">
        <v>0</v>
      </c>
      <c r="C2364" t="b">
        <v>0</v>
      </c>
      <c r="D2364" t="b">
        <v>0</v>
      </c>
      <c r="F2364" t="b">
        <v>0</v>
      </c>
      <c r="H2364" t="s">
        <v>41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>
        <v>1</v>
      </c>
      <c r="AB2364">
        <v>0</v>
      </c>
      <c r="AC2364">
        <f>VLOOKUP(A:A,[1]android_repos_all_metrics!B:K,4,FALSE)</f>
        <v>25</v>
      </c>
      <c r="AD2364">
        <f>VLOOKUP(A:A,[1]android_repos_all_metrics!B:K,5,FALSE)</f>
        <v>0</v>
      </c>
      <c r="AE2364">
        <f>VLOOKUP(A:A,[1]android_repos_all_metrics!B:K,6,FALSE)</f>
        <v>1</v>
      </c>
      <c r="AF2364">
        <f>VLOOKUP(A:A,[1]android_repos_all_metrics!B:K,7,FALSE)</f>
        <v>679</v>
      </c>
      <c r="AG2364">
        <f>VLOOKUP(A:A,[1]android_repos_all_metrics!B:K,8,FALSE)</f>
        <v>1</v>
      </c>
      <c r="AH2364">
        <f>VLOOKUP(A:A,[1]android_repos_all_metrics!B:K,9,FALSE)</f>
        <v>2</v>
      </c>
      <c r="AI2364">
        <f>VLOOKUP(A:A,[1]android_repos_all_metrics!B:K,10,FALSE)</f>
        <v>0</v>
      </c>
    </row>
    <row r="2365" spans="1:35">
      <c r="A2365" t="s">
        <v>2436</v>
      </c>
      <c r="B2365" t="b">
        <v>1</v>
      </c>
      <c r="C2365" t="b">
        <v>0</v>
      </c>
      <c r="D2365" t="b">
        <v>0</v>
      </c>
      <c r="F2365" t="b">
        <v>0</v>
      </c>
      <c r="H2365" t="s">
        <v>37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>
        <v>1</v>
      </c>
      <c r="AB2365">
        <v>0</v>
      </c>
      <c r="AC2365">
        <f>VLOOKUP(A:A,[1]android_repos_all_metrics!B:K,4,FALSE)</f>
        <v>0</v>
      </c>
      <c r="AD2365">
        <f>VLOOKUP(A:A,[1]android_repos_all_metrics!B:K,5,FALSE)</f>
        <v>0</v>
      </c>
      <c r="AE2365">
        <f>VLOOKUP(A:A,[1]android_repos_all_metrics!B:K,6,FALSE)</f>
        <v>0</v>
      </c>
      <c r="AF2365">
        <f>VLOOKUP(A:A,[1]android_repos_all_metrics!B:K,7,FALSE)</f>
        <v>24679</v>
      </c>
      <c r="AG2365">
        <f>VLOOKUP(A:A,[1]android_repos_all_metrics!B:K,8,FALSE)</f>
        <v>22</v>
      </c>
      <c r="AH2365">
        <f>VLOOKUP(A:A,[1]android_repos_all_metrics!B:K,9,FALSE)</f>
        <v>127</v>
      </c>
      <c r="AI2365">
        <f>VLOOKUP(A:A,[1]android_repos_all_metrics!B:K,10,FALSE)</f>
        <v>0</v>
      </c>
    </row>
    <row r="2366" spans="1:35">
      <c r="A2366" t="s">
        <v>2437</v>
      </c>
      <c r="B2366" t="b">
        <v>1</v>
      </c>
      <c r="C2366" t="b">
        <v>0</v>
      </c>
      <c r="D2366" t="b">
        <v>0</v>
      </c>
      <c r="F2366" t="b">
        <v>0</v>
      </c>
      <c r="H2366" t="s">
        <v>37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>
        <v>2</v>
      </c>
      <c r="AB2366">
        <v>0</v>
      </c>
      <c r="AC2366">
        <f>VLOOKUP(A:A,[1]android_repos_all_metrics!B:K,4,FALSE)</f>
        <v>111</v>
      </c>
      <c r="AD2366">
        <f>VLOOKUP(A:A,[1]android_repos_all_metrics!B:K,5,FALSE)</f>
        <v>29</v>
      </c>
      <c r="AE2366">
        <f>VLOOKUP(A:A,[1]android_repos_all_metrics!B:K,6,FALSE)</f>
        <v>2</v>
      </c>
      <c r="AF2366">
        <f>VLOOKUP(A:A,[1]android_repos_all_metrics!B:K,7,FALSE)</f>
        <v>74745</v>
      </c>
      <c r="AG2366">
        <f>VLOOKUP(A:A,[1]android_repos_all_metrics!B:K,8,FALSE)</f>
        <v>2</v>
      </c>
      <c r="AH2366">
        <f>VLOOKUP(A:A,[1]android_repos_all_metrics!B:K,9,FALSE)</f>
        <v>3</v>
      </c>
      <c r="AI2366">
        <f>VLOOKUP(A:A,[1]android_repos_all_metrics!B:K,10,FALSE)</f>
        <v>0</v>
      </c>
    </row>
    <row r="2367" spans="1:35">
      <c r="A2367" t="s">
        <v>2438</v>
      </c>
      <c r="B2367" t="b">
        <v>1</v>
      </c>
      <c r="C2367" t="b">
        <v>0</v>
      </c>
      <c r="D2367" t="b">
        <v>0</v>
      </c>
      <c r="F2367" t="b">
        <v>0</v>
      </c>
      <c r="H2367" t="s">
        <v>37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>
        <v>1</v>
      </c>
      <c r="AB2367">
        <v>0</v>
      </c>
      <c r="AC2367">
        <f>VLOOKUP(A:A,[1]android_repos_all_metrics!B:K,4,FALSE)</f>
        <v>292</v>
      </c>
      <c r="AD2367">
        <f>VLOOKUP(A:A,[1]android_repos_all_metrics!B:K,5,FALSE)</f>
        <v>23</v>
      </c>
      <c r="AE2367">
        <f>VLOOKUP(A:A,[1]android_repos_all_metrics!B:K,6,FALSE)</f>
        <v>4</v>
      </c>
      <c r="AF2367">
        <f>VLOOKUP(A:A,[1]android_repos_all_metrics!B:K,7,FALSE)</f>
        <v>4575</v>
      </c>
      <c r="AG2367">
        <f>VLOOKUP(A:A,[1]android_repos_all_metrics!B:K,8,FALSE)</f>
        <v>10</v>
      </c>
      <c r="AH2367">
        <f>VLOOKUP(A:A,[1]android_repos_all_metrics!B:K,9,FALSE)</f>
        <v>27</v>
      </c>
      <c r="AI2367">
        <f>VLOOKUP(A:A,[1]android_repos_all_metrics!B:K,10,FALSE)</f>
        <v>32</v>
      </c>
    </row>
    <row r="2368" spans="1:35">
      <c r="A2368" t="s">
        <v>2439</v>
      </c>
      <c r="B2368" t="b">
        <v>0</v>
      </c>
      <c r="C2368" t="b">
        <v>0</v>
      </c>
      <c r="D2368" t="b">
        <v>0</v>
      </c>
      <c r="F2368" t="b">
        <v>0</v>
      </c>
      <c r="H2368" t="s">
        <v>41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>
        <v>1</v>
      </c>
      <c r="AB2368">
        <v>0</v>
      </c>
      <c r="AC2368">
        <f>VLOOKUP(A:A,[1]android_repos_all_metrics!B:K,4,FALSE)</f>
        <v>26</v>
      </c>
      <c r="AD2368">
        <f>VLOOKUP(A:A,[1]android_repos_all_metrics!B:K,5,FALSE)</f>
        <v>1</v>
      </c>
      <c r="AE2368">
        <f>VLOOKUP(A:A,[1]android_repos_all_metrics!B:K,6,FALSE)</f>
        <v>1</v>
      </c>
      <c r="AF2368">
        <f>VLOOKUP(A:A,[1]android_repos_all_metrics!B:K,7,FALSE)</f>
        <v>205</v>
      </c>
      <c r="AG2368">
        <f>VLOOKUP(A:A,[1]android_repos_all_metrics!B:K,8,FALSE)</f>
        <v>4</v>
      </c>
      <c r="AH2368">
        <f>VLOOKUP(A:A,[1]android_repos_all_metrics!B:K,9,FALSE)</f>
        <v>4</v>
      </c>
      <c r="AI2368">
        <f>VLOOKUP(A:A,[1]android_repos_all_metrics!B:K,10,FALSE)</f>
        <v>2</v>
      </c>
    </row>
    <row r="2369" spans="1:35">
      <c r="A2369" t="s">
        <v>2440</v>
      </c>
      <c r="B2369" t="b">
        <v>1</v>
      </c>
      <c r="C2369" t="b">
        <v>0</v>
      </c>
      <c r="D2369" t="b">
        <v>0</v>
      </c>
      <c r="F2369" t="b">
        <v>0</v>
      </c>
      <c r="H2369" t="s">
        <v>37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>
        <v>2</v>
      </c>
      <c r="AB2369">
        <v>0</v>
      </c>
      <c r="AC2369">
        <f>VLOOKUP(A:A,[1]android_repos_all_metrics!B:K,4,FALSE)</f>
        <v>21</v>
      </c>
      <c r="AD2369">
        <f>VLOOKUP(A:A,[1]android_repos_all_metrics!B:K,5,FALSE)</f>
        <v>0</v>
      </c>
      <c r="AE2369">
        <f>VLOOKUP(A:A,[1]android_repos_all_metrics!B:K,6,FALSE)</f>
        <v>1</v>
      </c>
      <c r="AF2369">
        <f>VLOOKUP(A:A,[1]android_repos_all_metrics!B:K,7,FALSE)</f>
        <v>961</v>
      </c>
      <c r="AG2369">
        <f>VLOOKUP(A:A,[1]android_repos_all_metrics!B:K,8,FALSE)</f>
        <v>3</v>
      </c>
      <c r="AH2369">
        <f>VLOOKUP(A:A,[1]android_repos_all_metrics!B:K,9,FALSE)</f>
        <v>27</v>
      </c>
      <c r="AI2369">
        <f>VLOOKUP(A:A,[1]android_repos_all_metrics!B:K,10,FALSE)</f>
        <v>3</v>
      </c>
    </row>
    <row r="2370" spans="1:35">
      <c r="A2370" t="s">
        <v>2441</v>
      </c>
      <c r="B2370" t="b">
        <v>0</v>
      </c>
      <c r="C2370" t="b">
        <v>0</v>
      </c>
      <c r="D2370" t="b">
        <v>0</v>
      </c>
      <c r="F2370" t="b">
        <v>0</v>
      </c>
      <c r="H2370" t="s">
        <v>41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>
        <v>1</v>
      </c>
      <c r="AB2370">
        <v>0</v>
      </c>
      <c r="AC2370">
        <f>VLOOKUP(A:A,[1]android_repos_all_metrics!B:K,4,FALSE)</f>
        <v>21</v>
      </c>
      <c r="AD2370">
        <f>VLOOKUP(A:A,[1]android_repos_all_metrics!B:K,5,FALSE)</f>
        <v>0</v>
      </c>
      <c r="AE2370">
        <f>VLOOKUP(A:A,[1]android_repos_all_metrics!B:K,6,FALSE)</f>
        <v>1</v>
      </c>
      <c r="AF2370">
        <f>VLOOKUP(A:A,[1]android_repos_all_metrics!B:K,7,FALSE)</f>
        <v>869</v>
      </c>
      <c r="AG2370">
        <f>VLOOKUP(A:A,[1]android_repos_all_metrics!B:K,8,FALSE)</f>
        <v>0</v>
      </c>
      <c r="AH2370">
        <f>VLOOKUP(A:A,[1]android_repos_all_metrics!B:K,9,FALSE)</f>
        <v>3</v>
      </c>
      <c r="AI2370">
        <f>VLOOKUP(A:A,[1]android_repos_all_metrics!B:K,10,FALSE)</f>
        <v>0</v>
      </c>
    </row>
    <row r="2371" spans="1:35">
      <c r="A2371" t="s">
        <v>2442</v>
      </c>
      <c r="B2371" t="b">
        <v>1</v>
      </c>
      <c r="C2371" t="b">
        <v>0</v>
      </c>
      <c r="D2371" t="b">
        <v>0</v>
      </c>
      <c r="F2371" t="b">
        <v>0</v>
      </c>
      <c r="H2371" t="s">
        <v>37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>
        <v>2</v>
      </c>
      <c r="AB2371">
        <v>0</v>
      </c>
      <c r="AC2371">
        <f>VLOOKUP(A:A,[1]android_repos_all_metrics!B:K,4,FALSE)</f>
        <v>17</v>
      </c>
      <c r="AD2371">
        <f>VLOOKUP(A:A,[1]android_repos_all_metrics!B:K,5,FALSE)</f>
        <v>11</v>
      </c>
      <c r="AE2371">
        <f>VLOOKUP(A:A,[1]android_repos_all_metrics!B:K,6,FALSE)</f>
        <v>3</v>
      </c>
      <c r="AF2371">
        <f>VLOOKUP(A:A,[1]android_repos_all_metrics!B:K,7,FALSE)</f>
        <v>4614</v>
      </c>
      <c r="AG2371">
        <f>VLOOKUP(A:A,[1]android_repos_all_metrics!B:K,8,FALSE)</f>
        <v>2</v>
      </c>
      <c r="AH2371">
        <f>VLOOKUP(A:A,[1]android_repos_all_metrics!B:K,9,FALSE)</f>
        <v>4</v>
      </c>
      <c r="AI2371">
        <f>VLOOKUP(A:A,[1]android_repos_all_metrics!B:K,10,FALSE)</f>
        <v>4</v>
      </c>
    </row>
    <row r="2372" spans="1:35">
      <c r="A2372" t="s">
        <v>2443</v>
      </c>
      <c r="B2372" t="b">
        <v>1</v>
      </c>
      <c r="C2372" t="b">
        <v>0</v>
      </c>
      <c r="D2372" t="b">
        <v>0</v>
      </c>
      <c r="F2372" t="b">
        <v>0</v>
      </c>
      <c r="H2372" t="s">
        <v>552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>
        <v>4</v>
      </c>
      <c r="AB2372">
        <v>0</v>
      </c>
      <c r="AC2372">
        <f>VLOOKUP(A:A,[1]android_repos_all_metrics!B:K,4,FALSE)</f>
        <v>1621</v>
      </c>
      <c r="AD2372">
        <f>VLOOKUP(A:A,[1]android_repos_all_metrics!B:K,5,FALSE)</f>
        <v>79</v>
      </c>
      <c r="AE2372">
        <f>VLOOKUP(A:A,[1]android_repos_all_metrics!B:K,6,FALSE)</f>
        <v>22</v>
      </c>
      <c r="AF2372">
        <f>VLOOKUP(A:A,[1]android_repos_all_metrics!B:K,7,FALSE)</f>
        <v>20820</v>
      </c>
      <c r="AG2372">
        <f>VLOOKUP(A:A,[1]android_repos_all_metrics!B:K,8,FALSE)</f>
        <v>177</v>
      </c>
      <c r="AH2372">
        <f>VLOOKUP(A:A,[1]android_repos_all_metrics!B:K,9,FALSE)</f>
        <v>567</v>
      </c>
      <c r="AI2372">
        <f>VLOOKUP(A:A,[1]android_repos_all_metrics!B:K,10,FALSE)</f>
        <v>17</v>
      </c>
    </row>
    <row r="2373" spans="1:35">
      <c r="A2373" t="s">
        <v>2444</v>
      </c>
      <c r="B2373" t="b">
        <v>1</v>
      </c>
      <c r="C2373" t="b">
        <v>0</v>
      </c>
      <c r="D2373" t="b">
        <v>0</v>
      </c>
      <c r="F2373" t="b">
        <v>0</v>
      </c>
      <c r="H2373" t="s">
        <v>37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>
        <v>2</v>
      </c>
      <c r="AB2373">
        <v>0</v>
      </c>
      <c r="AC2373">
        <f>VLOOKUP(A:A,[1]android_repos_all_metrics!B:K,4,FALSE)</f>
        <v>129</v>
      </c>
      <c r="AD2373">
        <f>VLOOKUP(A:A,[1]android_repos_all_metrics!B:K,5,FALSE)</f>
        <v>61</v>
      </c>
      <c r="AE2373">
        <f>VLOOKUP(A:A,[1]android_repos_all_metrics!B:K,6,FALSE)</f>
        <v>3</v>
      </c>
      <c r="AF2373">
        <f>VLOOKUP(A:A,[1]android_repos_all_metrics!B:K,7,FALSE)</f>
        <v>4208</v>
      </c>
      <c r="AG2373">
        <f>VLOOKUP(A:A,[1]android_repos_all_metrics!B:K,8,FALSE)</f>
        <v>1</v>
      </c>
      <c r="AH2373">
        <f>VLOOKUP(A:A,[1]android_repos_all_metrics!B:K,9,FALSE)</f>
        <v>2</v>
      </c>
      <c r="AI2373">
        <f>VLOOKUP(A:A,[1]android_repos_all_metrics!B:K,10,FALSE)</f>
        <v>5</v>
      </c>
    </row>
    <row r="2374" spans="1:35">
      <c r="A2374" t="s">
        <v>2445</v>
      </c>
      <c r="B2374" t="b">
        <v>1</v>
      </c>
      <c r="C2374" t="b">
        <v>0</v>
      </c>
      <c r="D2374" t="b">
        <v>0</v>
      </c>
      <c r="F2374" t="b">
        <v>0</v>
      </c>
      <c r="H2374" t="s">
        <v>37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>
        <v>3</v>
      </c>
      <c r="AB2374">
        <v>0</v>
      </c>
      <c r="AC2374">
        <f>VLOOKUP(A:A,[1]android_repos_all_metrics!B:K,4,FALSE)</f>
        <v>90</v>
      </c>
      <c r="AD2374">
        <f>VLOOKUP(A:A,[1]android_repos_all_metrics!B:K,5,FALSE)</f>
        <v>1</v>
      </c>
      <c r="AE2374">
        <f>VLOOKUP(A:A,[1]android_repos_all_metrics!B:K,6,FALSE)</f>
        <v>2</v>
      </c>
      <c r="AF2374">
        <f>VLOOKUP(A:A,[1]android_repos_all_metrics!B:K,7,FALSE)</f>
        <v>4789</v>
      </c>
      <c r="AG2374">
        <f>VLOOKUP(A:A,[1]android_repos_all_metrics!B:K,8,FALSE)</f>
        <v>14</v>
      </c>
      <c r="AH2374">
        <f>VLOOKUP(A:A,[1]android_repos_all_metrics!B:K,9,FALSE)</f>
        <v>45</v>
      </c>
      <c r="AI2374">
        <f>VLOOKUP(A:A,[1]android_repos_all_metrics!B:K,10,FALSE)</f>
        <v>2</v>
      </c>
    </row>
    <row r="2375" spans="1:35">
      <c r="A2375" t="s">
        <v>2446</v>
      </c>
      <c r="B2375" t="b">
        <v>1</v>
      </c>
      <c r="C2375" t="b">
        <v>0</v>
      </c>
      <c r="D2375" t="b">
        <v>0</v>
      </c>
      <c r="F2375" t="b">
        <v>0</v>
      </c>
      <c r="H2375" t="s">
        <v>37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>
        <v>1</v>
      </c>
      <c r="AB2375">
        <v>0</v>
      </c>
      <c r="AC2375">
        <f>VLOOKUP(A:A,[1]android_repos_all_metrics!B:K,4,FALSE)</f>
        <v>343</v>
      </c>
      <c r="AD2375">
        <f>VLOOKUP(A:A,[1]android_repos_all_metrics!B:K,5,FALSE)</f>
        <v>5</v>
      </c>
      <c r="AE2375">
        <f>VLOOKUP(A:A,[1]android_repos_all_metrics!B:K,6,FALSE)</f>
        <v>1</v>
      </c>
      <c r="AF2375">
        <f>VLOOKUP(A:A,[1]android_repos_all_metrics!B:K,7,FALSE)</f>
        <v>3633</v>
      </c>
      <c r="AG2375">
        <f>VLOOKUP(A:A,[1]android_repos_all_metrics!B:K,8,FALSE)</f>
        <v>1</v>
      </c>
      <c r="AH2375">
        <f>VLOOKUP(A:A,[1]android_repos_all_metrics!B:K,9,FALSE)</f>
        <v>8</v>
      </c>
      <c r="AI2375">
        <f>VLOOKUP(A:A,[1]android_repos_all_metrics!B:K,10,FALSE)</f>
        <v>1</v>
      </c>
    </row>
    <row r="2376" spans="1:35">
      <c r="A2376" t="s">
        <v>2447</v>
      </c>
      <c r="B2376" t="b">
        <v>1</v>
      </c>
      <c r="C2376" t="b">
        <v>0</v>
      </c>
      <c r="D2376" t="b">
        <v>0</v>
      </c>
      <c r="F2376" t="b">
        <v>0</v>
      </c>
      <c r="H2376" t="s">
        <v>37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>
        <v>1</v>
      </c>
      <c r="AB2376">
        <v>0</v>
      </c>
      <c r="AC2376">
        <f>VLOOKUP(A:A,[1]android_repos_all_metrics!B:K,4,FALSE)</f>
        <v>1746</v>
      </c>
      <c r="AD2376">
        <f>VLOOKUP(A:A,[1]android_repos_all_metrics!B:K,5,FALSE)</f>
        <v>380</v>
      </c>
      <c r="AE2376">
        <f>VLOOKUP(A:A,[1]android_repos_all_metrics!B:K,6,FALSE)</f>
        <v>80</v>
      </c>
      <c r="AF2376">
        <f>VLOOKUP(A:A,[1]android_repos_all_metrics!B:K,7,FALSE)</f>
        <v>32614</v>
      </c>
      <c r="AG2376">
        <f>VLOOKUP(A:A,[1]android_repos_all_metrics!B:K,8,FALSE)</f>
        <v>147</v>
      </c>
      <c r="AH2376">
        <f>VLOOKUP(A:A,[1]android_repos_all_metrics!B:K,9,FALSE)</f>
        <v>2826</v>
      </c>
      <c r="AI2376">
        <f>VLOOKUP(A:A,[1]android_repos_all_metrics!B:K,10,FALSE)</f>
        <v>101</v>
      </c>
    </row>
    <row r="2377" spans="1:35">
      <c r="A2377" t="s">
        <v>2448</v>
      </c>
      <c r="B2377" t="b">
        <v>1</v>
      </c>
      <c r="C2377" t="b">
        <v>0</v>
      </c>
      <c r="D2377" t="b">
        <v>0</v>
      </c>
      <c r="F2377" t="b">
        <v>0</v>
      </c>
      <c r="H2377" t="s">
        <v>76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>
        <v>1</v>
      </c>
      <c r="AB2377">
        <v>0</v>
      </c>
      <c r="AC2377">
        <f>VLOOKUP(A:A,[1]android_repos_all_metrics!B:K,4,FALSE)</f>
        <v>270</v>
      </c>
      <c r="AD2377">
        <f>VLOOKUP(A:A,[1]android_repos_all_metrics!B:K,5,FALSE)</f>
        <v>30</v>
      </c>
      <c r="AE2377">
        <f>VLOOKUP(A:A,[1]android_repos_all_metrics!B:K,6,FALSE)</f>
        <v>10</v>
      </c>
      <c r="AF2377">
        <f>VLOOKUP(A:A,[1]android_repos_all_metrics!B:K,7,FALSE)</f>
        <v>96705</v>
      </c>
      <c r="AG2377">
        <f>VLOOKUP(A:A,[1]android_repos_all_metrics!B:K,8,FALSE)</f>
        <v>61</v>
      </c>
      <c r="AH2377">
        <f>VLOOKUP(A:A,[1]android_repos_all_metrics!B:K,9,FALSE)</f>
        <v>544</v>
      </c>
      <c r="AI2377">
        <f>VLOOKUP(A:A,[1]android_repos_all_metrics!B:K,10,FALSE)</f>
        <v>0</v>
      </c>
    </row>
    <row r="2378" spans="1:35">
      <c r="A2378" t="s">
        <v>2449</v>
      </c>
      <c r="B2378" t="b">
        <v>1</v>
      </c>
      <c r="C2378" t="b">
        <v>0</v>
      </c>
      <c r="D2378" t="b">
        <v>0</v>
      </c>
      <c r="F2378" t="b">
        <v>0</v>
      </c>
      <c r="H2378" t="s">
        <v>37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>
        <v>2</v>
      </c>
      <c r="AB2378">
        <v>0</v>
      </c>
      <c r="AC2378">
        <f>VLOOKUP(A:A,[1]android_repos_all_metrics!B:K,4,FALSE)</f>
        <v>75</v>
      </c>
      <c r="AD2378">
        <f>VLOOKUP(A:A,[1]android_repos_all_metrics!B:K,5,FALSE)</f>
        <v>1</v>
      </c>
      <c r="AE2378">
        <f>VLOOKUP(A:A,[1]android_repos_all_metrics!B:K,6,FALSE)</f>
        <v>1</v>
      </c>
      <c r="AF2378">
        <f>VLOOKUP(A:A,[1]android_repos_all_metrics!B:K,7,FALSE)</f>
        <v>8729</v>
      </c>
      <c r="AG2378">
        <f>VLOOKUP(A:A,[1]android_repos_all_metrics!B:K,8,FALSE)</f>
        <v>13</v>
      </c>
      <c r="AH2378">
        <f>VLOOKUP(A:A,[1]android_repos_all_metrics!B:K,9,FALSE)</f>
        <v>89</v>
      </c>
      <c r="AI2378">
        <f>VLOOKUP(A:A,[1]android_repos_all_metrics!B:K,10,FALSE)</f>
        <v>1</v>
      </c>
    </row>
    <row r="2379" spans="1:35">
      <c r="A2379" t="s">
        <v>2450</v>
      </c>
      <c r="B2379" t="b">
        <v>1</v>
      </c>
      <c r="C2379" t="b">
        <v>0</v>
      </c>
      <c r="D2379" t="b">
        <v>0</v>
      </c>
      <c r="F2379" t="b">
        <v>0</v>
      </c>
      <c r="H2379" t="s">
        <v>37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>
        <v>1</v>
      </c>
      <c r="AB2379">
        <v>0</v>
      </c>
      <c r="AC2379">
        <f>VLOOKUP(A:A,[1]android_repos_all_metrics!B:K,4,FALSE)</f>
        <v>93</v>
      </c>
      <c r="AD2379">
        <f>VLOOKUP(A:A,[1]android_repos_all_metrics!B:K,5,FALSE)</f>
        <v>0</v>
      </c>
      <c r="AE2379">
        <f>VLOOKUP(A:A,[1]android_repos_all_metrics!B:K,6,FALSE)</f>
        <v>1</v>
      </c>
      <c r="AF2379">
        <f>VLOOKUP(A:A,[1]android_repos_all_metrics!B:K,7,FALSE)</f>
        <v>2259</v>
      </c>
      <c r="AG2379">
        <f>VLOOKUP(A:A,[1]android_repos_all_metrics!B:K,8,FALSE)</f>
        <v>0</v>
      </c>
      <c r="AH2379">
        <f>VLOOKUP(A:A,[1]android_repos_all_metrics!B:K,9,FALSE)</f>
        <v>7</v>
      </c>
      <c r="AI2379">
        <f>VLOOKUP(A:A,[1]android_repos_all_metrics!B:K,10,FALSE)</f>
        <v>0</v>
      </c>
    </row>
    <row r="2380" spans="1:35">
      <c r="A2380" t="s">
        <v>2451</v>
      </c>
      <c r="B2380" t="b">
        <v>1</v>
      </c>
      <c r="C2380" t="b">
        <v>0</v>
      </c>
      <c r="D2380" t="b">
        <v>0</v>
      </c>
      <c r="F2380" t="b">
        <v>0</v>
      </c>
      <c r="H2380" t="s">
        <v>37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>
        <v>2</v>
      </c>
      <c r="AB2380">
        <v>0</v>
      </c>
      <c r="AC2380">
        <f>VLOOKUP(A:A,[1]android_repos_all_metrics!B:K,4,FALSE)</f>
        <v>69</v>
      </c>
      <c r="AD2380">
        <f>VLOOKUP(A:A,[1]android_repos_all_metrics!B:K,5,FALSE)</f>
        <v>3</v>
      </c>
      <c r="AE2380">
        <f>VLOOKUP(A:A,[1]android_repos_all_metrics!B:K,6,FALSE)</f>
        <v>2</v>
      </c>
      <c r="AF2380">
        <f>VLOOKUP(A:A,[1]android_repos_all_metrics!B:K,7,FALSE)</f>
        <v>633</v>
      </c>
      <c r="AG2380">
        <f>VLOOKUP(A:A,[1]android_repos_all_metrics!B:K,8,FALSE)</f>
        <v>12</v>
      </c>
      <c r="AH2380">
        <f>VLOOKUP(A:A,[1]android_repos_all_metrics!B:K,9,FALSE)</f>
        <v>95</v>
      </c>
      <c r="AI2380">
        <f>VLOOKUP(A:A,[1]android_repos_all_metrics!B:K,10,FALSE)</f>
        <v>6</v>
      </c>
    </row>
    <row r="2381" spans="1:35">
      <c r="A2381" t="s">
        <v>2452</v>
      </c>
      <c r="B2381" t="b">
        <v>1</v>
      </c>
      <c r="C2381" t="b">
        <v>0</v>
      </c>
      <c r="D2381" t="b">
        <v>0</v>
      </c>
      <c r="F2381" t="b">
        <v>0</v>
      </c>
      <c r="H2381" t="s">
        <v>37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>
        <v>1</v>
      </c>
      <c r="AB2381">
        <v>0</v>
      </c>
      <c r="AC2381">
        <f>VLOOKUP(A:A,[1]android_repos_all_metrics!B:K,4,FALSE)</f>
        <v>0</v>
      </c>
      <c r="AD2381">
        <f>VLOOKUP(A:A,[1]android_repos_all_metrics!B:K,5,FALSE)</f>
        <v>0</v>
      </c>
      <c r="AE2381">
        <f>VLOOKUP(A:A,[1]android_repos_all_metrics!B:K,6,FALSE)</f>
        <v>0</v>
      </c>
      <c r="AF2381">
        <f>VLOOKUP(A:A,[1]android_repos_all_metrics!B:K,7,FALSE)</f>
        <v>41963</v>
      </c>
      <c r="AG2381">
        <f>VLOOKUP(A:A,[1]android_repos_all_metrics!B:K,8,FALSE)</f>
        <v>8</v>
      </c>
      <c r="AH2381">
        <f>VLOOKUP(A:A,[1]android_repos_all_metrics!B:K,9,FALSE)</f>
        <v>113</v>
      </c>
      <c r="AI2381">
        <f>VLOOKUP(A:A,[1]android_repos_all_metrics!B:K,10,FALSE)</f>
        <v>5</v>
      </c>
    </row>
    <row r="2382" spans="1:35">
      <c r="A2382" t="s">
        <v>2453</v>
      </c>
      <c r="B2382" t="b">
        <v>1</v>
      </c>
      <c r="C2382" t="b">
        <v>0</v>
      </c>
      <c r="D2382" t="b">
        <v>0</v>
      </c>
      <c r="F2382" t="b">
        <v>0</v>
      </c>
      <c r="H2382" t="s">
        <v>37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>
        <v>1</v>
      </c>
      <c r="AB2382">
        <v>0</v>
      </c>
      <c r="AC2382">
        <f>VLOOKUP(A:A,[1]android_repos_all_metrics!B:K,4,FALSE)</f>
        <v>45</v>
      </c>
      <c r="AD2382">
        <f>VLOOKUP(A:A,[1]android_repos_all_metrics!B:K,5,FALSE)</f>
        <v>0</v>
      </c>
      <c r="AE2382">
        <f>VLOOKUP(A:A,[1]android_repos_all_metrics!B:K,6,FALSE)</f>
        <v>1</v>
      </c>
      <c r="AF2382">
        <f>VLOOKUP(A:A,[1]android_repos_all_metrics!B:K,7,FALSE)</f>
        <v>8805</v>
      </c>
      <c r="AG2382">
        <f>VLOOKUP(A:A,[1]android_repos_all_metrics!B:K,8,FALSE)</f>
        <v>1</v>
      </c>
      <c r="AH2382">
        <f>VLOOKUP(A:A,[1]android_repos_all_metrics!B:K,9,FALSE)</f>
        <v>6</v>
      </c>
      <c r="AI2382">
        <f>VLOOKUP(A:A,[1]android_repos_all_metrics!B:K,10,FALSE)</f>
        <v>0</v>
      </c>
    </row>
    <row r="2383" spans="1:35">
      <c r="A2383" t="s">
        <v>2454</v>
      </c>
      <c r="B2383" t="b">
        <v>1</v>
      </c>
      <c r="C2383" t="b">
        <v>0</v>
      </c>
      <c r="D2383" t="b">
        <v>0</v>
      </c>
      <c r="F2383" t="b">
        <v>0</v>
      </c>
      <c r="H2383" t="s">
        <v>37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>
        <v>1</v>
      </c>
      <c r="AB2383">
        <v>0</v>
      </c>
      <c r="AC2383">
        <f>VLOOKUP(A:A,[1]android_repos_all_metrics!B:K,4,FALSE)</f>
        <v>31</v>
      </c>
      <c r="AD2383">
        <f>VLOOKUP(A:A,[1]android_repos_all_metrics!B:K,5,FALSE)</f>
        <v>4</v>
      </c>
      <c r="AE2383">
        <f>VLOOKUP(A:A,[1]android_repos_all_metrics!B:K,6,FALSE)</f>
        <v>3</v>
      </c>
      <c r="AF2383">
        <f>VLOOKUP(A:A,[1]android_repos_all_metrics!B:K,7,FALSE)</f>
        <v>231</v>
      </c>
      <c r="AG2383">
        <f>VLOOKUP(A:A,[1]android_repos_all_metrics!B:K,8,FALSE)</f>
        <v>0</v>
      </c>
      <c r="AH2383">
        <f>VLOOKUP(A:A,[1]android_repos_all_metrics!B:K,9,FALSE)</f>
        <v>9</v>
      </c>
      <c r="AI2383">
        <f>VLOOKUP(A:A,[1]android_repos_all_metrics!B:K,10,FALSE)</f>
        <v>0</v>
      </c>
    </row>
    <row r="2384" spans="1:35">
      <c r="A2384" t="s">
        <v>2455</v>
      </c>
      <c r="B2384" t="b">
        <v>1</v>
      </c>
      <c r="C2384" t="b">
        <v>0</v>
      </c>
      <c r="D2384" t="b">
        <v>0</v>
      </c>
      <c r="F2384" t="b">
        <v>0</v>
      </c>
      <c r="H2384" t="s">
        <v>86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>
        <v>3</v>
      </c>
      <c r="AB2384">
        <v>0</v>
      </c>
      <c r="AC2384">
        <f>VLOOKUP(A:A,[1]android_repos_all_metrics!B:K,4,FALSE)</f>
        <v>146</v>
      </c>
      <c r="AD2384">
        <f>VLOOKUP(A:A,[1]android_repos_all_metrics!B:K,5,FALSE)</f>
        <v>2</v>
      </c>
      <c r="AE2384">
        <f>VLOOKUP(A:A,[1]android_repos_all_metrics!B:K,6,FALSE)</f>
        <v>1</v>
      </c>
      <c r="AF2384">
        <f>VLOOKUP(A:A,[1]android_repos_all_metrics!B:K,7,FALSE)</f>
        <v>29864</v>
      </c>
      <c r="AG2384">
        <f>VLOOKUP(A:A,[1]android_repos_all_metrics!B:K,8,FALSE)</f>
        <v>6</v>
      </c>
      <c r="AH2384">
        <f>VLOOKUP(A:A,[1]android_repos_all_metrics!B:K,9,FALSE)</f>
        <v>23</v>
      </c>
      <c r="AI2384">
        <f>VLOOKUP(A:A,[1]android_repos_all_metrics!B:K,10,FALSE)</f>
        <v>1</v>
      </c>
    </row>
    <row r="2385" spans="1:35">
      <c r="A2385" t="s">
        <v>2456</v>
      </c>
      <c r="B2385" t="b">
        <v>1</v>
      </c>
      <c r="C2385" t="b">
        <v>0</v>
      </c>
      <c r="D2385" t="b">
        <v>0</v>
      </c>
      <c r="F2385" t="b">
        <v>0</v>
      </c>
      <c r="H2385" t="s">
        <v>37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>
        <v>1</v>
      </c>
      <c r="AB2385">
        <v>0</v>
      </c>
      <c r="AC2385">
        <f>VLOOKUP(A:A,[1]android_repos_all_metrics!B:K,4,FALSE)</f>
        <v>104</v>
      </c>
      <c r="AD2385">
        <f>VLOOKUP(A:A,[1]android_repos_all_metrics!B:K,5,FALSE)</f>
        <v>0</v>
      </c>
      <c r="AE2385">
        <f>VLOOKUP(A:A,[1]android_repos_all_metrics!B:K,6,FALSE)</f>
        <v>1</v>
      </c>
      <c r="AF2385">
        <f>VLOOKUP(A:A,[1]android_repos_all_metrics!B:K,7,FALSE)</f>
        <v>729</v>
      </c>
      <c r="AG2385">
        <f>VLOOKUP(A:A,[1]android_repos_all_metrics!B:K,8,FALSE)</f>
        <v>1</v>
      </c>
      <c r="AH2385">
        <f>VLOOKUP(A:A,[1]android_repos_all_metrics!B:K,9,FALSE)</f>
        <v>4</v>
      </c>
      <c r="AI2385">
        <f>VLOOKUP(A:A,[1]android_repos_all_metrics!B:K,10,FALSE)</f>
        <v>0</v>
      </c>
    </row>
    <row r="2386" spans="1:35">
      <c r="A2386" t="s">
        <v>2457</v>
      </c>
      <c r="B2386" t="b">
        <v>1</v>
      </c>
      <c r="C2386" t="b">
        <v>0</v>
      </c>
      <c r="D2386" t="b">
        <v>0</v>
      </c>
      <c r="F2386" t="b">
        <v>0</v>
      </c>
      <c r="H2386" t="s">
        <v>37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>
        <v>1</v>
      </c>
      <c r="AB2386">
        <v>0</v>
      </c>
      <c r="AC2386">
        <f>VLOOKUP(A:A,[1]android_repos_all_metrics!B:K,4,FALSE)</f>
        <v>155</v>
      </c>
      <c r="AD2386">
        <f>VLOOKUP(A:A,[1]android_repos_all_metrics!B:K,5,FALSE)</f>
        <v>35</v>
      </c>
      <c r="AE2386">
        <f>VLOOKUP(A:A,[1]android_repos_all_metrics!B:K,6,FALSE)</f>
        <v>6</v>
      </c>
      <c r="AF2386">
        <f>VLOOKUP(A:A,[1]android_repos_all_metrics!B:K,7,FALSE)</f>
        <v>455</v>
      </c>
      <c r="AG2386">
        <f>VLOOKUP(A:A,[1]android_repos_all_metrics!B:K,8,FALSE)</f>
        <v>0</v>
      </c>
      <c r="AH2386">
        <f>VLOOKUP(A:A,[1]android_repos_all_metrics!B:K,9,FALSE)</f>
        <v>1</v>
      </c>
      <c r="AI2386">
        <f>VLOOKUP(A:A,[1]android_repos_all_metrics!B:K,10,FALSE)</f>
        <v>12</v>
      </c>
    </row>
    <row r="2387" spans="1:35">
      <c r="A2387" t="s">
        <v>2458</v>
      </c>
      <c r="B2387" t="b">
        <v>1</v>
      </c>
      <c r="C2387" t="b">
        <v>0</v>
      </c>
      <c r="D2387" t="b">
        <v>0</v>
      </c>
      <c r="F2387" t="b">
        <v>0</v>
      </c>
      <c r="H2387" t="s">
        <v>37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>
        <v>1</v>
      </c>
      <c r="AB2387">
        <v>0</v>
      </c>
      <c r="AC2387">
        <f>VLOOKUP(A:A,[1]android_repos_all_metrics!B:K,4,FALSE)</f>
        <v>21</v>
      </c>
      <c r="AD2387">
        <f>VLOOKUP(A:A,[1]android_repos_all_metrics!B:K,5,FALSE)</f>
        <v>0</v>
      </c>
      <c r="AE2387">
        <f>VLOOKUP(A:A,[1]android_repos_all_metrics!B:K,6,FALSE)</f>
        <v>1</v>
      </c>
      <c r="AF2387">
        <f>VLOOKUP(A:A,[1]android_repos_all_metrics!B:K,7,FALSE)</f>
        <v>29300</v>
      </c>
      <c r="AG2387">
        <f>VLOOKUP(A:A,[1]android_repos_all_metrics!B:K,8,FALSE)</f>
        <v>12</v>
      </c>
      <c r="AH2387">
        <f>VLOOKUP(A:A,[1]android_repos_all_metrics!B:K,9,FALSE)</f>
        <v>36</v>
      </c>
      <c r="AI2387">
        <f>VLOOKUP(A:A,[1]android_repos_all_metrics!B:K,10,FALSE)</f>
        <v>4</v>
      </c>
    </row>
    <row r="2388" spans="1:35">
      <c r="A2388" t="s">
        <v>2459</v>
      </c>
      <c r="B2388" t="b">
        <v>1</v>
      </c>
      <c r="C2388" t="b">
        <v>0</v>
      </c>
      <c r="D2388" t="b">
        <v>0</v>
      </c>
      <c r="F2388" t="b">
        <v>0</v>
      </c>
      <c r="H2388" t="s">
        <v>37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>
        <v>2</v>
      </c>
      <c r="AB2388">
        <v>0</v>
      </c>
      <c r="AC2388">
        <f>VLOOKUP(A:A,[1]android_repos_all_metrics!B:K,4,FALSE)</f>
        <v>206</v>
      </c>
      <c r="AD2388">
        <f>VLOOKUP(A:A,[1]android_repos_all_metrics!B:K,5,FALSE)</f>
        <v>5</v>
      </c>
      <c r="AE2388">
        <f>VLOOKUP(A:A,[1]android_repos_all_metrics!B:K,6,FALSE)</f>
        <v>4</v>
      </c>
      <c r="AF2388">
        <f>VLOOKUP(A:A,[1]android_repos_all_metrics!B:K,7,FALSE)</f>
        <v>3783</v>
      </c>
      <c r="AG2388">
        <f>VLOOKUP(A:A,[1]android_repos_all_metrics!B:K,8,FALSE)</f>
        <v>20</v>
      </c>
      <c r="AH2388">
        <f>VLOOKUP(A:A,[1]android_repos_all_metrics!B:K,9,FALSE)</f>
        <v>267</v>
      </c>
      <c r="AI2388">
        <f>VLOOKUP(A:A,[1]android_repos_all_metrics!B:K,10,FALSE)</f>
        <v>23</v>
      </c>
    </row>
    <row r="2389" spans="1:35">
      <c r="A2389" t="s">
        <v>2460</v>
      </c>
      <c r="B2389" t="b">
        <v>1</v>
      </c>
      <c r="C2389" t="b">
        <v>0</v>
      </c>
      <c r="D2389" t="b">
        <v>0</v>
      </c>
      <c r="F2389" t="b">
        <v>0</v>
      </c>
      <c r="H2389" t="s">
        <v>37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>
        <v>1</v>
      </c>
      <c r="AB2389">
        <v>0</v>
      </c>
      <c r="AC2389">
        <f>VLOOKUP(A:A,[1]android_repos_all_metrics!B:K,4,FALSE)</f>
        <v>82</v>
      </c>
      <c r="AD2389">
        <f>VLOOKUP(A:A,[1]android_repos_all_metrics!B:K,5,FALSE)</f>
        <v>0</v>
      </c>
      <c r="AE2389">
        <f>VLOOKUP(A:A,[1]android_repos_all_metrics!B:K,6,FALSE)</f>
        <v>1</v>
      </c>
      <c r="AF2389">
        <f>VLOOKUP(A:A,[1]android_repos_all_metrics!B:K,7,FALSE)</f>
        <v>26093</v>
      </c>
      <c r="AG2389">
        <f>VLOOKUP(A:A,[1]android_repos_all_metrics!B:K,8,FALSE)</f>
        <v>1</v>
      </c>
      <c r="AH2389">
        <f>VLOOKUP(A:A,[1]android_repos_all_metrics!B:K,9,FALSE)</f>
        <v>3</v>
      </c>
      <c r="AI2389">
        <f>VLOOKUP(A:A,[1]android_repos_all_metrics!B:K,10,FALSE)</f>
        <v>0</v>
      </c>
    </row>
    <row r="2390" spans="1:35">
      <c r="A2390" t="s">
        <v>2461</v>
      </c>
      <c r="B2390" t="b">
        <v>1</v>
      </c>
      <c r="C2390" t="b">
        <v>0</v>
      </c>
      <c r="D2390" t="b">
        <v>0</v>
      </c>
      <c r="F2390" t="b">
        <v>0</v>
      </c>
      <c r="H2390" t="s">
        <v>37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>
        <v>2</v>
      </c>
      <c r="AB2390">
        <v>0</v>
      </c>
      <c r="AC2390">
        <f>VLOOKUP(A:A,[1]android_repos_all_metrics!B:K,4,FALSE)</f>
        <v>764</v>
      </c>
      <c r="AD2390">
        <f>VLOOKUP(A:A,[1]android_repos_all_metrics!B:K,5,FALSE)</f>
        <v>261</v>
      </c>
      <c r="AE2390">
        <f>VLOOKUP(A:A,[1]android_repos_all_metrics!B:K,6,FALSE)</f>
        <v>3</v>
      </c>
      <c r="AF2390">
        <f>VLOOKUP(A:A,[1]android_repos_all_metrics!B:K,7,FALSE)</f>
        <v>1583</v>
      </c>
      <c r="AG2390">
        <f>VLOOKUP(A:A,[1]android_repos_all_metrics!B:K,8,FALSE)</f>
        <v>0</v>
      </c>
      <c r="AH2390">
        <f>VLOOKUP(A:A,[1]android_repos_all_metrics!B:K,9,FALSE)</f>
        <v>2</v>
      </c>
      <c r="AI2390">
        <f>VLOOKUP(A:A,[1]android_repos_all_metrics!B:K,10,FALSE)</f>
        <v>7</v>
      </c>
    </row>
    <row r="2391" spans="1:35">
      <c r="A2391" t="s">
        <v>2462</v>
      </c>
      <c r="B2391" t="b">
        <v>1</v>
      </c>
      <c r="C2391" t="b">
        <v>0</v>
      </c>
      <c r="D2391" t="b">
        <v>0</v>
      </c>
      <c r="F2391" t="b">
        <v>0</v>
      </c>
      <c r="H2391" t="s">
        <v>43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>
        <v>1</v>
      </c>
      <c r="AB2391">
        <v>0</v>
      </c>
      <c r="AC2391">
        <f>VLOOKUP(A:A,[1]android_repos_all_metrics!B:K,4,FALSE)</f>
        <v>188</v>
      </c>
      <c r="AD2391">
        <f>VLOOKUP(A:A,[1]android_repos_all_metrics!B:K,5,FALSE)</f>
        <v>51</v>
      </c>
      <c r="AE2391">
        <f>VLOOKUP(A:A,[1]android_repos_all_metrics!B:K,6,FALSE)</f>
        <v>3</v>
      </c>
      <c r="AF2391">
        <f>VLOOKUP(A:A,[1]android_repos_all_metrics!B:K,7,FALSE)</f>
        <v>245173</v>
      </c>
      <c r="AG2391">
        <f>VLOOKUP(A:A,[1]android_repos_all_metrics!B:K,8,FALSE)</f>
        <v>0</v>
      </c>
      <c r="AH2391">
        <f>VLOOKUP(A:A,[1]android_repos_all_metrics!B:K,9,FALSE)</f>
        <v>1</v>
      </c>
      <c r="AI2391">
        <f>VLOOKUP(A:A,[1]android_repos_all_metrics!B:K,10,FALSE)</f>
        <v>0</v>
      </c>
    </row>
    <row r="2392" spans="1:35">
      <c r="A2392" t="s">
        <v>2463</v>
      </c>
      <c r="B2392" t="b">
        <v>1</v>
      </c>
      <c r="C2392" t="b">
        <v>0</v>
      </c>
      <c r="D2392" t="b">
        <v>0</v>
      </c>
      <c r="F2392" t="b">
        <v>0</v>
      </c>
      <c r="H2392" t="s">
        <v>41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>
        <v>1</v>
      </c>
      <c r="AB2392">
        <v>0</v>
      </c>
      <c r="AC2392">
        <f>VLOOKUP(A:A,[1]android_repos_all_metrics!B:K,4,FALSE)</f>
        <v>45</v>
      </c>
      <c r="AD2392">
        <f>VLOOKUP(A:A,[1]android_repos_all_metrics!B:K,5,FALSE)</f>
        <v>4</v>
      </c>
      <c r="AE2392">
        <f>VLOOKUP(A:A,[1]android_repos_all_metrics!B:K,6,FALSE)</f>
        <v>2</v>
      </c>
      <c r="AF2392">
        <f>VLOOKUP(A:A,[1]android_repos_all_metrics!B:K,7,FALSE)</f>
        <v>2134</v>
      </c>
      <c r="AG2392">
        <f>VLOOKUP(A:A,[1]android_repos_all_metrics!B:K,8,FALSE)</f>
        <v>18</v>
      </c>
      <c r="AH2392">
        <f>VLOOKUP(A:A,[1]android_repos_all_metrics!B:K,9,FALSE)</f>
        <v>299</v>
      </c>
      <c r="AI2392">
        <f>VLOOKUP(A:A,[1]android_repos_all_metrics!B:K,10,FALSE)</f>
        <v>5</v>
      </c>
    </row>
    <row r="2393" spans="1:35">
      <c r="A2393" t="s">
        <v>2464</v>
      </c>
      <c r="B2393" t="b">
        <v>1</v>
      </c>
      <c r="C2393" t="b">
        <v>0</v>
      </c>
      <c r="D2393" t="b">
        <v>0</v>
      </c>
      <c r="F2393" t="b">
        <v>0</v>
      </c>
      <c r="H2393" t="s">
        <v>37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>
        <v>1</v>
      </c>
      <c r="AB2393">
        <v>0</v>
      </c>
      <c r="AC2393">
        <f>VLOOKUP(A:A,[1]android_repos_all_metrics!B:K,4,FALSE)</f>
        <v>124</v>
      </c>
      <c r="AD2393">
        <f>VLOOKUP(A:A,[1]android_repos_all_metrics!B:K,5,FALSE)</f>
        <v>5</v>
      </c>
      <c r="AE2393">
        <f>VLOOKUP(A:A,[1]android_repos_all_metrics!B:K,6,FALSE)</f>
        <v>2</v>
      </c>
      <c r="AF2393">
        <f>VLOOKUP(A:A,[1]android_repos_all_metrics!B:K,7,FALSE)</f>
        <v>8285</v>
      </c>
      <c r="AG2393">
        <f>VLOOKUP(A:A,[1]android_repos_all_metrics!B:K,8,FALSE)</f>
        <v>3</v>
      </c>
      <c r="AH2393">
        <f>VLOOKUP(A:A,[1]android_repos_all_metrics!B:K,9,FALSE)</f>
        <v>43</v>
      </c>
      <c r="AI2393">
        <f>VLOOKUP(A:A,[1]android_repos_all_metrics!B:K,10,FALSE)</f>
        <v>14</v>
      </c>
    </row>
    <row r="2394" spans="1:35">
      <c r="A2394" t="s">
        <v>2465</v>
      </c>
      <c r="B2394" t="b">
        <v>1</v>
      </c>
      <c r="C2394" t="b">
        <v>0</v>
      </c>
      <c r="D2394" t="b">
        <v>0</v>
      </c>
      <c r="F2394" t="b">
        <v>0</v>
      </c>
      <c r="H2394" t="s">
        <v>37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>
        <v>1</v>
      </c>
      <c r="AB2394">
        <v>0</v>
      </c>
      <c r="AC2394">
        <f>VLOOKUP(A:A,[1]android_repos_all_metrics!B:K,4,FALSE)</f>
        <v>603</v>
      </c>
      <c r="AD2394">
        <f>VLOOKUP(A:A,[1]android_repos_all_metrics!B:K,5,FALSE)</f>
        <v>24</v>
      </c>
      <c r="AE2394">
        <f>VLOOKUP(A:A,[1]android_repos_all_metrics!B:K,6,FALSE)</f>
        <v>13</v>
      </c>
      <c r="AF2394">
        <f>VLOOKUP(A:A,[1]android_repos_all_metrics!B:K,7,FALSE)</f>
        <v>3461</v>
      </c>
      <c r="AG2394">
        <f>VLOOKUP(A:A,[1]android_repos_all_metrics!B:K,8,FALSE)</f>
        <v>0</v>
      </c>
      <c r="AH2394">
        <f>VLOOKUP(A:A,[1]android_repos_all_metrics!B:K,9,FALSE)</f>
        <v>2</v>
      </c>
      <c r="AI2394">
        <f>VLOOKUP(A:A,[1]android_repos_all_metrics!B:K,10,FALSE)</f>
        <v>0</v>
      </c>
    </row>
    <row r="2395" spans="1:35">
      <c r="A2395" t="s">
        <v>2466</v>
      </c>
      <c r="B2395" t="b">
        <v>1</v>
      </c>
      <c r="C2395" t="b">
        <v>0</v>
      </c>
      <c r="D2395" t="b">
        <v>0</v>
      </c>
      <c r="F2395" t="b">
        <v>0</v>
      </c>
      <c r="H2395" t="s">
        <v>37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>
        <v>1</v>
      </c>
      <c r="AB2395">
        <v>0</v>
      </c>
      <c r="AC2395">
        <f>VLOOKUP(A:A,[1]android_repos_all_metrics!B:K,4,FALSE)</f>
        <v>34</v>
      </c>
      <c r="AD2395">
        <f>VLOOKUP(A:A,[1]android_repos_all_metrics!B:K,5,FALSE)</f>
        <v>8</v>
      </c>
      <c r="AE2395">
        <f>VLOOKUP(A:A,[1]android_repos_all_metrics!B:K,6,FALSE)</f>
        <v>3</v>
      </c>
      <c r="AF2395">
        <f>VLOOKUP(A:A,[1]android_repos_all_metrics!B:K,7,FALSE)</f>
        <v>4818</v>
      </c>
      <c r="AG2395">
        <f>VLOOKUP(A:A,[1]android_repos_all_metrics!B:K,8,FALSE)</f>
        <v>59</v>
      </c>
      <c r="AH2395">
        <f>VLOOKUP(A:A,[1]android_repos_all_metrics!B:K,9,FALSE)</f>
        <v>161</v>
      </c>
      <c r="AI2395">
        <f>VLOOKUP(A:A,[1]android_repos_all_metrics!B:K,10,FALSE)</f>
        <v>9</v>
      </c>
    </row>
    <row r="2396" spans="1:35">
      <c r="A2396" t="s">
        <v>2467</v>
      </c>
      <c r="B2396" t="b">
        <v>0</v>
      </c>
      <c r="C2396" t="b">
        <v>0</v>
      </c>
      <c r="D2396" t="b">
        <v>0</v>
      </c>
      <c r="F2396" t="b">
        <v>0</v>
      </c>
      <c r="H2396" t="s">
        <v>41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>
        <v>1</v>
      </c>
      <c r="AB2396">
        <v>0</v>
      </c>
      <c r="AC2396">
        <f>VLOOKUP(A:A,[1]android_repos_all_metrics!B:K,4,FALSE)</f>
        <v>45</v>
      </c>
      <c r="AD2396">
        <f>VLOOKUP(A:A,[1]android_repos_all_metrics!B:K,5,FALSE)</f>
        <v>3</v>
      </c>
      <c r="AE2396">
        <f>VLOOKUP(A:A,[1]android_repos_all_metrics!B:K,6,FALSE)</f>
        <v>1</v>
      </c>
      <c r="AF2396">
        <f>VLOOKUP(A:A,[1]android_repos_all_metrics!B:K,7,FALSE)</f>
        <v>1216</v>
      </c>
      <c r="AG2396">
        <f>VLOOKUP(A:A,[1]android_repos_all_metrics!B:K,8,FALSE)</f>
        <v>2</v>
      </c>
      <c r="AH2396">
        <f>VLOOKUP(A:A,[1]android_repos_all_metrics!B:K,9,FALSE)</f>
        <v>2</v>
      </c>
      <c r="AI2396">
        <f>VLOOKUP(A:A,[1]android_repos_all_metrics!B:K,10,FALSE)</f>
        <v>0</v>
      </c>
    </row>
    <row r="2397" spans="1:35">
      <c r="A2397" t="s">
        <v>2468</v>
      </c>
      <c r="B2397" t="b">
        <v>1</v>
      </c>
      <c r="C2397" t="b">
        <v>0</v>
      </c>
      <c r="D2397" t="b">
        <v>0</v>
      </c>
      <c r="F2397" t="b">
        <v>0</v>
      </c>
      <c r="H2397" t="s">
        <v>37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>
        <v>2</v>
      </c>
      <c r="AB2397">
        <v>0</v>
      </c>
      <c r="AC2397">
        <f>VLOOKUP(A:A,[1]android_repos_all_metrics!B:K,4,FALSE)</f>
        <v>1459</v>
      </c>
      <c r="AD2397">
        <f>VLOOKUP(A:A,[1]android_repos_all_metrics!B:K,5,FALSE)</f>
        <v>263</v>
      </c>
      <c r="AE2397">
        <f>VLOOKUP(A:A,[1]android_repos_all_metrics!B:K,6,FALSE)</f>
        <v>15</v>
      </c>
      <c r="AF2397">
        <f>VLOOKUP(A:A,[1]android_repos_all_metrics!B:K,7,FALSE)</f>
        <v>17057</v>
      </c>
      <c r="AG2397">
        <f>VLOOKUP(A:A,[1]android_repos_all_metrics!B:K,8,FALSE)</f>
        <v>67</v>
      </c>
      <c r="AH2397">
        <f>VLOOKUP(A:A,[1]android_repos_all_metrics!B:K,9,FALSE)</f>
        <v>351</v>
      </c>
      <c r="AI2397">
        <f>VLOOKUP(A:A,[1]android_repos_all_metrics!B:K,10,FALSE)</f>
        <v>59</v>
      </c>
    </row>
    <row r="2398" spans="1:35">
      <c r="A2398" t="s">
        <v>2469</v>
      </c>
      <c r="B2398" t="b">
        <v>1</v>
      </c>
      <c r="C2398" t="b">
        <v>0</v>
      </c>
      <c r="D2398" t="b">
        <v>0</v>
      </c>
      <c r="F2398" t="b">
        <v>0</v>
      </c>
      <c r="H2398" t="s">
        <v>43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>
        <v>1</v>
      </c>
      <c r="AB2398">
        <v>0</v>
      </c>
      <c r="AC2398">
        <f>VLOOKUP(A:A,[1]android_repos_all_metrics!B:K,4,FALSE)</f>
        <v>2511</v>
      </c>
      <c r="AD2398">
        <f>VLOOKUP(A:A,[1]android_repos_all_metrics!B:K,5,FALSE)</f>
        <v>465</v>
      </c>
      <c r="AE2398">
        <f>VLOOKUP(A:A,[1]android_repos_all_metrics!B:K,6,FALSE)</f>
        <v>6</v>
      </c>
      <c r="AF2398">
        <f>VLOOKUP(A:A,[1]android_repos_all_metrics!B:K,7,FALSE)</f>
        <v>13482</v>
      </c>
      <c r="AG2398">
        <f>VLOOKUP(A:A,[1]android_repos_all_metrics!B:K,8,FALSE)</f>
        <v>53</v>
      </c>
      <c r="AH2398">
        <f>VLOOKUP(A:A,[1]android_repos_all_metrics!B:K,9,FALSE)</f>
        <v>54</v>
      </c>
      <c r="AI2398">
        <f>VLOOKUP(A:A,[1]android_repos_all_metrics!B:K,10,FALSE)</f>
        <v>2</v>
      </c>
    </row>
    <row r="2399" spans="1:35">
      <c r="A2399" t="s">
        <v>2470</v>
      </c>
      <c r="B2399" t="b">
        <v>1</v>
      </c>
      <c r="C2399" t="b">
        <v>1</v>
      </c>
      <c r="D2399" t="b">
        <v>0</v>
      </c>
      <c r="F2399" t="b">
        <v>1</v>
      </c>
      <c r="G2399" t="s">
        <v>109</v>
      </c>
      <c r="H2399" t="s">
        <v>37</v>
      </c>
      <c r="I2399" t="s">
        <v>37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>
        <v>3</v>
      </c>
      <c r="AB2399">
        <v>0</v>
      </c>
      <c r="AC2399">
        <f>VLOOKUP(A:A,[1]android_repos_all_metrics!B:K,4,FALSE)</f>
        <v>149</v>
      </c>
      <c r="AD2399">
        <f>VLOOKUP(A:A,[1]android_repos_all_metrics!B:K,5,FALSE)</f>
        <v>11</v>
      </c>
      <c r="AE2399">
        <f>VLOOKUP(A:A,[1]android_repos_all_metrics!B:K,6,FALSE)</f>
        <v>1</v>
      </c>
      <c r="AF2399">
        <f>VLOOKUP(A:A,[1]android_repos_all_metrics!B:K,7,FALSE)</f>
        <v>2263</v>
      </c>
      <c r="AG2399">
        <f>VLOOKUP(A:A,[1]android_repos_all_metrics!B:K,8,FALSE)</f>
        <v>10</v>
      </c>
      <c r="AH2399">
        <f>VLOOKUP(A:A,[1]android_repos_all_metrics!B:K,9,FALSE)</f>
        <v>23</v>
      </c>
      <c r="AI2399">
        <f>VLOOKUP(A:A,[1]android_repos_all_metrics!B:K,10,FALSE)</f>
        <v>17</v>
      </c>
    </row>
    <row r="2400" spans="1:35">
      <c r="A2400" t="s">
        <v>2471</v>
      </c>
      <c r="B2400" t="b">
        <v>1</v>
      </c>
      <c r="C2400" t="b">
        <v>0</v>
      </c>
      <c r="D2400" t="b">
        <v>0</v>
      </c>
      <c r="F2400" t="b">
        <v>0</v>
      </c>
      <c r="H2400" t="s">
        <v>37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>
        <v>1</v>
      </c>
      <c r="AB2400">
        <v>0</v>
      </c>
      <c r="AC2400">
        <f>VLOOKUP(A:A,[1]android_repos_all_metrics!B:K,4,FALSE)</f>
        <v>68</v>
      </c>
      <c r="AD2400">
        <f>VLOOKUP(A:A,[1]android_repos_all_metrics!B:K,5,FALSE)</f>
        <v>0</v>
      </c>
      <c r="AE2400">
        <f>VLOOKUP(A:A,[1]android_repos_all_metrics!B:K,6,FALSE)</f>
        <v>1</v>
      </c>
      <c r="AF2400">
        <f>VLOOKUP(A:A,[1]android_repos_all_metrics!B:K,7,FALSE)</f>
        <v>364</v>
      </c>
      <c r="AG2400">
        <f>VLOOKUP(A:A,[1]android_repos_all_metrics!B:K,8,FALSE)</f>
        <v>6</v>
      </c>
      <c r="AH2400">
        <f>VLOOKUP(A:A,[1]android_repos_all_metrics!B:K,9,FALSE)</f>
        <v>250</v>
      </c>
      <c r="AI2400">
        <f>VLOOKUP(A:A,[1]android_repos_all_metrics!B:K,10,FALSE)</f>
        <v>8</v>
      </c>
    </row>
    <row r="2401" spans="1:35">
      <c r="A2401" t="s">
        <v>2472</v>
      </c>
      <c r="B2401" t="b">
        <v>1</v>
      </c>
      <c r="C2401" t="b">
        <v>0</v>
      </c>
      <c r="D2401" t="b">
        <v>0</v>
      </c>
      <c r="F2401" t="b">
        <v>0</v>
      </c>
      <c r="H2401" t="s">
        <v>37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>
        <v>2</v>
      </c>
      <c r="AB2401">
        <v>0</v>
      </c>
      <c r="AC2401">
        <f>VLOOKUP(A:A,[1]android_repos_all_metrics!B:K,4,FALSE)</f>
        <v>445</v>
      </c>
      <c r="AD2401">
        <f>VLOOKUP(A:A,[1]android_repos_all_metrics!B:K,5,FALSE)</f>
        <v>73</v>
      </c>
      <c r="AE2401">
        <f>VLOOKUP(A:A,[1]android_repos_all_metrics!B:K,6,FALSE)</f>
        <v>1</v>
      </c>
      <c r="AF2401">
        <f>VLOOKUP(A:A,[1]android_repos_all_metrics!B:K,7,FALSE)</f>
        <v>181486</v>
      </c>
      <c r="AG2401">
        <f>VLOOKUP(A:A,[1]android_repos_all_metrics!B:K,8,FALSE)</f>
        <v>0</v>
      </c>
      <c r="AH2401">
        <f>VLOOKUP(A:A,[1]android_repos_all_metrics!B:K,9,FALSE)</f>
        <v>13</v>
      </c>
      <c r="AI2401">
        <f>VLOOKUP(A:A,[1]android_repos_all_metrics!B:K,10,FALSE)</f>
        <v>25</v>
      </c>
    </row>
    <row r="2402" spans="1:35">
      <c r="A2402" t="s">
        <v>2473</v>
      </c>
      <c r="B2402" t="b">
        <v>1</v>
      </c>
      <c r="C2402" t="b">
        <v>0</v>
      </c>
      <c r="D2402" t="b">
        <v>0</v>
      </c>
      <c r="F2402" t="b">
        <v>0</v>
      </c>
      <c r="H2402" t="s">
        <v>43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>
        <v>1</v>
      </c>
      <c r="AB2402">
        <v>0</v>
      </c>
      <c r="AC2402">
        <f>VLOOKUP(A:A,[1]android_repos_all_metrics!B:K,4,FALSE)</f>
        <v>109</v>
      </c>
      <c r="AD2402">
        <f>VLOOKUP(A:A,[1]android_repos_all_metrics!B:K,5,FALSE)</f>
        <v>0</v>
      </c>
      <c r="AE2402">
        <f>VLOOKUP(A:A,[1]android_repos_all_metrics!B:K,6,FALSE)</f>
        <v>1</v>
      </c>
      <c r="AF2402">
        <f>VLOOKUP(A:A,[1]android_repos_all_metrics!B:K,7,FALSE)</f>
        <v>29776</v>
      </c>
      <c r="AG2402">
        <f>VLOOKUP(A:A,[1]android_repos_all_metrics!B:K,8,FALSE)</f>
        <v>1</v>
      </c>
      <c r="AH2402">
        <f>VLOOKUP(A:A,[1]android_repos_all_metrics!B:K,9,FALSE)</f>
        <v>1</v>
      </c>
      <c r="AI2402">
        <f>VLOOKUP(A:A,[1]android_repos_all_metrics!B:K,10,FALSE)</f>
        <v>0</v>
      </c>
    </row>
    <row r="2403" spans="1:35">
      <c r="A2403" t="s">
        <v>2474</v>
      </c>
      <c r="B2403" t="b">
        <v>1</v>
      </c>
      <c r="C2403" t="b">
        <v>0</v>
      </c>
      <c r="D2403" t="b">
        <v>0</v>
      </c>
      <c r="F2403" t="b">
        <v>0</v>
      </c>
      <c r="H2403" t="s">
        <v>37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>
        <v>3</v>
      </c>
      <c r="AB2403">
        <v>0</v>
      </c>
      <c r="AC2403">
        <f>VLOOKUP(A:A,[1]android_repos_all_metrics!B:K,4,FALSE)</f>
        <v>167</v>
      </c>
      <c r="AD2403">
        <f>VLOOKUP(A:A,[1]android_repos_all_metrics!B:K,5,FALSE)</f>
        <v>22</v>
      </c>
      <c r="AE2403">
        <f>VLOOKUP(A:A,[1]android_repos_all_metrics!B:K,6,FALSE)</f>
        <v>2</v>
      </c>
      <c r="AF2403">
        <f>VLOOKUP(A:A,[1]android_repos_all_metrics!B:K,7,FALSE)</f>
        <v>16374</v>
      </c>
      <c r="AG2403">
        <f>VLOOKUP(A:A,[1]android_repos_all_metrics!B:K,8,FALSE)</f>
        <v>6</v>
      </c>
      <c r="AH2403">
        <f>VLOOKUP(A:A,[1]android_repos_all_metrics!B:K,9,FALSE)</f>
        <v>17</v>
      </c>
      <c r="AI2403">
        <f>VLOOKUP(A:A,[1]android_repos_all_metrics!B:K,10,FALSE)</f>
        <v>1</v>
      </c>
    </row>
    <row r="2404" spans="1:35">
      <c r="A2404" t="s">
        <v>2475</v>
      </c>
      <c r="B2404" t="b">
        <v>1</v>
      </c>
      <c r="C2404" t="b">
        <v>1</v>
      </c>
      <c r="D2404" t="b">
        <v>1</v>
      </c>
      <c r="E2404" t="s">
        <v>36</v>
      </c>
      <c r="F2404" t="b">
        <v>0</v>
      </c>
      <c r="H2404" t="s">
        <v>37</v>
      </c>
      <c r="I2404" t="s">
        <v>37</v>
      </c>
      <c r="J2404" t="b">
        <v>0</v>
      </c>
      <c r="K2404" t="b">
        <v>0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  <c r="Q2404" t="b">
        <v>1</v>
      </c>
      <c r="R2404" t="b">
        <v>0</v>
      </c>
      <c r="S2404" t="b">
        <v>0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>
        <v>3</v>
      </c>
      <c r="AA2404">
        <v>1</v>
      </c>
      <c r="AB2404">
        <v>0</v>
      </c>
      <c r="AC2404">
        <f>VLOOKUP(A:A,[1]android_repos_all_metrics!B:K,4,FALSE)</f>
        <v>2</v>
      </c>
      <c r="AD2404">
        <f>VLOOKUP(A:A,[1]android_repos_all_metrics!B:K,5,FALSE)</f>
        <v>0</v>
      </c>
      <c r="AE2404">
        <f>VLOOKUP(A:A,[1]android_repos_all_metrics!B:K,6,FALSE)</f>
        <v>1</v>
      </c>
      <c r="AF2404">
        <f>VLOOKUP(A:A,[1]android_repos_all_metrics!B:K,7,FALSE)</f>
        <v>1745</v>
      </c>
      <c r="AG2404">
        <f>VLOOKUP(A:A,[1]android_repos_all_metrics!B:K,8,FALSE)</f>
        <v>0</v>
      </c>
      <c r="AH2404">
        <f>VLOOKUP(A:A,[1]android_repos_all_metrics!B:K,9,FALSE)</f>
        <v>3</v>
      </c>
      <c r="AI2404">
        <f>VLOOKUP(A:A,[1]android_repos_all_metrics!B:K,10,FALSE)</f>
        <v>0</v>
      </c>
    </row>
    <row r="2405" spans="1:35">
      <c r="A2405" t="s">
        <v>2476</v>
      </c>
      <c r="B2405" t="b">
        <v>1</v>
      </c>
      <c r="C2405" t="b">
        <v>0</v>
      </c>
      <c r="D2405" t="b">
        <v>0</v>
      </c>
      <c r="F2405" t="b">
        <v>0</v>
      </c>
      <c r="H2405" t="s">
        <v>37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>
        <v>2</v>
      </c>
      <c r="AB2405">
        <v>0</v>
      </c>
      <c r="AC2405">
        <f>VLOOKUP(A:A,[1]android_repos_all_metrics!B:K,4,FALSE)</f>
        <v>142</v>
      </c>
      <c r="AD2405">
        <f>VLOOKUP(A:A,[1]android_repos_all_metrics!B:K,5,FALSE)</f>
        <v>3</v>
      </c>
      <c r="AE2405">
        <f>VLOOKUP(A:A,[1]android_repos_all_metrics!B:K,6,FALSE)</f>
        <v>1</v>
      </c>
      <c r="AF2405">
        <f>VLOOKUP(A:A,[1]android_repos_all_metrics!B:K,7,FALSE)</f>
        <v>5641</v>
      </c>
      <c r="AG2405">
        <f>VLOOKUP(A:A,[1]android_repos_all_metrics!B:K,8,FALSE)</f>
        <v>0</v>
      </c>
      <c r="AH2405">
        <f>VLOOKUP(A:A,[1]android_repos_all_metrics!B:K,9,FALSE)</f>
        <v>3</v>
      </c>
      <c r="AI2405">
        <f>VLOOKUP(A:A,[1]android_repos_all_metrics!B:K,10,FALSE)</f>
        <v>3</v>
      </c>
    </row>
    <row r="2406" spans="1:35">
      <c r="A2406" t="s">
        <v>2477</v>
      </c>
      <c r="B2406" t="b">
        <v>1</v>
      </c>
      <c r="C2406" t="b">
        <v>0</v>
      </c>
      <c r="D2406" t="b">
        <v>0</v>
      </c>
      <c r="F2406" t="b">
        <v>0</v>
      </c>
      <c r="H2406" t="s">
        <v>37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>
        <v>1</v>
      </c>
      <c r="AB2406">
        <v>0</v>
      </c>
      <c r="AC2406">
        <f>VLOOKUP(A:A,[1]android_repos_all_metrics!B:K,4,FALSE)</f>
        <v>200</v>
      </c>
      <c r="AD2406">
        <f>VLOOKUP(A:A,[1]android_repos_all_metrics!B:K,5,FALSE)</f>
        <v>26</v>
      </c>
      <c r="AE2406">
        <f>VLOOKUP(A:A,[1]android_repos_all_metrics!B:K,6,FALSE)</f>
        <v>1</v>
      </c>
      <c r="AF2406">
        <f>VLOOKUP(A:A,[1]android_repos_all_metrics!B:K,7,FALSE)</f>
        <v>2895</v>
      </c>
      <c r="AG2406">
        <f>VLOOKUP(A:A,[1]android_repos_all_metrics!B:K,8,FALSE)</f>
        <v>1</v>
      </c>
      <c r="AH2406">
        <f>VLOOKUP(A:A,[1]android_repos_all_metrics!B:K,9,FALSE)</f>
        <v>16</v>
      </c>
      <c r="AI2406">
        <f>VLOOKUP(A:A,[1]android_repos_all_metrics!B:K,10,FALSE)</f>
        <v>22</v>
      </c>
    </row>
    <row r="2407" spans="1:35">
      <c r="A2407" t="s">
        <v>2478</v>
      </c>
      <c r="B2407" t="b">
        <v>1</v>
      </c>
      <c r="C2407" t="b">
        <v>1</v>
      </c>
      <c r="D2407" t="b">
        <v>1</v>
      </c>
      <c r="E2407" t="s">
        <v>36</v>
      </c>
      <c r="F2407" t="b">
        <v>0</v>
      </c>
      <c r="H2407" t="s">
        <v>37</v>
      </c>
      <c r="I2407" t="s">
        <v>37</v>
      </c>
      <c r="J2407" t="b">
        <v>0</v>
      </c>
      <c r="K2407" t="b">
        <v>0</v>
      </c>
      <c r="L2407" t="b">
        <v>0</v>
      </c>
      <c r="M2407" t="b">
        <v>0</v>
      </c>
      <c r="N2407" t="b">
        <v>1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b">
        <v>1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>
        <v>3</v>
      </c>
      <c r="AA2407">
        <v>1</v>
      </c>
      <c r="AB2407">
        <v>0</v>
      </c>
      <c r="AC2407">
        <f>VLOOKUP(A:A,[1]android_repos_all_metrics!B:K,4,FALSE)</f>
        <v>11</v>
      </c>
      <c r="AD2407">
        <f>VLOOKUP(A:A,[1]android_repos_all_metrics!B:K,5,FALSE)</f>
        <v>0</v>
      </c>
      <c r="AE2407">
        <f>VLOOKUP(A:A,[1]android_repos_all_metrics!B:K,6,FALSE)</f>
        <v>1</v>
      </c>
      <c r="AF2407">
        <f>VLOOKUP(A:A,[1]android_repos_all_metrics!B:K,7,FALSE)</f>
        <v>3053</v>
      </c>
      <c r="AG2407">
        <f>VLOOKUP(A:A,[1]android_repos_all_metrics!B:K,8,FALSE)</f>
        <v>0</v>
      </c>
      <c r="AH2407">
        <f>VLOOKUP(A:A,[1]android_repos_all_metrics!B:K,9,FALSE)</f>
        <v>2</v>
      </c>
      <c r="AI2407">
        <f>VLOOKUP(A:A,[1]android_repos_all_metrics!B:K,10,FALSE)</f>
        <v>0</v>
      </c>
    </row>
    <row r="2408" spans="1:35">
      <c r="A2408" t="s">
        <v>2479</v>
      </c>
      <c r="B2408" t="b">
        <v>1</v>
      </c>
      <c r="C2408" t="b">
        <v>1</v>
      </c>
      <c r="D2408" t="b">
        <v>1</v>
      </c>
      <c r="E2408" t="s">
        <v>36</v>
      </c>
      <c r="F2408" t="b">
        <v>0</v>
      </c>
      <c r="H2408" t="s">
        <v>37</v>
      </c>
      <c r="I2408" t="s">
        <v>37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1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>
        <v>1</v>
      </c>
      <c r="AA2408">
        <v>3</v>
      </c>
      <c r="AB2408">
        <v>0</v>
      </c>
      <c r="AC2408">
        <f>VLOOKUP(A:A,[1]android_repos_all_metrics!B:K,4,FALSE)</f>
        <v>53</v>
      </c>
      <c r="AD2408">
        <f>VLOOKUP(A:A,[1]android_repos_all_metrics!B:K,5,FALSE)</f>
        <v>0</v>
      </c>
      <c r="AE2408">
        <f>VLOOKUP(A:A,[1]android_repos_all_metrics!B:K,6,FALSE)</f>
        <v>1</v>
      </c>
      <c r="AF2408">
        <f>VLOOKUP(A:A,[1]android_repos_all_metrics!B:K,7,FALSE)</f>
        <v>874</v>
      </c>
      <c r="AG2408">
        <f>VLOOKUP(A:A,[1]android_repos_all_metrics!B:K,8,FALSE)</f>
        <v>0</v>
      </c>
      <c r="AH2408">
        <f>VLOOKUP(A:A,[1]android_repos_all_metrics!B:K,9,FALSE)</f>
        <v>2</v>
      </c>
      <c r="AI2408">
        <f>VLOOKUP(A:A,[1]android_repos_all_metrics!B:K,10,FALSE)</f>
        <v>0</v>
      </c>
    </row>
    <row r="2409" spans="1:35">
      <c r="A2409" t="s">
        <v>2480</v>
      </c>
      <c r="B2409" t="b">
        <v>1</v>
      </c>
      <c r="C2409" t="b">
        <v>0</v>
      </c>
      <c r="D2409" t="b">
        <v>0</v>
      </c>
      <c r="F2409" t="b">
        <v>0</v>
      </c>
      <c r="H2409" t="s">
        <v>37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>
        <v>1</v>
      </c>
      <c r="AB2409">
        <v>0</v>
      </c>
      <c r="AC2409">
        <f>VLOOKUP(A:A,[1]android_repos_all_metrics!B:K,4,FALSE)</f>
        <v>18</v>
      </c>
      <c r="AD2409">
        <f>VLOOKUP(A:A,[1]android_repos_all_metrics!B:K,5,FALSE)</f>
        <v>2</v>
      </c>
      <c r="AE2409">
        <f>VLOOKUP(A:A,[1]android_repos_all_metrics!B:K,6,FALSE)</f>
        <v>2</v>
      </c>
      <c r="AF2409">
        <f>VLOOKUP(A:A,[1]android_repos_all_metrics!B:K,7,FALSE)</f>
        <v>8675</v>
      </c>
      <c r="AG2409">
        <f>VLOOKUP(A:A,[1]android_repos_all_metrics!B:K,8,FALSE)</f>
        <v>1</v>
      </c>
      <c r="AH2409">
        <f>VLOOKUP(A:A,[1]android_repos_all_metrics!B:K,9,FALSE)</f>
        <v>6</v>
      </c>
      <c r="AI2409">
        <f>VLOOKUP(A:A,[1]android_repos_all_metrics!B:K,10,FALSE)</f>
        <v>0</v>
      </c>
    </row>
    <row r="2410" spans="1:35">
      <c r="A2410" t="s">
        <v>2481</v>
      </c>
      <c r="B2410" t="b">
        <v>1</v>
      </c>
      <c r="C2410" t="b">
        <v>0</v>
      </c>
      <c r="D2410" t="b">
        <v>0</v>
      </c>
      <c r="F2410" t="b">
        <v>0</v>
      </c>
      <c r="H2410" t="s">
        <v>37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>
        <v>2</v>
      </c>
      <c r="AB2410">
        <v>0</v>
      </c>
      <c r="AC2410">
        <f>VLOOKUP(A:A,[1]android_repos_all_metrics!B:K,4,FALSE)</f>
        <v>64</v>
      </c>
      <c r="AD2410">
        <f>VLOOKUP(A:A,[1]android_repos_all_metrics!B:K,5,FALSE)</f>
        <v>15</v>
      </c>
      <c r="AE2410">
        <f>VLOOKUP(A:A,[1]android_repos_all_metrics!B:K,6,FALSE)</f>
        <v>4</v>
      </c>
      <c r="AF2410">
        <f>VLOOKUP(A:A,[1]android_repos_all_metrics!B:K,7,FALSE)</f>
        <v>26618</v>
      </c>
      <c r="AG2410">
        <f>VLOOKUP(A:A,[1]android_repos_all_metrics!B:K,8,FALSE)</f>
        <v>15</v>
      </c>
      <c r="AH2410">
        <f>VLOOKUP(A:A,[1]android_repos_all_metrics!B:K,9,FALSE)</f>
        <v>18</v>
      </c>
      <c r="AI2410">
        <f>VLOOKUP(A:A,[1]android_repos_all_metrics!B:K,10,FALSE)</f>
        <v>0</v>
      </c>
    </row>
    <row r="2411" spans="1:35">
      <c r="A2411" t="s">
        <v>2482</v>
      </c>
      <c r="B2411" t="b">
        <v>0</v>
      </c>
      <c r="C2411" t="b">
        <v>0</v>
      </c>
      <c r="D2411" t="b">
        <v>0</v>
      </c>
      <c r="F2411" t="b">
        <v>0</v>
      </c>
      <c r="H2411" t="s">
        <v>43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>
        <v>1</v>
      </c>
      <c r="AB2411">
        <v>0</v>
      </c>
      <c r="AC2411">
        <f>VLOOKUP(A:A,[1]android_repos_all_metrics!B:K,4,FALSE)</f>
        <v>8</v>
      </c>
      <c r="AD2411">
        <f>VLOOKUP(A:A,[1]android_repos_all_metrics!B:K,5,FALSE)</f>
        <v>0</v>
      </c>
      <c r="AE2411">
        <f>VLOOKUP(A:A,[1]android_repos_all_metrics!B:K,6,FALSE)</f>
        <v>1</v>
      </c>
      <c r="AF2411">
        <f>VLOOKUP(A:A,[1]android_repos_all_metrics!B:K,7,FALSE)</f>
        <v>4793</v>
      </c>
      <c r="AG2411">
        <f>VLOOKUP(A:A,[1]android_repos_all_metrics!B:K,8,FALSE)</f>
        <v>1</v>
      </c>
      <c r="AH2411">
        <f>VLOOKUP(A:A,[1]android_repos_all_metrics!B:K,9,FALSE)</f>
        <v>2</v>
      </c>
      <c r="AI2411">
        <f>VLOOKUP(A:A,[1]android_repos_all_metrics!B:K,10,FALSE)</f>
        <v>1</v>
      </c>
    </row>
    <row r="2412" spans="1:35">
      <c r="A2412" t="s">
        <v>2483</v>
      </c>
      <c r="B2412" t="b">
        <v>0</v>
      </c>
      <c r="C2412" t="b">
        <v>0</v>
      </c>
      <c r="D2412" t="b">
        <v>0</v>
      </c>
      <c r="F2412" t="b">
        <v>0</v>
      </c>
      <c r="H2412" t="s">
        <v>41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>
        <v>1</v>
      </c>
      <c r="AB2412">
        <v>0</v>
      </c>
      <c r="AC2412">
        <f>VLOOKUP(A:A,[1]android_repos_all_metrics!B:K,4,FALSE)</f>
        <v>167</v>
      </c>
      <c r="AD2412">
        <f>VLOOKUP(A:A,[1]android_repos_all_metrics!B:K,5,FALSE)</f>
        <v>3</v>
      </c>
      <c r="AE2412">
        <f>VLOOKUP(A:A,[1]android_repos_all_metrics!B:K,6,FALSE)</f>
        <v>4</v>
      </c>
      <c r="AF2412">
        <f>VLOOKUP(A:A,[1]android_repos_all_metrics!B:K,7,FALSE)</f>
        <v>5334</v>
      </c>
      <c r="AG2412">
        <f>VLOOKUP(A:A,[1]android_repos_all_metrics!B:K,8,FALSE)</f>
        <v>8</v>
      </c>
      <c r="AH2412">
        <f>VLOOKUP(A:A,[1]android_repos_all_metrics!B:K,9,FALSE)</f>
        <v>40</v>
      </c>
      <c r="AI2412">
        <f>VLOOKUP(A:A,[1]android_repos_all_metrics!B:K,10,FALSE)</f>
        <v>4</v>
      </c>
    </row>
    <row r="2413" spans="1:35">
      <c r="A2413" t="s">
        <v>2484</v>
      </c>
      <c r="B2413" t="b">
        <v>1</v>
      </c>
      <c r="C2413" t="b">
        <v>0</v>
      </c>
      <c r="D2413" t="b">
        <v>0</v>
      </c>
      <c r="F2413" t="b">
        <v>0</v>
      </c>
      <c r="H2413" t="s">
        <v>37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>
        <v>3</v>
      </c>
      <c r="AB2413">
        <v>0</v>
      </c>
      <c r="AC2413">
        <f>VLOOKUP(A:A,[1]android_repos_all_metrics!B:K,4,FALSE)</f>
        <v>308</v>
      </c>
      <c r="AD2413">
        <f>VLOOKUP(A:A,[1]android_repos_all_metrics!B:K,5,FALSE)</f>
        <v>64</v>
      </c>
      <c r="AE2413">
        <f>VLOOKUP(A:A,[1]android_repos_all_metrics!B:K,6,FALSE)</f>
        <v>3</v>
      </c>
      <c r="AF2413">
        <f>VLOOKUP(A:A,[1]android_repos_all_metrics!B:K,7,FALSE)</f>
        <v>8569</v>
      </c>
      <c r="AG2413">
        <f>VLOOKUP(A:A,[1]android_repos_all_metrics!B:K,8,FALSE)</f>
        <v>4</v>
      </c>
      <c r="AH2413">
        <f>VLOOKUP(A:A,[1]android_repos_all_metrics!B:K,9,FALSE)</f>
        <v>7</v>
      </c>
      <c r="AI2413">
        <f>VLOOKUP(A:A,[1]android_repos_all_metrics!B:K,10,FALSE)</f>
        <v>10</v>
      </c>
    </row>
    <row r="2414" spans="1:35">
      <c r="A2414" t="s">
        <v>2485</v>
      </c>
      <c r="B2414" t="b">
        <v>1</v>
      </c>
      <c r="C2414" t="b">
        <v>1</v>
      </c>
      <c r="D2414" t="b">
        <v>0</v>
      </c>
      <c r="F2414" t="b">
        <v>1</v>
      </c>
      <c r="G2414" t="s">
        <v>109</v>
      </c>
      <c r="H2414" t="s">
        <v>43</v>
      </c>
      <c r="I2414" t="s">
        <v>43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>
        <v>1</v>
      </c>
      <c r="AB2414">
        <v>0</v>
      </c>
      <c r="AC2414">
        <f>VLOOKUP(A:A,[1]android_repos_all_metrics!B:K,4,FALSE)</f>
        <v>111</v>
      </c>
      <c r="AD2414">
        <f>VLOOKUP(A:A,[1]android_repos_all_metrics!B:K,5,FALSE)</f>
        <v>1</v>
      </c>
      <c r="AE2414">
        <f>VLOOKUP(A:A,[1]android_repos_all_metrics!B:K,6,FALSE)</f>
        <v>1</v>
      </c>
      <c r="AF2414">
        <f>VLOOKUP(A:A,[1]android_repos_all_metrics!B:K,7,FALSE)</f>
        <v>1251</v>
      </c>
      <c r="AG2414">
        <f>VLOOKUP(A:A,[1]android_repos_all_metrics!B:K,8,FALSE)</f>
        <v>1</v>
      </c>
      <c r="AH2414">
        <f>VLOOKUP(A:A,[1]android_repos_all_metrics!B:K,9,FALSE)</f>
        <v>5</v>
      </c>
      <c r="AI2414">
        <f>VLOOKUP(A:A,[1]android_repos_all_metrics!B:K,10,FALSE)</f>
        <v>3</v>
      </c>
    </row>
    <row r="2415" spans="1:35">
      <c r="A2415" t="s">
        <v>2486</v>
      </c>
      <c r="B2415" t="b">
        <v>1</v>
      </c>
      <c r="C2415" t="b">
        <v>0</v>
      </c>
      <c r="D2415" t="b">
        <v>0</v>
      </c>
      <c r="F2415" t="b">
        <v>0</v>
      </c>
      <c r="H2415" t="s">
        <v>76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>
        <v>1</v>
      </c>
      <c r="AB2415">
        <v>0</v>
      </c>
      <c r="AC2415">
        <f>VLOOKUP(A:A,[1]android_repos_all_metrics!B:K,4,FALSE)</f>
        <v>302</v>
      </c>
      <c r="AD2415">
        <f>VLOOKUP(A:A,[1]android_repos_all_metrics!B:K,5,FALSE)</f>
        <v>4</v>
      </c>
      <c r="AE2415">
        <f>VLOOKUP(A:A,[1]android_repos_all_metrics!B:K,6,FALSE)</f>
        <v>4</v>
      </c>
      <c r="AF2415">
        <f>VLOOKUP(A:A,[1]android_repos_all_metrics!B:K,7,FALSE)</f>
        <v>25480</v>
      </c>
      <c r="AG2415">
        <f>VLOOKUP(A:A,[1]android_repos_all_metrics!B:K,8,FALSE)</f>
        <v>5</v>
      </c>
      <c r="AH2415">
        <f>VLOOKUP(A:A,[1]android_repos_all_metrics!B:K,9,FALSE)</f>
        <v>36</v>
      </c>
      <c r="AI2415">
        <f>VLOOKUP(A:A,[1]android_repos_all_metrics!B:K,10,FALSE)</f>
        <v>11</v>
      </c>
    </row>
    <row r="2416" spans="1:35">
      <c r="A2416" t="s">
        <v>2487</v>
      </c>
      <c r="B2416" t="b">
        <v>1</v>
      </c>
      <c r="C2416" t="b">
        <v>0</v>
      </c>
      <c r="D2416" t="b">
        <v>0</v>
      </c>
      <c r="F2416" t="b">
        <v>0</v>
      </c>
      <c r="H2416" t="s">
        <v>41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>
        <v>1</v>
      </c>
      <c r="AB2416">
        <v>0</v>
      </c>
      <c r="AC2416">
        <f>VLOOKUP(A:A,[1]android_repos_all_metrics!B:K,4,FALSE)</f>
        <v>361</v>
      </c>
      <c r="AD2416">
        <f>VLOOKUP(A:A,[1]android_repos_all_metrics!B:K,5,FALSE)</f>
        <v>0</v>
      </c>
      <c r="AE2416">
        <f>VLOOKUP(A:A,[1]android_repos_all_metrics!B:K,6,FALSE)</f>
        <v>1</v>
      </c>
      <c r="AF2416">
        <f>VLOOKUP(A:A,[1]android_repos_all_metrics!B:K,7,FALSE)</f>
        <v>3802</v>
      </c>
      <c r="AG2416">
        <f>VLOOKUP(A:A,[1]android_repos_all_metrics!B:K,8,FALSE)</f>
        <v>2</v>
      </c>
      <c r="AH2416">
        <f>VLOOKUP(A:A,[1]android_repos_all_metrics!B:K,9,FALSE)</f>
        <v>4</v>
      </c>
      <c r="AI2416">
        <f>VLOOKUP(A:A,[1]android_repos_all_metrics!B:K,10,FALSE)</f>
        <v>0</v>
      </c>
    </row>
    <row r="2417" spans="1:35">
      <c r="A2417" t="s">
        <v>2488</v>
      </c>
      <c r="B2417" t="b">
        <v>1</v>
      </c>
      <c r="C2417" t="b">
        <v>0</v>
      </c>
      <c r="D2417" t="b">
        <v>0</v>
      </c>
      <c r="F2417" t="b">
        <v>0</v>
      </c>
      <c r="H2417" t="s">
        <v>37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>
        <v>2</v>
      </c>
      <c r="AB2417">
        <v>0</v>
      </c>
      <c r="AC2417">
        <f>VLOOKUP(A:A,[1]android_repos_all_metrics!B:K,4,FALSE)</f>
        <v>1222</v>
      </c>
      <c r="AD2417">
        <f>VLOOKUP(A:A,[1]android_repos_all_metrics!B:K,5,FALSE)</f>
        <v>38</v>
      </c>
      <c r="AE2417">
        <f>VLOOKUP(A:A,[1]android_repos_all_metrics!B:K,6,FALSE)</f>
        <v>4</v>
      </c>
      <c r="AF2417">
        <f>VLOOKUP(A:A,[1]android_repos_all_metrics!B:K,7,FALSE)</f>
        <v>2514</v>
      </c>
      <c r="AG2417">
        <f>VLOOKUP(A:A,[1]android_repos_all_metrics!B:K,8,FALSE)</f>
        <v>19</v>
      </c>
      <c r="AH2417">
        <f>VLOOKUP(A:A,[1]android_repos_all_metrics!B:K,9,FALSE)</f>
        <v>155</v>
      </c>
      <c r="AI2417">
        <f>VLOOKUP(A:A,[1]android_repos_all_metrics!B:K,10,FALSE)</f>
        <v>0</v>
      </c>
    </row>
    <row r="2418" spans="1:35">
      <c r="A2418" t="s">
        <v>2489</v>
      </c>
      <c r="B2418" t="b">
        <v>0</v>
      </c>
      <c r="C2418" t="b">
        <v>0</v>
      </c>
      <c r="D2418" t="b">
        <v>0</v>
      </c>
      <c r="F2418" t="b">
        <v>0</v>
      </c>
      <c r="H2418" t="s">
        <v>41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>
        <v>1</v>
      </c>
      <c r="AB2418">
        <v>0</v>
      </c>
      <c r="AC2418">
        <f>VLOOKUP(A:A,[1]android_repos_all_metrics!B:K,4,FALSE)</f>
        <v>20</v>
      </c>
      <c r="AD2418">
        <f>VLOOKUP(A:A,[1]android_repos_all_metrics!B:K,5,FALSE)</f>
        <v>0</v>
      </c>
      <c r="AE2418">
        <f>VLOOKUP(A:A,[1]android_repos_all_metrics!B:K,6,FALSE)</f>
        <v>1</v>
      </c>
      <c r="AF2418">
        <f>VLOOKUP(A:A,[1]android_repos_all_metrics!B:K,7,FALSE)</f>
        <v>169</v>
      </c>
      <c r="AG2418">
        <f>VLOOKUP(A:A,[1]android_repos_all_metrics!B:K,8,FALSE)</f>
        <v>0</v>
      </c>
      <c r="AH2418">
        <f>VLOOKUP(A:A,[1]android_repos_all_metrics!B:K,9,FALSE)</f>
        <v>1</v>
      </c>
      <c r="AI2418">
        <f>VLOOKUP(A:A,[1]android_repos_all_metrics!B:K,10,FALSE)</f>
        <v>0</v>
      </c>
    </row>
    <row r="2419" spans="1:35">
      <c r="A2419" t="s">
        <v>2490</v>
      </c>
      <c r="B2419" t="b">
        <v>1</v>
      </c>
      <c r="C2419" t="b">
        <v>0</v>
      </c>
      <c r="D2419" t="b">
        <v>0</v>
      </c>
      <c r="F2419" t="b">
        <v>0</v>
      </c>
      <c r="H2419" t="s">
        <v>37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>
        <v>1</v>
      </c>
      <c r="AB2419">
        <v>0</v>
      </c>
      <c r="AC2419">
        <f>VLOOKUP(A:A,[1]android_repos_all_metrics!B:K,4,FALSE)</f>
        <v>1857</v>
      </c>
      <c r="AD2419">
        <f>VLOOKUP(A:A,[1]android_repos_all_metrics!B:K,5,FALSE)</f>
        <v>135</v>
      </c>
      <c r="AE2419">
        <f>VLOOKUP(A:A,[1]android_repos_all_metrics!B:K,6,FALSE)</f>
        <v>33</v>
      </c>
      <c r="AF2419">
        <f>VLOOKUP(A:A,[1]android_repos_all_metrics!B:K,7,FALSE)</f>
        <v>18116</v>
      </c>
      <c r="AG2419">
        <f>VLOOKUP(A:A,[1]android_repos_all_metrics!B:K,8,FALSE)</f>
        <v>106</v>
      </c>
      <c r="AH2419">
        <f>VLOOKUP(A:A,[1]android_repos_all_metrics!B:K,9,FALSE)</f>
        <v>500</v>
      </c>
      <c r="AI2419">
        <f>VLOOKUP(A:A,[1]android_repos_all_metrics!B:K,10,FALSE)</f>
        <v>37</v>
      </c>
    </row>
    <row r="2420" spans="1:35">
      <c r="A2420" t="s">
        <v>2491</v>
      </c>
      <c r="B2420" t="b">
        <v>1</v>
      </c>
      <c r="C2420" t="b">
        <v>0</v>
      </c>
      <c r="D2420" t="b">
        <v>0</v>
      </c>
      <c r="F2420" t="b">
        <v>0</v>
      </c>
      <c r="H2420" t="s">
        <v>43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>
        <v>1</v>
      </c>
      <c r="AB2420">
        <v>0</v>
      </c>
      <c r="AC2420">
        <f>VLOOKUP(A:A,[1]android_repos_all_metrics!B:K,4,FALSE)</f>
        <v>208</v>
      </c>
      <c r="AD2420">
        <f>VLOOKUP(A:A,[1]android_repos_all_metrics!B:K,5,FALSE)</f>
        <v>0</v>
      </c>
      <c r="AE2420">
        <f>VLOOKUP(A:A,[1]android_repos_all_metrics!B:K,6,FALSE)</f>
        <v>3</v>
      </c>
      <c r="AF2420">
        <f>VLOOKUP(A:A,[1]android_repos_all_metrics!B:K,7,FALSE)</f>
        <v>46649</v>
      </c>
      <c r="AG2420">
        <f>VLOOKUP(A:A,[1]android_repos_all_metrics!B:K,8,FALSE)</f>
        <v>1</v>
      </c>
      <c r="AH2420">
        <f>VLOOKUP(A:A,[1]android_repos_all_metrics!B:K,9,FALSE)</f>
        <v>11</v>
      </c>
      <c r="AI2420">
        <f>VLOOKUP(A:A,[1]android_repos_all_metrics!B:K,10,FALSE)</f>
        <v>0</v>
      </c>
    </row>
    <row r="2421" spans="1:35">
      <c r="A2421" t="s">
        <v>2492</v>
      </c>
      <c r="B2421" t="b">
        <v>0</v>
      </c>
      <c r="C2421" t="b">
        <v>0</v>
      </c>
      <c r="D2421" t="b">
        <v>0</v>
      </c>
      <c r="F2421" t="b">
        <v>0</v>
      </c>
      <c r="H2421" t="s">
        <v>43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>
        <v>1</v>
      </c>
      <c r="AB2421">
        <v>0</v>
      </c>
      <c r="AC2421">
        <f>VLOOKUP(A:A,[1]android_repos_all_metrics!B:K,4,FALSE)</f>
        <v>1159</v>
      </c>
      <c r="AD2421">
        <f>VLOOKUP(A:A,[1]android_repos_all_metrics!B:K,5,FALSE)</f>
        <v>288</v>
      </c>
      <c r="AE2421">
        <f>VLOOKUP(A:A,[1]android_repos_all_metrics!B:K,6,FALSE)</f>
        <v>8</v>
      </c>
      <c r="AF2421">
        <f>VLOOKUP(A:A,[1]android_repos_all_metrics!B:K,7,FALSE)</f>
        <v>38042</v>
      </c>
      <c r="AG2421">
        <f>VLOOKUP(A:A,[1]android_repos_all_metrics!B:K,8,FALSE)</f>
        <v>25</v>
      </c>
      <c r="AH2421">
        <f>VLOOKUP(A:A,[1]android_repos_all_metrics!B:K,9,FALSE)</f>
        <v>45</v>
      </c>
      <c r="AI2421">
        <f>VLOOKUP(A:A,[1]android_repos_all_metrics!B:K,10,FALSE)</f>
        <v>11</v>
      </c>
    </row>
    <row r="2422" spans="1:35">
      <c r="A2422" t="s">
        <v>2493</v>
      </c>
      <c r="B2422" t="b">
        <v>1</v>
      </c>
      <c r="C2422" t="b">
        <v>0</v>
      </c>
      <c r="D2422" t="b">
        <v>0</v>
      </c>
      <c r="F2422" t="b">
        <v>0</v>
      </c>
      <c r="H2422" t="s">
        <v>37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>
        <v>1</v>
      </c>
      <c r="AB2422">
        <v>0</v>
      </c>
      <c r="AC2422">
        <f>VLOOKUP(A:A,[1]android_repos_all_metrics!B:K,4,FALSE)</f>
        <v>114</v>
      </c>
      <c r="AD2422">
        <f>VLOOKUP(A:A,[1]android_repos_all_metrics!B:K,5,FALSE)</f>
        <v>2</v>
      </c>
      <c r="AE2422">
        <f>VLOOKUP(A:A,[1]android_repos_all_metrics!B:K,6,FALSE)</f>
        <v>2</v>
      </c>
      <c r="AF2422">
        <f>VLOOKUP(A:A,[1]android_repos_all_metrics!B:K,7,FALSE)</f>
        <v>11538</v>
      </c>
      <c r="AG2422">
        <f>VLOOKUP(A:A,[1]android_repos_all_metrics!B:K,8,FALSE)</f>
        <v>1</v>
      </c>
      <c r="AH2422">
        <f>VLOOKUP(A:A,[1]android_repos_all_metrics!B:K,9,FALSE)</f>
        <v>2</v>
      </c>
      <c r="AI2422">
        <f>VLOOKUP(A:A,[1]android_repos_all_metrics!B:K,10,FALSE)</f>
        <v>0</v>
      </c>
    </row>
    <row r="2423" spans="1:35">
      <c r="A2423" t="s">
        <v>2494</v>
      </c>
      <c r="B2423" t="b">
        <v>1</v>
      </c>
      <c r="C2423" t="b">
        <v>0</v>
      </c>
      <c r="D2423" t="b">
        <v>0</v>
      </c>
      <c r="F2423" t="b">
        <v>0</v>
      </c>
      <c r="H2423" t="s">
        <v>37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>
        <v>1</v>
      </c>
      <c r="AB2423">
        <v>0</v>
      </c>
      <c r="AC2423">
        <f>VLOOKUP(A:A,[1]android_repos_all_metrics!B:K,4,FALSE)</f>
        <v>140</v>
      </c>
      <c r="AD2423">
        <f>VLOOKUP(A:A,[1]android_repos_all_metrics!B:K,5,FALSE)</f>
        <v>49</v>
      </c>
      <c r="AE2423">
        <f>VLOOKUP(A:A,[1]android_repos_all_metrics!B:K,6,FALSE)</f>
        <v>4</v>
      </c>
      <c r="AF2423">
        <f>VLOOKUP(A:A,[1]android_repos_all_metrics!B:K,7,FALSE)</f>
        <v>12001</v>
      </c>
      <c r="AG2423">
        <f>VLOOKUP(A:A,[1]android_repos_all_metrics!B:K,8,FALSE)</f>
        <v>17</v>
      </c>
      <c r="AH2423">
        <f>VLOOKUP(A:A,[1]android_repos_all_metrics!B:K,9,FALSE)</f>
        <v>19</v>
      </c>
      <c r="AI2423">
        <f>VLOOKUP(A:A,[1]android_repos_all_metrics!B:K,10,FALSE)</f>
        <v>9</v>
      </c>
    </row>
    <row r="2424" spans="1:35">
      <c r="A2424" t="s">
        <v>2495</v>
      </c>
      <c r="B2424" t="b">
        <v>1</v>
      </c>
      <c r="C2424" t="b">
        <v>0</v>
      </c>
      <c r="D2424" t="b">
        <v>0</v>
      </c>
      <c r="F2424" t="b">
        <v>0</v>
      </c>
      <c r="H2424" t="s">
        <v>37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>
        <v>2</v>
      </c>
      <c r="AB2424">
        <v>0</v>
      </c>
      <c r="AC2424">
        <f>VLOOKUP(A:A,[1]android_repos_all_metrics!B:K,4,FALSE)</f>
        <v>136</v>
      </c>
      <c r="AD2424">
        <f>VLOOKUP(A:A,[1]android_repos_all_metrics!B:K,5,FALSE)</f>
        <v>35</v>
      </c>
      <c r="AE2424">
        <f>VLOOKUP(A:A,[1]android_repos_all_metrics!B:K,6,FALSE)</f>
        <v>3</v>
      </c>
      <c r="AF2424">
        <f>VLOOKUP(A:A,[1]android_repos_all_metrics!B:K,7,FALSE)</f>
        <v>29553</v>
      </c>
      <c r="AG2424">
        <f>VLOOKUP(A:A,[1]android_repos_all_metrics!B:K,8,FALSE)</f>
        <v>0</v>
      </c>
      <c r="AH2424">
        <f>VLOOKUP(A:A,[1]android_repos_all_metrics!B:K,9,FALSE)</f>
        <v>3</v>
      </c>
      <c r="AI2424">
        <f>VLOOKUP(A:A,[1]android_repos_all_metrics!B:K,10,FALSE)</f>
        <v>25</v>
      </c>
    </row>
    <row r="2425" spans="1:35">
      <c r="A2425" t="s">
        <v>2496</v>
      </c>
      <c r="B2425" t="b">
        <v>1</v>
      </c>
      <c r="C2425" t="b">
        <v>0</v>
      </c>
      <c r="D2425" t="b">
        <v>0</v>
      </c>
      <c r="F2425" t="b">
        <v>0</v>
      </c>
      <c r="H2425" t="s">
        <v>37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>
        <v>1</v>
      </c>
      <c r="AB2425">
        <v>0</v>
      </c>
      <c r="AC2425">
        <f>VLOOKUP(A:A,[1]android_repos_all_metrics!B:K,4,FALSE)</f>
        <v>11</v>
      </c>
      <c r="AD2425">
        <f>VLOOKUP(A:A,[1]android_repos_all_metrics!B:K,5,FALSE)</f>
        <v>0</v>
      </c>
      <c r="AE2425">
        <f>VLOOKUP(A:A,[1]android_repos_all_metrics!B:K,6,FALSE)</f>
        <v>1</v>
      </c>
      <c r="AF2425">
        <f>VLOOKUP(A:A,[1]android_repos_all_metrics!B:K,7,FALSE)</f>
        <v>69</v>
      </c>
      <c r="AG2425">
        <f>VLOOKUP(A:A,[1]android_repos_all_metrics!B:K,8,FALSE)</f>
        <v>0</v>
      </c>
      <c r="AH2425">
        <f>VLOOKUP(A:A,[1]android_repos_all_metrics!B:K,9,FALSE)</f>
        <v>4</v>
      </c>
      <c r="AI2425">
        <f>VLOOKUP(A:A,[1]android_repos_all_metrics!B:K,10,FALSE)</f>
        <v>0</v>
      </c>
    </row>
    <row r="2426" spans="1:35">
      <c r="A2426" t="s">
        <v>2497</v>
      </c>
      <c r="B2426" t="b">
        <v>1</v>
      </c>
      <c r="C2426" t="b">
        <v>1</v>
      </c>
      <c r="D2426" t="b">
        <v>0</v>
      </c>
      <c r="F2426" t="b">
        <v>1</v>
      </c>
      <c r="G2426" t="s">
        <v>39</v>
      </c>
      <c r="H2426" t="s">
        <v>41</v>
      </c>
      <c r="I2426" t="s">
        <v>41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>
        <v>1</v>
      </c>
      <c r="AB2426">
        <v>0</v>
      </c>
      <c r="AC2426">
        <f>VLOOKUP(A:A,[1]android_repos_all_metrics!B:K,4,FALSE)</f>
        <v>295</v>
      </c>
      <c r="AD2426">
        <f>VLOOKUP(A:A,[1]android_repos_all_metrics!B:K,5,FALSE)</f>
        <v>20</v>
      </c>
      <c r="AE2426">
        <f>VLOOKUP(A:A,[1]android_repos_all_metrics!B:K,6,FALSE)</f>
        <v>2</v>
      </c>
      <c r="AF2426">
        <f>VLOOKUP(A:A,[1]android_repos_all_metrics!B:K,7,FALSE)</f>
        <v>11803</v>
      </c>
      <c r="AG2426">
        <f>VLOOKUP(A:A,[1]android_repos_all_metrics!B:K,8,FALSE)</f>
        <v>2</v>
      </c>
      <c r="AH2426">
        <f>VLOOKUP(A:A,[1]android_repos_all_metrics!B:K,9,FALSE)</f>
        <v>13</v>
      </c>
      <c r="AI2426">
        <f>VLOOKUP(A:A,[1]android_repos_all_metrics!B:K,10,FALSE)</f>
        <v>14</v>
      </c>
    </row>
    <row r="2427" spans="1:35">
      <c r="A2427" t="s">
        <v>2498</v>
      </c>
      <c r="B2427" t="b">
        <v>1</v>
      </c>
      <c r="C2427" t="b">
        <v>0</v>
      </c>
      <c r="D2427" t="b">
        <v>0</v>
      </c>
      <c r="F2427" t="b">
        <v>0</v>
      </c>
      <c r="H2427" t="s">
        <v>37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>
        <v>1</v>
      </c>
      <c r="AB2427">
        <v>0</v>
      </c>
      <c r="AC2427">
        <f>VLOOKUP(A:A,[1]android_repos_all_metrics!B:K,4,FALSE)</f>
        <v>9</v>
      </c>
      <c r="AD2427">
        <f>VLOOKUP(A:A,[1]android_repos_all_metrics!B:K,5,FALSE)</f>
        <v>0</v>
      </c>
      <c r="AE2427">
        <f>VLOOKUP(A:A,[1]android_repos_all_metrics!B:K,6,FALSE)</f>
        <v>1</v>
      </c>
      <c r="AF2427">
        <f>VLOOKUP(A:A,[1]android_repos_all_metrics!B:K,7,FALSE)</f>
        <v>9004</v>
      </c>
      <c r="AG2427">
        <f>VLOOKUP(A:A,[1]android_repos_all_metrics!B:K,8,FALSE)</f>
        <v>8</v>
      </c>
      <c r="AH2427">
        <f>VLOOKUP(A:A,[1]android_repos_all_metrics!B:K,9,FALSE)</f>
        <v>14</v>
      </c>
      <c r="AI2427">
        <f>VLOOKUP(A:A,[1]android_repos_all_metrics!B:K,10,FALSE)</f>
        <v>0</v>
      </c>
    </row>
    <row r="2428" spans="1:35">
      <c r="A2428" t="s">
        <v>2499</v>
      </c>
      <c r="B2428" t="b">
        <v>1</v>
      </c>
      <c r="C2428" t="b">
        <v>0</v>
      </c>
      <c r="D2428" t="b">
        <v>0</v>
      </c>
      <c r="F2428" t="b">
        <v>0</v>
      </c>
      <c r="H2428" t="s">
        <v>37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>
        <v>1</v>
      </c>
      <c r="AB2428">
        <v>0</v>
      </c>
      <c r="AC2428">
        <f>VLOOKUP(A:A,[1]android_repos_all_metrics!B:K,4,FALSE)</f>
        <v>50</v>
      </c>
      <c r="AD2428">
        <f>VLOOKUP(A:A,[1]android_repos_all_metrics!B:K,5,FALSE)</f>
        <v>2</v>
      </c>
      <c r="AE2428">
        <f>VLOOKUP(A:A,[1]android_repos_all_metrics!B:K,6,FALSE)</f>
        <v>1</v>
      </c>
      <c r="AF2428">
        <f>VLOOKUP(A:A,[1]android_repos_all_metrics!B:K,7,FALSE)</f>
        <v>335</v>
      </c>
      <c r="AG2428">
        <f>VLOOKUP(A:A,[1]android_repos_all_metrics!B:K,8,FALSE)</f>
        <v>41</v>
      </c>
      <c r="AH2428">
        <f>VLOOKUP(A:A,[1]android_repos_all_metrics!B:K,9,FALSE)</f>
        <v>78</v>
      </c>
      <c r="AI2428">
        <f>VLOOKUP(A:A,[1]android_repos_all_metrics!B:K,10,FALSE)</f>
        <v>4</v>
      </c>
    </row>
    <row r="2429" spans="1:35">
      <c r="A2429" t="s">
        <v>2500</v>
      </c>
      <c r="B2429" t="b">
        <v>1</v>
      </c>
      <c r="C2429" t="b">
        <v>0</v>
      </c>
      <c r="D2429" t="b">
        <v>0</v>
      </c>
      <c r="F2429" t="b">
        <v>0</v>
      </c>
      <c r="H2429" t="s">
        <v>41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>
        <v>1</v>
      </c>
      <c r="AB2429">
        <v>0</v>
      </c>
      <c r="AC2429">
        <f>VLOOKUP(A:A,[1]android_repos_all_metrics!B:K,4,FALSE)</f>
        <v>239</v>
      </c>
      <c r="AD2429">
        <f>VLOOKUP(A:A,[1]android_repos_all_metrics!B:K,5,FALSE)</f>
        <v>16</v>
      </c>
      <c r="AE2429">
        <f>VLOOKUP(A:A,[1]android_repos_all_metrics!B:K,6,FALSE)</f>
        <v>6</v>
      </c>
      <c r="AF2429">
        <f>VLOOKUP(A:A,[1]android_repos_all_metrics!B:K,7,FALSE)</f>
        <v>3235</v>
      </c>
      <c r="AG2429">
        <f>VLOOKUP(A:A,[1]android_repos_all_metrics!B:K,8,FALSE)</f>
        <v>56</v>
      </c>
      <c r="AH2429">
        <f>VLOOKUP(A:A,[1]android_repos_all_metrics!B:K,9,FALSE)</f>
        <v>190</v>
      </c>
      <c r="AI2429">
        <f>VLOOKUP(A:A,[1]android_repos_all_metrics!B:K,10,FALSE)</f>
        <v>7</v>
      </c>
    </row>
    <row r="2430" spans="1:35">
      <c r="A2430" t="s">
        <v>2501</v>
      </c>
      <c r="B2430" t="b">
        <v>1</v>
      </c>
      <c r="C2430" t="b">
        <v>0</v>
      </c>
      <c r="D2430" t="b">
        <v>0</v>
      </c>
      <c r="F2430" t="b">
        <v>0</v>
      </c>
      <c r="H2430" t="s">
        <v>37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>
        <v>1</v>
      </c>
      <c r="AB2430">
        <v>0</v>
      </c>
      <c r="AC2430">
        <f>VLOOKUP(A:A,[1]android_repos_all_metrics!B:K,4,FALSE)</f>
        <v>165</v>
      </c>
      <c r="AD2430">
        <f>VLOOKUP(A:A,[1]android_repos_all_metrics!B:K,5,FALSE)</f>
        <v>173</v>
      </c>
      <c r="AE2430">
        <f>VLOOKUP(A:A,[1]android_repos_all_metrics!B:K,6,FALSE)</f>
        <v>7</v>
      </c>
      <c r="AF2430">
        <f>VLOOKUP(A:A,[1]android_repos_all_metrics!B:K,7,FALSE)</f>
        <v>56344</v>
      </c>
      <c r="AG2430">
        <f>VLOOKUP(A:A,[1]android_repos_all_metrics!B:K,8,FALSE)</f>
        <v>10</v>
      </c>
      <c r="AH2430">
        <f>VLOOKUP(A:A,[1]android_repos_all_metrics!B:K,9,FALSE)</f>
        <v>16</v>
      </c>
      <c r="AI2430">
        <f>VLOOKUP(A:A,[1]android_repos_all_metrics!B:K,10,FALSE)</f>
        <v>15</v>
      </c>
    </row>
    <row r="2431" spans="1:35">
      <c r="A2431" t="s">
        <v>2502</v>
      </c>
      <c r="B2431" t="b">
        <v>1</v>
      </c>
      <c r="C2431" t="b">
        <v>0</v>
      </c>
      <c r="D2431" t="b">
        <v>0</v>
      </c>
      <c r="F2431" t="b">
        <v>0</v>
      </c>
      <c r="H2431" t="s">
        <v>37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>
        <v>2</v>
      </c>
      <c r="AB2431">
        <v>0</v>
      </c>
      <c r="AC2431" t="e">
        <f>VLOOKUP(A:A,[1]android_repos_all_metrics!B:K,4,FALSE)</f>
        <v>#N/A</v>
      </c>
      <c r="AD2431" t="e">
        <f>VLOOKUP(A:A,[1]android_repos_all_metrics!B:K,5,FALSE)</f>
        <v>#N/A</v>
      </c>
      <c r="AE2431" t="e">
        <f>VLOOKUP(A:A,[1]android_repos_all_metrics!B:K,6,FALSE)</f>
        <v>#N/A</v>
      </c>
      <c r="AF2431" t="e">
        <f>VLOOKUP(A:A,[1]android_repos_all_metrics!B:K,7,FALSE)</f>
        <v>#N/A</v>
      </c>
      <c r="AG2431" t="e">
        <f>VLOOKUP(A:A,[1]android_repos_all_metrics!B:K,8,FALSE)</f>
        <v>#N/A</v>
      </c>
      <c r="AH2431" t="e">
        <f>VLOOKUP(A:A,[1]android_repos_all_metrics!B:K,9,FALSE)</f>
        <v>#N/A</v>
      </c>
      <c r="AI2431" t="e">
        <f>VLOOKUP(A:A,[1]android_repos_all_metrics!B:K,10,FALSE)</f>
        <v>#N/A</v>
      </c>
    </row>
    <row r="2432" spans="1:35">
      <c r="A2432" t="s">
        <v>2503</v>
      </c>
      <c r="B2432" t="b">
        <v>1</v>
      </c>
      <c r="C2432" t="b">
        <v>0</v>
      </c>
      <c r="D2432" t="b">
        <v>0</v>
      </c>
      <c r="F2432" t="b">
        <v>0</v>
      </c>
      <c r="H2432" t="s">
        <v>37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>
        <v>2</v>
      </c>
      <c r="AB2432">
        <v>0</v>
      </c>
      <c r="AC2432">
        <f>VLOOKUP(A:A,[1]android_repos_all_metrics!B:K,4,FALSE)</f>
        <v>378</v>
      </c>
      <c r="AD2432">
        <f>VLOOKUP(A:A,[1]android_repos_all_metrics!B:K,5,FALSE)</f>
        <v>24</v>
      </c>
      <c r="AE2432">
        <f>VLOOKUP(A:A,[1]android_repos_all_metrics!B:K,6,FALSE)</f>
        <v>1</v>
      </c>
      <c r="AF2432">
        <f>VLOOKUP(A:A,[1]android_repos_all_metrics!B:K,7,FALSE)</f>
        <v>10227</v>
      </c>
      <c r="AG2432">
        <f>VLOOKUP(A:A,[1]android_repos_all_metrics!B:K,8,FALSE)</f>
        <v>0</v>
      </c>
      <c r="AH2432">
        <f>VLOOKUP(A:A,[1]android_repos_all_metrics!B:K,9,FALSE)</f>
        <v>7</v>
      </c>
      <c r="AI2432">
        <f>VLOOKUP(A:A,[1]android_repos_all_metrics!B:K,10,FALSE)</f>
        <v>6</v>
      </c>
    </row>
    <row r="2433" spans="1:35">
      <c r="A2433" t="s">
        <v>2504</v>
      </c>
      <c r="B2433" t="b">
        <v>0</v>
      </c>
      <c r="C2433" t="b">
        <v>0</v>
      </c>
      <c r="D2433" t="b">
        <v>0</v>
      </c>
      <c r="F2433" t="b">
        <v>0</v>
      </c>
      <c r="H2433" t="s">
        <v>37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>
        <v>1</v>
      </c>
      <c r="AB2433">
        <v>0</v>
      </c>
      <c r="AC2433">
        <f>VLOOKUP(A:A,[1]android_repos_all_metrics!B:K,4,FALSE)</f>
        <v>246</v>
      </c>
      <c r="AD2433">
        <f>VLOOKUP(A:A,[1]android_repos_all_metrics!B:K,5,FALSE)</f>
        <v>64</v>
      </c>
      <c r="AE2433">
        <f>VLOOKUP(A:A,[1]android_repos_all_metrics!B:K,6,FALSE)</f>
        <v>6</v>
      </c>
      <c r="AF2433">
        <f>VLOOKUP(A:A,[1]android_repos_all_metrics!B:K,7,FALSE)</f>
        <v>97372</v>
      </c>
      <c r="AG2433">
        <f>VLOOKUP(A:A,[1]android_repos_all_metrics!B:K,8,FALSE)</f>
        <v>6</v>
      </c>
      <c r="AH2433">
        <f>VLOOKUP(A:A,[1]android_repos_all_metrics!B:K,9,FALSE)</f>
        <v>40</v>
      </c>
      <c r="AI2433">
        <f>VLOOKUP(A:A,[1]android_repos_all_metrics!B:K,10,FALSE)</f>
        <v>2</v>
      </c>
    </row>
    <row r="2434" spans="1:35">
      <c r="A2434" t="s">
        <v>2505</v>
      </c>
      <c r="B2434" t="b">
        <v>1</v>
      </c>
      <c r="C2434" t="b">
        <v>0</v>
      </c>
      <c r="D2434" t="b">
        <v>0</v>
      </c>
      <c r="F2434" t="b">
        <v>0</v>
      </c>
      <c r="H2434" t="s">
        <v>41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>
        <v>1</v>
      </c>
      <c r="AB2434">
        <v>0</v>
      </c>
      <c r="AC2434">
        <f>VLOOKUP(A:A,[1]android_repos_all_metrics!B:K,4,FALSE)</f>
        <v>266</v>
      </c>
      <c r="AD2434">
        <f>VLOOKUP(A:A,[1]android_repos_all_metrics!B:K,5,FALSE)</f>
        <v>86</v>
      </c>
      <c r="AE2434">
        <f>VLOOKUP(A:A,[1]android_repos_all_metrics!B:K,6,FALSE)</f>
        <v>2</v>
      </c>
      <c r="AF2434">
        <f>VLOOKUP(A:A,[1]android_repos_all_metrics!B:K,7,FALSE)</f>
        <v>7780</v>
      </c>
      <c r="AG2434">
        <f>VLOOKUP(A:A,[1]android_repos_all_metrics!B:K,8,FALSE)</f>
        <v>0</v>
      </c>
      <c r="AH2434">
        <f>VLOOKUP(A:A,[1]android_repos_all_metrics!B:K,9,FALSE)</f>
        <v>5</v>
      </c>
      <c r="AI2434">
        <f>VLOOKUP(A:A,[1]android_repos_all_metrics!B:K,10,FALSE)</f>
        <v>40</v>
      </c>
    </row>
    <row r="2435" spans="1:35">
      <c r="A2435" t="s">
        <v>2506</v>
      </c>
      <c r="B2435" t="b">
        <v>1</v>
      </c>
      <c r="C2435" t="b">
        <v>0</v>
      </c>
      <c r="D2435" t="b">
        <v>0</v>
      </c>
      <c r="F2435" t="b">
        <v>0</v>
      </c>
      <c r="H2435" t="s">
        <v>37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>
        <v>1</v>
      </c>
      <c r="AB2435">
        <v>0</v>
      </c>
      <c r="AC2435">
        <f>VLOOKUP(A:A,[1]android_repos_all_metrics!B:K,4,FALSE)</f>
        <v>64</v>
      </c>
      <c r="AD2435">
        <f>VLOOKUP(A:A,[1]android_repos_all_metrics!B:K,5,FALSE)</f>
        <v>0</v>
      </c>
      <c r="AE2435">
        <f>VLOOKUP(A:A,[1]android_repos_all_metrics!B:K,6,FALSE)</f>
        <v>1</v>
      </c>
      <c r="AF2435">
        <f>VLOOKUP(A:A,[1]android_repos_all_metrics!B:K,7,FALSE)</f>
        <v>947</v>
      </c>
      <c r="AG2435">
        <f>VLOOKUP(A:A,[1]android_repos_all_metrics!B:K,8,FALSE)</f>
        <v>1</v>
      </c>
      <c r="AH2435">
        <f>VLOOKUP(A:A,[1]android_repos_all_metrics!B:K,9,FALSE)</f>
        <v>1</v>
      </c>
      <c r="AI2435">
        <f>VLOOKUP(A:A,[1]android_repos_all_metrics!B:K,10,FALSE)</f>
        <v>0</v>
      </c>
    </row>
    <row r="2436" spans="1:35">
      <c r="A2436" t="s">
        <v>2507</v>
      </c>
      <c r="B2436" t="b">
        <v>0</v>
      </c>
      <c r="C2436" t="b">
        <v>0</v>
      </c>
      <c r="D2436" t="b">
        <v>0</v>
      </c>
      <c r="F2436" t="b">
        <v>0</v>
      </c>
      <c r="H2436" t="s">
        <v>41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>
        <v>1</v>
      </c>
      <c r="AB2436">
        <v>0</v>
      </c>
      <c r="AC2436">
        <f>VLOOKUP(A:A,[1]android_repos_all_metrics!B:K,4,FALSE)</f>
        <v>288</v>
      </c>
      <c r="AD2436">
        <f>VLOOKUP(A:A,[1]android_repos_all_metrics!B:K,5,FALSE)</f>
        <v>15</v>
      </c>
      <c r="AE2436">
        <f>VLOOKUP(A:A,[1]android_repos_all_metrics!B:K,6,FALSE)</f>
        <v>8</v>
      </c>
      <c r="AF2436">
        <f>VLOOKUP(A:A,[1]android_repos_all_metrics!B:K,7,FALSE)</f>
        <v>699</v>
      </c>
      <c r="AG2436">
        <f>VLOOKUP(A:A,[1]android_repos_all_metrics!B:K,8,FALSE)</f>
        <v>31</v>
      </c>
      <c r="AH2436">
        <f>VLOOKUP(A:A,[1]android_repos_all_metrics!B:K,9,FALSE)</f>
        <v>70</v>
      </c>
      <c r="AI2436">
        <f>VLOOKUP(A:A,[1]android_repos_all_metrics!B:K,10,FALSE)</f>
        <v>23</v>
      </c>
    </row>
    <row r="2437" spans="1:35">
      <c r="A2437" t="s">
        <v>2508</v>
      </c>
      <c r="B2437" t="b">
        <v>1</v>
      </c>
      <c r="C2437" t="b">
        <v>0</v>
      </c>
      <c r="D2437" t="b">
        <v>0</v>
      </c>
      <c r="F2437" t="b">
        <v>0</v>
      </c>
      <c r="H2437" t="s">
        <v>37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>
        <v>1</v>
      </c>
      <c r="AB2437">
        <v>0</v>
      </c>
      <c r="AC2437">
        <f>VLOOKUP(A:A,[1]android_repos_all_metrics!B:K,4,FALSE)</f>
        <v>217</v>
      </c>
      <c r="AD2437">
        <f>VLOOKUP(A:A,[1]android_repos_all_metrics!B:K,5,FALSE)</f>
        <v>12</v>
      </c>
      <c r="AE2437">
        <f>VLOOKUP(A:A,[1]android_repos_all_metrics!B:K,6,FALSE)</f>
        <v>2</v>
      </c>
      <c r="AF2437">
        <f>VLOOKUP(A:A,[1]android_repos_all_metrics!B:K,7,FALSE)</f>
        <v>459</v>
      </c>
      <c r="AG2437">
        <f>VLOOKUP(A:A,[1]android_repos_all_metrics!B:K,8,FALSE)</f>
        <v>0</v>
      </c>
      <c r="AH2437">
        <f>VLOOKUP(A:A,[1]android_repos_all_metrics!B:K,9,FALSE)</f>
        <v>3</v>
      </c>
      <c r="AI2437">
        <f>VLOOKUP(A:A,[1]android_repos_all_metrics!B:K,10,FALSE)</f>
        <v>0</v>
      </c>
    </row>
    <row r="2438" spans="1:35">
      <c r="A2438" t="s">
        <v>2509</v>
      </c>
      <c r="B2438" t="b">
        <v>1</v>
      </c>
      <c r="C2438" t="b">
        <v>0</v>
      </c>
      <c r="D2438" t="b">
        <v>0</v>
      </c>
      <c r="F2438" t="b">
        <v>0</v>
      </c>
      <c r="H2438" t="s">
        <v>37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>
        <v>2</v>
      </c>
      <c r="AB2438">
        <v>0</v>
      </c>
      <c r="AC2438">
        <f>VLOOKUP(A:A,[1]android_repos_all_metrics!B:K,4,FALSE)</f>
        <v>1740</v>
      </c>
      <c r="AD2438">
        <f>VLOOKUP(A:A,[1]android_repos_all_metrics!B:K,5,FALSE)</f>
        <v>92</v>
      </c>
      <c r="AE2438">
        <f>VLOOKUP(A:A,[1]android_repos_all_metrics!B:K,6,FALSE)</f>
        <v>46</v>
      </c>
      <c r="AF2438">
        <f>VLOOKUP(A:A,[1]android_repos_all_metrics!B:K,7,FALSE)</f>
        <v>24565</v>
      </c>
      <c r="AG2438">
        <f>VLOOKUP(A:A,[1]android_repos_all_metrics!B:K,8,FALSE)</f>
        <v>524</v>
      </c>
      <c r="AH2438">
        <f>VLOOKUP(A:A,[1]android_repos_all_metrics!B:K,9,FALSE)</f>
        <v>2135</v>
      </c>
      <c r="AI2438">
        <f>VLOOKUP(A:A,[1]android_repos_all_metrics!B:K,10,FALSE)</f>
        <v>11</v>
      </c>
    </row>
    <row r="2439" spans="1:35">
      <c r="A2439" t="s">
        <v>2510</v>
      </c>
      <c r="B2439" t="b">
        <v>0</v>
      </c>
      <c r="C2439" t="b">
        <v>0</v>
      </c>
      <c r="D2439" t="b">
        <v>0</v>
      </c>
      <c r="F2439" t="b">
        <v>0</v>
      </c>
      <c r="H2439" t="s">
        <v>41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>
        <v>1</v>
      </c>
      <c r="AB2439">
        <v>0</v>
      </c>
      <c r="AC2439">
        <f>VLOOKUP(A:A,[1]android_repos_all_metrics!B:K,4,FALSE)</f>
        <v>41</v>
      </c>
      <c r="AD2439">
        <f>VLOOKUP(A:A,[1]android_repos_all_metrics!B:K,5,FALSE)</f>
        <v>1</v>
      </c>
      <c r="AE2439">
        <f>VLOOKUP(A:A,[1]android_repos_all_metrics!B:K,6,FALSE)</f>
        <v>1</v>
      </c>
      <c r="AF2439">
        <f>VLOOKUP(A:A,[1]android_repos_all_metrics!B:K,7,FALSE)</f>
        <v>887</v>
      </c>
      <c r="AG2439">
        <f>VLOOKUP(A:A,[1]android_repos_all_metrics!B:K,8,FALSE)</f>
        <v>1</v>
      </c>
      <c r="AH2439">
        <f>VLOOKUP(A:A,[1]android_repos_all_metrics!B:K,9,FALSE)</f>
        <v>6</v>
      </c>
      <c r="AI2439">
        <f>VLOOKUP(A:A,[1]android_repos_all_metrics!B:K,10,FALSE)</f>
        <v>0</v>
      </c>
    </row>
    <row r="2440" spans="1:35">
      <c r="A2440" t="s">
        <v>2511</v>
      </c>
      <c r="B2440" t="b">
        <v>0</v>
      </c>
      <c r="C2440" t="b">
        <v>0</v>
      </c>
      <c r="D2440" t="b">
        <v>0</v>
      </c>
      <c r="F2440" t="b">
        <v>0</v>
      </c>
      <c r="H2440" t="s">
        <v>41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>
        <v>1</v>
      </c>
      <c r="AB2440">
        <v>0</v>
      </c>
      <c r="AC2440">
        <f>VLOOKUP(A:A,[1]android_repos_all_metrics!B:K,4,FALSE)</f>
        <v>8</v>
      </c>
      <c r="AD2440">
        <f>VLOOKUP(A:A,[1]android_repos_all_metrics!B:K,5,FALSE)</f>
        <v>0</v>
      </c>
      <c r="AE2440">
        <f>VLOOKUP(A:A,[1]android_repos_all_metrics!B:K,6,FALSE)</f>
        <v>1</v>
      </c>
      <c r="AF2440">
        <f>VLOOKUP(A:A,[1]android_repos_all_metrics!B:K,7,FALSE)</f>
        <v>3442</v>
      </c>
      <c r="AG2440">
        <f>VLOOKUP(A:A,[1]android_repos_all_metrics!B:K,8,FALSE)</f>
        <v>52</v>
      </c>
      <c r="AH2440">
        <f>VLOOKUP(A:A,[1]android_repos_all_metrics!B:K,9,FALSE)</f>
        <v>94</v>
      </c>
      <c r="AI2440">
        <f>VLOOKUP(A:A,[1]android_repos_all_metrics!B:K,10,FALSE)</f>
        <v>3</v>
      </c>
    </row>
    <row r="2441" spans="1:35">
      <c r="A2441" t="s">
        <v>2512</v>
      </c>
      <c r="B2441" t="b">
        <v>1</v>
      </c>
      <c r="C2441" t="b">
        <v>0</v>
      </c>
      <c r="D2441" t="b">
        <v>0</v>
      </c>
      <c r="F2441" t="b">
        <v>0</v>
      </c>
      <c r="H2441" t="s">
        <v>41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>
        <v>1</v>
      </c>
      <c r="AB2441">
        <v>0</v>
      </c>
      <c r="AC2441">
        <f>VLOOKUP(A:A,[1]android_repos_all_metrics!B:K,4,FALSE)</f>
        <v>118</v>
      </c>
      <c r="AD2441">
        <f>VLOOKUP(A:A,[1]android_repos_all_metrics!B:K,5,FALSE)</f>
        <v>8</v>
      </c>
      <c r="AE2441">
        <f>VLOOKUP(A:A,[1]android_repos_all_metrics!B:K,6,FALSE)</f>
        <v>2</v>
      </c>
      <c r="AF2441">
        <f>VLOOKUP(A:A,[1]android_repos_all_metrics!B:K,7,FALSE)</f>
        <v>3562</v>
      </c>
      <c r="AG2441">
        <f>VLOOKUP(A:A,[1]android_repos_all_metrics!B:K,8,FALSE)</f>
        <v>38</v>
      </c>
      <c r="AH2441">
        <f>VLOOKUP(A:A,[1]android_repos_all_metrics!B:K,9,FALSE)</f>
        <v>109</v>
      </c>
      <c r="AI2441">
        <f>VLOOKUP(A:A,[1]android_repos_all_metrics!B:K,10,FALSE)</f>
        <v>16</v>
      </c>
    </row>
    <row r="2442" spans="1:35">
      <c r="A2442" t="s">
        <v>2513</v>
      </c>
      <c r="B2442" t="b">
        <v>1</v>
      </c>
      <c r="C2442" t="b">
        <v>1</v>
      </c>
      <c r="D2442" t="b">
        <v>0</v>
      </c>
      <c r="F2442" t="b">
        <v>1</v>
      </c>
      <c r="G2442" t="s">
        <v>39</v>
      </c>
      <c r="H2442" t="s">
        <v>41</v>
      </c>
      <c r="I2442" t="s">
        <v>41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>
        <v>1</v>
      </c>
      <c r="AB2442">
        <v>0</v>
      </c>
      <c r="AC2442">
        <f>VLOOKUP(A:A,[1]android_repos_all_metrics!B:K,4,FALSE)</f>
        <v>59</v>
      </c>
      <c r="AD2442">
        <f>VLOOKUP(A:A,[1]android_repos_all_metrics!B:K,5,FALSE)</f>
        <v>19</v>
      </c>
      <c r="AE2442">
        <f>VLOOKUP(A:A,[1]android_repos_all_metrics!B:K,6,FALSE)</f>
        <v>2</v>
      </c>
      <c r="AF2442">
        <f>VLOOKUP(A:A,[1]android_repos_all_metrics!B:K,7,FALSE)</f>
        <v>266</v>
      </c>
      <c r="AG2442">
        <f>VLOOKUP(A:A,[1]android_repos_all_metrics!B:K,8,FALSE)</f>
        <v>2</v>
      </c>
      <c r="AH2442">
        <f>VLOOKUP(A:A,[1]android_repos_all_metrics!B:K,9,FALSE)</f>
        <v>1</v>
      </c>
      <c r="AI2442">
        <f>VLOOKUP(A:A,[1]android_repos_all_metrics!B:K,10,FALSE)</f>
        <v>17</v>
      </c>
    </row>
    <row r="2443" spans="1:35">
      <c r="A2443" t="s">
        <v>2514</v>
      </c>
      <c r="B2443" t="b">
        <v>0</v>
      </c>
      <c r="C2443" t="b">
        <v>0</v>
      </c>
      <c r="D2443" t="b">
        <v>0</v>
      </c>
      <c r="F2443" t="b">
        <v>0</v>
      </c>
      <c r="H2443" t="s">
        <v>41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>
        <v>1</v>
      </c>
      <c r="AB2443">
        <v>1</v>
      </c>
      <c r="AC2443">
        <f>VLOOKUP(A:A,[1]android_repos_all_metrics!B:K,4,FALSE)</f>
        <v>14</v>
      </c>
      <c r="AD2443">
        <f>VLOOKUP(A:A,[1]android_repos_all_metrics!B:K,5,FALSE)</f>
        <v>0</v>
      </c>
      <c r="AE2443">
        <f>VLOOKUP(A:A,[1]android_repos_all_metrics!B:K,6,FALSE)</f>
        <v>1</v>
      </c>
      <c r="AF2443">
        <f>VLOOKUP(A:A,[1]android_repos_all_metrics!B:K,7,FALSE)</f>
        <v>4556</v>
      </c>
      <c r="AG2443">
        <f>VLOOKUP(A:A,[1]android_repos_all_metrics!B:K,8,FALSE)</f>
        <v>2</v>
      </c>
      <c r="AH2443">
        <f>VLOOKUP(A:A,[1]android_repos_all_metrics!B:K,9,FALSE)</f>
        <v>5</v>
      </c>
      <c r="AI2443">
        <f>VLOOKUP(A:A,[1]android_repos_all_metrics!B:K,10,FALSE)</f>
        <v>0</v>
      </c>
    </row>
    <row r="2444" spans="1:35">
      <c r="A2444" t="s">
        <v>2515</v>
      </c>
      <c r="B2444" t="b">
        <v>1</v>
      </c>
      <c r="C2444" t="b">
        <v>0</v>
      </c>
      <c r="D2444" t="b">
        <v>0</v>
      </c>
      <c r="F2444" t="b">
        <v>0</v>
      </c>
      <c r="H2444" t="s">
        <v>37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>
        <v>3</v>
      </c>
      <c r="AB2444">
        <v>0</v>
      </c>
      <c r="AC2444">
        <f>VLOOKUP(A:A,[1]android_repos_all_metrics!B:K,4,FALSE)</f>
        <v>101</v>
      </c>
      <c r="AD2444">
        <f>VLOOKUP(A:A,[1]android_repos_all_metrics!B:K,5,FALSE)</f>
        <v>85</v>
      </c>
      <c r="AE2444">
        <f>VLOOKUP(A:A,[1]android_repos_all_metrics!B:K,6,FALSE)</f>
        <v>6</v>
      </c>
      <c r="AF2444">
        <f>VLOOKUP(A:A,[1]android_repos_all_metrics!B:K,7,FALSE)</f>
        <v>2339</v>
      </c>
      <c r="AG2444">
        <f>VLOOKUP(A:A,[1]android_repos_all_metrics!B:K,8,FALSE)</f>
        <v>13</v>
      </c>
      <c r="AH2444">
        <f>VLOOKUP(A:A,[1]android_repos_all_metrics!B:K,9,FALSE)</f>
        <v>51</v>
      </c>
      <c r="AI2444">
        <f>VLOOKUP(A:A,[1]android_repos_all_metrics!B:K,10,FALSE)</f>
        <v>12</v>
      </c>
    </row>
    <row r="2445" spans="1:35">
      <c r="A2445" t="s">
        <v>2516</v>
      </c>
      <c r="B2445" t="b">
        <v>1</v>
      </c>
      <c r="C2445" t="b">
        <v>0</v>
      </c>
      <c r="D2445" t="b">
        <v>0</v>
      </c>
      <c r="F2445" t="b">
        <v>0</v>
      </c>
      <c r="H2445" t="s">
        <v>308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>
        <v>2</v>
      </c>
      <c r="AB2445">
        <v>0</v>
      </c>
      <c r="AC2445">
        <f>VLOOKUP(A:A,[1]android_repos_all_metrics!B:K,4,FALSE)</f>
        <v>18</v>
      </c>
      <c r="AD2445">
        <f>VLOOKUP(A:A,[1]android_repos_all_metrics!B:K,5,FALSE)</f>
        <v>65</v>
      </c>
      <c r="AE2445">
        <f>VLOOKUP(A:A,[1]android_repos_all_metrics!B:K,6,FALSE)</f>
        <v>2</v>
      </c>
      <c r="AF2445">
        <f>VLOOKUP(A:A,[1]android_repos_all_metrics!B:K,7,FALSE)</f>
        <v>9224</v>
      </c>
      <c r="AG2445">
        <f>VLOOKUP(A:A,[1]android_repos_all_metrics!B:K,8,FALSE)</f>
        <v>1</v>
      </c>
      <c r="AH2445">
        <f>VLOOKUP(A:A,[1]android_repos_all_metrics!B:K,9,FALSE)</f>
        <v>2</v>
      </c>
      <c r="AI2445">
        <f>VLOOKUP(A:A,[1]android_repos_all_metrics!B:K,10,FALSE)</f>
        <v>10</v>
      </c>
    </row>
    <row r="2446" spans="1:35">
      <c r="A2446" t="s">
        <v>2517</v>
      </c>
      <c r="B2446" t="b">
        <v>1</v>
      </c>
      <c r="C2446" t="b">
        <v>0</v>
      </c>
      <c r="D2446" t="b">
        <v>0</v>
      </c>
      <c r="F2446" t="b">
        <v>0</v>
      </c>
      <c r="H2446" t="s">
        <v>41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>
        <v>1</v>
      </c>
      <c r="AB2446">
        <v>0</v>
      </c>
      <c r="AC2446">
        <f>VLOOKUP(A:A,[1]android_repos_all_metrics!B:K,4,FALSE)</f>
        <v>179</v>
      </c>
      <c r="AD2446">
        <f>VLOOKUP(A:A,[1]android_repos_all_metrics!B:K,5,FALSE)</f>
        <v>0</v>
      </c>
      <c r="AE2446">
        <f>VLOOKUP(A:A,[1]android_repos_all_metrics!B:K,6,FALSE)</f>
        <v>1</v>
      </c>
      <c r="AF2446">
        <f>VLOOKUP(A:A,[1]android_repos_all_metrics!B:K,7,FALSE)</f>
        <v>5510</v>
      </c>
      <c r="AG2446">
        <f>VLOOKUP(A:A,[1]android_repos_all_metrics!B:K,8,FALSE)</f>
        <v>1</v>
      </c>
      <c r="AH2446">
        <f>VLOOKUP(A:A,[1]android_repos_all_metrics!B:K,9,FALSE)</f>
        <v>3</v>
      </c>
      <c r="AI2446">
        <f>VLOOKUP(A:A,[1]android_repos_all_metrics!B:K,10,FALSE)</f>
        <v>0</v>
      </c>
    </row>
    <row r="2447" spans="1:35">
      <c r="A2447" t="s">
        <v>2518</v>
      </c>
      <c r="B2447" t="b">
        <v>1</v>
      </c>
      <c r="C2447" t="b">
        <v>0</v>
      </c>
      <c r="D2447" t="b">
        <v>0</v>
      </c>
      <c r="F2447" t="b">
        <v>0</v>
      </c>
      <c r="H2447" t="s">
        <v>76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>
        <v>1</v>
      </c>
      <c r="AB2447">
        <v>0</v>
      </c>
      <c r="AC2447">
        <f>VLOOKUP(A:A,[1]android_repos_all_metrics!B:K,4,FALSE)</f>
        <v>1152</v>
      </c>
      <c r="AD2447">
        <f>VLOOKUP(A:A,[1]android_repos_all_metrics!B:K,5,FALSE)</f>
        <v>6</v>
      </c>
      <c r="AE2447">
        <f>VLOOKUP(A:A,[1]android_repos_all_metrics!B:K,6,FALSE)</f>
        <v>1</v>
      </c>
      <c r="AF2447">
        <f>VLOOKUP(A:A,[1]android_repos_all_metrics!B:K,7,FALSE)</f>
        <v>8221</v>
      </c>
      <c r="AG2447">
        <f>VLOOKUP(A:A,[1]android_repos_all_metrics!B:K,8,FALSE)</f>
        <v>0</v>
      </c>
      <c r="AH2447">
        <f>VLOOKUP(A:A,[1]android_repos_all_metrics!B:K,9,FALSE)</f>
        <v>9</v>
      </c>
      <c r="AI2447">
        <f>VLOOKUP(A:A,[1]android_repos_all_metrics!B:K,10,FALSE)</f>
        <v>1</v>
      </c>
    </row>
    <row r="2448" spans="1:35">
      <c r="A2448" t="s">
        <v>2519</v>
      </c>
      <c r="B2448" t="b">
        <v>1</v>
      </c>
      <c r="C2448" t="b">
        <v>0</v>
      </c>
      <c r="D2448" t="b">
        <v>0</v>
      </c>
      <c r="F2448" t="b">
        <v>0</v>
      </c>
      <c r="H2448" t="s">
        <v>76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>
        <v>1</v>
      </c>
      <c r="AB2448">
        <v>0</v>
      </c>
      <c r="AC2448">
        <f>VLOOKUP(A:A,[1]android_repos_all_metrics!B:K,4,FALSE)</f>
        <v>41</v>
      </c>
      <c r="AD2448">
        <f>VLOOKUP(A:A,[1]android_repos_all_metrics!B:K,5,FALSE)</f>
        <v>0</v>
      </c>
      <c r="AE2448">
        <f>VLOOKUP(A:A,[1]android_repos_all_metrics!B:K,6,FALSE)</f>
        <v>7</v>
      </c>
      <c r="AF2448">
        <f>VLOOKUP(A:A,[1]android_repos_all_metrics!B:K,7,FALSE)</f>
        <v>575</v>
      </c>
      <c r="AG2448">
        <f>VLOOKUP(A:A,[1]android_repos_all_metrics!B:K,8,FALSE)</f>
        <v>2</v>
      </c>
      <c r="AH2448">
        <f>VLOOKUP(A:A,[1]android_repos_all_metrics!B:K,9,FALSE)</f>
        <v>4</v>
      </c>
      <c r="AI2448">
        <f>VLOOKUP(A:A,[1]android_repos_all_metrics!B:K,10,FALSE)</f>
        <v>0</v>
      </c>
    </row>
    <row r="2449" spans="1:35">
      <c r="A2449" t="s">
        <v>2520</v>
      </c>
      <c r="B2449" t="b">
        <v>1</v>
      </c>
      <c r="C2449" t="b">
        <v>0</v>
      </c>
      <c r="D2449" t="b">
        <v>0</v>
      </c>
      <c r="F2449" t="b">
        <v>0</v>
      </c>
      <c r="H2449" t="s">
        <v>37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>
        <v>2</v>
      </c>
      <c r="AB2449">
        <v>0</v>
      </c>
      <c r="AC2449">
        <f>VLOOKUP(A:A,[1]android_repos_all_metrics!B:K,4,FALSE)</f>
        <v>350</v>
      </c>
      <c r="AD2449">
        <f>VLOOKUP(A:A,[1]android_repos_all_metrics!B:K,5,FALSE)</f>
        <v>39</v>
      </c>
      <c r="AE2449">
        <f>VLOOKUP(A:A,[1]android_repos_all_metrics!B:K,6,FALSE)</f>
        <v>5</v>
      </c>
      <c r="AF2449">
        <f>VLOOKUP(A:A,[1]android_repos_all_metrics!B:K,7,FALSE)</f>
        <v>3809</v>
      </c>
      <c r="AG2449">
        <f>VLOOKUP(A:A,[1]android_repos_all_metrics!B:K,8,FALSE)</f>
        <v>0</v>
      </c>
      <c r="AH2449">
        <f>VLOOKUP(A:A,[1]android_repos_all_metrics!B:K,9,FALSE)</f>
        <v>8</v>
      </c>
      <c r="AI2449">
        <f>VLOOKUP(A:A,[1]android_repos_all_metrics!B:K,10,FALSE)</f>
        <v>40</v>
      </c>
    </row>
    <row r="2450" spans="1:35">
      <c r="A2450" t="s">
        <v>2521</v>
      </c>
      <c r="B2450" t="b">
        <v>1</v>
      </c>
      <c r="C2450" t="b">
        <v>0</v>
      </c>
      <c r="D2450" t="b">
        <v>0</v>
      </c>
      <c r="F2450" t="b">
        <v>0</v>
      </c>
      <c r="H2450" t="s">
        <v>41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>
        <v>1</v>
      </c>
      <c r="AB2450">
        <v>0</v>
      </c>
      <c r="AC2450">
        <f>VLOOKUP(A:A,[1]android_repos_all_metrics!B:K,4,FALSE)</f>
        <v>203</v>
      </c>
      <c r="AD2450">
        <f>VLOOKUP(A:A,[1]android_repos_all_metrics!B:K,5,FALSE)</f>
        <v>44</v>
      </c>
      <c r="AE2450">
        <f>VLOOKUP(A:A,[1]android_repos_all_metrics!B:K,6,FALSE)</f>
        <v>11</v>
      </c>
      <c r="AF2450">
        <f>VLOOKUP(A:A,[1]android_repos_all_metrics!B:K,7,FALSE)</f>
        <v>7194</v>
      </c>
      <c r="AG2450">
        <f>VLOOKUP(A:A,[1]android_repos_all_metrics!B:K,8,FALSE)</f>
        <v>11</v>
      </c>
      <c r="AH2450">
        <f>VLOOKUP(A:A,[1]android_repos_all_metrics!B:K,9,FALSE)</f>
        <v>8</v>
      </c>
      <c r="AI2450">
        <f>VLOOKUP(A:A,[1]android_repos_all_metrics!B:K,10,FALSE)</f>
        <v>3</v>
      </c>
    </row>
    <row r="2451" spans="1:35">
      <c r="A2451" t="s">
        <v>2522</v>
      </c>
      <c r="B2451" t="b">
        <v>1</v>
      </c>
      <c r="C2451" t="b">
        <v>0</v>
      </c>
      <c r="D2451" t="b">
        <v>0</v>
      </c>
      <c r="F2451" t="b">
        <v>0</v>
      </c>
      <c r="H2451" t="s">
        <v>86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>
        <v>8</v>
      </c>
      <c r="AB2451">
        <v>0</v>
      </c>
      <c r="AC2451">
        <f>VLOOKUP(A:A,[1]android_repos_all_metrics!B:K,4,FALSE)</f>
        <v>471</v>
      </c>
      <c r="AD2451">
        <f>VLOOKUP(A:A,[1]android_repos_all_metrics!B:K,5,FALSE)</f>
        <v>6</v>
      </c>
      <c r="AE2451">
        <f>VLOOKUP(A:A,[1]android_repos_all_metrics!B:K,6,FALSE)</f>
        <v>5</v>
      </c>
      <c r="AF2451">
        <f>VLOOKUP(A:A,[1]android_repos_all_metrics!B:K,7,FALSE)</f>
        <v>193282</v>
      </c>
      <c r="AG2451">
        <f>VLOOKUP(A:A,[1]android_repos_all_metrics!B:K,8,FALSE)</f>
        <v>12</v>
      </c>
      <c r="AH2451">
        <f>VLOOKUP(A:A,[1]android_repos_all_metrics!B:K,9,FALSE)</f>
        <v>113</v>
      </c>
      <c r="AI2451">
        <f>VLOOKUP(A:A,[1]android_repos_all_metrics!B:K,10,FALSE)</f>
        <v>0</v>
      </c>
    </row>
    <row r="2452" spans="1:35">
      <c r="A2452" t="s">
        <v>2523</v>
      </c>
      <c r="B2452" t="b">
        <v>1</v>
      </c>
      <c r="C2452" t="b">
        <v>0</v>
      </c>
      <c r="D2452" t="b">
        <v>0</v>
      </c>
      <c r="F2452" t="b">
        <v>0</v>
      </c>
      <c r="H2452" t="s">
        <v>37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>
        <v>2</v>
      </c>
      <c r="AB2452">
        <v>0</v>
      </c>
      <c r="AC2452">
        <f>VLOOKUP(A:A,[1]android_repos_all_metrics!B:K,4,FALSE)</f>
        <v>378</v>
      </c>
      <c r="AD2452">
        <f>VLOOKUP(A:A,[1]android_repos_all_metrics!B:K,5,FALSE)</f>
        <v>17</v>
      </c>
      <c r="AE2452">
        <f>VLOOKUP(A:A,[1]android_repos_all_metrics!B:K,6,FALSE)</f>
        <v>1</v>
      </c>
      <c r="AF2452">
        <f>VLOOKUP(A:A,[1]android_repos_all_metrics!B:K,7,FALSE)</f>
        <v>873</v>
      </c>
      <c r="AG2452">
        <f>VLOOKUP(A:A,[1]android_repos_all_metrics!B:K,8,FALSE)</f>
        <v>0</v>
      </c>
      <c r="AH2452">
        <f>VLOOKUP(A:A,[1]android_repos_all_metrics!B:K,9,FALSE)</f>
        <v>6</v>
      </c>
      <c r="AI2452">
        <f>VLOOKUP(A:A,[1]android_repos_all_metrics!B:K,10,FALSE)</f>
        <v>1</v>
      </c>
    </row>
    <row r="2453" spans="1:35">
      <c r="A2453" t="s">
        <v>2524</v>
      </c>
      <c r="B2453" t="b">
        <v>0</v>
      </c>
      <c r="C2453" t="b">
        <v>0</v>
      </c>
      <c r="D2453" t="b">
        <v>0</v>
      </c>
      <c r="F2453" t="b">
        <v>0</v>
      </c>
      <c r="H2453" t="s">
        <v>41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>
        <v>1</v>
      </c>
      <c r="AB2453">
        <v>0</v>
      </c>
      <c r="AC2453">
        <f>VLOOKUP(A:A,[1]android_repos_all_metrics!B:K,4,FALSE)</f>
        <v>330</v>
      </c>
      <c r="AD2453">
        <f>VLOOKUP(A:A,[1]android_repos_all_metrics!B:K,5,FALSE)</f>
        <v>0</v>
      </c>
      <c r="AE2453">
        <f>VLOOKUP(A:A,[1]android_repos_all_metrics!B:K,6,FALSE)</f>
        <v>1</v>
      </c>
      <c r="AF2453">
        <f>VLOOKUP(A:A,[1]android_repos_all_metrics!B:K,7,FALSE)</f>
        <v>1605</v>
      </c>
      <c r="AG2453">
        <f>VLOOKUP(A:A,[1]android_repos_all_metrics!B:K,8,FALSE)</f>
        <v>0</v>
      </c>
      <c r="AH2453">
        <f>VLOOKUP(A:A,[1]android_repos_all_metrics!B:K,9,FALSE)</f>
        <v>2</v>
      </c>
      <c r="AI2453">
        <f>VLOOKUP(A:A,[1]android_repos_all_metrics!B:K,10,FALSE)</f>
        <v>2</v>
      </c>
    </row>
    <row r="2454" spans="1:35">
      <c r="A2454" t="s">
        <v>2525</v>
      </c>
      <c r="B2454" t="b">
        <v>1</v>
      </c>
      <c r="C2454" t="b">
        <v>0</v>
      </c>
      <c r="D2454" t="b">
        <v>0</v>
      </c>
      <c r="F2454" t="b">
        <v>0</v>
      </c>
      <c r="H2454" t="s">
        <v>37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>
        <v>1</v>
      </c>
      <c r="AB2454">
        <v>0</v>
      </c>
      <c r="AC2454">
        <f>VLOOKUP(A:A,[1]android_repos_all_metrics!B:K,4,FALSE)</f>
        <v>156</v>
      </c>
      <c r="AD2454">
        <f>VLOOKUP(A:A,[1]android_repos_all_metrics!B:K,5,FALSE)</f>
        <v>5</v>
      </c>
      <c r="AE2454">
        <f>VLOOKUP(A:A,[1]android_repos_all_metrics!B:K,6,FALSE)</f>
        <v>1</v>
      </c>
      <c r="AF2454">
        <f>VLOOKUP(A:A,[1]android_repos_all_metrics!B:K,7,FALSE)</f>
        <v>1426</v>
      </c>
      <c r="AG2454">
        <f>VLOOKUP(A:A,[1]android_repos_all_metrics!B:K,8,FALSE)</f>
        <v>3</v>
      </c>
      <c r="AH2454">
        <f>VLOOKUP(A:A,[1]android_repos_all_metrics!B:K,9,FALSE)</f>
        <v>39</v>
      </c>
      <c r="AI2454">
        <f>VLOOKUP(A:A,[1]android_repos_all_metrics!B:K,10,FALSE)</f>
        <v>20</v>
      </c>
    </row>
    <row r="2455" spans="1:35">
      <c r="A2455" t="s">
        <v>2526</v>
      </c>
      <c r="B2455" t="b">
        <v>1</v>
      </c>
      <c r="C2455" t="b">
        <v>0</v>
      </c>
      <c r="D2455" t="b">
        <v>0</v>
      </c>
      <c r="F2455" t="b">
        <v>0</v>
      </c>
      <c r="H2455" t="s">
        <v>37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>
        <v>1</v>
      </c>
      <c r="AB2455">
        <v>0</v>
      </c>
      <c r="AC2455">
        <f>VLOOKUP(A:A,[1]android_repos_all_metrics!B:K,4,FALSE)</f>
        <v>11</v>
      </c>
      <c r="AD2455">
        <f>VLOOKUP(A:A,[1]android_repos_all_metrics!B:K,5,FALSE)</f>
        <v>1</v>
      </c>
      <c r="AE2455">
        <f>VLOOKUP(A:A,[1]android_repos_all_metrics!B:K,6,FALSE)</f>
        <v>1</v>
      </c>
      <c r="AF2455">
        <f>VLOOKUP(A:A,[1]android_repos_all_metrics!B:K,7,FALSE)</f>
        <v>420</v>
      </c>
      <c r="AG2455">
        <f>VLOOKUP(A:A,[1]android_repos_all_metrics!B:K,8,FALSE)</f>
        <v>1</v>
      </c>
      <c r="AH2455">
        <f>VLOOKUP(A:A,[1]android_repos_all_metrics!B:K,9,FALSE)</f>
        <v>5</v>
      </c>
      <c r="AI2455">
        <f>VLOOKUP(A:A,[1]android_repos_all_metrics!B:K,10,FALSE)</f>
        <v>1</v>
      </c>
    </row>
    <row r="2456" spans="1:35">
      <c r="A2456" t="s">
        <v>2527</v>
      </c>
      <c r="B2456" t="b">
        <v>1</v>
      </c>
      <c r="C2456" t="b">
        <v>0</v>
      </c>
      <c r="D2456" t="b">
        <v>0</v>
      </c>
      <c r="F2456" t="b">
        <v>0</v>
      </c>
      <c r="H2456" t="s">
        <v>37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>
        <v>2</v>
      </c>
      <c r="AB2456">
        <v>0</v>
      </c>
      <c r="AC2456">
        <f>VLOOKUP(A:A,[1]android_repos_all_metrics!B:K,4,FALSE)</f>
        <v>56</v>
      </c>
      <c r="AD2456">
        <f>VLOOKUP(A:A,[1]android_repos_all_metrics!B:K,5,FALSE)</f>
        <v>2</v>
      </c>
      <c r="AE2456">
        <f>VLOOKUP(A:A,[1]android_repos_all_metrics!B:K,6,FALSE)</f>
        <v>2</v>
      </c>
      <c r="AF2456">
        <f>VLOOKUP(A:A,[1]android_repos_all_metrics!B:K,7,FALSE)</f>
        <v>1160</v>
      </c>
      <c r="AG2456">
        <f>VLOOKUP(A:A,[1]android_repos_all_metrics!B:K,8,FALSE)</f>
        <v>2</v>
      </c>
      <c r="AH2456">
        <f>VLOOKUP(A:A,[1]android_repos_all_metrics!B:K,9,FALSE)</f>
        <v>9</v>
      </c>
      <c r="AI2456">
        <f>VLOOKUP(A:A,[1]android_repos_all_metrics!B:K,10,FALSE)</f>
        <v>1</v>
      </c>
    </row>
    <row r="2457" spans="1:35">
      <c r="A2457" t="s">
        <v>2528</v>
      </c>
      <c r="B2457" t="b">
        <v>1</v>
      </c>
      <c r="C2457" t="b">
        <v>1</v>
      </c>
      <c r="D2457" t="b">
        <v>0</v>
      </c>
      <c r="F2457" t="b">
        <v>1</v>
      </c>
      <c r="G2457" t="s">
        <v>39</v>
      </c>
      <c r="H2457" t="s">
        <v>41</v>
      </c>
      <c r="I2457" t="s">
        <v>41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>
        <v>1</v>
      </c>
      <c r="AB2457">
        <v>0</v>
      </c>
      <c r="AC2457">
        <f>VLOOKUP(A:A,[1]android_repos_all_metrics!B:K,4,FALSE)</f>
        <v>92</v>
      </c>
      <c r="AD2457">
        <f>VLOOKUP(A:A,[1]android_repos_all_metrics!B:K,5,FALSE)</f>
        <v>0</v>
      </c>
      <c r="AE2457">
        <f>VLOOKUP(A:A,[1]android_repos_all_metrics!B:K,6,FALSE)</f>
        <v>1</v>
      </c>
      <c r="AF2457">
        <f>VLOOKUP(A:A,[1]android_repos_all_metrics!B:K,7,FALSE)</f>
        <v>1644</v>
      </c>
      <c r="AG2457">
        <f>VLOOKUP(A:A,[1]android_repos_all_metrics!B:K,8,FALSE)</f>
        <v>6</v>
      </c>
      <c r="AH2457">
        <f>VLOOKUP(A:A,[1]android_repos_all_metrics!B:K,9,FALSE)</f>
        <v>20</v>
      </c>
      <c r="AI2457">
        <f>VLOOKUP(A:A,[1]android_repos_all_metrics!B:K,10,FALSE)</f>
        <v>6</v>
      </c>
    </row>
    <row r="2458" spans="1:35">
      <c r="A2458" t="s">
        <v>2529</v>
      </c>
      <c r="B2458" t="b">
        <v>1</v>
      </c>
      <c r="C2458" t="b">
        <v>0</v>
      </c>
      <c r="D2458" t="b">
        <v>0</v>
      </c>
      <c r="F2458" t="b">
        <v>0</v>
      </c>
      <c r="H2458" t="s">
        <v>37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>
        <v>1</v>
      </c>
      <c r="AB2458">
        <v>0</v>
      </c>
      <c r="AC2458">
        <f>VLOOKUP(A:A,[1]android_repos_all_metrics!B:K,4,FALSE)</f>
        <v>34</v>
      </c>
      <c r="AD2458">
        <f>VLOOKUP(A:A,[1]android_repos_all_metrics!B:K,5,FALSE)</f>
        <v>4</v>
      </c>
      <c r="AE2458">
        <f>VLOOKUP(A:A,[1]android_repos_all_metrics!B:K,6,FALSE)</f>
        <v>3</v>
      </c>
      <c r="AF2458">
        <f>VLOOKUP(A:A,[1]android_repos_all_metrics!B:K,7,FALSE)</f>
        <v>5337</v>
      </c>
      <c r="AG2458">
        <f>VLOOKUP(A:A,[1]android_repos_all_metrics!B:K,8,FALSE)</f>
        <v>71</v>
      </c>
      <c r="AH2458">
        <f>VLOOKUP(A:A,[1]android_repos_all_metrics!B:K,9,FALSE)</f>
        <v>157</v>
      </c>
      <c r="AI2458">
        <f>VLOOKUP(A:A,[1]android_repos_all_metrics!B:K,10,FALSE)</f>
        <v>3</v>
      </c>
    </row>
    <row r="2459" spans="1:35">
      <c r="A2459" t="s">
        <v>2530</v>
      </c>
      <c r="B2459" t="b">
        <v>1</v>
      </c>
      <c r="C2459" t="b">
        <v>0</v>
      </c>
      <c r="D2459" t="b">
        <v>0</v>
      </c>
      <c r="F2459" t="b">
        <v>0</v>
      </c>
      <c r="H2459" t="s">
        <v>37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>
        <v>1</v>
      </c>
      <c r="AB2459">
        <v>0</v>
      </c>
      <c r="AC2459">
        <f>VLOOKUP(A:A,[1]android_repos_all_metrics!B:K,4,FALSE)</f>
        <v>72</v>
      </c>
      <c r="AD2459">
        <f>VLOOKUP(A:A,[1]android_repos_all_metrics!B:K,5,FALSE)</f>
        <v>14</v>
      </c>
      <c r="AE2459">
        <f>VLOOKUP(A:A,[1]android_repos_all_metrics!B:K,6,FALSE)</f>
        <v>1</v>
      </c>
      <c r="AF2459">
        <f>VLOOKUP(A:A,[1]android_repos_all_metrics!B:K,7,FALSE)</f>
        <v>1296</v>
      </c>
      <c r="AG2459">
        <f>VLOOKUP(A:A,[1]android_repos_all_metrics!B:K,8,FALSE)</f>
        <v>10</v>
      </c>
      <c r="AH2459">
        <f>VLOOKUP(A:A,[1]android_repos_all_metrics!B:K,9,FALSE)</f>
        <v>100</v>
      </c>
      <c r="AI2459">
        <f>VLOOKUP(A:A,[1]android_repos_all_metrics!B:K,10,FALSE)</f>
        <v>11</v>
      </c>
    </row>
    <row r="2460" spans="1:35">
      <c r="A2460" t="s">
        <v>2531</v>
      </c>
      <c r="B2460" t="b">
        <v>1</v>
      </c>
      <c r="C2460" t="b">
        <v>0</v>
      </c>
      <c r="D2460" t="b">
        <v>0</v>
      </c>
      <c r="F2460" t="b">
        <v>0</v>
      </c>
      <c r="H2460" t="s">
        <v>37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>
        <v>3</v>
      </c>
      <c r="AB2460">
        <v>0</v>
      </c>
      <c r="AC2460">
        <f>VLOOKUP(A:A,[1]android_repos_all_metrics!B:K,4,FALSE)</f>
        <v>25</v>
      </c>
      <c r="AD2460">
        <f>VLOOKUP(A:A,[1]android_repos_all_metrics!B:K,5,FALSE)</f>
        <v>2</v>
      </c>
      <c r="AE2460">
        <f>VLOOKUP(A:A,[1]android_repos_all_metrics!B:K,6,FALSE)</f>
        <v>1</v>
      </c>
      <c r="AF2460">
        <f>VLOOKUP(A:A,[1]android_repos_all_metrics!B:K,7,FALSE)</f>
        <v>436</v>
      </c>
      <c r="AG2460">
        <f>VLOOKUP(A:A,[1]android_repos_all_metrics!B:K,8,FALSE)</f>
        <v>6</v>
      </c>
      <c r="AH2460">
        <f>VLOOKUP(A:A,[1]android_repos_all_metrics!B:K,9,FALSE)</f>
        <v>25</v>
      </c>
      <c r="AI2460">
        <f>VLOOKUP(A:A,[1]android_repos_all_metrics!B:K,10,FALSE)</f>
        <v>0</v>
      </c>
    </row>
    <row r="2461" spans="1:35">
      <c r="A2461" t="s">
        <v>2532</v>
      </c>
      <c r="B2461" t="b">
        <v>0</v>
      </c>
      <c r="C2461" t="b">
        <v>0</v>
      </c>
      <c r="D2461" t="b">
        <v>0</v>
      </c>
      <c r="F2461" t="b">
        <v>0</v>
      </c>
      <c r="H2461" t="s">
        <v>41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>
        <v>1</v>
      </c>
      <c r="AB2461">
        <v>0</v>
      </c>
      <c r="AC2461">
        <f>VLOOKUP(A:A,[1]android_repos_all_metrics!B:K,4,FALSE)</f>
        <v>267</v>
      </c>
      <c r="AD2461">
        <f>VLOOKUP(A:A,[1]android_repos_all_metrics!B:K,5,FALSE)</f>
        <v>38</v>
      </c>
      <c r="AE2461">
        <f>VLOOKUP(A:A,[1]android_repos_all_metrics!B:K,6,FALSE)</f>
        <v>8</v>
      </c>
      <c r="AF2461">
        <f>VLOOKUP(A:A,[1]android_repos_all_metrics!B:K,7,FALSE)</f>
        <v>7582</v>
      </c>
      <c r="AG2461">
        <f>VLOOKUP(A:A,[1]android_repos_all_metrics!B:K,8,FALSE)</f>
        <v>60</v>
      </c>
      <c r="AH2461">
        <f>VLOOKUP(A:A,[1]android_repos_all_metrics!B:K,9,FALSE)</f>
        <v>246</v>
      </c>
      <c r="AI2461">
        <f>VLOOKUP(A:A,[1]android_repos_all_metrics!B:K,10,FALSE)</f>
        <v>59</v>
      </c>
    </row>
    <row r="2462" spans="1:35">
      <c r="A2462" t="s">
        <v>2533</v>
      </c>
      <c r="B2462" t="b">
        <v>1</v>
      </c>
      <c r="C2462" t="b">
        <v>0</v>
      </c>
      <c r="D2462" t="b">
        <v>0</v>
      </c>
      <c r="F2462" t="b">
        <v>0</v>
      </c>
      <c r="H2462" t="s">
        <v>37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>
        <v>1</v>
      </c>
      <c r="AB2462">
        <v>0</v>
      </c>
      <c r="AC2462">
        <f>VLOOKUP(A:A,[1]android_repos_all_metrics!B:K,4,FALSE)</f>
        <v>67</v>
      </c>
      <c r="AD2462">
        <f>VLOOKUP(A:A,[1]android_repos_all_metrics!B:K,5,FALSE)</f>
        <v>15</v>
      </c>
      <c r="AE2462">
        <f>VLOOKUP(A:A,[1]android_repos_all_metrics!B:K,6,FALSE)</f>
        <v>4</v>
      </c>
      <c r="AF2462">
        <f>VLOOKUP(A:A,[1]android_repos_all_metrics!B:K,7,FALSE)</f>
        <v>395</v>
      </c>
      <c r="AG2462">
        <f>VLOOKUP(A:A,[1]android_repos_all_metrics!B:K,8,FALSE)</f>
        <v>0</v>
      </c>
      <c r="AH2462">
        <f>VLOOKUP(A:A,[1]android_repos_all_metrics!B:K,9,FALSE)</f>
        <v>1</v>
      </c>
      <c r="AI2462">
        <f>VLOOKUP(A:A,[1]android_repos_all_metrics!B:K,10,FALSE)</f>
        <v>0</v>
      </c>
    </row>
    <row r="2463" spans="1:35">
      <c r="A2463" t="s">
        <v>2534</v>
      </c>
      <c r="B2463" t="b">
        <v>1</v>
      </c>
      <c r="C2463" t="b">
        <v>0</v>
      </c>
      <c r="D2463" t="b">
        <v>0</v>
      </c>
      <c r="F2463" t="b">
        <v>0</v>
      </c>
      <c r="H2463" t="s">
        <v>37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>
        <v>1</v>
      </c>
      <c r="AB2463">
        <v>0</v>
      </c>
      <c r="AC2463">
        <f>VLOOKUP(A:A,[1]android_repos_all_metrics!B:K,4,FALSE)</f>
        <v>27</v>
      </c>
      <c r="AD2463">
        <f>VLOOKUP(A:A,[1]android_repos_all_metrics!B:K,5,FALSE)</f>
        <v>2</v>
      </c>
      <c r="AE2463">
        <f>VLOOKUP(A:A,[1]android_repos_all_metrics!B:K,6,FALSE)</f>
        <v>3</v>
      </c>
      <c r="AF2463">
        <f>VLOOKUP(A:A,[1]android_repos_all_metrics!B:K,7,FALSE)</f>
        <v>275</v>
      </c>
      <c r="AG2463">
        <f>VLOOKUP(A:A,[1]android_repos_all_metrics!B:K,8,FALSE)</f>
        <v>6</v>
      </c>
      <c r="AH2463">
        <f>VLOOKUP(A:A,[1]android_repos_all_metrics!B:K,9,FALSE)</f>
        <v>10</v>
      </c>
      <c r="AI2463">
        <f>VLOOKUP(A:A,[1]android_repos_all_metrics!B:K,10,FALSE)</f>
        <v>0</v>
      </c>
    </row>
    <row r="2464" spans="1:35">
      <c r="A2464" t="s">
        <v>2535</v>
      </c>
      <c r="B2464" t="b">
        <v>0</v>
      </c>
      <c r="C2464" t="b">
        <v>0</v>
      </c>
      <c r="D2464" t="b">
        <v>0</v>
      </c>
      <c r="F2464" t="b">
        <v>0</v>
      </c>
      <c r="H2464" t="s">
        <v>41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>
        <v>1</v>
      </c>
      <c r="AB2464">
        <v>0</v>
      </c>
      <c r="AC2464">
        <f>VLOOKUP(A:A,[1]android_repos_all_metrics!B:K,4,FALSE)</f>
        <v>776</v>
      </c>
      <c r="AD2464">
        <f>VLOOKUP(A:A,[1]android_repos_all_metrics!B:K,5,FALSE)</f>
        <v>138</v>
      </c>
      <c r="AE2464">
        <f>VLOOKUP(A:A,[1]android_repos_all_metrics!B:K,6,FALSE)</f>
        <v>11</v>
      </c>
      <c r="AF2464">
        <f>VLOOKUP(A:A,[1]android_repos_all_metrics!B:K,7,FALSE)</f>
        <v>7012</v>
      </c>
      <c r="AG2464">
        <f>VLOOKUP(A:A,[1]android_repos_all_metrics!B:K,8,FALSE)</f>
        <v>23</v>
      </c>
      <c r="AH2464">
        <f>VLOOKUP(A:A,[1]android_repos_all_metrics!B:K,9,FALSE)</f>
        <v>43</v>
      </c>
      <c r="AI2464">
        <f>VLOOKUP(A:A,[1]android_repos_all_metrics!B:K,10,FALSE)</f>
        <v>41</v>
      </c>
    </row>
    <row r="2465" spans="1:35">
      <c r="A2465" t="s">
        <v>2536</v>
      </c>
      <c r="B2465" t="b">
        <v>1</v>
      </c>
      <c r="C2465" t="b">
        <v>0</v>
      </c>
      <c r="D2465" t="b">
        <v>0</v>
      </c>
      <c r="F2465" t="b">
        <v>0</v>
      </c>
      <c r="H2465" t="s">
        <v>43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>
        <v>1</v>
      </c>
      <c r="AB2465">
        <v>0</v>
      </c>
      <c r="AC2465">
        <f>VLOOKUP(A:A,[1]android_repos_all_metrics!B:K,4,FALSE)</f>
        <v>358</v>
      </c>
      <c r="AD2465">
        <f>VLOOKUP(A:A,[1]android_repos_all_metrics!B:K,5,FALSE)</f>
        <v>77</v>
      </c>
      <c r="AE2465">
        <f>VLOOKUP(A:A,[1]android_repos_all_metrics!B:K,6,FALSE)</f>
        <v>3</v>
      </c>
      <c r="AF2465">
        <f>VLOOKUP(A:A,[1]android_repos_all_metrics!B:K,7,FALSE)</f>
        <v>5755</v>
      </c>
      <c r="AG2465">
        <f>VLOOKUP(A:A,[1]android_repos_all_metrics!B:K,8,FALSE)</f>
        <v>1</v>
      </c>
      <c r="AH2465">
        <f>VLOOKUP(A:A,[1]android_repos_all_metrics!B:K,9,FALSE)</f>
        <v>9</v>
      </c>
      <c r="AI2465">
        <f>VLOOKUP(A:A,[1]android_repos_all_metrics!B:K,10,FALSE)</f>
        <v>4</v>
      </c>
    </row>
    <row r="2466" spans="1:35">
      <c r="A2466" t="s">
        <v>2537</v>
      </c>
      <c r="B2466" t="b">
        <v>1</v>
      </c>
      <c r="C2466" t="b">
        <v>0</v>
      </c>
      <c r="D2466" t="b">
        <v>0</v>
      </c>
      <c r="F2466" t="b">
        <v>0</v>
      </c>
      <c r="H2466" t="s">
        <v>37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>
        <v>4</v>
      </c>
      <c r="AB2466">
        <v>0</v>
      </c>
      <c r="AC2466">
        <f>VLOOKUP(A:A,[1]android_repos_all_metrics!B:K,4,FALSE)</f>
        <v>1045</v>
      </c>
      <c r="AD2466">
        <f>VLOOKUP(A:A,[1]android_repos_all_metrics!B:K,5,FALSE)</f>
        <v>2</v>
      </c>
      <c r="AE2466">
        <f>VLOOKUP(A:A,[1]android_repos_all_metrics!B:K,6,FALSE)</f>
        <v>4</v>
      </c>
      <c r="AF2466">
        <f>VLOOKUP(A:A,[1]android_repos_all_metrics!B:K,7,FALSE)</f>
        <v>26606</v>
      </c>
      <c r="AG2466">
        <f>VLOOKUP(A:A,[1]android_repos_all_metrics!B:K,8,FALSE)</f>
        <v>2</v>
      </c>
      <c r="AH2466">
        <f>VLOOKUP(A:A,[1]android_repos_all_metrics!B:K,9,FALSE)</f>
        <v>6</v>
      </c>
      <c r="AI2466">
        <f>VLOOKUP(A:A,[1]android_repos_all_metrics!B:K,10,FALSE)</f>
        <v>13</v>
      </c>
    </row>
    <row r="2467" spans="1:35">
      <c r="A2467" t="s">
        <v>2538</v>
      </c>
      <c r="B2467" t="b">
        <v>0</v>
      </c>
      <c r="C2467" t="b">
        <v>0</v>
      </c>
      <c r="D2467" t="b">
        <v>0</v>
      </c>
      <c r="F2467" t="b">
        <v>0</v>
      </c>
      <c r="H2467" t="s">
        <v>41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>
        <v>1</v>
      </c>
      <c r="AB2467">
        <v>0</v>
      </c>
      <c r="AC2467">
        <f>VLOOKUP(A:A,[1]android_repos_all_metrics!B:K,4,FALSE)</f>
        <v>4264</v>
      </c>
      <c r="AD2467">
        <f>VLOOKUP(A:A,[1]android_repos_all_metrics!B:K,5,FALSE)</f>
        <v>113</v>
      </c>
      <c r="AE2467">
        <f>VLOOKUP(A:A,[1]android_repos_all_metrics!B:K,6,FALSE)</f>
        <v>18</v>
      </c>
      <c r="AF2467">
        <f>VLOOKUP(A:A,[1]android_repos_all_metrics!B:K,7,FALSE)</f>
        <v>53723</v>
      </c>
      <c r="AG2467">
        <f>VLOOKUP(A:A,[1]android_repos_all_metrics!B:K,8,FALSE)</f>
        <v>838</v>
      </c>
      <c r="AH2467">
        <f>VLOOKUP(A:A,[1]android_repos_all_metrics!B:K,9,FALSE)</f>
        <v>1799</v>
      </c>
      <c r="AI2467">
        <f>VLOOKUP(A:A,[1]android_repos_all_metrics!B:K,10,FALSE)</f>
        <v>275</v>
      </c>
    </row>
    <row r="2468" spans="1:35">
      <c r="A2468" t="s">
        <v>2539</v>
      </c>
      <c r="B2468" t="b">
        <v>1</v>
      </c>
      <c r="C2468" t="b">
        <v>0</v>
      </c>
      <c r="D2468" t="b">
        <v>0</v>
      </c>
      <c r="F2468" t="b">
        <v>0</v>
      </c>
      <c r="H2468" t="s">
        <v>37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>
        <v>3</v>
      </c>
      <c r="AB2468">
        <v>0</v>
      </c>
      <c r="AC2468">
        <f>VLOOKUP(A:A,[1]android_repos_all_metrics!B:K,4,FALSE)</f>
        <v>63193</v>
      </c>
      <c r="AD2468">
        <f>VLOOKUP(A:A,[1]android_repos_all_metrics!B:K,5,FALSE)</f>
        <v>19686</v>
      </c>
      <c r="AE2468">
        <f>VLOOKUP(A:A,[1]android_repos_all_metrics!B:K,6,FALSE)</f>
        <v>246</v>
      </c>
      <c r="AF2468">
        <f>VLOOKUP(A:A,[1]android_repos_all_metrics!B:K,7,FALSE)</f>
        <v>1596886</v>
      </c>
      <c r="AG2468">
        <f>VLOOKUP(A:A,[1]android_repos_all_metrics!B:K,8,FALSE)</f>
        <v>6173</v>
      </c>
      <c r="AH2468">
        <f>VLOOKUP(A:A,[1]android_repos_all_metrics!B:K,9,FALSE)</f>
        <v>15972</v>
      </c>
      <c r="AI2468">
        <f>VLOOKUP(A:A,[1]android_repos_all_metrics!B:K,10,FALSE)</f>
        <v>779</v>
      </c>
    </row>
    <row r="2469" spans="1:35">
      <c r="A2469" t="s">
        <v>2540</v>
      </c>
      <c r="B2469" t="b">
        <v>1</v>
      </c>
      <c r="C2469" t="b">
        <v>0</v>
      </c>
      <c r="D2469" t="b">
        <v>0</v>
      </c>
      <c r="F2469" t="b">
        <v>0</v>
      </c>
      <c r="H2469" t="s">
        <v>110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>
        <v>6</v>
      </c>
      <c r="AB2469">
        <v>0</v>
      </c>
      <c r="AC2469">
        <f>VLOOKUP(A:A,[1]android_repos_all_metrics!B:K,4,FALSE)</f>
        <v>38984</v>
      </c>
      <c r="AD2469">
        <f>VLOOKUP(A:A,[1]android_repos_all_metrics!B:K,5,FALSE)</f>
        <v>626</v>
      </c>
      <c r="AE2469">
        <f>VLOOKUP(A:A,[1]android_repos_all_metrics!B:K,6,FALSE)</f>
        <v>258</v>
      </c>
      <c r="AF2469">
        <f>VLOOKUP(A:A,[1]android_repos_all_metrics!B:K,7,FALSE)</f>
        <v>144510</v>
      </c>
      <c r="AG2469">
        <f>VLOOKUP(A:A,[1]android_repos_all_metrics!B:K,8,FALSE)</f>
        <v>249</v>
      </c>
      <c r="AH2469">
        <f>VLOOKUP(A:A,[1]android_repos_all_metrics!B:K,9,FALSE)</f>
        <v>282</v>
      </c>
      <c r="AI2469">
        <f>VLOOKUP(A:A,[1]android_repos_all_metrics!B:K,10,FALSE)</f>
        <v>132</v>
      </c>
    </row>
    <row r="2470" spans="1:35">
      <c r="A2470" t="s">
        <v>2541</v>
      </c>
      <c r="B2470" t="b">
        <v>1</v>
      </c>
      <c r="C2470" t="b">
        <v>1</v>
      </c>
      <c r="D2470" t="b">
        <v>0</v>
      </c>
      <c r="F2470" t="b">
        <v>1</v>
      </c>
      <c r="G2470" t="s">
        <v>39</v>
      </c>
      <c r="H2470" t="s">
        <v>41</v>
      </c>
      <c r="I2470" t="s">
        <v>41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>
        <v>1</v>
      </c>
      <c r="AB2470">
        <v>0</v>
      </c>
      <c r="AC2470">
        <f>VLOOKUP(A:A,[1]android_repos_all_metrics!B:K,4,FALSE)</f>
        <v>159</v>
      </c>
      <c r="AD2470">
        <f>VLOOKUP(A:A,[1]android_repos_all_metrics!B:K,5,FALSE)</f>
        <v>1</v>
      </c>
      <c r="AE2470">
        <f>VLOOKUP(A:A,[1]android_repos_all_metrics!B:K,6,FALSE)</f>
        <v>2</v>
      </c>
      <c r="AF2470">
        <f>VLOOKUP(A:A,[1]android_repos_all_metrics!B:K,7,FALSE)</f>
        <v>497</v>
      </c>
      <c r="AG2470">
        <f>VLOOKUP(A:A,[1]android_repos_all_metrics!B:K,8,FALSE)</f>
        <v>0</v>
      </c>
      <c r="AH2470">
        <f>VLOOKUP(A:A,[1]android_repos_all_metrics!B:K,9,FALSE)</f>
        <v>3</v>
      </c>
      <c r="AI2470">
        <f>VLOOKUP(A:A,[1]android_repos_all_metrics!B:K,10,FALSE)</f>
        <v>2</v>
      </c>
    </row>
    <row r="2471" spans="1:35">
      <c r="A2471" t="s">
        <v>2542</v>
      </c>
      <c r="B2471" t="b">
        <v>1</v>
      </c>
      <c r="C2471" t="b">
        <v>0</v>
      </c>
      <c r="D2471" t="b">
        <v>0</v>
      </c>
      <c r="F2471" t="b">
        <v>0</v>
      </c>
      <c r="H2471" t="s">
        <v>37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>
        <v>3</v>
      </c>
      <c r="AB2471">
        <v>0</v>
      </c>
      <c r="AC2471">
        <f>VLOOKUP(A:A,[1]android_repos_all_metrics!B:K,4,FALSE)</f>
        <v>131</v>
      </c>
      <c r="AD2471">
        <f>VLOOKUP(A:A,[1]android_repos_all_metrics!B:K,5,FALSE)</f>
        <v>44</v>
      </c>
      <c r="AE2471">
        <f>VLOOKUP(A:A,[1]android_repos_all_metrics!B:K,6,FALSE)</f>
        <v>2</v>
      </c>
      <c r="AF2471">
        <f>VLOOKUP(A:A,[1]android_repos_all_metrics!B:K,7,FALSE)</f>
        <v>1904</v>
      </c>
      <c r="AG2471">
        <f>VLOOKUP(A:A,[1]android_repos_all_metrics!B:K,8,FALSE)</f>
        <v>0</v>
      </c>
      <c r="AH2471">
        <f>VLOOKUP(A:A,[1]android_repos_all_metrics!B:K,9,FALSE)</f>
        <v>1</v>
      </c>
      <c r="AI2471">
        <f>VLOOKUP(A:A,[1]android_repos_all_metrics!B:K,10,FALSE)</f>
        <v>0</v>
      </c>
    </row>
    <row r="2472" spans="1:35">
      <c r="A2472" t="s">
        <v>2543</v>
      </c>
      <c r="B2472" t="b">
        <v>1</v>
      </c>
      <c r="C2472" t="b">
        <v>0</v>
      </c>
      <c r="D2472" t="b">
        <v>0</v>
      </c>
      <c r="F2472" t="b">
        <v>0</v>
      </c>
      <c r="H2472" t="s">
        <v>41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>
        <v>1</v>
      </c>
      <c r="AB2472">
        <v>0</v>
      </c>
      <c r="AC2472">
        <f>VLOOKUP(A:A,[1]android_repos_all_metrics!B:K,4,FALSE)</f>
        <v>39</v>
      </c>
      <c r="AD2472">
        <f>VLOOKUP(A:A,[1]android_repos_all_metrics!B:K,5,FALSE)</f>
        <v>10</v>
      </c>
      <c r="AE2472">
        <f>VLOOKUP(A:A,[1]android_repos_all_metrics!B:K,6,FALSE)</f>
        <v>2</v>
      </c>
      <c r="AF2472">
        <f>VLOOKUP(A:A,[1]android_repos_all_metrics!B:K,7,FALSE)</f>
        <v>1853</v>
      </c>
      <c r="AG2472">
        <f>VLOOKUP(A:A,[1]android_repos_all_metrics!B:K,8,FALSE)</f>
        <v>8</v>
      </c>
      <c r="AH2472">
        <f>VLOOKUP(A:A,[1]android_repos_all_metrics!B:K,9,FALSE)</f>
        <v>46</v>
      </c>
      <c r="AI2472">
        <f>VLOOKUP(A:A,[1]android_repos_all_metrics!B:K,10,FALSE)</f>
        <v>0</v>
      </c>
    </row>
    <row r="2473" spans="1:35">
      <c r="A2473" t="s">
        <v>2544</v>
      </c>
      <c r="B2473" t="b">
        <v>0</v>
      </c>
      <c r="C2473" t="b">
        <v>0</v>
      </c>
      <c r="D2473" t="b">
        <v>0</v>
      </c>
      <c r="F2473" t="b">
        <v>0</v>
      </c>
      <c r="H2473" t="s">
        <v>41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>
        <v>1</v>
      </c>
      <c r="AB2473">
        <v>0</v>
      </c>
      <c r="AC2473">
        <f>VLOOKUP(A:A,[1]android_repos_all_metrics!B:K,4,FALSE)</f>
        <v>33</v>
      </c>
      <c r="AD2473">
        <f>VLOOKUP(A:A,[1]android_repos_all_metrics!B:K,5,FALSE)</f>
        <v>0</v>
      </c>
      <c r="AE2473">
        <f>VLOOKUP(A:A,[1]android_repos_all_metrics!B:K,6,FALSE)</f>
        <v>1</v>
      </c>
      <c r="AF2473">
        <f>VLOOKUP(A:A,[1]android_repos_all_metrics!B:K,7,FALSE)</f>
        <v>2147</v>
      </c>
      <c r="AG2473">
        <f>VLOOKUP(A:A,[1]android_repos_all_metrics!B:K,8,FALSE)</f>
        <v>19</v>
      </c>
      <c r="AH2473">
        <f>VLOOKUP(A:A,[1]android_repos_all_metrics!B:K,9,FALSE)</f>
        <v>74</v>
      </c>
      <c r="AI2473">
        <f>VLOOKUP(A:A,[1]android_repos_all_metrics!B:K,10,FALSE)</f>
        <v>1</v>
      </c>
    </row>
    <row r="2474" spans="1:35">
      <c r="A2474" t="s">
        <v>2545</v>
      </c>
      <c r="B2474" t="b">
        <v>1</v>
      </c>
      <c r="C2474" t="b">
        <v>0</v>
      </c>
      <c r="D2474" t="b">
        <v>0</v>
      </c>
      <c r="F2474" t="b">
        <v>0</v>
      </c>
      <c r="H2474" t="s">
        <v>37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>
        <v>2</v>
      </c>
      <c r="AB2474">
        <v>0</v>
      </c>
      <c r="AC2474">
        <f>VLOOKUP(A:A,[1]android_repos_all_metrics!B:K,4,FALSE)</f>
        <v>936</v>
      </c>
      <c r="AD2474">
        <f>VLOOKUP(A:A,[1]android_repos_all_metrics!B:K,5,FALSE)</f>
        <v>177</v>
      </c>
      <c r="AE2474">
        <f>VLOOKUP(A:A,[1]android_repos_all_metrics!B:K,6,FALSE)</f>
        <v>10</v>
      </c>
      <c r="AF2474">
        <f>VLOOKUP(A:A,[1]android_repos_all_metrics!B:K,7,FALSE)</f>
        <v>11313</v>
      </c>
      <c r="AG2474">
        <f>VLOOKUP(A:A,[1]android_repos_all_metrics!B:K,8,FALSE)</f>
        <v>15</v>
      </c>
      <c r="AH2474">
        <f>VLOOKUP(A:A,[1]android_repos_all_metrics!B:K,9,FALSE)</f>
        <v>38</v>
      </c>
      <c r="AI2474">
        <f>VLOOKUP(A:A,[1]android_repos_all_metrics!B:K,10,FALSE)</f>
        <v>26</v>
      </c>
    </row>
    <row r="2475" spans="1:35">
      <c r="A2475" t="s">
        <v>2546</v>
      </c>
      <c r="B2475" t="b">
        <v>1</v>
      </c>
      <c r="C2475" t="b">
        <v>0</v>
      </c>
      <c r="D2475" t="b">
        <v>0</v>
      </c>
      <c r="F2475" t="b">
        <v>0</v>
      </c>
      <c r="H2475" t="s">
        <v>37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>
        <v>2</v>
      </c>
      <c r="AB2475">
        <v>0</v>
      </c>
      <c r="AC2475">
        <f>VLOOKUP(A:A,[1]android_repos_all_metrics!B:K,4,FALSE)</f>
        <v>180</v>
      </c>
      <c r="AD2475">
        <f>VLOOKUP(A:A,[1]android_repos_all_metrics!B:K,5,FALSE)</f>
        <v>30</v>
      </c>
      <c r="AE2475">
        <f>VLOOKUP(A:A,[1]android_repos_all_metrics!B:K,6,FALSE)</f>
        <v>8</v>
      </c>
      <c r="AF2475">
        <f>VLOOKUP(A:A,[1]android_repos_all_metrics!B:K,7,FALSE)</f>
        <v>109992</v>
      </c>
      <c r="AG2475">
        <f>VLOOKUP(A:A,[1]android_repos_all_metrics!B:K,8,FALSE)</f>
        <v>10</v>
      </c>
      <c r="AH2475">
        <f>VLOOKUP(A:A,[1]android_repos_all_metrics!B:K,9,FALSE)</f>
        <v>6</v>
      </c>
      <c r="AI2475">
        <f>VLOOKUP(A:A,[1]android_repos_all_metrics!B:K,10,FALSE)</f>
        <v>12</v>
      </c>
    </row>
    <row r="2476" spans="1:35">
      <c r="A2476" t="s">
        <v>2547</v>
      </c>
      <c r="B2476" t="b">
        <v>1</v>
      </c>
      <c r="C2476" t="b">
        <v>0</v>
      </c>
      <c r="D2476" t="b">
        <v>0</v>
      </c>
      <c r="F2476" t="b">
        <v>0</v>
      </c>
      <c r="H2476" t="s">
        <v>37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>
        <v>1</v>
      </c>
      <c r="AB2476">
        <v>0</v>
      </c>
      <c r="AC2476">
        <f>VLOOKUP(A:A,[1]android_repos_all_metrics!B:K,4,FALSE)</f>
        <v>92</v>
      </c>
      <c r="AD2476">
        <f>VLOOKUP(A:A,[1]android_repos_all_metrics!B:K,5,FALSE)</f>
        <v>6</v>
      </c>
      <c r="AE2476">
        <f>VLOOKUP(A:A,[1]android_repos_all_metrics!B:K,6,FALSE)</f>
        <v>3</v>
      </c>
      <c r="AF2476">
        <f>VLOOKUP(A:A,[1]android_repos_all_metrics!B:K,7,FALSE)</f>
        <v>84772</v>
      </c>
      <c r="AG2476">
        <f>VLOOKUP(A:A,[1]android_repos_all_metrics!B:K,8,FALSE)</f>
        <v>581</v>
      </c>
      <c r="AH2476">
        <f>VLOOKUP(A:A,[1]android_repos_all_metrics!B:K,9,FALSE)</f>
        <v>4170</v>
      </c>
      <c r="AI2476">
        <f>VLOOKUP(A:A,[1]android_repos_all_metrics!B:K,10,FALSE)</f>
        <v>2</v>
      </c>
    </row>
    <row r="2477" spans="1:35">
      <c r="A2477" t="s">
        <v>2548</v>
      </c>
      <c r="B2477" t="b">
        <v>1</v>
      </c>
      <c r="C2477" t="b">
        <v>0</v>
      </c>
      <c r="D2477" t="b">
        <v>0</v>
      </c>
      <c r="F2477" t="b">
        <v>0</v>
      </c>
      <c r="H2477" t="s">
        <v>43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>
        <v>1</v>
      </c>
      <c r="AB2477">
        <v>0</v>
      </c>
      <c r="AC2477">
        <f>VLOOKUP(A:A,[1]android_repos_all_metrics!B:K,4,FALSE)</f>
        <v>127</v>
      </c>
      <c r="AD2477">
        <f>VLOOKUP(A:A,[1]android_repos_all_metrics!B:K,5,FALSE)</f>
        <v>20</v>
      </c>
      <c r="AE2477">
        <f>VLOOKUP(A:A,[1]android_repos_all_metrics!B:K,6,FALSE)</f>
        <v>1</v>
      </c>
      <c r="AF2477">
        <f>VLOOKUP(A:A,[1]android_repos_all_metrics!B:K,7,FALSE)</f>
        <v>70880</v>
      </c>
      <c r="AG2477">
        <f>VLOOKUP(A:A,[1]android_repos_all_metrics!B:K,8,FALSE)</f>
        <v>2</v>
      </c>
      <c r="AH2477">
        <f>VLOOKUP(A:A,[1]android_repos_all_metrics!B:K,9,FALSE)</f>
        <v>7</v>
      </c>
      <c r="AI2477">
        <f>VLOOKUP(A:A,[1]android_repos_all_metrics!B:K,10,FALSE)</f>
        <v>0</v>
      </c>
    </row>
    <row r="2478" spans="1:35">
      <c r="A2478" t="s">
        <v>2549</v>
      </c>
      <c r="B2478" t="b">
        <v>0</v>
      </c>
      <c r="C2478" t="b">
        <v>0</v>
      </c>
      <c r="D2478" t="b">
        <v>0</v>
      </c>
      <c r="F2478" t="b">
        <v>0</v>
      </c>
      <c r="H2478" t="s">
        <v>41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>
        <v>1</v>
      </c>
      <c r="AB2478">
        <v>0</v>
      </c>
      <c r="AC2478">
        <f>VLOOKUP(A:A,[1]android_repos_all_metrics!B:K,4,FALSE)</f>
        <v>1067</v>
      </c>
      <c r="AD2478">
        <f>VLOOKUP(A:A,[1]android_repos_all_metrics!B:K,5,FALSE)</f>
        <v>44</v>
      </c>
      <c r="AE2478">
        <f>VLOOKUP(A:A,[1]android_repos_all_metrics!B:K,6,FALSE)</f>
        <v>19</v>
      </c>
      <c r="AF2478">
        <f>VLOOKUP(A:A,[1]android_repos_all_metrics!B:K,7,FALSE)</f>
        <v>4423</v>
      </c>
      <c r="AG2478">
        <f>VLOOKUP(A:A,[1]android_repos_all_metrics!B:K,8,FALSE)</f>
        <v>121</v>
      </c>
      <c r="AH2478">
        <f>VLOOKUP(A:A,[1]android_repos_all_metrics!B:K,9,FALSE)</f>
        <v>331</v>
      </c>
      <c r="AI2478">
        <f>VLOOKUP(A:A,[1]android_repos_all_metrics!B:K,10,FALSE)</f>
        <v>121</v>
      </c>
    </row>
    <row r="2479" spans="1:35">
      <c r="A2479" t="s">
        <v>2550</v>
      </c>
      <c r="B2479" t="b">
        <v>1</v>
      </c>
      <c r="C2479" t="b">
        <v>1</v>
      </c>
      <c r="D2479" t="b">
        <v>1</v>
      </c>
      <c r="E2479" t="s">
        <v>104</v>
      </c>
      <c r="F2479" t="b">
        <v>0</v>
      </c>
      <c r="H2479" t="s">
        <v>37</v>
      </c>
      <c r="I2479" t="s">
        <v>37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1</v>
      </c>
      <c r="Y2479" t="b">
        <v>0</v>
      </c>
      <c r="Z2479">
        <v>2</v>
      </c>
      <c r="AA2479">
        <v>2</v>
      </c>
      <c r="AB2479">
        <v>0</v>
      </c>
      <c r="AC2479">
        <f>VLOOKUP(A:A,[1]android_repos_all_metrics!B:K,4,FALSE)</f>
        <v>477</v>
      </c>
      <c r="AD2479">
        <f>VLOOKUP(A:A,[1]android_repos_all_metrics!B:K,5,FALSE)</f>
        <v>225</v>
      </c>
      <c r="AE2479">
        <f>VLOOKUP(A:A,[1]android_repos_all_metrics!B:K,6,FALSE)</f>
        <v>6</v>
      </c>
      <c r="AF2479">
        <f>VLOOKUP(A:A,[1]android_repos_all_metrics!B:K,7,FALSE)</f>
        <v>2786</v>
      </c>
      <c r="AG2479">
        <f>VLOOKUP(A:A,[1]android_repos_all_metrics!B:K,8,FALSE)</f>
        <v>3</v>
      </c>
      <c r="AH2479">
        <f>VLOOKUP(A:A,[1]android_repos_all_metrics!B:K,9,FALSE)</f>
        <v>13</v>
      </c>
      <c r="AI2479">
        <f>VLOOKUP(A:A,[1]android_repos_all_metrics!B:K,10,FALSE)</f>
        <v>33</v>
      </c>
    </row>
    <row r="2480" spans="1:35">
      <c r="A2480" t="s">
        <v>2551</v>
      </c>
      <c r="B2480" t="b">
        <v>1</v>
      </c>
      <c r="C2480" t="b">
        <v>0</v>
      </c>
      <c r="D2480" t="b">
        <v>0</v>
      </c>
      <c r="F2480" t="b">
        <v>0</v>
      </c>
      <c r="H2480" t="s">
        <v>37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>
        <v>1</v>
      </c>
      <c r="AB2480">
        <v>0</v>
      </c>
      <c r="AC2480">
        <f>VLOOKUP(A:A,[1]android_repos_all_metrics!B:K,4,FALSE)</f>
        <v>70</v>
      </c>
      <c r="AD2480">
        <f>VLOOKUP(A:A,[1]android_repos_all_metrics!B:K,5,FALSE)</f>
        <v>3</v>
      </c>
      <c r="AE2480">
        <f>VLOOKUP(A:A,[1]android_repos_all_metrics!B:K,6,FALSE)</f>
        <v>1</v>
      </c>
      <c r="AF2480">
        <f>VLOOKUP(A:A,[1]android_repos_all_metrics!B:K,7,FALSE)</f>
        <v>902</v>
      </c>
      <c r="AG2480">
        <f>VLOOKUP(A:A,[1]android_repos_all_metrics!B:K,8,FALSE)</f>
        <v>0</v>
      </c>
      <c r="AH2480">
        <f>VLOOKUP(A:A,[1]android_repos_all_metrics!B:K,9,FALSE)</f>
        <v>1</v>
      </c>
      <c r="AI2480">
        <f>VLOOKUP(A:A,[1]android_repos_all_metrics!B:K,10,FALSE)</f>
        <v>0</v>
      </c>
    </row>
    <row r="2481" spans="1:35">
      <c r="A2481" t="s">
        <v>2552</v>
      </c>
      <c r="B2481" t="b">
        <v>1</v>
      </c>
      <c r="C2481" t="b">
        <v>0</v>
      </c>
      <c r="D2481" t="b">
        <v>0</v>
      </c>
      <c r="F2481" t="b">
        <v>0</v>
      </c>
      <c r="H2481" t="s">
        <v>37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>
        <v>2</v>
      </c>
      <c r="AB2481">
        <v>0</v>
      </c>
      <c r="AC2481">
        <f>VLOOKUP(A:A,[1]android_repos_all_metrics!B:K,4,FALSE)</f>
        <v>43</v>
      </c>
      <c r="AD2481">
        <f>VLOOKUP(A:A,[1]android_repos_all_metrics!B:K,5,FALSE)</f>
        <v>15</v>
      </c>
      <c r="AE2481">
        <f>VLOOKUP(A:A,[1]android_repos_all_metrics!B:K,6,FALSE)</f>
        <v>1</v>
      </c>
      <c r="AF2481">
        <f>VLOOKUP(A:A,[1]android_repos_all_metrics!B:K,7,FALSE)</f>
        <v>347</v>
      </c>
      <c r="AG2481">
        <f>VLOOKUP(A:A,[1]android_repos_all_metrics!B:K,8,FALSE)</f>
        <v>1</v>
      </c>
      <c r="AH2481">
        <f>VLOOKUP(A:A,[1]android_repos_all_metrics!B:K,9,FALSE)</f>
        <v>7</v>
      </c>
      <c r="AI2481">
        <f>VLOOKUP(A:A,[1]android_repos_all_metrics!B:K,10,FALSE)</f>
        <v>5</v>
      </c>
    </row>
    <row r="2482" spans="1:35">
      <c r="A2482" t="s">
        <v>2553</v>
      </c>
      <c r="B2482" t="b">
        <v>1</v>
      </c>
      <c r="C2482" t="b">
        <v>0</v>
      </c>
      <c r="D2482" t="b">
        <v>0</v>
      </c>
      <c r="F2482" t="b">
        <v>0</v>
      </c>
      <c r="H2482" t="s">
        <v>37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>
        <v>1</v>
      </c>
      <c r="AB2482">
        <v>0</v>
      </c>
      <c r="AC2482">
        <f>VLOOKUP(A:A,[1]android_repos_all_metrics!B:K,4,FALSE)</f>
        <v>31</v>
      </c>
      <c r="AD2482">
        <f>VLOOKUP(A:A,[1]android_repos_all_metrics!B:K,5,FALSE)</f>
        <v>19</v>
      </c>
      <c r="AE2482">
        <f>VLOOKUP(A:A,[1]android_repos_all_metrics!B:K,6,FALSE)</f>
        <v>7</v>
      </c>
      <c r="AF2482">
        <f>VLOOKUP(A:A,[1]android_repos_all_metrics!B:K,7,FALSE)</f>
        <v>11635</v>
      </c>
      <c r="AG2482">
        <f>VLOOKUP(A:A,[1]android_repos_all_metrics!B:K,8,FALSE)</f>
        <v>14</v>
      </c>
      <c r="AH2482">
        <f>VLOOKUP(A:A,[1]android_repos_all_metrics!B:K,9,FALSE)</f>
        <v>78</v>
      </c>
      <c r="AI2482">
        <f>VLOOKUP(A:A,[1]android_repos_all_metrics!B:K,10,FALSE)</f>
        <v>12</v>
      </c>
    </row>
    <row r="2483" spans="1:35">
      <c r="A2483" t="s">
        <v>2554</v>
      </c>
      <c r="B2483" t="b">
        <v>1</v>
      </c>
      <c r="C2483" t="b">
        <v>0</v>
      </c>
      <c r="D2483" t="b">
        <v>0</v>
      </c>
      <c r="F2483" t="b">
        <v>0</v>
      </c>
      <c r="H2483" t="s">
        <v>37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>
        <v>1</v>
      </c>
      <c r="AB2483">
        <v>0</v>
      </c>
      <c r="AC2483">
        <f>VLOOKUP(A:A,[1]android_repos_all_metrics!B:K,4,FALSE)</f>
        <v>36</v>
      </c>
      <c r="AD2483">
        <f>VLOOKUP(A:A,[1]android_repos_all_metrics!B:K,5,FALSE)</f>
        <v>1</v>
      </c>
      <c r="AE2483">
        <f>VLOOKUP(A:A,[1]android_repos_all_metrics!B:K,6,FALSE)</f>
        <v>1</v>
      </c>
      <c r="AF2483">
        <f>VLOOKUP(A:A,[1]android_repos_all_metrics!B:K,7,FALSE)</f>
        <v>5248</v>
      </c>
      <c r="AG2483">
        <f>VLOOKUP(A:A,[1]android_repos_all_metrics!B:K,8,FALSE)</f>
        <v>0</v>
      </c>
      <c r="AH2483">
        <f>VLOOKUP(A:A,[1]android_repos_all_metrics!B:K,9,FALSE)</f>
        <v>1</v>
      </c>
      <c r="AI2483">
        <f>VLOOKUP(A:A,[1]android_repos_all_metrics!B:K,10,FALSE)</f>
        <v>0</v>
      </c>
    </row>
    <row r="2484" spans="1:35">
      <c r="A2484" t="s">
        <v>2555</v>
      </c>
      <c r="B2484" t="b">
        <v>1</v>
      </c>
      <c r="C2484" t="b">
        <v>0</v>
      </c>
      <c r="D2484" t="b">
        <v>0</v>
      </c>
      <c r="F2484" t="b">
        <v>0</v>
      </c>
      <c r="H2484" t="s">
        <v>37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>
        <v>1</v>
      </c>
      <c r="AB2484">
        <v>0</v>
      </c>
      <c r="AC2484">
        <f>VLOOKUP(A:A,[1]android_repos_all_metrics!B:K,4,FALSE)</f>
        <v>91</v>
      </c>
      <c r="AD2484">
        <f>VLOOKUP(A:A,[1]android_repos_all_metrics!B:K,5,FALSE)</f>
        <v>2</v>
      </c>
      <c r="AE2484">
        <f>VLOOKUP(A:A,[1]android_repos_all_metrics!B:K,6,FALSE)</f>
        <v>3</v>
      </c>
      <c r="AF2484">
        <f>VLOOKUP(A:A,[1]android_repos_all_metrics!B:K,7,FALSE)</f>
        <v>797</v>
      </c>
      <c r="AG2484">
        <f>VLOOKUP(A:A,[1]android_repos_all_metrics!B:K,8,FALSE)</f>
        <v>3</v>
      </c>
      <c r="AH2484">
        <f>VLOOKUP(A:A,[1]android_repos_all_metrics!B:K,9,FALSE)</f>
        <v>33</v>
      </c>
      <c r="AI2484">
        <f>VLOOKUP(A:A,[1]android_repos_all_metrics!B:K,10,FALSE)</f>
        <v>4</v>
      </c>
    </row>
    <row r="2485" spans="1:35">
      <c r="A2485" t="s">
        <v>2556</v>
      </c>
      <c r="B2485" t="b">
        <v>0</v>
      </c>
      <c r="C2485" t="b">
        <v>0</v>
      </c>
      <c r="D2485" t="b">
        <v>0</v>
      </c>
      <c r="F2485" t="b">
        <v>0</v>
      </c>
      <c r="H2485" t="s">
        <v>41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>
        <v>1</v>
      </c>
      <c r="AB2485">
        <v>0</v>
      </c>
      <c r="AC2485">
        <f>VLOOKUP(A:A,[1]android_repos_all_metrics!B:K,4,FALSE)</f>
        <v>326</v>
      </c>
      <c r="AD2485">
        <f>VLOOKUP(A:A,[1]android_repos_all_metrics!B:K,5,FALSE)</f>
        <v>16</v>
      </c>
      <c r="AE2485">
        <f>VLOOKUP(A:A,[1]android_repos_all_metrics!B:K,6,FALSE)</f>
        <v>3</v>
      </c>
      <c r="AF2485">
        <f>VLOOKUP(A:A,[1]android_repos_all_metrics!B:K,7,FALSE)</f>
        <v>830</v>
      </c>
      <c r="AG2485">
        <f>VLOOKUP(A:A,[1]android_repos_all_metrics!B:K,8,FALSE)</f>
        <v>4</v>
      </c>
      <c r="AH2485">
        <f>VLOOKUP(A:A,[1]android_repos_all_metrics!B:K,9,FALSE)</f>
        <v>26</v>
      </c>
      <c r="AI2485">
        <f>VLOOKUP(A:A,[1]android_repos_all_metrics!B:K,10,FALSE)</f>
        <v>2</v>
      </c>
    </row>
    <row r="2486" spans="1:35">
      <c r="A2486" t="s">
        <v>2557</v>
      </c>
      <c r="B2486" t="b">
        <v>0</v>
      </c>
      <c r="C2486" t="b">
        <v>0</v>
      </c>
      <c r="D2486" t="b">
        <v>0</v>
      </c>
      <c r="F2486" t="b">
        <v>0</v>
      </c>
      <c r="H2486" t="s">
        <v>41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>
        <v>1</v>
      </c>
      <c r="AB2486">
        <v>0</v>
      </c>
      <c r="AC2486">
        <f>VLOOKUP(A:A,[1]android_repos_all_metrics!B:K,4,FALSE)</f>
        <v>5366</v>
      </c>
      <c r="AD2486">
        <f>VLOOKUP(A:A,[1]android_repos_all_metrics!B:K,5,FALSE)</f>
        <v>22</v>
      </c>
      <c r="AE2486">
        <f>VLOOKUP(A:A,[1]android_repos_all_metrics!B:K,6,FALSE)</f>
        <v>302</v>
      </c>
      <c r="AF2486">
        <f>VLOOKUP(A:A,[1]android_repos_all_metrics!B:K,7,FALSE)</f>
        <v>62484</v>
      </c>
      <c r="AG2486">
        <f>VLOOKUP(A:A,[1]android_repos_all_metrics!B:K,8,FALSE)</f>
        <v>33</v>
      </c>
      <c r="AH2486">
        <f>VLOOKUP(A:A,[1]android_repos_all_metrics!B:K,9,FALSE)</f>
        <v>122</v>
      </c>
      <c r="AI2486">
        <f>VLOOKUP(A:A,[1]android_repos_all_metrics!B:K,10,FALSE)</f>
        <v>43</v>
      </c>
    </row>
    <row r="2487" spans="1:35">
      <c r="A2487" t="s">
        <v>2558</v>
      </c>
      <c r="B2487" t="b">
        <v>1</v>
      </c>
      <c r="C2487" t="b">
        <v>0</v>
      </c>
      <c r="D2487" t="b">
        <v>0</v>
      </c>
      <c r="F2487" t="b">
        <v>0</v>
      </c>
      <c r="H2487" t="s">
        <v>37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>
        <v>1</v>
      </c>
      <c r="AB2487">
        <v>0</v>
      </c>
      <c r="AC2487">
        <f>VLOOKUP(A:A,[1]android_repos_all_metrics!B:K,4,FALSE)</f>
        <v>126</v>
      </c>
      <c r="AD2487">
        <f>VLOOKUP(A:A,[1]android_repos_all_metrics!B:K,5,FALSE)</f>
        <v>4</v>
      </c>
      <c r="AE2487">
        <f>VLOOKUP(A:A,[1]android_repos_all_metrics!B:K,6,FALSE)</f>
        <v>2</v>
      </c>
      <c r="AF2487">
        <f>VLOOKUP(A:A,[1]android_repos_all_metrics!B:K,7,FALSE)</f>
        <v>559</v>
      </c>
      <c r="AG2487">
        <f>VLOOKUP(A:A,[1]android_repos_all_metrics!B:K,8,FALSE)</f>
        <v>15</v>
      </c>
      <c r="AH2487">
        <f>VLOOKUP(A:A,[1]android_repos_all_metrics!B:K,9,FALSE)</f>
        <v>36</v>
      </c>
      <c r="AI2487">
        <f>VLOOKUP(A:A,[1]android_repos_all_metrics!B:K,10,FALSE)</f>
        <v>0</v>
      </c>
    </row>
    <row r="2488" spans="1:35">
      <c r="A2488" t="s">
        <v>2559</v>
      </c>
      <c r="B2488" t="b">
        <v>1</v>
      </c>
      <c r="C2488" t="b">
        <v>0</v>
      </c>
      <c r="D2488" t="b">
        <v>0</v>
      </c>
      <c r="F2488" t="b">
        <v>0</v>
      </c>
      <c r="H2488" t="s">
        <v>37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>
        <v>3</v>
      </c>
      <c r="AB2488">
        <v>0</v>
      </c>
      <c r="AC2488">
        <f>VLOOKUP(A:A,[1]android_repos_all_metrics!B:K,4,FALSE)</f>
        <v>765</v>
      </c>
      <c r="AD2488">
        <f>VLOOKUP(A:A,[1]android_repos_all_metrics!B:K,5,FALSE)</f>
        <v>22</v>
      </c>
      <c r="AE2488">
        <f>VLOOKUP(A:A,[1]android_repos_all_metrics!B:K,6,FALSE)</f>
        <v>3</v>
      </c>
      <c r="AF2488">
        <f>VLOOKUP(A:A,[1]android_repos_all_metrics!B:K,7,FALSE)</f>
        <v>11517</v>
      </c>
      <c r="AG2488">
        <f>VLOOKUP(A:A,[1]android_repos_all_metrics!B:K,8,FALSE)</f>
        <v>14</v>
      </c>
      <c r="AH2488">
        <f>VLOOKUP(A:A,[1]android_repos_all_metrics!B:K,9,FALSE)</f>
        <v>52</v>
      </c>
      <c r="AI2488">
        <f>VLOOKUP(A:A,[1]android_repos_all_metrics!B:K,10,FALSE)</f>
        <v>2</v>
      </c>
    </row>
    <row r="2489" spans="1:35">
      <c r="A2489" t="s">
        <v>2560</v>
      </c>
      <c r="B2489" t="b">
        <v>1</v>
      </c>
      <c r="C2489" t="b">
        <v>1</v>
      </c>
      <c r="D2489" t="b">
        <v>1</v>
      </c>
      <c r="E2489" t="s">
        <v>36</v>
      </c>
      <c r="F2489" t="b">
        <v>0</v>
      </c>
      <c r="H2489" t="s">
        <v>37</v>
      </c>
      <c r="I2489" t="s">
        <v>37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>
        <v>4</v>
      </c>
      <c r="AB2489">
        <v>0</v>
      </c>
      <c r="AC2489">
        <f>VLOOKUP(A:A,[1]android_repos_all_metrics!B:K,4,FALSE)</f>
        <v>126</v>
      </c>
      <c r="AD2489">
        <f>VLOOKUP(A:A,[1]android_repos_all_metrics!B:K,5,FALSE)</f>
        <v>131</v>
      </c>
      <c r="AE2489">
        <f>VLOOKUP(A:A,[1]android_repos_all_metrics!B:K,6,FALSE)</f>
        <v>3</v>
      </c>
      <c r="AF2489">
        <f>VLOOKUP(A:A,[1]android_repos_all_metrics!B:K,7,FALSE)</f>
        <v>10895</v>
      </c>
      <c r="AG2489">
        <f>VLOOKUP(A:A,[1]android_repos_all_metrics!B:K,8,FALSE)</f>
        <v>1</v>
      </c>
      <c r="AH2489">
        <f>VLOOKUP(A:A,[1]android_repos_all_metrics!B:K,9,FALSE)</f>
        <v>5</v>
      </c>
      <c r="AI2489">
        <f>VLOOKUP(A:A,[1]android_repos_all_metrics!B:K,10,FALSE)</f>
        <v>14</v>
      </c>
    </row>
    <row r="2490" spans="1:35">
      <c r="A2490" t="s">
        <v>2561</v>
      </c>
      <c r="B2490" t="b">
        <v>1</v>
      </c>
      <c r="C2490" t="b">
        <v>0</v>
      </c>
      <c r="D2490" t="b">
        <v>0</v>
      </c>
      <c r="F2490" t="b">
        <v>0</v>
      </c>
      <c r="H2490" t="s">
        <v>37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>
        <v>6</v>
      </c>
      <c r="AB2490">
        <v>0</v>
      </c>
      <c r="AC2490">
        <f>VLOOKUP(A:A,[1]android_repos_all_metrics!B:K,4,FALSE)</f>
        <v>1688</v>
      </c>
      <c r="AD2490">
        <f>VLOOKUP(A:A,[1]android_repos_all_metrics!B:K,5,FALSE)</f>
        <v>572</v>
      </c>
      <c r="AE2490">
        <f>VLOOKUP(A:A,[1]android_repos_all_metrics!B:K,6,FALSE)</f>
        <v>16</v>
      </c>
      <c r="AF2490">
        <f>VLOOKUP(A:A,[1]android_repos_all_metrics!B:K,7,FALSE)</f>
        <v>37207</v>
      </c>
      <c r="AG2490">
        <f>VLOOKUP(A:A,[1]android_repos_all_metrics!B:K,8,FALSE)</f>
        <v>114</v>
      </c>
      <c r="AH2490">
        <f>VLOOKUP(A:A,[1]android_repos_all_metrics!B:K,9,FALSE)</f>
        <v>801</v>
      </c>
      <c r="AI2490">
        <f>VLOOKUP(A:A,[1]android_repos_all_metrics!B:K,10,FALSE)</f>
        <v>41</v>
      </c>
    </row>
    <row r="2491" spans="1:35">
      <c r="A2491" t="s">
        <v>2562</v>
      </c>
      <c r="B2491" t="b">
        <v>1</v>
      </c>
      <c r="C2491" t="b">
        <v>0</v>
      </c>
      <c r="D2491" t="b">
        <v>0</v>
      </c>
      <c r="F2491" t="b">
        <v>0</v>
      </c>
      <c r="H2491" t="s">
        <v>37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>
        <v>1</v>
      </c>
      <c r="AB2491">
        <v>0</v>
      </c>
      <c r="AC2491">
        <f>VLOOKUP(A:A,[1]android_repos_all_metrics!B:K,4,FALSE)</f>
        <v>151</v>
      </c>
      <c r="AD2491">
        <f>VLOOKUP(A:A,[1]android_repos_all_metrics!B:K,5,FALSE)</f>
        <v>29</v>
      </c>
      <c r="AE2491">
        <f>VLOOKUP(A:A,[1]android_repos_all_metrics!B:K,6,FALSE)</f>
        <v>5</v>
      </c>
      <c r="AF2491">
        <f>VLOOKUP(A:A,[1]android_repos_all_metrics!B:K,7,FALSE)</f>
        <v>68444</v>
      </c>
      <c r="AG2491">
        <f>VLOOKUP(A:A,[1]android_repos_all_metrics!B:K,8,FALSE)</f>
        <v>9</v>
      </c>
      <c r="AH2491">
        <f>VLOOKUP(A:A,[1]android_repos_all_metrics!B:K,9,FALSE)</f>
        <v>34</v>
      </c>
      <c r="AI2491">
        <f>VLOOKUP(A:A,[1]android_repos_all_metrics!B:K,10,FALSE)</f>
        <v>0</v>
      </c>
    </row>
    <row r="2492" spans="1:35">
      <c r="A2492" t="s">
        <v>2563</v>
      </c>
      <c r="B2492" t="b">
        <v>1</v>
      </c>
      <c r="C2492" t="b">
        <v>0</v>
      </c>
      <c r="D2492" t="b">
        <v>0</v>
      </c>
      <c r="F2492" t="b">
        <v>0</v>
      </c>
      <c r="H2492" t="s">
        <v>37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>
        <v>1</v>
      </c>
      <c r="AB2492">
        <v>0</v>
      </c>
      <c r="AC2492">
        <f>VLOOKUP(A:A,[1]android_repos_all_metrics!B:K,4,FALSE)</f>
        <v>678</v>
      </c>
      <c r="AD2492">
        <f>VLOOKUP(A:A,[1]android_repos_all_metrics!B:K,5,FALSE)</f>
        <v>188</v>
      </c>
      <c r="AE2492">
        <f>VLOOKUP(A:A,[1]android_repos_all_metrics!B:K,6,FALSE)</f>
        <v>2</v>
      </c>
      <c r="AF2492">
        <f>VLOOKUP(A:A,[1]android_repos_all_metrics!B:K,7,FALSE)</f>
        <v>18297</v>
      </c>
      <c r="AG2492">
        <f>VLOOKUP(A:A,[1]android_repos_all_metrics!B:K,8,FALSE)</f>
        <v>5</v>
      </c>
      <c r="AH2492">
        <f>VLOOKUP(A:A,[1]android_repos_all_metrics!B:K,9,FALSE)</f>
        <v>24</v>
      </c>
      <c r="AI2492">
        <f>VLOOKUP(A:A,[1]android_repos_all_metrics!B:K,10,FALSE)</f>
        <v>7</v>
      </c>
    </row>
    <row r="2493" spans="1:35">
      <c r="A2493" t="s">
        <v>2564</v>
      </c>
      <c r="B2493" t="b">
        <v>1</v>
      </c>
      <c r="C2493" t="b">
        <v>0</v>
      </c>
      <c r="D2493" t="b">
        <v>0</v>
      </c>
      <c r="F2493" t="b">
        <v>0</v>
      </c>
      <c r="H2493" t="s">
        <v>37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>
        <v>1</v>
      </c>
      <c r="AB2493">
        <v>0</v>
      </c>
      <c r="AC2493">
        <f>VLOOKUP(A:A,[1]android_repos_all_metrics!B:K,4,FALSE)</f>
        <v>346</v>
      </c>
      <c r="AD2493">
        <f>VLOOKUP(A:A,[1]android_repos_all_metrics!B:K,5,FALSE)</f>
        <v>25</v>
      </c>
      <c r="AE2493">
        <f>VLOOKUP(A:A,[1]android_repos_all_metrics!B:K,6,FALSE)</f>
        <v>7</v>
      </c>
      <c r="AF2493">
        <f>VLOOKUP(A:A,[1]android_repos_all_metrics!B:K,7,FALSE)</f>
        <v>1747</v>
      </c>
      <c r="AG2493">
        <f>VLOOKUP(A:A,[1]android_repos_all_metrics!B:K,8,FALSE)</f>
        <v>28</v>
      </c>
      <c r="AH2493">
        <f>VLOOKUP(A:A,[1]android_repos_all_metrics!B:K,9,FALSE)</f>
        <v>133</v>
      </c>
      <c r="AI2493">
        <f>VLOOKUP(A:A,[1]android_repos_all_metrics!B:K,10,FALSE)</f>
        <v>32</v>
      </c>
    </row>
    <row r="2494" spans="1:35">
      <c r="A2494" t="s">
        <v>2565</v>
      </c>
      <c r="B2494" t="b">
        <v>1</v>
      </c>
      <c r="C2494" t="b">
        <v>0</v>
      </c>
      <c r="D2494" t="b">
        <v>0</v>
      </c>
      <c r="F2494" t="b">
        <v>0</v>
      </c>
      <c r="H2494" t="s">
        <v>37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>
        <v>1</v>
      </c>
      <c r="AB2494">
        <v>0</v>
      </c>
      <c r="AC2494">
        <f>VLOOKUP(A:A,[1]android_repos_all_metrics!B:K,4,FALSE)</f>
        <v>1550</v>
      </c>
      <c r="AD2494">
        <f>VLOOKUP(A:A,[1]android_repos_all_metrics!B:K,5,FALSE)</f>
        <v>30</v>
      </c>
      <c r="AE2494">
        <f>VLOOKUP(A:A,[1]android_repos_all_metrics!B:K,6,FALSE)</f>
        <v>15</v>
      </c>
      <c r="AF2494">
        <f>VLOOKUP(A:A,[1]android_repos_all_metrics!B:K,7,FALSE)</f>
        <v>16214</v>
      </c>
      <c r="AG2494">
        <f>VLOOKUP(A:A,[1]android_repos_all_metrics!B:K,8,FALSE)</f>
        <v>32</v>
      </c>
      <c r="AH2494">
        <f>VLOOKUP(A:A,[1]android_repos_all_metrics!B:K,9,FALSE)</f>
        <v>159</v>
      </c>
      <c r="AI2494">
        <f>VLOOKUP(A:A,[1]android_repos_all_metrics!B:K,10,FALSE)</f>
        <v>43</v>
      </c>
    </row>
    <row r="2495" spans="1:35">
      <c r="A2495" t="s">
        <v>2566</v>
      </c>
      <c r="B2495" t="b">
        <v>1</v>
      </c>
      <c r="C2495" t="b">
        <v>0</v>
      </c>
      <c r="D2495" t="b">
        <v>0</v>
      </c>
      <c r="F2495" t="b">
        <v>0</v>
      </c>
      <c r="H2495" t="s">
        <v>43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>
        <v>1</v>
      </c>
      <c r="AB2495">
        <v>0</v>
      </c>
      <c r="AC2495">
        <f>VLOOKUP(A:A,[1]android_repos_all_metrics!B:K,4,FALSE)</f>
        <v>33</v>
      </c>
      <c r="AD2495">
        <f>VLOOKUP(A:A,[1]android_repos_all_metrics!B:K,5,FALSE)</f>
        <v>0</v>
      </c>
      <c r="AE2495">
        <f>VLOOKUP(A:A,[1]android_repos_all_metrics!B:K,6,FALSE)</f>
        <v>1</v>
      </c>
      <c r="AF2495">
        <f>VLOOKUP(A:A,[1]android_repos_all_metrics!B:K,7,FALSE)</f>
        <v>3046</v>
      </c>
      <c r="AG2495">
        <f>VLOOKUP(A:A,[1]android_repos_all_metrics!B:K,8,FALSE)</f>
        <v>29</v>
      </c>
      <c r="AH2495">
        <f>VLOOKUP(A:A,[1]android_repos_all_metrics!B:K,9,FALSE)</f>
        <v>49</v>
      </c>
      <c r="AI2495">
        <f>VLOOKUP(A:A,[1]android_repos_all_metrics!B:K,10,FALSE)</f>
        <v>4</v>
      </c>
    </row>
    <row r="2496" spans="1:35">
      <c r="A2496" t="s">
        <v>2567</v>
      </c>
      <c r="B2496" t="b">
        <v>1</v>
      </c>
      <c r="C2496" t="b">
        <v>0</v>
      </c>
      <c r="D2496" t="b">
        <v>0</v>
      </c>
      <c r="F2496" t="b">
        <v>0</v>
      </c>
      <c r="H2496" t="s">
        <v>37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>
        <v>1</v>
      </c>
      <c r="AB2496">
        <v>0</v>
      </c>
      <c r="AC2496">
        <f>VLOOKUP(A:A,[1]android_repos_all_metrics!B:K,4,FALSE)</f>
        <v>45</v>
      </c>
      <c r="AD2496">
        <f>VLOOKUP(A:A,[1]android_repos_all_metrics!B:K,5,FALSE)</f>
        <v>0</v>
      </c>
      <c r="AE2496">
        <f>VLOOKUP(A:A,[1]android_repos_all_metrics!B:K,6,FALSE)</f>
        <v>1</v>
      </c>
      <c r="AF2496">
        <f>VLOOKUP(A:A,[1]android_repos_all_metrics!B:K,7,FALSE)</f>
        <v>873</v>
      </c>
      <c r="AG2496">
        <f>VLOOKUP(A:A,[1]android_repos_all_metrics!B:K,8,FALSE)</f>
        <v>5</v>
      </c>
      <c r="AH2496">
        <f>VLOOKUP(A:A,[1]android_repos_all_metrics!B:K,9,FALSE)</f>
        <v>15</v>
      </c>
      <c r="AI2496">
        <f>VLOOKUP(A:A,[1]android_repos_all_metrics!B:K,10,FALSE)</f>
        <v>0</v>
      </c>
    </row>
    <row r="2497" spans="1:35">
      <c r="A2497" t="s">
        <v>2568</v>
      </c>
      <c r="B2497" t="b">
        <v>1</v>
      </c>
      <c r="C2497" t="b">
        <v>0</v>
      </c>
      <c r="D2497" t="b">
        <v>0</v>
      </c>
      <c r="F2497" t="b">
        <v>0</v>
      </c>
      <c r="H2497" t="s">
        <v>37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>
        <v>2</v>
      </c>
      <c r="AB2497">
        <v>0</v>
      </c>
      <c r="AC2497">
        <f>VLOOKUP(A:A,[1]android_repos_all_metrics!B:K,4,FALSE)</f>
        <v>65</v>
      </c>
      <c r="AD2497">
        <f>VLOOKUP(A:A,[1]android_repos_all_metrics!B:K,5,FALSE)</f>
        <v>16</v>
      </c>
      <c r="AE2497">
        <f>VLOOKUP(A:A,[1]android_repos_all_metrics!B:K,6,FALSE)</f>
        <v>1</v>
      </c>
      <c r="AF2497">
        <f>VLOOKUP(A:A,[1]android_repos_all_metrics!B:K,7,FALSE)</f>
        <v>274</v>
      </c>
      <c r="AG2497">
        <f>VLOOKUP(A:A,[1]android_repos_all_metrics!B:K,8,FALSE)</f>
        <v>0</v>
      </c>
      <c r="AH2497">
        <f>VLOOKUP(A:A,[1]android_repos_all_metrics!B:K,9,FALSE)</f>
        <v>2</v>
      </c>
      <c r="AI2497">
        <f>VLOOKUP(A:A,[1]android_repos_all_metrics!B:K,10,FALSE)</f>
        <v>35</v>
      </c>
    </row>
    <row r="2498" spans="1:35">
      <c r="A2498" t="s">
        <v>2569</v>
      </c>
      <c r="B2498" t="b">
        <v>1</v>
      </c>
      <c r="C2498" t="b">
        <v>0</v>
      </c>
      <c r="D2498" t="b">
        <v>0</v>
      </c>
      <c r="F2498" t="b">
        <v>0</v>
      </c>
      <c r="H2498" t="s">
        <v>37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>
        <v>1</v>
      </c>
      <c r="AB2498">
        <v>0</v>
      </c>
      <c r="AC2498">
        <f>VLOOKUP(A:A,[1]android_repos_all_metrics!B:K,4,FALSE)</f>
        <v>806</v>
      </c>
      <c r="AD2498">
        <f>VLOOKUP(A:A,[1]android_repos_all_metrics!B:K,5,FALSE)</f>
        <v>1048</v>
      </c>
      <c r="AE2498">
        <f>VLOOKUP(A:A,[1]android_repos_all_metrics!B:K,6,FALSE)</f>
        <v>4</v>
      </c>
      <c r="AF2498">
        <f>VLOOKUP(A:A,[1]android_repos_all_metrics!B:K,7,FALSE)</f>
        <v>16057</v>
      </c>
      <c r="AG2498">
        <f>VLOOKUP(A:A,[1]android_repos_all_metrics!B:K,8,FALSE)</f>
        <v>11</v>
      </c>
      <c r="AH2498">
        <f>VLOOKUP(A:A,[1]android_repos_all_metrics!B:K,9,FALSE)</f>
        <v>79</v>
      </c>
      <c r="AI2498">
        <f>VLOOKUP(A:A,[1]android_repos_all_metrics!B:K,10,FALSE)</f>
        <v>33</v>
      </c>
    </row>
    <row r="2499" spans="1:35">
      <c r="A2499" t="s">
        <v>2570</v>
      </c>
      <c r="B2499" t="b">
        <v>1</v>
      </c>
      <c r="C2499" t="b">
        <v>0</v>
      </c>
      <c r="D2499" t="b">
        <v>0</v>
      </c>
      <c r="F2499" t="b">
        <v>0</v>
      </c>
      <c r="H2499" t="s">
        <v>41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>
        <v>1</v>
      </c>
      <c r="AB2499">
        <v>0</v>
      </c>
      <c r="AC2499">
        <f>VLOOKUP(A:A,[1]android_repos_all_metrics!B:K,4,FALSE)</f>
        <v>116</v>
      </c>
      <c r="AD2499">
        <f>VLOOKUP(A:A,[1]android_repos_all_metrics!B:K,5,FALSE)</f>
        <v>1</v>
      </c>
      <c r="AE2499">
        <f>VLOOKUP(A:A,[1]android_repos_all_metrics!B:K,6,FALSE)</f>
        <v>2</v>
      </c>
      <c r="AF2499">
        <f>VLOOKUP(A:A,[1]android_repos_all_metrics!B:K,7,FALSE)</f>
        <v>5250</v>
      </c>
      <c r="AG2499">
        <f>VLOOKUP(A:A,[1]android_repos_all_metrics!B:K,8,FALSE)</f>
        <v>0</v>
      </c>
      <c r="AH2499">
        <f>VLOOKUP(A:A,[1]android_repos_all_metrics!B:K,9,FALSE)</f>
        <v>5</v>
      </c>
      <c r="AI2499">
        <f>VLOOKUP(A:A,[1]android_repos_all_metrics!B:K,10,FALSE)</f>
        <v>0</v>
      </c>
    </row>
    <row r="2500" spans="1:35">
      <c r="A2500" t="s">
        <v>2571</v>
      </c>
      <c r="B2500" t="b">
        <v>0</v>
      </c>
      <c r="C2500" t="b">
        <v>0</v>
      </c>
      <c r="D2500" t="b">
        <v>0</v>
      </c>
      <c r="F2500" t="b">
        <v>0</v>
      </c>
      <c r="H2500" t="s">
        <v>41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>
        <v>1</v>
      </c>
      <c r="AB2500">
        <v>0</v>
      </c>
      <c r="AC2500">
        <f>VLOOKUP(A:A,[1]android_repos_all_metrics!B:K,4,FALSE)</f>
        <v>91</v>
      </c>
      <c r="AD2500">
        <f>VLOOKUP(A:A,[1]android_repos_all_metrics!B:K,5,FALSE)</f>
        <v>0</v>
      </c>
      <c r="AE2500">
        <f>VLOOKUP(A:A,[1]android_repos_all_metrics!B:K,6,FALSE)</f>
        <v>1</v>
      </c>
      <c r="AF2500">
        <f>VLOOKUP(A:A,[1]android_repos_all_metrics!B:K,7,FALSE)</f>
        <v>149703</v>
      </c>
      <c r="AG2500">
        <f>VLOOKUP(A:A,[1]android_repos_all_metrics!B:K,8,FALSE)</f>
        <v>24</v>
      </c>
      <c r="AH2500">
        <f>VLOOKUP(A:A,[1]android_repos_all_metrics!B:K,9,FALSE)</f>
        <v>43</v>
      </c>
      <c r="AI2500">
        <f>VLOOKUP(A:A,[1]android_repos_all_metrics!B:K,10,FALSE)</f>
        <v>3</v>
      </c>
    </row>
    <row r="2501" spans="1:35">
      <c r="A2501" t="s">
        <v>2572</v>
      </c>
      <c r="B2501" t="b">
        <v>1</v>
      </c>
      <c r="C2501" t="b">
        <v>0</v>
      </c>
      <c r="D2501" t="b">
        <v>0</v>
      </c>
      <c r="F2501" t="b">
        <v>0</v>
      </c>
      <c r="H2501" t="s">
        <v>37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>
        <v>1</v>
      </c>
      <c r="AB2501">
        <v>0</v>
      </c>
      <c r="AC2501">
        <f>VLOOKUP(A:A,[1]android_repos_all_metrics!B:K,4,FALSE)</f>
        <v>84</v>
      </c>
      <c r="AD2501">
        <f>VLOOKUP(A:A,[1]android_repos_all_metrics!B:K,5,FALSE)</f>
        <v>65</v>
      </c>
      <c r="AE2501">
        <f>VLOOKUP(A:A,[1]android_repos_all_metrics!B:K,6,FALSE)</f>
        <v>3</v>
      </c>
      <c r="AF2501">
        <f>VLOOKUP(A:A,[1]android_repos_all_metrics!B:K,7,FALSE)</f>
        <v>2047</v>
      </c>
      <c r="AG2501">
        <f>VLOOKUP(A:A,[1]android_repos_all_metrics!B:K,8,FALSE)</f>
        <v>2</v>
      </c>
      <c r="AH2501">
        <f>VLOOKUP(A:A,[1]android_repos_all_metrics!B:K,9,FALSE)</f>
        <v>7</v>
      </c>
      <c r="AI2501">
        <f>VLOOKUP(A:A,[1]android_repos_all_metrics!B:K,10,FALSE)</f>
        <v>6</v>
      </c>
    </row>
    <row r="2502" spans="1:35">
      <c r="A2502" t="s">
        <v>2573</v>
      </c>
      <c r="B2502" t="b">
        <v>1</v>
      </c>
      <c r="C2502" t="b">
        <v>1</v>
      </c>
      <c r="D2502" t="b">
        <v>1</v>
      </c>
      <c r="E2502" t="s">
        <v>36</v>
      </c>
      <c r="F2502" t="b">
        <v>0</v>
      </c>
      <c r="H2502" t="s">
        <v>37</v>
      </c>
      <c r="I2502" t="s">
        <v>37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b">
        <v>1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>
        <v>3</v>
      </c>
      <c r="AA2502">
        <v>1</v>
      </c>
      <c r="AB2502">
        <v>0</v>
      </c>
      <c r="AC2502">
        <f>VLOOKUP(A:A,[1]android_repos_all_metrics!B:K,4,FALSE)</f>
        <v>13</v>
      </c>
      <c r="AD2502">
        <f>VLOOKUP(A:A,[1]android_repos_all_metrics!B:K,5,FALSE)</f>
        <v>0</v>
      </c>
      <c r="AE2502">
        <f>VLOOKUP(A:A,[1]android_repos_all_metrics!B:K,6,FALSE)</f>
        <v>2</v>
      </c>
      <c r="AF2502">
        <f>VLOOKUP(A:A,[1]android_repos_all_metrics!B:K,7,FALSE)</f>
        <v>30668</v>
      </c>
      <c r="AG2502">
        <f>VLOOKUP(A:A,[1]android_repos_all_metrics!B:K,8,FALSE)</f>
        <v>0</v>
      </c>
      <c r="AH2502">
        <f>VLOOKUP(A:A,[1]android_repos_all_metrics!B:K,9,FALSE)</f>
        <v>8</v>
      </c>
      <c r="AI2502">
        <f>VLOOKUP(A:A,[1]android_repos_all_metrics!B:K,10,FALSE)</f>
        <v>0</v>
      </c>
    </row>
    <row r="2503" spans="1:35">
      <c r="A2503" t="s">
        <v>2574</v>
      </c>
      <c r="B2503" t="b">
        <v>1</v>
      </c>
      <c r="C2503" t="b">
        <v>0</v>
      </c>
      <c r="D2503" t="b">
        <v>0</v>
      </c>
      <c r="F2503" t="b">
        <v>0</v>
      </c>
      <c r="H2503" t="s">
        <v>37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>
        <v>3</v>
      </c>
      <c r="AB2503">
        <v>0</v>
      </c>
      <c r="AC2503">
        <f>VLOOKUP(A:A,[1]android_repos_all_metrics!B:K,4,FALSE)</f>
        <v>133</v>
      </c>
      <c r="AD2503">
        <f>VLOOKUP(A:A,[1]android_repos_all_metrics!B:K,5,FALSE)</f>
        <v>69</v>
      </c>
      <c r="AE2503">
        <f>VLOOKUP(A:A,[1]android_repos_all_metrics!B:K,6,FALSE)</f>
        <v>16</v>
      </c>
      <c r="AF2503">
        <f>VLOOKUP(A:A,[1]android_repos_all_metrics!B:K,7,FALSE)</f>
        <v>46477</v>
      </c>
      <c r="AG2503">
        <f>VLOOKUP(A:A,[1]android_repos_all_metrics!B:K,8,FALSE)</f>
        <v>143</v>
      </c>
      <c r="AH2503">
        <f>VLOOKUP(A:A,[1]android_repos_all_metrics!B:K,9,FALSE)</f>
        <v>914</v>
      </c>
      <c r="AI2503">
        <f>VLOOKUP(A:A,[1]android_repos_all_metrics!B:K,10,FALSE)</f>
        <v>22</v>
      </c>
    </row>
    <row r="2504" spans="1:35">
      <c r="A2504" t="s">
        <v>2575</v>
      </c>
      <c r="B2504" t="b">
        <v>1</v>
      </c>
      <c r="C2504" t="b">
        <v>0</v>
      </c>
      <c r="D2504" t="b">
        <v>0</v>
      </c>
      <c r="F2504" t="b">
        <v>0</v>
      </c>
      <c r="H2504" t="s">
        <v>37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>
        <v>2</v>
      </c>
      <c r="AB2504">
        <v>0</v>
      </c>
      <c r="AC2504">
        <f>VLOOKUP(A:A,[1]android_repos_all_metrics!B:K,4,FALSE)</f>
        <v>871</v>
      </c>
      <c r="AD2504">
        <f>VLOOKUP(A:A,[1]android_repos_all_metrics!B:K,5,FALSE)</f>
        <v>9</v>
      </c>
      <c r="AE2504">
        <f>VLOOKUP(A:A,[1]android_repos_all_metrics!B:K,6,FALSE)</f>
        <v>6</v>
      </c>
      <c r="AF2504">
        <f>VLOOKUP(A:A,[1]android_repos_all_metrics!B:K,7,FALSE)</f>
        <v>620356</v>
      </c>
      <c r="AG2504">
        <f>VLOOKUP(A:A,[1]android_repos_all_metrics!B:K,8,FALSE)</f>
        <v>55</v>
      </c>
      <c r="AH2504">
        <f>VLOOKUP(A:A,[1]android_repos_all_metrics!B:K,9,FALSE)</f>
        <v>124</v>
      </c>
      <c r="AI2504">
        <f>VLOOKUP(A:A,[1]android_repos_all_metrics!B:K,10,FALSE)</f>
        <v>7</v>
      </c>
    </row>
    <row r="2505" spans="1:35">
      <c r="A2505" t="s">
        <v>2576</v>
      </c>
      <c r="B2505" t="b">
        <v>1</v>
      </c>
      <c r="C2505" t="b">
        <v>0</v>
      </c>
      <c r="D2505" t="b">
        <v>0</v>
      </c>
      <c r="F2505" t="b">
        <v>0</v>
      </c>
      <c r="H2505" t="s">
        <v>37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>
        <v>1</v>
      </c>
      <c r="AB2505">
        <v>0</v>
      </c>
      <c r="AC2505">
        <f>VLOOKUP(A:A,[1]android_repos_all_metrics!B:K,4,FALSE)</f>
        <v>10360</v>
      </c>
      <c r="AD2505">
        <f>VLOOKUP(A:A,[1]android_repos_all_metrics!B:K,5,FALSE)</f>
        <v>3700</v>
      </c>
      <c r="AE2505">
        <f>VLOOKUP(A:A,[1]android_repos_all_metrics!B:K,6,FALSE)</f>
        <v>88</v>
      </c>
      <c r="AF2505">
        <f>VLOOKUP(A:A,[1]android_repos_all_metrics!B:K,7,FALSE)</f>
        <v>42091</v>
      </c>
      <c r="AG2505">
        <f>VLOOKUP(A:A,[1]android_repos_all_metrics!B:K,8,FALSE)</f>
        <v>606</v>
      </c>
      <c r="AH2505">
        <f>VLOOKUP(A:A,[1]android_repos_all_metrics!B:K,9,FALSE)</f>
        <v>1163</v>
      </c>
      <c r="AI2505">
        <f>VLOOKUP(A:A,[1]android_repos_all_metrics!B:K,10,FALSE)</f>
        <v>730</v>
      </c>
    </row>
    <row r="2506" spans="1:35">
      <c r="A2506" t="s">
        <v>2577</v>
      </c>
      <c r="B2506" t="b">
        <v>1</v>
      </c>
      <c r="C2506" t="b">
        <v>0</v>
      </c>
      <c r="D2506" t="b">
        <v>0</v>
      </c>
      <c r="F2506" t="b">
        <v>0</v>
      </c>
      <c r="H2506" t="s">
        <v>76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>
        <v>1</v>
      </c>
      <c r="AB2506">
        <v>0</v>
      </c>
      <c r="AC2506">
        <f>VLOOKUP(A:A,[1]android_repos_all_metrics!B:K,4,FALSE)</f>
        <v>20</v>
      </c>
      <c r="AD2506">
        <f>VLOOKUP(A:A,[1]android_repos_all_metrics!B:K,5,FALSE)</f>
        <v>7</v>
      </c>
      <c r="AE2506">
        <f>VLOOKUP(A:A,[1]android_repos_all_metrics!B:K,6,FALSE)</f>
        <v>5</v>
      </c>
      <c r="AF2506">
        <f>VLOOKUP(A:A,[1]android_repos_all_metrics!B:K,7,FALSE)</f>
        <v>1359</v>
      </c>
      <c r="AG2506">
        <f>VLOOKUP(A:A,[1]android_repos_all_metrics!B:K,8,FALSE)</f>
        <v>5</v>
      </c>
      <c r="AH2506">
        <f>VLOOKUP(A:A,[1]android_repos_all_metrics!B:K,9,FALSE)</f>
        <v>2</v>
      </c>
      <c r="AI2506">
        <f>VLOOKUP(A:A,[1]android_repos_all_metrics!B:K,10,FALSE)</f>
        <v>3</v>
      </c>
    </row>
    <row r="2507" spans="1:35">
      <c r="A2507" t="b">
        <v>0</v>
      </c>
      <c r="B2507" t="b">
        <v>0</v>
      </c>
      <c r="C2507" t="b">
        <v>0</v>
      </c>
      <c r="D2507" t="b">
        <v>0</v>
      </c>
      <c r="F2507" t="b">
        <v>0</v>
      </c>
      <c r="G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>
        <v>0</v>
      </c>
      <c r="AB2507">
        <v>0</v>
      </c>
      <c r="AC2507" t="e">
        <f>VLOOKUP(A:A,[1]android_repos_all_metrics!B:K,4,FALSE)</f>
        <v>#N/A</v>
      </c>
      <c r="AD2507" t="e">
        <f>VLOOKUP(A:A,[1]android_repos_all_metrics!B:K,5,FALSE)</f>
        <v>#N/A</v>
      </c>
      <c r="AE2507" t="e">
        <f>VLOOKUP(A:A,[1]android_repos_all_metrics!B:K,6,FALSE)</f>
        <v>#N/A</v>
      </c>
      <c r="AF2507" t="e">
        <f>VLOOKUP(A:A,[1]android_repos_all_metrics!B:K,7,FALSE)</f>
        <v>#N/A</v>
      </c>
      <c r="AG2507" t="e">
        <f>VLOOKUP(A:A,[1]android_repos_all_metrics!B:K,8,FALSE)</f>
        <v>#N/A</v>
      </c>
      <c r="AH2507" t="e">
        <f>VLOOKUP(A:A,[1]android_repos_all_metrics!B:K,9,FALSE)</f>
        <v>#N/A</v>
      </c>
      <c r="AI2507" t="e">
        <f>VLOOKUP(A:A,[1]android_repos_all_metrics!B:K,10,FALSE)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14166166005</dc:creator>
  <cp:lastModifiedBy>14166166005</cp:lastModifiedBy>
  <dcterms:created xsi:type="dcterms:W3CDTF">2025-06-05T03:52:22Z</dcterms:created>
  <dcterms:modified xsi:type="dcterms:W3CDTF">2025-06-05T03:52:44Z</dcterms:modified>
</cp:coreProperties>
</file>